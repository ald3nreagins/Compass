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<sst xmlns="http://schemas.openxmlformats.org/spreadsheetml/2006/main" count="5431" uniqueCount="1773">
  <si>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</si>
  <si>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</si>
  <si>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</si>
  <si>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</si>
  <si>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</si>
  <si>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</si>
  <si>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</si>
  <si>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</si>
  <si>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</si>
  <si>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</si>
  <si>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</si>
  <si>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</si>
  <si>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</si>
  <si>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</si>
  <si>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</si>
  <si>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</si>
  <si>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</si>
  <si>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</si>
  <si>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</si>
  <si>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</si>
  <si>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</si>
  <si>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</si>
  <si>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</si>
  <si>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</si>
  <si>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</si>
  <si>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</si>
  <si>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</si>
  <si>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</si>
  <si>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</si>
  <si>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</si>
  <si>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</si>
  <si>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</si>
  <si>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</si>
  <si>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</si>
  <si>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</si>
  <si>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</si>
  <si>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</si>
  <si>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</si>
  <si>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</si>
  <si>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</si>
  <si>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</si>
  <si>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</si>
  <si>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</si>
  <si>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</si>
  <si>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</si>
  <si>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</si>
  <si>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</si>
  <si>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</si>
  <si>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</si>
  <si>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</si>
  <si>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</si>
  <si>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</si>
  <si>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</si>
  <si>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</si>
  <si>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</si>
  <si>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</si>
  <si>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</si>
  <si>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</si>
  <si>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</si>
  <si>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</si>
  <si>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</si>
  <si>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</si>
  <si>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</si>
  <si>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</si>
  <si>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</si>
  <si>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</si>
  <si>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</si>
  <si>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</si>
  <si>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</si>
  <si>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</si>
  <si>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</si>
  <si>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</si>
  <si>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Cuure</t>
  </si>
  <si>
    <t xml:space="preserve">2025-Q4</t>
  </si>
  <si>
    <t xml:space="preserve">Consumer Goods</t>
  </si>
  <si>
    <t xml:space="preserve">Technology / Other</t>
  </si>
  <si>
    <t xml:space="preserve">2018</t>
  </si>
  <si>
    <t xml:space="preserve">Paris</t>
  </si>
  <si>
    <t xml:space="preserve">Series A</t>
  </si>
  <si>
    <t xml:space="preserve">September 2022</t>
  </si>
  <si>
    <t xml:space="preserve">2 eng, 1 GTM next 2 quarters</t>
  </si>
  <si>
    <t xml:space="preserve">DAU/MAU 0.55, strong</t>
  </si>
  <si>
    <t xml:space="preserve">Analytics dashboard 34% adoption</t>
  </si>
  <si>
    <t xml:space="preserve">Model accuracy 91% (up from 86%)</t>
  </si>
  <si>
    <t xml:space="preserve">Pilot converted with 2 government agencies</t>
  </si>
  <si>
    <t xml:space="preserve">Reach $3M ARR and default-alive by Q4</t>
  </si>
  <si>
    <t xml:space="preserve">Series A $77.8M pre → latest $132.0M</t>
  </si>
  <si>
    <t xml:space="preserve">$1.2M venture debt facility</t>
  </si>
  <si>
    <t xml:space="preserve">Private — no exit activity</t>
  </si>
  <si>
    <t xml:space="preserve">Identity: real (vcbacked.co) | Metrics: simulated</t>
  </si>
  <si>
    <t xml:space="preserve">BASELINE</t>
  </si>
  <si>
    <t xml:space="preserve">2026-Q1</t>
  </si>
  <si>
    <t xml:space="preserve">2026-Q2</t>
  </si>
  <si>
    <t xml:space="preserve">2026-Q3</t>
  </si>
  <si>
    <t xml:space="preserve">Muule</t>
  </si>
  <si>
    <t xml:space="preserve">Lifestyle</t>
  </si>
  <si>
    <t xml:space="preserve">2019</t>
  </si>
  <si>
    <t xml:space="preserve">Lyon</t>
  </si>
  <si>
    <t xml:space="preserve">Pre-Seed</t>
  </si>
  <si>
    <t xml:space="preserve">September 2023</t>
  </si>
  <si>
    <t xml:space="preserve">4 GTM hires, eng held flat</t>
  </si>
  <si>
    <t xml:space="preserve">DAU/MAU 0.31, steady</t>
  </si>
  <si>
    <t xml:space="preserve">Onboarding completion 71%</t>
  </si>
  <si>
    <t xml:space="preserve">Launched v2 platform; expanded to 2 new states</t>
  </si>
  <si>
    <t xml:space="preserve">Expand from pilot to production with 5 logos</t>
  </si>
  <si>
    <t xml:space="preserve">Pre-Seed $7.7M pre → latest $18.1M</t>
  </si>
  <si>
    <t xml:space="preserve">None</t>
  </si>
  <si>
    <t xml:space="preserve">Private — inbound acquisition interest</t>
  </si>
  <si>
    <t xml:space="preserve">Statinf</t>
  </si>
  <si>
    <t xml:space="preserve">Analytics</t>
  </si>
  <si>
    <t xml:space="preserve">Data &amp; Analytics</t>
  </si>
  <si>
    <t xml:space="preserve">Seed</t>
  </si>
  <si>
    <t xml:space="preserve">DAU/MAU 0.42, rising</t>
  </si>
  <si>
    <t xml:space="preserve">Seed $18.2M pre → latest $36.2M</t>
  </si>
  <si>
    <t xml:space="preserve">$500K SAFE (uncapped)</t>
  </si>
  <si>
    <t xml:space="preserve">Figures</t>
  </si>
  <si>
    <t xml:space="preserve">Human Resources</t>
  </si>
  <si>
    <t xml:space="preserve">HR Tech / Talent</t>
  </si>
  <si>
    <t xml:space="preserve">2023</t>
  </si>
  <si>
    <t xml:space="preserve">Backfill only — no net adds</t>
  </si>
  <si>
    <t xml:space="preserve">DAU/MAU 0.11, declining</t>
  </si>
  <si>
    <t xml:space="preserve">Feature adoption lagging — 19% on latest release</t>
  </si>
  <si>
    <t xml:space="preserve">Lost anchor customer; repositioning to mid-market</t>
  </si>
  <si>
    <t xml:space="preserve">Cut burn 30% and stabilize churn</t>
  </si>
  <si>
    <t xml:space="preserve">Seed $25.1M pre → latest $24.7M</t>
  </si>
  <si>
    <t xml:space="preserve">Carroucell</t>
  </si>
  <si>
    <t xml:space="preserve">Biotechnology</t>
  </si>
  <si>
    <t xml:space="preserve">Life Sciences / Therapeutics</t>
  </si>
  <si>
    <t xml:space="preserve">Sainte-hélène-du-lac</t>
  </si>
  <si>
    <t xml:space="preserve">3 eng, 1 designer, 2 AE</t>
  </si>
  <si>
    <t xml:space="preserve">Uptime 99.95%; p95 latency 180ms</t>
  </si>
  <si>
    <t xml:space="preserve">Key patent filed; manufacturing partner signed</t>
  </si>
  <si>
    <t xml:space="preserve">Land 2 Tier-1 channel partnerships</t>
  </si>
  <si>
    <t xml:space="preserve">Series A $92.7M pre → latest $186.3M</t>
  </si>
  <si>
    <t xml:space="preserve">Pytheas Capital Advisors</t>
  </si>
  <si>
    <t xml:space="preserve">Email</t>
  </si>
  <si>
    <t xml:space="preserve">Venture - Series Unknown</t>
  </si>
  <si>
    <t xml:space="preserve">5 eng, 2 sales, 1 finance (FY26 plan)</t>
  </si>
  <si>
    <t xml:space="preserve">Venture - Series Unknown $22.1M pre → latest $23.2M</t>
  </si>
  <si>
    <t xml:space="preserve">Hoopiz</t>
  </si>
  <si>
    <t xml:space="preserve">Financial Services</t>
  </si>
  <si>
    <t xml:space="preserve">FinTech / Lending</t>
  </si>
  <si>
    <t xml:space="preserve">2024</t>
  </si>
  <si>
    <t xml:space="preserve">Cannes</t>
  </si>
  <si>
    <t xml:space="preserve">DAU/MAU 0.18, flat</t>
  </si>
  <si>
    <t xml:space="preserve">Avg 14 workflows automated per account</t>
  </si>
  <si>
    <t xml:space="preserve">Missed Q3 launch date; replatforming underway</t>
  </si>
  <si>
    <t xml:space="preserve">Extend runway to 18 months before next raise</t>
  </si>
  <si>
    <t xml:space="preserve">Venture - Series Unknown $29.7M pre → latest $23.0M</t>
  </si>
  <si>
    <t xml:space="preserve">$250K revenue-based financing</t>
  </si>
  <si>
    <t xml:space="preserve">Giskard</t>
  </si>
  <si>
    <t xml:space="preserve">Artificial Intelligence (AI)</t>
  </si>
  <si>
    <t xml:space="preserve">AI Infrastructure / Applied ML</t>
  </si>
  <si>
    <t xml:space="preserve">2021</t>
  </si>
  <si>
    <t xml:space="preserve">Grant</t>
  </si>
  <si>
    <t xml:space="preserve">September 2025</t>
  </si>
  <si>
    <t xml:space="preserve">Weekly active teams up 22% QoQ</t>
  </si>
  <si>
    <t xml:space="preserve">Time-to-first-value: 6 days</t>
  </si>
  <si>
    <t xml:space="preserve">Closed first 3 enterprise contracts; SOC 2 Type II complete</t>
  </si>
  <si>
    <t xml:space="preserve">Grant $3.7M pre → latest $5.3M</t>
  </si>
  <si>
    <t xml:space="preserve">M2care</t>
  </si>
  <si>
    <t xml:space="preserve">Consulting</t>
  </si>
  <si>
    <t xml:space="preserve">Professional Services</t>
  </si>
  <si>
    <t xml:space="preserve">2 eng, 1 ops</t>
  </si>
  <si>
    <t xml:space="preserve">Core workflow 78% adopted; new AI module 12%</t>
  </si>
  <si>
    <t xml:space="preserve">Venture - Series Unknown $10.9M pre → latest $88.0M</t>
  </si>
  <si>
    <t xml:space="preserve">Brandquad</t>
  </si>
  <si>
    <t xml:space="preserve">Computer</t>
  </si>
  <si>
    <t xml:space="preserve">Lille</t>
  </si>
  <si>
    <t xml:space="preserve">Convertible Note</t>
  </si>
  <si>
    <t xml:space="preserve">September 2021</t>
  </si>
  <si>
    <t xml:space="preserve">Mobile app adopted by 44% of base</t>
  </si>
  <si>
    <t xml:space="preserve">Convertible Note $9.3M pre → latest $15.7M</t>
  </si>
  <si>
    <t xml:space="preserve">Ask Mona</t>
  </si>
  <si>
    <t xml:space="preserve">2020</t>
  </si>
  <si>
    <t xml:space="preserve">Aggressive: 12 net adds planned</t>
  </si>
  <si>
    <t xml:space="preserve">Series A $107.8M pre → latest $119.3M</t>
  </si>
  <si>
    <t xml:space="preserve">Agronutris</t>
  </si>
  <si>
    <t xml:space="preserve">Saint-orens-de-gameville</t>
  </si>
  <si>
    <t xml:space="preserve">New API used by 61% of enterprise accounts</t>
  </si>
  <si>
    <t xml:space="preserve">Venture - Series Unknown $11.7M pre → latest $113.3M</t>
  </si>
  <si>
    <t xml:space="preserve">RDS</t>
  </si>
  <si>
    <t xml:space="preserve">Health Care</t>
  </si>
  <si>
    <t xml:space="preserve">Digital Health / Care Delivery</t>
  </si>
  <si>
    <t xml:space="preserve">Strasbourg</t>
  </si>
  <si>
    <t xml:space="preserve">Improve gross margin to 70%+ via infra optimization</t>
  </si>
  <si>
    <t xml:space="preserve">Series A $64.6M pre → latest $97.5M</t>
  </si>
  <si>
    <t xml:space="preserve">$2.0M venture debt, 18mo draw period</t>
  </si>
  <si>
    <t xml:space="preserve">Nonna Lab</t>
  </si>
  <si>
    <t xml:space="preserve">Fitness</t>
  </si>
  <si>
    <t xml:space="preserve">1 senior eng, deferred until next raise</t>
  </si>
  <si>
    <t xml:space="preserve">Seed $14.2M pre → latest $10.1M</t>
  </si>
  <si>
    <t xml:space="preserve">Syslor</t>
  </si>
  <si>
    <t xml:space="preserve">Metz</t>
  </si>
  <si>
    <t xml:space="preserve">Session length down 9% QoQ</t>
  </si>
  <si>
    <t xml:space="preserve">Sunset legacy product; consolidate on core platform</t>
  </si>
  <si>
    <t xml:space="preserve">Venture - Series Unknown $12.9M pre → latest $11.9M</t>
  </si>
  <si>
    <t xml:space="preserve">Altior</t>
  </si>
  <si>
    <t xml:space="preserve">Business Intelligence</t>
  </si>
  <si>
    <t xml:space="preserve">2022</t>
  </si>
  <si>
    <t xml:space="preserve">Nantes</t>
  </si>
  <si>
    <t xml:space="preserve">Seed $17.1M pre → latest $29.7M</t>
  </si>
  <si>
    <t xml:space="preserve">Legapass</t>
  </si>
  <si>
    <t xml:space="preserve">Cyber Security</t>
  </si>
  <si>
    <t xml:space="preserve">Security / Threat Detection</t>
  </si>
  <si>
    <t xml:space="preserve">Nice</t>
  </si>
  <si>
    <t xml:space="preserve">Seed $20.7M pre → latest $40.7M</t>
  </si>
  <si>
    <t xml:space="preserve">Episto</t>
  </si>
  <si>
    <t xml:space="preserve">Advertising</t>
  </si>
  <si>
    <t xml:space="preserve">AdTech / Marketing</t>
  </si>
  <si>
    <t xml:space="preserve">Hit $1M ARR; hired first VP Sales</t>
  </si>
  <si>
    <t xml:space="preserve">Venture - Series Unknown $12.0M pre → latest $26.8M</t>
  </si>
  <si>
    <t xml:space="preserve">IPaidThat</t>
  </si>
  <si>
    <t xml:space="preserve">Blockchain</t>
  </si>
  <si>
    <t xml:space="preserve">Web3 / Protocol Infrastructure</t>
  </si>
  <si>
    <t xml:space="preserve">Venture - Series Unknown $10.4M pre → latest $30.2M</t>
  </si>
  <si>
    <t xml:space="preserve">Chat3D</t>
  </si>
  <si>
    <t xml:space="preserve">SaaS</t>
  </si>
  <si>
    <t xml:space="preserve">Saint Etienne</t>
  </si>
  <si>
    <t xml:space="preserve">Seed $15.8M pre → latest $42.1M</t>
  </si>
  <si>
    <t xml:space="preserve">Fractal Energy</t>
  </si>
  <si>
    <t xml:space="preserve">Electrical Distribution</t>
  </si>
  <si>
    <t xml:space="preserve">Tours</t>
  </si>
  <si>
    <t xml:space="preserve">Seed $12.0M pre → latest $25.9M</t>
  </si>
  <si>
    <t xml:space="preserve">Commune</t>
  </si>
  <si>
    <t xml:space="preserve">Home Services</t>
  </si>
  <si>
    <t xml:space="preserve">Seed $18.4M pre → latest $42.0M</t>
  </si>
  <si>
    <t xml:space="preserve">Hipli</t>
  </si>
  <si>
    <t xml:space="preserve">Packaging Services</t>
  </si>
  <si>
    <t xml:space="preserve">Le Havre</t>
  </si>
  <si>
    <t xml:space="preserve">September 2024</t>
  </si>
  <si>
    <t xml:space="preserve">Grant $6.8M pre → latest $16.5M</t>
  </si>
  <si>
    <t xml:space="preserve">Identity: real (vcbacked.co) | Metrics: simulated; round size simulated</t>
  </si>
  <si>
    <t xml:space="preserve">Yousign</t>
  </si>
  <si>
    <t xml:space="preserve">E-Signature</t>
  </si>
  <si>
    <t xml:space="preserve">Caen</t>
  </si>
  <si>
    <t xml:space="preserve">Venture - Series Unknown $12.0M pre → latest $31.7M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</si>
  <si>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</si>
  <si>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</si>
  <si>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</si>
  <si>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</si>
  <si>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</si>
  <si>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</si>
  <si>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</si>
  <si>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</si>
  <si>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</si>
  <si>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</si>
  <si>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Boston</t>
  </si>
  <si>
    <t xml:space="preserve">Undisclosed</t>
  </si>
  <si>
    <t xml:space="preserve">Alumni Ventures</t>
  </si>
  <si>
    <t xml:space="preserve">https://www.vcbacked.co/company/mainstay</t>
  </si>
  <si>
    <t xml:space="preserve">Real (vcbacked.co public listing)</t>
  </si>
  <si>
    <t xml:space="preserve">Blue Note Therapeutics</t>
  </si>
  <si>
    <t xml:space="preserve">Blue Note Therapeutics is a prescription digital therapeutics company that merges deep scientific and clinical expertise.</t>
  </si>
  <si>
    <t xml:space="preserve">San Francisco</t>
  </si>
  <si>
    <t xml:space="preserve">$5.2M</t>
  </si>
  <si>
    <t xml:space="preserve">https://www.vcbacked.co/company/blue-note-therapeutics</t>
  </si>
  <si>
    <t xml:space="preserve">Mysten Labs</t>
  </si>
  <si>
    <t xml:space="preserve">Mysten Labs develops tools that make web3 secure, reliable, and ready for mass adoption.</t>
  </si>
  <si>
    <t xml:space="preserve">Palo Alto</t>
  </si>
  <si>
    <t xml:space="preserve">Series B</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</si>
  <si>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</si>
  <si>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</si>
  <si>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</si>
  <si>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</si>
  <si>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</si>
  <si>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</si>
  <si>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</si>
  <si>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</si>
  <si>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</si>
  <si>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</si>
  <si>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</si>
  <si>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</si>
  <si>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</si>
  <si>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</si>
  <si>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</si>
  <si>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</si>
  <si>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</si>
  <si>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</si>
  <si>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</si>
  <si>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</si>
  <si>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$500K</t>
  </si>
  <si>
    <t xml:space="preserve">https://www.vcbacked.co/company/leafpress</t>
  </si>
  <si>
    <t xml:space="preserve">Evident</t>
  </si>
  <si>
    <t xml:space="preserve">Compliance</t>
  </si>
  <si>
    <t xml:space="preserve">Evident builds an AI-powered supplier risk management platform that helps risk managers make confident decisions.</t>
  </si>
  <si>
    <t xml:space="preserve">Atlanta</t>
  </si>
  <si>
    <t xml:space="preserve">Series C</t>
  </si>
  <si>
    <t xml:space="preserve">$14.0M</t>
  </si>
  <si>
    <t xml:space="preserve">https://www.vcbacked.co/company/evident</t>
  </si>
  <si>
    <t xml:space="preserve">OLIO</t>
  </si>
  <si>
    <t xml:space="preserve">Apps</t>
  </si>
  <si>
    <t xml:space="preserve">OLIO is a global food sharing app connecting neighbors, volunteers, and businesses.</t>
  </si>
  <si>
    <t xml:space="preserve">London</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</si>
  <si>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</si>
  <si>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</si>
  <si>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</si>
  <si>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</si>
  <si>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</si>
  <si>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</si>
  <si>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</si>
  <si>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</si>
  <si>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</si>
  <si>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</si>
  <si>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</si>
  <si>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</si>
  <si>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</si>
  <si>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</si>
  <si>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</si>
  <si>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</si>
  <si>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</si>
  <si>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</si>
  <si>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</si>
  <si>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New York</t>
  </si>
  <si>
    <t xml:space="preserve">$12.4M</t>
  </si>
  <si>
    <t xml:space="preserve">https://www.vcbacked.co/company/womaness</t>
  </si>
  <si>
    <t xml:space="preserve">Slingshot Aerospace</t>
  </si>
  <si>
    <t xml:space="preserve">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</si>
  <si>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</si>
  <si>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</si>
  <si>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</si>
  <si>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</si>
  <si>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</si>
  <si>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</si>
  <si>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Philadelphia</t>
  </si>
  <si>
    <t xml:space="preserve">https://www.vcbacked.co/company/fabric-health</t>
  </si>
  <si>
    <t xml:space="preserve">Excision BioTherapeutics</t>
  </si>
  <si>
    <t xml:space="preserve">Excision is developing CRISPR-based therapies to cure viral infectious diseases and improve the lives of chronically ill patients.</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</si>
  <si>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</si>
  <si>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</si>
  <si>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</si>
  <si>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</si>
  <si>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</si>
  <si>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</si>
  <si>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</si>
  <si>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</si>
  <si>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</si>
  <si>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</si>
  <si>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</si>
  <si>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</si>
  <si>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</si>
  <si>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Big Data</t>
  </si>
  <si>
    <t xml:space="preserve">Concerto Biosciences measures, maps, and utilizes microbes to create therapies and products for agriculture and human health industries.</t>
  </si>
  <si>
    <t xml:space="preserve">Non-equity Assistance</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</si>
  <si>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</si>
  <si>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</si>
  <si>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</si>
  <si>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</si>
  <si>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</si>
  <si>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</si>
  <si>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</si>
  <si>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</si>
  <si>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</si>
  <si>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</si>
  <si>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</si>
  <si>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</si>
  <si>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</si>
  <si>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</si>
  <si>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</si>
  <si>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</si>
  <si>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</si>
  <si>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</si>
  <si>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</si>
  <si>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</si>
  <si>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</si>
  <si>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</si>
  <si>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Banking</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</si>
  <si>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</si>
  <si>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</si>
  <si>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</si>
  <si>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</si>
  <si>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</si>
  <si>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</si>
  <si>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</si>
  <si>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</si>
  <si>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</si>
  <si>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</si>
  <si>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</si>
  <si>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</si>
  <si>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</si>
  <si>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</si>
  <si>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</si>
  <si>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</si>
  <si>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</si>
  <si>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</si>
  <si>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</si>
  <si>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</si>
  <si>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Education</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</si>
  <si>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</si>
  <si>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</si>
  <si>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</si>
  <si>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</si>
  <si>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</si>
  <si>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</si>
  <si>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</si>
  <si>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</si>
  <si>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</si>
  <si>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</si>
  <si>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</si>
  <si>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</si>
  <si>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</si>
  <si>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</si>
  <si>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</si>
  <si>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</si>
  <si>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</si>
  <si>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</si>
  <si>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</si>
  <si>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</si>
  <si>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</si>
  <si>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</si>
  <si>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</si>
  <si>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</si>
  <si>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</si>
  <si>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</si>
  <si>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</si>
  <si>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</si>
  <si>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</si>
  <si>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</si>
  <si>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</si>
  <si>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</si>
  <si>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</si>
  <si>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</si>
  <si>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</si>
  <si>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</si>
  <si>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</si>
  <si>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</si>
  <si>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</si>
  <si>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</si>
  <si>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</si>
  <si>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</si>
  <si>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</si>
  <si>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</si>
  <si>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</si>
  <si>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</si>
  <si>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</si>
  <si>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</si>
  <si>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</si>
  <si>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</si>
  <si>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</si>
  <si>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</si>
  <si>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</si>
  <si>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</si>
  <si>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</si>
  <si>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</si>
  <si>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Los Angeles</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</si>
  <si>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</si>
  <si>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</si>
  <si>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</si>
  <si>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</si>
  <si>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</si>
  <si>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</si>
  <si>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</si>
  <si>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</si>
  <si>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</si>
  <si>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</si>
  <si>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</si>
  <si>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</si>
  <si>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</si>
  <si>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</si>
  <si>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</si>
  <si>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</si>
  <si>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</si>
  <si>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</si>
  <si>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</si>
  <si>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</si>
  <si>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</si>
  <si>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</si>
  <si>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</si>
  <si>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</si>
  <si>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</si>
  <si>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</si>
  <si>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</si>
  <si>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</si>
  <si>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</si>
  <si>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</si>
  <si>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</si>
  <si>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</si>
  <si>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</si>
  <si>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</si>
  <si>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</si>
  <si>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</si>
  <si>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</si>
  <si>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</si>
  <si>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</si>
  <si>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</si>
  <si>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</si>
  <si>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</si>
  <si>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</si>
  <si>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</si>
  <si>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</si>
  <si>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</si>
  <si>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</si>
  <si>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</si>
  <si>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</si>
  <si>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</si>
  <si>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</si>
  <si>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</si>
  <si>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</si>
  <si>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</si>
  <si>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</si>
  <si>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</si>
  <si>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</si>
  <si>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</si>
  <si>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</si>
  <si>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</si>
  <si>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</si>
  <si>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</si>
  <si>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</si>
  <si>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</si>
  <si>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$2.6M</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</si>
  <si>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</si>
  <si>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</si>
  <si>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</si>
  <si>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</si>
  <si>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</si>
  <si>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</si>
  <si>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</si>
  <si>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</si>
  <si>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</si>
  <si>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</si>
  <si>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</si>
  <si>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</si>
  <si>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</si>
  <si>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</si>
  <si>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</si>
  <si>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</si>
  <si>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</si>
  <si>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</si>
  <si>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</si>
  <si>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</si>
  <si>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</si>
  <si>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</si>
  <si>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</si>
  <si>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</si>
  <si>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</si>
  <si>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</si>
  <si>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</si>
  <si>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</si>
  <si>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</si>
  <si>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</si>
  <si>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</si>
  <si>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</si>
  <si>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</si>
  <si>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</si>
  <si>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</si>
  <si>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</si>
  <si>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</si>
  <si>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</si>
  <si>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</si>
  <si>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</si>
  <si>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</si>
  <si>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</si>
  <si>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</si>
  <si>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</si>
  <si>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</si>
  <si>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</si>
  <si>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</si>
  <si>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</si>
  <si>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</si>
  <si>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</si>
  <si>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</si>
  <si>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</si>
  <si>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</si>
  <si>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$2.9M</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</si>
  <si>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</si>
  <si>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</si>
  <si>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</si>
  <si>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</si>
  <si>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</si>
  <si>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</si>
  <si>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</si>
  <si>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</si>
  <si>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$1.5M</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</si>
  <si>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</si>
  <si>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</si>
  <si>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</si>
  <si>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</si>
  <si>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</si>
  <si>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</si>
  <si>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</si>
  <si>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</si>
  <si>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</si>
  <si>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</si>
  <si>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</si>
  <si>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</si>
  <si>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</si>
  <si>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</si>
  <si>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</si>
  <si>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</si>
  <si>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</si>
  <si>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</si>
  <si>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</si>
  <si>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</si>
  <si>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</si>
  <si>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</si>
  <si>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</si>
  <si>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</si>
  <si>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</si>
  <si>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</si>
  <si>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</si>
  <si>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</si>
  <si>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</si>
  <si>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</si>
  <si>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</si>
  <si>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</si>
  <si>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</si>
  <si>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</si>
  <si>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</si>
  <si>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</si>
  <si>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</si>
  <si>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</si>
  <si>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</si>
  <si>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</si>
  <si>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</si>
  <si>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</si>
  <si>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</si>
  <si>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</si>
  <si>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</si>
  <si>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</si>
  <si>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</si>
  <si>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</si>
  <si>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</si>
  <si>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</si>
  <si>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</si>
  <si>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</si>
  <si>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Toronto</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</si>
  <si>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</si>
  <si>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</si>
  <si>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</si>
  <si>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</si>
  <si>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</si>
  <si>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</si>
  <si>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</si>
  <si>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</si>
  <si>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</si>
  <si>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</si>
  <si>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</si>
  <si>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</si>
  <si>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Miami</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</si>
  <si>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</si>
  <si>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</si>
  <si>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</si>
  <si>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</si>
  <si>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</si>
  <si>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</si>
  <si>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</si>
  <si>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</si>
  <si>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</si>
  <si>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</si>
  <si>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</si>
  <si>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</si>
  <si>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</si>
  <si>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</si>
  <si>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</si>
  <si>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</si>
  <si>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</si>
  <si>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</si>
  <si>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</si>
  <si>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</si>
  <si>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</si>
  <si>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</si>
  <si>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</si>
  <si>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</si>
  <si>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</si>
  <si>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</si>
  <si>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</si>
  <si>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</si>
  <si>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</si>
  <si>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</si>
  <si>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</si>
  <si>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</si>
  <si>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</si>
  <si>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</si>
  <si>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</si>
  <si>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</si>
  <si>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</si>
  <si>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</si>
  <si>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</si>
  <si>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</si>
  <si>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</si>
  <si>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</si>
  <si>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</si>
  <si>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</si>
  <si>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</si>
  <si>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</si>
  <si>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</si>
  <si>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</si>
  <si>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</si>
  <si>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</si>
  <si>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</si>
  <si>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</si>
  <si>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</si>
  <si>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</si>
  <si>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</si>
  <si>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</si>
  <si>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</si>
  <si>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</si>
  <si>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</si>
  <si>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</si>
  <si>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</si>
  <si>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</si>
  <si>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</si>
  <si>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</si>
  <si>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</si>
  <si>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</si>
  <si>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</si>
  <si>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</si>
  <si>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</si>
  <si>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</si>
  <si>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</si>
  <si>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</si>
  <si>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</si>
  <si>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</si>
  <si>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</si>
  <si>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</si>
  <si>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</si>
  <si>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</si>
  <si>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</si>
  <si>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</si>
  <si>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</si>
  <si>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</si>
  <si>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</si>
  <si>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</si>
  <si>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</si>
  <si>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$3.5M</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</si>
  <si>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</si>
  <si>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</si>
  <si>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</si>
  <si>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</si>
  <si>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</si>
  <si>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</si>
  <si>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</si>
  <si>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</si>
  <si>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</si>
  <si>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</si>
  <si>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</si>
  <si>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</si>
  <si>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</si>
  <si>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</si>
  <si>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</si>
  <si>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</si>
  <si>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</si>
  <si>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</si>
  <si>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</si>
  <si>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</si>
  <si>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</si>
  <si>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</si>
  <si>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</si>
  <si>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</si>
  <si>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</si>
  <si>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</si>
  <si>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</si>
  <si>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</si>
  <si>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</si>
  <si>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</si>
  <si>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</si>
  <si>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</si>
  <si>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</si>
  <si>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</si>
  <si>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</si>
  <si>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</si>
  <si>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</si>
  <si>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</si>
  <si>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</si>
  <si>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</si>
  <si>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</si>
  <si>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</si>
  <si>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</si>
  <si>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</si>
  <si>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</si>
  <si>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</si>
  <si>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</si>
  <si>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</si>
  <si>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</si>
  <si>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</si>
  <si>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</si>
  <si>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</si>
  <si>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</si>
  <si>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</si>
  <si>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</si>
  <si>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</si>
  <si>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</si>
  <si>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</si>
  <si>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</si>
  <si>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</si>
  <si>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</si>
  <si>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</si>
  <si>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</si>
  <si>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</si>
  <si>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</si>
  <si>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</si>
  <si>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</si>
  <si>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</si>
  <si>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</si>
  <si>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</si>
  <si>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</si>
  <si>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</si>
  <si>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</si>
  <si>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</si>
  <si>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</si>
  <si>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</si>
  <si>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</si>
  <si>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</si>
  <si>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</si>
  <si>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</si>
  <si>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</si>
  <si>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</si>
  <si>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</si>
  <si>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</si>
  <si>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</si>
  <si>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</si>
  <si>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</si>
  <si>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</si>
  <si>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</si>
  <si>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</si>
  <si>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</si>
  <si>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</si>
  <si>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</si>
  <si>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</si>
  <si>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</si>
  <si>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</si>
  <si>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</si>
  <si>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</si>
  <si>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</si>
  <si>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</si>
  <si>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</si>
  <si>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</si>
  <si>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</si>
  <si>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</si>
  <si>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</si>
  <si>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</si>
  <si>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</si>
  <si>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</si>
  <si>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</si>
  <si>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</si>
  <si>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</si>
  <si>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</si>
  <si>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</si>
  <si>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</si>
  <si>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</si>
  <si>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</si>
  <si>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</si>
  <si>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</si>
  <si>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</si>
  <si>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</si>
  <si>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</si>
  <si>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</si>
  <si>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</si>
  <si>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</si>
  <si>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</si>
  <si>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</si>
  <si>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</si>
  <si>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</si>
  <si>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</si>
  <si>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</si>
  <si>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</si>
  <si>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</si>
  <si>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</si>
  <si>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</si>
  <si>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</si>
  <si>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</si>
  <si>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</si>
  <si>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</si>
  <si>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</si>
  <si>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</si>
  <si>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</si>
  <si>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</si>
  <si>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</si>
  <si>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</si>
  <si>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</si>
  <si>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</si>
  <si>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</si>
  <si>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</si>
  <si>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</si>
  <si>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</si>
  <si>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</si>
  <si>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</si>
  <si>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</si>
  <si>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</si>
  <si>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</si>
  <si>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</si>
  <si>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</si>
  <si>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</si>
  <si>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</si>
  <si>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</si>
  <si>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</si>
  <si>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</si>
  <si>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</si>
  <si>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</si>
  <si>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</si>
  <si>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</si>
  <si>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</si>
  <si>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</si>
  <si>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</si>
  <si>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</si>
  <si>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</si>
  <si>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</si>
  <si>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</si>
  <si>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</si>
  <si>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</si>
  <si>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</si>
  <si>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</si>
  <si>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</si>
  <si>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</si>
  <si>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</si>
  <si>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</si>
  <si>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</si>
  <si>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</si>
  <si>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</si>
  <si>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</si>
  <si>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$1.4M</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</si>
  <si>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</si>
  <si>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</si>
  <si>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</si>
  <si>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</si>
  <si>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</si>
  <si>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</si>
  <si>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</si>
  <si>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</si>
  <si>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</si>
  <si>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</si>
  <si>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</si>
  <si>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</si>
  <si>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</si>
  <si>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</si>
  <si>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</si>
  <si>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</si>
  <si>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</si>
  <si>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</si>
  <si>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</si>
  <si>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</si>
  <si>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</si>
  <si>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</si>
  <si>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</si>
  <si>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</si>
  <si>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</si>
  <si>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</si>
  <si>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</si>
  <si>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</si>
  <si>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</si>
  <si>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</si>
  <si>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</si>
  <si>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</si>
  <si>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</si>
  <si>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</si>
  <si>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</si>
  <si>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</si>
  <si>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</si>
  <si>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</si>
  <si>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</si>
  <si>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</si>
  <si>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</si>
  <si>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</si>
  <si>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</si>
  <si>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</si>
  <si>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</si>
  <si>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</si>
  <si>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</si>
  <si>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</si>
  <si>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</si>
  <si>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</si>
  <si>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</si>
  <si>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</si>
  <si>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</si>
  <si>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</si>
  <si>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</si>
  <si>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</si>
  <si>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</si>
  <si>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</si>
  <si>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</si>
  <si>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</si>
  <si>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</si>
  <si>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</si>
  <si>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</si>
  <si>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</si>
  <si>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</si>
  <si>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</si>
  <si>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</si>
  <si>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</si>
  <si>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</si>
  <si>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</si>
  <si>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</si>
  <si>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</si>
  <si>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</si>
  <si>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</si>
  <si>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</si>
  <si>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</si>
  <si>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</si>
  <si>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</si>
  <si>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</si>
  <si>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</si>
  <si>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</si>
  <si>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</si>
  <si>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</si>
  <si>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</si>
  <si>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</si>
  <si>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</si>
  <si>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</si>
  <si>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</si>
  <si>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</si>
  <si>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</si>
  <si>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</si>
  <si>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</si>
  <si>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</si>
  <si>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</si>
  <si>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</si>
  <si>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</si>
  <si>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</si>
  <si>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</si>
  <si>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</si>
  <si>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</si>
  <si>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</si>
  <si>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</si>
  <si>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</si>
  <si>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</si>
  <si>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</si>
  <si>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</si>
  <si>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</si>
  <si>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</si>
  <si>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</si>
  <si>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</si>
  <si>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</si>
  <si>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</si>
  <si>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</si>
  <si>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</si>
  <si>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</si>
  <si>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</si>
  <si>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</si>
  <si>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</si>
  <si>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</si>
  <si>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</si>
  <si>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</si>
  <si>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</si>
  <si>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</si>
  <si>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</si>
  <si>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</si>
  <si>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</si>
  <si>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</si>
  <si>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</si>
  <si>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</si>
  <si>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</si>
  <si>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</si>
  <si>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</si>
  <si>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</si>
  <si>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</si>
  <si>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</si>
  <si>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</si>
  <si>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</si>
  <si>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</si>
  <si>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</si>
  <si>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</si>
  <si>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</si>
  <si>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</si>
  <si>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</si>
  <si>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</si>
  <si>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</si>
  <si>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</si>
  <si>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</si>
  <si>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</si>
  <si>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</si>
  <si>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</si>
  <si>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</si>
  <si>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</si>
  <si>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</si>
  <si>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</si>
  <si>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</si>
  <si>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</si>
  <si>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</si>
  <si>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</si>
  <si>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</si>
  <si>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</si>
  <si>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</si>
  <si>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</si>
  <si>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</si>
  <si>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</si>
  <si>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</si>
  <si>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</si>
  <si>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</si>
  <si>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</si>
  <si>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</si>
  <si>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</si>
  <si>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</si>
  <si>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</si>
  <si>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</si>
  <si>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</si>
  <si>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</si>
  <si>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</si>
  <si>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</si>
  <si>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</si>
  <si>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</si>
  <si>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</si>
  <si>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</si>
  <si>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</si>
  <si>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</si>
  <si>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</si>
  <si>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</si>
  <si>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</si>
  <si>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</si>
  <si>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</si>
  <si>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</si>
  <si>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</si>
  <si>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</si>
  <si>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</si>
  <si>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</si>
  <si>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</si>
  <si>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</si>
  <si>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</si>
  <si>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</si>
  <si>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</si>
  <si>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</si>
  <si>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</si>
  <si>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</si>
  <si>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</si>
  <si>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</si>
  <si>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</si>
  <si>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</si>
  <si>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</si>
  <si>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</si>
  <si>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</si>
  <si>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</si>
  <si>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</si>
  <si>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</si>
  <si>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</si>
  <si>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</si>
  <si>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</si>
  <si>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</si>
  <si>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</si>
  <si>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</si>
  <si>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</si>
  <si>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</si>
  <si>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</si>
  <si>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</si>
  <si>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</si>
  <si>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</si>
  <si>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</si>
  <si>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</si>
  <si>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</si>
  <si>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</si>
  <si>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</si>
  <si>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</si>
  <si>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</si>
  <si>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</si>
  <si>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</si>
  <si>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</si>
  <si>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</si>
  <si>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</si>
  <si>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</si>
  <si>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</si>
  <si>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</si>
  <si>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</si>
  <si>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</si>
  <si>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</si>
  <si>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</si>
  <si>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</si>
  <si>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</si>
  <si>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</si>
  <si>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</si>
  <si>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</si>
  <si>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</si>
  <si>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</si>
  <si>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</si>
  <si>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</si>
  <si>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</si>
  <si>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</si>
  <si>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</si>
  <si>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</si>
  <si>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</si>
  <si>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</si>
  <si>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</si>
  <si>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</si>
  <si>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</si>
  <si>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</si>
  <si>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</si>
  <si>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</si>
  <si>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</si>
  <si>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</si>
  <si>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</si>
  <si>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</si>
  <si>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</si>
  <si>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</si>
  <si>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</si>
  <si>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</si>
  <si>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</si>
  <si>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</si>
  <si>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</si>
  <si>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</si>
  <si>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</si>
  <si>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</si>
  <si>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</si>
  <si>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</si>
  <si>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</si>
  <si>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</si>
  <si>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</si>
  <si>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</si>
  <si>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</si>
  <si>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</si>
  <si>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</si>
  <si>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</si>
  <si>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</si>
  <si>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</si>
  <si>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</si>
  <si>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</si>
  <si>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</si>
  <si>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</si>
  <si>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</si>
  <si>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</si>
  <si>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</si>
  <si>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</si>
  <si>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</si>
  <si>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</si>
  <si>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</si>
  <si>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</si>
  <si>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</si>
  <si>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</si>
  <si>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</si>
  <si>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</si>
  <si>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</si>
  <si>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</si>
  <si>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</si>
  <si>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</si>
  <si>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</si>
  <si>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</si>
  <si>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</si>
  <si>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</si>
  <si>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</si>
  <si>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</si>
  <si>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</si>
  <si>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</si>
  <si>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</si>
  <si>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</si>
  <si>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</si>
  <si>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</si>
  <si>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</si>
  <si>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</si>
  <si>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</si>
  <si>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</si>
  <si>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</si>
  <si>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</si>
  <si>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</si>
  <si>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</si>
  <si>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</si>
  <si>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</si>
  <si>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</si>
  <si>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</si>
  <si>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</si>
  <si>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</si>
  <si>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</si>
  <si>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</si>
  <si>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</si>
  <si>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</si>
  <si>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</si>
  <si>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</si>
  <si>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</si>
  <si>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</si>
  <si>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</si>
  <si>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</si>
  <si>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</si>
  <si>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</si>
  <si>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</si>
  <si>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</si>
  <si>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</si>
  <si>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</si>
  <si>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</si>
  <si>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</si>
  <si>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</si>
  <si>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</si>
  <si>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</si>
  <si>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</si>
  <si>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</si>
  <si>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</si>
  <si>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</si>
  <si>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</si>
  <si>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</si>
  <si>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</si>
  <si>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</si>
  <si>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</si>
  <si>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</si>
  <si>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</si>
  <si>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</si>
  <si>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</si>
  <si>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</si>
  <si>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</si>
  <si>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</si>
  <si>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</si>
  <si>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</si>
  <si>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</si>
  <si>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</si>
  <si>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</si>
  <si>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</si>
  <si>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</si>
  <si>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</si>
  <si>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</si>
  <si>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</si>
  <si>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</si>
  <si>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</si>
  <si>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</si>
  <si>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</si>
  <si>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</si>
  <si>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</si>
  <si>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</si>
  <si>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</si>
  <si>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</si>
  <si>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</si>
  <si>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</si>
  <si>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</si>
  <si>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</si>
  <si>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</si>
  <si>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</si>
  <si>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</si>
  <si>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</si>
  <si>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</si>
  <si>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</si>
  <si>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</si>
  <si>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</si>
  <si>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</si>
  <si>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</si>
  <si>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</si>
  <si>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</si>
  <si>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</si>
  <si>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</si>
  <si>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</si>
  <si>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</si>
  <si>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</si>
  <si>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</si>
  <si>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</si>
  <si>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</si>
  <si>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</si>
  <si>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</si>
  <si>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</si>
  <si>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</si>
  <si>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</si>
  <si>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</si>
  <si>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</si>
  <si>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</si>
  <si>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</si>
  <si>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</si>
  <si>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</si>
  <si>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</si>
  <si>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</si>
  <si>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</si>
  <si>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</si>
  <si>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</si>
  <si>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</si>
  <si>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</si>
  <si>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</si>
  <si>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</si>
  <si>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</si>
  <si>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</si>
  <si>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</si>
  <si>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</si>
  <si>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</si>
  <si>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</si>
  <si>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</si>
  <si>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</si>
  <si>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</si>
  <si>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</si>
  <si>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</si>
  <si>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</si>
  <si>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</si>
  <si>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</si>
  <si>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</si>
  <si>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</si>
  <si>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</si>
  <si>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</si>
  <si>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</si>
  <si>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</si>
  <si>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</si>
  <si>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</si>
  <si>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</si>
  <si>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</si>
  <si>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</si>
  <si>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</si>
  <si>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</si>
  <si>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</si>
  <si>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</si>
  <si>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</si>
  <si>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</si>
  <si>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</si>
  <si>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</si>
  <si>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</si>
  <si>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</si>
  <si>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</si>
  <si>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</si>
  <si>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</si>
  <si>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</si>
  <si>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</si>
  <si>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</si>
  <si>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</si>
  <si>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</si>
  <si>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</si>
  <si>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</si>
  <si>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</si>
  <si>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</si>
  <si>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</si>
  <si>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</si>
  <si>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</si>
  <si>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</si>
  <si>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</si>
  <si>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</si>
  <si>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</si>
  <si>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</si>
  <si>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</si>
  <si>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</si>
  <si>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</si>
  <si>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</si>
  <si>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</si>
  <si>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</si>
  <si>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</si>
  <si>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</si>
  <si>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</si>
  <si>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</si>
  <si>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</si>
  <si>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</si>
  <si>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</si>
  <si>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</si>
  <si>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</si>
  <si>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</si>
  <si>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</si>
  <si>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</si>
  <si>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</si>
  <si>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</si>
  <si>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</si>
  <si>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</si>
  <si>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</si>
  <si>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</si>
  <si>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</si>
  <si>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</si>
  <si>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</si>
  <si>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</si>
  <si>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</si>
  <si>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</si>
  <si>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</si>
  <si>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</si>
  <si>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</si>
  <si>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</si>
  <si>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</si>
  <si>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</si>
  <si>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</si>
  <si>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</si>
  <si>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</si>
  <si>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</si>
  <si>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</si>
  <si>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</si>
  <si>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</si>
  <si>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</si>
  <si>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</si>
  <si>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</si>
  <si>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</si>
  <si>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</si>
  <si>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</si>
  <si>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</si>
  <si>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</si>
  <si>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</si>
  <si>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</si>
  <si>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</si>
  <si>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</si>
  <si>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</si>
  <si>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</si>
  <si>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</si>
  <si>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</si>
  <si>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</si>
  <si>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</si>
  <si>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</si>
  <si>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</si>
  <si>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</si>
  <si>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</si>
  <si>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</si>
  <si>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</si>
  <si>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</si>
  <si>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</si>
  <si>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</si>
  <si>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</si>
  <si>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</si>
  <si>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</si>
  <si>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</si>
  <si>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</si>
  <si>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</si>
  <si>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</si>
  <si>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</si>
  <si>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</si>
  <si>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</si>
  <si>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</si>
  <si>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</si>
  <si>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</si>
  <si>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</si>
  <si>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</si>
  <si>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</si>
  <si>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</si>
  <si>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</si>
  <si>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</si>
  <si>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</si>
  <si>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</si>
  <si>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</si>
  <si>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</si>
  <si>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</si>
  <si>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</si>
  <si>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</si>
  <si>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</si>
  <si>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</si>
  <si>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</si>
  <si>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</si>
  <si>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</si>
  <si>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</si>
  <si>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</si>
  <si>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</si>
  <si>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</si>
  <si>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</si>
  <si>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</si>
  <si>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</si>
  <si>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</si>
  <si>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</si>
  <si>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</si>
  <si>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</si>
  <si>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</si>
  <si>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</si>
  <si>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</si>
  <si>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</si>
  <si>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</si>
  <si>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</si>
  <si>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</si>
  <si>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</si>
  <si>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</si>
  <si>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</si>
  <si>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</si>
  <si>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</si>
  <si>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</si>
  <si>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</si>
  <si>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</si>
  <si>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</si>
  <si>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</si>
  <si>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</si>
  <si>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</si>
  <si>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</si>
  <si>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</si>
  <si>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</si>
  <si>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</si>
  <si>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</si>
  <si>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</si>
  <si>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</si>
  <si>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</si>
  <si>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</si>
  <si>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</si>
  <si>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</si>
  <si>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</si>
  <si>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</si>
  <si>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</si>
  <si>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</si>
  <si>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</si>
  <si>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</si>
  <si>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</si>
  <si>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</si>
  <si>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</si>
  <si>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</si>
  <si>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</si>
  <si>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</si>
  <si>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</si>
  <si>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</si>
  <si>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</si>
  <si>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</si>
  <si>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</si>
  <si>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</si>
  <si>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</si>
  <si>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</si>
  <si>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</si>
  <si>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</si>
  <si>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</si>
  <si>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</si>
  <si>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</si>
  <si>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</si>
  <si>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</si>
  <si>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</si>
  <si>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</si>
  <si>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</si>
  <si>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</si>
  <si>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</si>
  <si>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</si>
  <si>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</si>
  <si>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</si>
  <si>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</si>
  <si>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</si>
  <si>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</si>
  <si>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</si>
  <si>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</si>
  <si>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</si>
  <si>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</si>
  <si>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</si>
  <si>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</si>
  <si>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</si>
  <si>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</si>
  <si>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</si>
  <si>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</si>
  <si>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</si>
  <si>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</si>
  <si>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</si>
  <si>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</si>
  <si>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</si>
  <si>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</si>
  <si>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</si>
  <si>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</si>
  <si>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</si>
  <si>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</si>
  <si>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</si>
  <si>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</si>
  <si>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</si>
  <si>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</si>
  <si>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</si>
  <si>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</si>
  <si>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</si>
  <si>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</si>
  <si>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</si>
  <si>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</si>
  <si>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</si>
  <si>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</si>
  <si>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</si>
  <si>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</si>
  <si>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</si>
  <si>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</si>
  <si>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</si>
  <si>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</si>
  <si>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</si>
  <si>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</si>
  <si>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</si>
  <si>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</si>
  <si>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</si>
  <si>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</si>
  <si>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</si>
  <si>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</si>
  <si>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</si>
  <si>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</si>
  <si>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</si>
  <si>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</si>
  <si>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</si>
  <si>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</si>
  <si>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</si>
  <si>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</si>
  <si>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</si>
  <si>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</si>
  <si>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</si>
  <si>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</si>
  <si>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</si>
  <si>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</si>
  <si>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</si>
  <si>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</si>
  <si>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</si>
  <si>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</si>
  <si>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</si>
  <si>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</si>
  <si>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</si>
  <si>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</si>
  <si>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</si>
  <si>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</si>
  <si>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</si>
  <si>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</si>
  <si>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</si>
  <si>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</si>
  <si>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</si>
  <si>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</si>
  <si>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</si>
  <si>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</si>
  <si>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</si>
  <si>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</si>
  <si>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</si>
  <si>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</si>
  <si>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</si>
  <si>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</si>
  <si>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</si>
  <si>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</si>
  <si>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</si>
  <si>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</si>
  <si>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</si>
  <si>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</si>
  <si>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</si>
  <si>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</si>
  <si>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</si>
  <si>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</si>
  <si>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</si>
  <si>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</si>
  <si>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</si>
  <si>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</si>
  <si>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</si>
  <si>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</si>
  <si>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</si>
  <si>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</si>
  <si>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</si>
  <si>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</si>
  <si>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</si>
  <si>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</si>
  <si>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</si>
  <si>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</si>
  <si>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</si>
  <si>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</si>
  <si>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</si>
  <si>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</si>
  <si>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</si>
  <si>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</si>
  <si>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</si>
  <si>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</si>
  <si>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</si>
  <si>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</si>
  <si>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</si>
  <si>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</si>
  <si>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</si>
  <si>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</si>
  <si>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</si>
  <si>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</si>
  <si>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</si>
  <si>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</si>
  <si>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</si>
  <si>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</si>
  <si>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</si>
  <si>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</si>
  <si>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</si>
  <si>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</si>
  <si>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</si>
  <si>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</si>
  <si>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</si>
  <si>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</si>
  <si>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</si>
  <si>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</si>
  <si>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</si>
  <si>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</si>
  <si>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</si>
  <si>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</si>
  <si>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</si>
  <si>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</si>
  <si>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</si>
  <si>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</si>
  <si>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</si>
  <si>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</si>
  <si>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</si>
  <si>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Bpifrance portfolio — data provenance (read before demoing)</t>
  </si>
  <si>
    <t xml:space="preserve">PORTFOLIO: 24 real Bpifrance portfolio companies x 4 quarterly snapshots = 96 rows.</t>
  </si>
  <si>
    <t xml:space="preserve">Snapshots: 2025-Q4, 2026-Q1, 2026-Q2, 2026-Q3 (long format — one row per company per quarter).</t>
  </si>
  <si>
    <t xml:space="preserve">CANDIDATE UNIVERSE: 418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</si>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</sst>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10100000</v>
      </c>
      <c r="K2" s="5" t="n">
        <f aca="false">IFERROR(J2/M2,"")</f>
        <v>0.114849728795442</v>
      </c>
      <c r="L2" s="4" t="n">
        <v>77841000</v>
      </c>
      <c r="M2" s="6" t="n">
        <f aca="false">L2+J2</f>
        <v>87941000</v>
      </c>
      <c r="N2" s="4" t="n">
        <v>10100000</v>
      </c>
      <c r="O2" s="4" t="n">
        <v>132013963</v>
      </c>
      <c r="P2" s="4" t="n">
        <v>1860493</v>
      </c>
      <c r="Q2" s="7"/>
      <c r="R2" s="4" t="n">
        <v>2059463</v>
      </c>
      <c r="S2" s="7"/>
      <c r="T2" s="4" t="n">
        <v>1338331</v>
      </c>
      <c r="U2" s="5" t="n">
        <f aca="false">IFERROR(T2/P2,"")</f>
        <v>0.719342131359806</v>
      </c>
      <c r="V2" s="6" t="n">
        <f aca="false">T2-AV2</f>
        <v>-2637001</v>
      </c>
      <c r="W2" s="6" t="n">
        <f aca="false">V2-AA2*0.1</f>
        <v>-2701001</v>
      </c>
      <c r="X2" s="4" t="n">
        <v>8564283</v>
      </c>
      <c r="Y2" s="4" t="n">
        <v>248430</v>
      </c>
      <c r="Z2" s="8" t="n">
        <f aca="false">IFERROR(X2/Y2,"")</f>
        <v>34.4736263736264</v>
      </c>
      <c r="AA2" s="4" t="n">
        <v>640000</v>
      </c>
      <c r="AB2" s="6" t="n">
        <f aca="false">W2-0.02*P2</f>
        <v>-2738210.86</v>
      </c>
      <c r="AC2" s="9" t="n">
        <v>160</v>
      </c>
      <c r="AD2" s="7"/>
      <c r="AE2" s="7" t="n">
        <v>0.117</v>
      </c>
      <c r="AF2" s="7" t="n">
        <v>0.098</v>
      </c>
      <c r="AG2" s="5" t="n">
        <f aca="false">1-AF2</f>
        <v>0.902</v>
      </c>
      <c r="AH2" s="7" t="n">
        <v>1.075</v>
      </c>
      <c r="AI2" s="4" t="n">
        <v>67734</v>
      </c>
      <c r="AJ2" s="6" t="n">
        <f aca="false">IFERROR(AM2*U2*MIN(1/AE2,5),"")</f>
        <v>151061.847585559</v>
      </c>
      <c r="AK2" s="10" t="n">
        <f aca="false">IFERROR(AJ2/AI2,"")</f>
        <v>2.23022186177635</v>
      </c>
      <c r="AL2" s="8" t="n">
        <f aca="false">IFERROR(AI2/(AM2*U2/12),"")</f>
        <v>26.9031530128624</v>
      </c>
      <c r="AM2" s="4" t="n">
        <v>42000</v>
      </c>
      <c r="AN2" s="4" t="n">
        <v>1905979</v>
      </c>
      <c r="AO2" s="4" t="n">
        <v>7619637</v>
      </c>
      <c r="AP2" s="7" t="n">
        <v>0.263</v>
      </c>
      <c r="AQ2" s="9" t="n">
        <v>94</v>
      </c>
      <c r="AR2" s="9" t="n">
        <v>68</v>
      </c>
      <c r="AS2" s="7"/>
      <c r="AT2" s="3" t="s">
        <v>80</v>
      </c>
      <c r="AU2" s="6" t="n">
        <f aca="false">IFERROR(P2/AR2,"")</f>
        <v>27360.1911764706</v>
      </c>
      <c r="AV2" s="4" t="n">
        <v>3975332</v>
      </c>
      <c r="AW2" s="4" t="n">
        <v>1708655</v>
      </c>
      <c r="AX2" s="4" t="n">
        <v>988667</v>
      </c>
      <c r="AY2" s="9" t="n">
        <v>71511</v>
      </c>
      <c r="AZ2" s="7"/>
      <c r="BA2" s="7" t="n">
        <v>0.878</v>
      </c>
      <c r="BB2" s="3" t="s">
        <v>81</v>
      </c>
      <c r="BC2" s="3" t="s">
        <v>82</v>
      </c>
      <c r="BD2" s="3" t="s">
        <v>83</v>
      </c>
      <c r="BE2" s="4" t="n">
        <v>1703674</v>
      </c>
      <c r="BF2" s="5" t="n">
        <f aca="false">IFERROR(P2/BE2-1,"")</f>
        <v>0.0920475396114515</v>
      </c>
      <c r="BG2" s="7" t="n">
        <v>0.033</v>
      </c>
      <c r="BH2" s="7" t="n">
        <v>0.039</v>
      </c>
      <c r="BI2" s="6" t="n">
        <f aca="false">P2</f>
        <v>1860493</v>
      </c>
      <c r="BJ2" s="4" t="n">
        <v>-1851732</v>
      </c>
      <c r="BK2" s="3" t="s">
        <v>84</v>
      </c>
      <c r="BL2" s="3" t="s">
        <v>85</v>
      </c>
      <c r="BM2" s="6" t="n">
        <f aca="false">O2</f>
        <v>132013963</v>
      </c>
      <c r="BN2" s="3" t="s">
        <v>86</v>
      </c>
      <c r="BO2" s="5" t="n">
        <f aca="false">IFERROR(1-L2/M2,"")</f>
        <v>0.114849728795442</v>
      </c>
      <c r="BP2" s="3" t="s">
        <v>87</v>
      </c>
      <c r="BQ2" s="4" t="n">
        <v>3144337</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10100000</v>
      </c>
      <c r="K3" s="13" t="n">
        <f aca="false">IFERROR(J3/M3,"")</f>
        <v>0.114849728795442</v>
      </c>
      <c r="L3" s="12" t="n">
        <v>77841000</v>
      </c>
      <c r="M3" s="14" t="n">
        <f aca="false">L3+J3</f>
        <v>87941000</v>
      </c>
      <c r="N3" s="12" t="n">
        <v>10100000</v>
      </c>
      <c r="O3" s="12" t="n">
        <v>132013963</v>
      </c>
      <c r="P3" s="12" t="n">
        <v>2261892</v>
      </c>
      <c r="Q3" s="13" t="n">
        <f aca="false">IFERROR(P3/P2-1,"")</f>
        <v>0.215748728965925</v>
      </c>
      <c r="R3" s="12" t="n">
        <v>2539053</v>
      </c>
      <c r="S3" s="13" t="n">
        <f aca="false">IFERROR(R3/R2-1,"")</f>
        <v>0.232871384433709</v>
      </c>
      <c r="T3" s="12" t="n">
        <v>1633661</v>
      </c>
      <c r="U3" s="13" t="n">
        <f aca="false">IFERROR(T3/P3,"")</f>
        <v>0.72225420135002</v>
      </c>
      <c r="V3" s="14" t="n">
        <f aca="false">T3-AV3</f>
        <v>-3221763</v>
      </c>
      <c r="W3" s="14" t="n">
        <f aca="false">V3-AA3*0.1</f>
        <v>-3285763</v>
      </c>
      <c r="X3" s="12" t="n">
        <v>7937748</v>
      </c>
      <c r="Y3" s="12" t="n">
        <v>256620</v>
      </c>
      <c r="Z3" s="15" t="n">
        <f aca="false">IFERROR(X3/Y3,"")</f>
        <v>30.931914893617</v>
      </c>
      <c r="AA3" s="12" t="n">
        <v>640000</v>
      </c>
      <c r="AB3" s="14" t="n">
        <f aca="false">W3-0.02*P3</f>
        <v>-3331000.84</v>
      </c>
      <c r="AC3" s="16" t="n">
        <v>173</v>
      </c>
      <c r="AD3" s="13" t="n">
        <f aca="false">IFERROR(AC3/AC2-1,"")</f>
        <v>0.08125</v>
      </c>
      <c r="AE3" s="17" t="n">
        <v>0.113</v>
      </c>
      <c r="AF3" s="17" t="n">
        <v>0.095</v>
      </c>
      <c r="AG3" s="13" t="n">
        <f aca="false">1-AF3</f>
        <v>0.905</v>
      </c>
      <c r="AH3" s="17" t="n">
        <v>1.07</v>
      </c>
      <c r="AI3" s="12" t="n">
        <v>66456</v>
      </c>
      <c r="AJ3" s="14" t="n">
        <f aca="false">IFERROR(AM3*U3*MIN(1/AE3,5),"")</f>
        <v>154706.849929174</v>
      </c>
      <c r="AK3" s="18" t="n">
        <f aca="false">IFERROR(AJ3/AI3,"")</f>
        <v>2.32795909969264</v>
      </c>
      <c r="AL3" s="15" t="n">
        <f aca="false">IFERROR(AI3/(AM3*U3/12),"")</f>
        <v>25.7736486899283</v>
      </c>
      <c r="AM3" s="12" t="n">
        <v>42840</v>
      </c>
      <c r="AN3" s="12" t="n">
        <v>2534699</v>
      </c>
      <c r="AO3" s="12" t="n">
        <v>7728022</v>
      </c>
      <c r="AP3" s="17" t="n">
        <v>0.263</v>
      </c>
      <c r="AQ3" s="16" t="n">
        <v>94</v>
      </c>
      <c r="AR3" s="16" t="n">
        <v>71</v>
      </c>
      <c r="AS3" s="13" t="n">
        <f aca="false">IFERROR(AR3/AR2-1,"")</f>
        <v>0.0441176470588236</v>
      </c>
      <c r="AT3" s="11" t="s">
        <v>80</v>
      </c>
      <c r="AU3" s="14" t="n">
        <f aca="false">IFERROR(P3/AR3,"")</f>
        <v>31857.6338028169</v>
      </c>
      <c r="AV3" s="12" t="n">
        <v>4855424</v>
      </c>
      <c r="AW3" s="12" t="n">
        <v>1558661</v>
      </c>
      <c r="AX3" s="12" t="n">
        <v>926852</v>
      </c>
      <c r="AY3" s="16" t="n">
        <v>94949</v>
      </c>
      <c r="AZ3" s="13" t="n">
        <f aca="false">IFERROR(AY3/AY2-1,"")</f>
        <v>0.327753772146942</v>
      </c>
      <c r="BA3" s="17" t="n">
        <v>0.885</v>
      </c>
      <c r="BB3" s="11" t="s">
        <v>81</v>
      </c>
      <c r="BC3" s="11" t="s">
        <v>82</v>
      </c>
      <c r="BD3" s="11" t="s">
        <v>83</v>
      </c>
      <c r="BE3" s="12" t="n">
        <v>2225063</v>
      </c>
      <c r="BF3" s="13" t="n">
        <f aca="false">IFERROR(P3/BE3-1,"")</f>
        <v>0.0165518908902804</v>
      </c>
      <c r="BG3" s="17" t="n">
        <v>-0.055</v>
      </c>
      <c r="BH3" s="17" t="n">
        <v>0.025</v>
      </c>
      <c r="BI3" s="14" t="n">
        <f aca="false">P3*(1+IFERROR(Q3,0))^4</f>
        <v>4941367.57784559</v>
      </c>
      <c r="BJ3" s="12" t="n">
        <v>-2151511</v>
      </c>
      <c r="BK3" s="11" t="s">
        <v>84</v>
      </c>
      <c r="BL3" s="11" t="s">
        <v>85</v>
      </c>
      <c r="BM3" s="14" t="n">
        <f aca="false">O3</f>
        <v>132013963</v>
      </c>
      <c r="BN3" s="11" t="s">
        <v>86</v>
      </c>
      <c r="BO3" s="13" t="n">
        <f aca="false">IFERROR(1-L3/M3,"")</f>
        <v>0.114849728795442</v>
      </c>
      <c r="BP3" s="11" t="s">
        <v>87</v>
      </c>
      <c r="BQ3" s="12" t="n">
        <v>4798609</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10100000</v>
      </c>
      <c r="K4" s="13" t="n">
        <f aca="false">IFERROR(J4/M4,"")</f>
        <v>0.114849728795442</v>
      </c>
      <c r="L4" s="12" t="n">
        <v>77841000</v>
      </c>
      <c r="M4" s="14" t="n">
        <f aca="false">L4+J4</f>
        <v>87941000</v>
      </c>
      <c r="N4" s="12" t="n">
        <v>10100000</v>
      </c>
      <c r="O4" s="12" t="n">
        <v>132013963</v>
      </c>
      <c r="P4" s="12" t="n">
        <v>2961914</v>
      </c>
      <c r="Q4" s="13" t="n">
        <f aca="false">IFERROR(P4/P3-1,"")</f>
        <v>0.309485156674147</v>
      </c>
      <c r="R4" s="12" t="n">
        <v>2879539</v>
      </c>
      <c r="S4" s="13" t="n">
        <f aca="false">IFERROR(R4/R3-1,"")</f>
        <v>0.134099603277285</v>
      </c>
      <c r="T4" s="12" t="n">
        <v>2147881</v>
      </c>
      <c r="U4" s="13" t="n">
        <f aca="false">IFERROR(T4/P4,"")</f>
        <v>0.72516656459303</v>
      </c>
      <c r="V4" s="14" t="n">
        <f aca="false">T4-AV4</f>
        <v>-2537474</v>
      </c>
      <c r="W4" s="14" t="n">
        <f aca="false">V4-AA4*0.1</f>
        <v>-2601474</v>
      </c>
      <c r="X4" s="12" t="n">
        <v>7266987</v>
      </c>
      <c r="Y4" s="12" t="n">
        <v>264810</v>
      </c>
      <c r="Z4" s="15" t="n">
        <f aca="false">IFERROR(X4/Y4,"")</f>
        <v>27.4422680412371</v>
      </c>
      <c r="AA4" s="12" t="n">
        <v>640000</v>
      </c>
      <c r="AB4" s="14" t="n">
        <f aca="false">W4-0.02*P4</f>
        <v>-2660712.28</v>
      </c>
      <c r="AC4" s="16" t="n">
        <v>203</v>
      </c>
      <c r="AD4" s="13" t="n">
        <f aca="false">IFERROR(AC4/AC3-1,"")</f>
        <v>0.173410404624277</v>
      </c>
      <c r="AE4" s="17" t="n">
        <v>0.11</v>
      </c>
      <c r="AF4" s="17" t="n">
        <v>0.11</v>
      </c>
      <c r="AG4" s="13" t="n">
        <f aca="false">1-AF4</f>
        <v>0.89</v>
      </c>
      <c r="AH4" s="17" t="n">
        <v>1.065</v>
      </c>
      <c r="AI4" s="12" t="n">
        <v>65178</v>
      </c>
      <c r="AJ4" s="14" t="n">
        <f aca="false">IFERROR(AM4*U4*MIN(1/AE4,5),"")</f>
        <v>158376.377707118</v>
      </c>
      <c r="AK4" s="18" t="n">
        <f aca="false">IFERROR(AJ4/AI4,"")</f>
        <v>2.4299054544036</v>
      </c>
      <c r="AL4" s="15" t="n">
        <f aca="false">IFERROR(AI4/(AM4*U4/12),"")</f>
        <v>24.6923187448569</v>
      </c>
      <c r="AM4" s="12" t="n">
        <v>43680</v>
      </c>
      <c r="AN4" s="12" t="n">
        <v>3881154</v>
      </c>
      <c r="AO4" s="12" t="n">
        <v>10476664</v>
      </c>
      <c r="AP4" s="17" t="n">
        <v>0.263</v>
      </c>
      <c r="AQ4" s="16" t="n">
        <v>94</v>
      </c>
      <c r="AR4" s="16" t="n">
        <v>74</v>
      </c>
      <c r="AS4" s="13" t="n">
        <f aca="false">IFERROR(AR4/AR3-1,"")</f>
        <v>0.0422535211267605</v>
      </c>
      <c r="AT4" s="11" t="s">
        <v>80</v>
      </c>
      <c r="AU4" s="14" t="n">
        <f aca="false">IFERROR(P4/AR4,"")</f>
        <v>40025.8648648649</v>
      </c>
      <c r="AV4" s="12" t="n">
        <v>4685355</v>
      </c>
      <c r="AW4" s="12" t="n">
        <v>1715011</v>
      </c>
      <c r="AX4" s="12" t="n">
        <v>1045139</v>
      </c>
      <c r="AY4" s="16" t="n">
        <v>103547</v>
      </c>
      <c r="AZ4" s="13" t="n">
        <f aca="false">IFERROR(AY4/AY3-1,"")</f>
        <v>0.0905538762914828</v>
      </c>
      <c r="BA4" s="17" t="n">
        <v>0.9</v>
      </c>
      <c r="BB4" s="11" t="s">
        <v>81</v>
      </c>
      <c r="BC4" s="11" t="s">
        <v>82</v>
      </c>
      <c r="BD4" s="11" t="s">
        <v>83</v>
      </c>
      <c r="BE4" s="12" t="n">
        <v>3024183</v>
      </c>
      <c r="BF4" s="13" t="n">
        <f aca="false">IFERROR(P4/BE4-1,"")</f>
        <v>-0.0205903544858231</v>
      </c>
      <c r="BG4" s="17" t="n">
        <v>0.057</v>
      </c>
      <c r="BH4" s="17" t="n">
        <v>0.077</v>
      </c>
      <c r="BI4" s="14" t="n">
        <f aca="false">P4*(1+IFERROR(Q4,0))^4</f>
        <v>8709129.8211968</v>
      </c>
      <c r="BJ4" s="12" t="n">
        <v>-3149659</v>
      </c>
      <c r="BK4" s="11" t="s">
        <v>84</v>
      </c>
      <c r="BL4" s="11" t="s">
        <v>85</v>
      </c>
      <c r="BM4" s="14" t="n">
        <f aca="false">O4</f>
        <v>132013963</v>
      </c>
      <c r="BN4" s="11" t="s">
        <v>86</v>
      </c>
      <c r="BO4" s="13" t="n">
        <f aca="false">IFERROR(1-L4/M4,"")</f>
        <v>0.114849728795442</v>
      </c>
      <c r="BP4" s="11" t="s">
        <v>87</v>
      </c>
      <c r="BQ4" s="12" t="n">
        <v>5010300</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10100000</v>
      </c>
      <c r="K5" s="13" t="n">
        <f aca="false">IFERROR(J5/M5,"")</f>
        <v>0.114849728795442</v>
      </c>
      <c r="L5" s="12" t="n">
        <v>77841000</v>
      </c>
      <c r="M5" s="14" t="n">
        <f aca="false">L5+J5</f>
        <v>87941000</v>
      </c>
      <c r="N5" s="12" t="n">
        <v>10100000</v>
      </c>
      <c r="O5" s="12" t="n">
        <v>132013963</v>
      </c>
      <c r="P5" s="12" t="n">
        <v>3430222</v>
      </c>
      <c r="Q5" s="13" t="n">
        <f aca="false">IFERROR(P5/P4-1,"")</f>
        <v>0.158109924866151</v>
      </c>
      <c r="R5" s="12" t="n">
        <v>3674815</v>
      </c>
      <c r="S5" s="13" t="n">
        <f aca="false">IFERROR(R5/R4-1,"")</f>
        <v>0.276181708252606</v>
      </c>
      <c r="T5" s="12" t="n">
        <v>2497472</v>
      </c>
      <c r="U5" s="13" t="n">
        <f aca="false">IFERROR(T5/P5,"")</f>
        <v>0.728078824052787</v>
      </c>
      <c r="V5" s="14" t="n">
        <f aca="false">T5-AV5</f>
        <v>-2520840</v>
      </c>
      <c r="W5" s="14" t="n">
        <f aca="false">V5-AA5*0.1</f>
        <v>-2584840</v>
      </c>
      <c r="X5" s="12" t="n">
        <v>6552000</v>
      </c>
      <c r="Y5" s="12" t="n">
        <v>273000</v>
      </c>
      <c r="Z5" s="15" t="n">
        <f aca="false">IFERROR(X5/Y5,"")</f>
        <v>24</v>
      </c>
      <c r="AA5" s="12" t="n">
        <v>640000</v>
      </c>
      <c r="AB5" s="14" t="n">
        <f aca="false">W5-0.02*P5</f>
        <v>-2653444.44</v>
      </c>
      <c r="AC5" s="16" t="n">
        <v>235</v>
      </c>
      <c r="AD5" s="13" t="n">
        <f aca="false">IFERROR(AC5/AC4-1,"")</f>
        <v>0.157635467980296</v>
      </c>
      <c r="AE5" s="17" t="n">
        <v>0.107</v>
      </c>
      <c r="AF5" s="17" t="n">
        <v>0.116</v>
      </c>
      <c r="AG5" s="13" t="n">
        <f aca="false">1-AF5</f>
        <v>0.884</v>
      </c>
      <c r="AH5" s="17" t="n">
        <v>1.06</v>
      </c>
      <c r="AI5" s="12" t="n">
        <v>63900</v>
      </c>
      <c r="AJ5" s="14" t="n">
        <f aca="false">IFERROR(AM5*U5*MIN(1/AE5,5),"")</f>
        <v>162070.34623415</v>
      </c>
      <c r="AK5" s="18" t="n">
        <f aca="false">IFERROR(AJ5/AI5,"")</f>
        <v>2.53631214763929</v>
      </c>
      <c r="AL5" s="15" t="n">
        <f aca="false">IFERROR(AI5/(AM5*U5/12),"")</f>
        <v>23.6563942083572</v>
      </c>
      <c r="AM5" s="12" t="n">
        <v>44520</v>
      </c>
      <c r="AN5" s="12" t="n">
        <v>4412483</v>
      </c>
      <c r="AO5" s="12" t="n">
        <v>12542447</v>
      </c>
      <c r="AP5" s="17" t="n">
        <v>0.263</v>
      </c>
      <c r="AQ5" s="16" t="n">
        <v>94</v>
      </c>
      <c r="AR5" s="16" t="n">
        <v>77</v>
      </c>
      <c r="AS5" s="13" t="n">
        <f aca="false">IFERROR(AR5/AR4-1,"")</f>
        <v>0.0405405405405406</v>
      </c>
      <c r="AT5" s="11" t="s">
        <v>80</v>
      </c>
      <c r="AU5" s="14" t="n">
        <f aca="false">IFERROR(P5/AR5,"")</f>
        <v>44548.3376623377</v>
      </c>
      <c r="AV5" s="12" t="n">
        <v>5018312</v>
      </c>
      <c r="AW5" s="12" t="n">
        <v>1933064</v>
      </c>
      <c r="AX5" s="12" t="n">
        <v>1188913</v>
      </c>
      <c r="AY5" s="16" t="n">
        <v>134037</v>
      </c>
      <c r="AZ5" s="13" t="n">
        <f aca="false">IFERROR(AY5/AY4-1,"")</f>
        <v>0.294455657817223</v>
      </c>
      <c r="BA5" s="17" t="n">
        <v>0.913</v>
      </c>
      <c r="BB5" s="11" t="s">
        <v>81</v>
      </c>
      <c r="BC5" s="11" t="s">
        <v>82</v>
      </c>
      <c r="BD5" s="11" t="s">
        <v>83</v>
      </c>
      <c r="BE5" s="12" t="n">
        <v>3568287</v>
      </c>
      <c r="BF5" s="13" t="n">
        <f aca="false">IFERROR(P5/BE5-1,"")</f>
        <v>-0.0386922352378046</v>
      </c>
      <c r="BG5" s="17" t="n">
        <v>-0.003</v>
      </c>
      <c r="BH5" s="17" t="n">
        <v>0.044</v>
      </c>
      <c r="BI5" s="14" t="n">
        <f aca="false">P5*(1+IFERROR(Q5,0))^4</f>
        <v>6170514.28296319</v>
      </c>
      <c r="BJ5" s="12" t="n">
        <v>-2655529</v>
      </c>
      <c r="BK5" s="11" t="s">
        <v>84</v>
      </c>
      <c r="BL5" s="11" t="s">
        <v>85</v>
      </c>
      <c r="BM5" s="14" t="n">
        <f aca="false">O5</f>
        <v>132013963</v>
      </c>
      <c r="BN5" s="11" t="s">
        <v>86</v>
      </c>
      <c r="BO5" s="13" t="n">
        <f aca="false">IFERROR(1-L5/M5,"")</f>
        <v>0.114849728795442</v>
      </c>
      <c r="BP5" s="11" t="s">
        <v>87</v>
      </c>
      <c r="BQ5" s="12" t="n">
        <v>4752687</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75</v>
      </c>
      <c r="E6" s="3" t="s">
        <v>96</v>
      </c>
      <c r="F6" s="3" t="s">
        <v>97</v>
      </c>
      <c r="G6" s="3" t="s">
        <v>98</v>
      </c>
      <c r="H6" s="3" t="s">
        <v>99</v>
      </c>
      <c r="I6" s="3" t="s">
        <v>98</v>
      </c>
      <c r="J6" s="4" t="n">
        <v>750000</v>
      </c>
      <c r="K6" s="5" t="n">
        <f aca="false">IFERROR(J6/M6,"")</f>
        <v>0.0892432175154688</v>
      </c>
      <c r="L6" s="4" t="n">
        <v>7654000</v>
      </c>
      <c r="M6" s="6" t="n">
        <f aca="false">L6+J6</f>
        <v>8404000</v>
      </c>
      <c r="N6" s="4" t="n">
        <v>1035000</v>
      </c>
      <c r="O6" s="4" t="n">
        <v>18088709</v>
      </c>
      <c r="P6" s="4" t="n">
        <v>17325</v>
      </c>
      <c r="Q6" s="7"/>
      <c r="R6" s="4" t="n">
        <v>18240</v>
      </c>
      <c r="S6" s="7"/>
      <c r="T6" s="4" t="n">
        <v>12190</v>
      </c>
      <c r="U6" s="5" t="n">
        <f aca="false">IFERROR(T6/P6,"")</f>
        <v>0.703607503607504</v>
      </c>
      <c r="V6" s="6" t="n">
        <f aca="false">T6-AV6</f>
        <v>-541230</v>
      </c>
      <c r="W6" s="6" t="n">
        <f aca="false">V6-AA6*0.1</f>
        <v>-541230</v>
      </c>
      <c r="X6" s="4" t="n">
        <v>312550</v>
      </c>
      <c r="Y6" s="4" t="n">
        <v>53690</v>
      </c>
      <c r="Z6" s="8" t="n">
        <f aca="false">IFERROR(X6/Y6,"")</f>
        <v>5.82138200782269</v>
      </c>
      <c r="AA6" s="4" t="n">
        <v>0</v>
      </c>
      <c r="AB6" s="6" t="n">
        <f aca="false">W6-0.02*P6</f>
        <v>-541576.5</v>
      </c>
      <c r="AC6" s="9" t="n">
        <v>4</v>
      </c>
      <c r="AD6" s="7"/>
      <c r="AE6" s="7" t="n">
        <v>0.061</v>
      </c>
      <c r="AF6" s="7" t="n">
        <v>0.049</v>
      </c>
      <c r="AG6" s="5" t="n">
        <f aca="false">1-AF6</f>
        <v>0.951</v>
      </c>
      <c r="AH6" s="7" t="n">
        <v>1.153</v>
      </c>
      <c r="AI6" s="4" t="n">
        <v>9752</v>
      </c>
      <c r="AJ6" s="6" t="n">
        <f aca="false">IFERROR(AM6*U6*MIN(1/AE6,5),"")</f>
        <v>35180.3751803752</v>
      </c>
      <c r="AK6" s="10" t="n">
        <f aca="false">IFERROR(AJ6/AI6,"")</f>
        <v>3.60750360750361</v>
      </c>
      <c r="AL6" s="8" t="n">
        <f aca="false">IFERROR(AI6/(AM6*U6/12),"")</f>
        <v>16.632</v>
      </c>
      <c r="AM6" s="4" t="n">
        <v>10000</v>
      </c>
      <c r="AN6" s="4" t="n">
        <v>24134</v>
      </c>
      <c r="AO6" s="4" t="n">
        <v>27966</v>
      </c>
      <c r="AP6" s="7" t="n">
        <v>0.403</v>
      </c>
      <c r="AQ6" s="9" t="n">
        <v>35</v>
      </c>
      <c r="AR6" s="9" t="n">
        <v>2</v>
      </c>
      <c r="AS6" s="7"/>
      <c r="AT6" s="3" t="s">
        <v>100</v>
      </c>
      <c r="AU6" s="6" t="n">
        <f aca="false">IFERROR(P6/AR6,"")</f>
        <v>8662.5</v>
      </c>
      <c r="AV6" s="4" t="n">
        <v>553420</v>
      </c>
      <c r="AW6" s="4" t="n">
        <v>237892</v>
      </c>
      <c r="AX6" s="4" t="n">
        <v>168661</v>
      </c>
      <c r="AY6" s="9" t="n">
        <v>1047</v>
      </c>
      <c r="AZ6" s="7"/>
      <c r="BA6" s="7" t="n">
        <v>0.957</v>
      </c>
      <c r="BB6" s="3" t="s">
        <v>101</v>
      </c>
      <c r="BC6" s="3" t="s">
        <v>82</v>
      </c>
      <c r="BD6" s="3" t="s">
        <v>102</v>
      </c>
      <c r="BE6" s="4" t="n">
        <v>19091</v>
      </c>
      <c r="BF6" s="5" t="n">
        <f aca="false">IFERROR(P6/BE6-1,"")</f>
        <v>-0.0925043214079933</v>
      </c>
      <c r="BG6" s="7" t="n">
        <v>0.009</v>
      </c>
      <c r="BH6" s="7" t="n">
        <v>0.044</v>
      </c>
      <c r="BI6" s="6" t="n">
        <f aca="false">P6</f>
        <v>17325</v>
      </c>
      <c r="BJ6" s="4" t="n">
        <v>-351044</v>
      </c>
      <c r="BK6" s="3" t="s">
        <v>103</v>
      </c>
      <c r="BL6" s="3" t="s">
        <v>104</v>
      </c>
      <c r="BM6" s="6" t="n">
        <f aca="false">O6</f>
        <v>18088709</v>
      </c>
      <c r="BN6" s="3" t="s">
        <v>105</v>
      </c>
      <c r="BO6" s="5" t="n">
        <f aca="false">IFERROR(1-L6/M6,"")</f>
        <v>0.0892432175154688</v>
      </c>
      <c r="BP6" s="3" t="s">
        <v>106</v>
      </c>
      <c r="BQ6" s="4" t="n">
        <v>666899</v>
      </c>
      <c r="BR6" s="3" t="s">
        <v>107</v>
      </c>
      <c r="BS6" s="3" t="s">
        <v>89</v>
      </c>
      <c r="BT6" s="3" t="s">
        <v>90</v>
      </c>
    </row>
    <row r="7" customFormat="false" ht="15" hidden="false" customHeight="false" outlineLevel="0" collapsed="false">
      <c r="A7" s="11" t="s">
        <v>94</v>
      </c>
      <c r="B7" s="11" t="s">
        <v>91</v>
      </c>
      <c r="C7" s="11" t="s">
        <v>95</v>
      </c>
      <c r="D7" s="11" t="s">
        <v>75</v>
      </c>
      <c r="E7" s="11" t="s">
        <v>96</v>
      </c>
      <c r="F7" s="11" t="s">
        <v>97</v>
      </c>
      <c r="G7" s="11" t="s">
        <v>98</v>
      </c>
      <c r="H7" s="11" t="s">
        <v>99</v>
      </c>
      <c r="I7" s="11" t="s">
        <v>98</v>
      </c>
      <c r="J7" s="12" t="n">
        <v>750000</v>
      </c>
      <c r="K7" s="13" t="n">
        <f aca="false">IFERROR(J7/M7,"")</f>
        <v>0.0892432175154688</v>
      </c>
      <c r="L7" s="12" t="n">
        <v>7654000</v>
      </c>
      <c r="M7" s="14" t="n">
        <f aca="false">L7+J7</f>
        <v>8404000</v>
      </c>
      <c r="N7" s="12" t="n">
        <v>1035000</v>
      </c>
      <c r="O7" s="12" t="n">
        <v>18088709</v>
      </c>
      <c r="P7" s="12" t="n">
        <v>23310</v>
      </c>
      <c r="Q7" s="13" t="n">
        <f aca="false">IFERROR(P7/P6-1,"")</f>
        <v>0.345454545454545</v>
      </c>
      <c r="R7" s="12" t="n">
        <v>25148</v>
      </c>
      <c r="S7" s="13" t="n">
        <f aca="false">IFERROR(R7/R6-1,"")</f>
        <v>0.378728070175439</v>
      </c>
      <c r="T7" s="12" t="n">
        <v>16468</v>
      </c>
      <c r="U7" s="13" t="n">
        <f aca="false">IFERROR(T7/P7,"")</f>
        <v>0.706477906477906</v>
      </c>
      <c r="V7" s="14" t="n">
        <f aca="false">T7-AV7</f>
        <v>-646178</v>
      </c>
      <c r="W7" s="14" t="n">
        <f aca="false">V7-AA7*0.1</f>
        <v>-646178</v>
      </c>
      <c r="X7" s="12" t="n">
        <v>401850</v>
      </c>
      <c r="Y7" s="12" t="n">
        <v>55460</v>
      </c>
      <c r="Z7" s="15" t="n">
        <f aca="false">IFERROR(X7/Y7,"")</f>
        <v>7.24576271186441</v>
      </c>
      <c r="AA7" s="12" t="n">
        <v>0</v>
      </c>
      <c r="AB7" s="14" t="n">
        <f aca="false">W7-0.02*P7</f>
        <v>-646644.2</v>
      </c>
      <c r="AC7" s="16" t="n">
        <v>5</v>
      </c>
      <c r="AD7" s="13" t="n">
        <f aca="false">IFERROR(AC7/AC6-1,"")</f>
        <v>0.25</v>
      </c>
      <c r="AE7" s="17" t="n">
        <v>0.059</v>
      </c>
      <c r="AF7" s="17" t="n">
        <v>0.058</v>
      </c>
      <c r="AG7" s="13" t="n">
        <f aca="false">1-AF7</f>
        <v>0.942</v>
      </c>
      <c r="AH7" s="17" t="n">
        <v>1.183</v>
      </c>
      <c r="AI7" s="12" t="n">
        <v>9568</v>
      </c>
      <c r="AJ7" s="14" t="n">
        <f aca="false">IFERROR(AM7*U7*MIN(1/AE7,5),"")</f>
        <v>36030.3732303732</v>
      </c>
      <c r="AK7" s="18" t="n">
        <f aca="false">IFERROR(AJ7/AI7,"")</f>
        <v>3.76571626571627</v>
      </c>
      <c r="AL7" s="15" t="n">
        <f aca="false">IFERROR(AI7/(AM7*U7/12),"")</f>
        <v>15.9332237923102</v>
      </c>
      <c r="AM7" s="12" t="n">
        <v>10200</v>
      </c>
      <c r="AN7" s="12" t="n">
        <v>32428</v>
      </c>
      <c r="AO7" s="12" t="n">
        <v>54935</v>
      </c>
      <c r="AP7" s="17" t="n">
        <v>0.403</v>
      </c>
      <c r="AQ7" s="16" t="n">
        <v>35</v>
      </c>
      <c r="AR7" s="16" t="n">
        <v>3</v>
      </c>
      <c r="AS7" s="13" t="n">
        <f aca="false">IFERROR(AR7/AR6-1,"")</f>
        <v>0.5</v>
      </c>
      <c r="AT7" s="11" t="s">
        <v>100</v>
      </c>
      <c r="AU7" s="14" t="n">
        <f aca="false">IFERROR(P7/AR7,"")</f>
        <v>7770</v>
      </c>
      <c r="AV7" s="12" t="n">
        <v>662646</v>
      </c>
      <c r="AW7" s="12" t="n">
        <v>282427</v>
      </c>
      <c r="AX7" s="12" t="n">
        <v>224202</v>
      </c>
      <c r="AY7" s="16" t="n">
        <v>1415</v>
      </c>
      <c r="AZ7" s="13" t="n">
        <f aca="false">IFERROR(AY7/AY6-1,"")</f>
        <v>0.351480420248329</v>
      </c>
      <c r="BA7" s="17" t="n">
        <v>0.937</v>
      </c>
      <c r="BB7" s="11" t="s">
        <v>101</v>
      </c>
      <c r="BC7" s="11" t="s">
        <v>82</v>
      </c>
      <c r="BD7" s="11" t="s">
        <v>102</v>
      </c>
      <c r="BE7" s="12" t="n">
        <v>21165</v>
      </c>
      <c r="BF7" s="13" t="n">
        <f aca="false">IFERROR(P7/BE7-1,"")</f>
        <v>0.101346562721474</v>
      </c>
      <c r="BG7" s="17" t="n">
        <v>-0.045</v>
      </c>
      <c r="BH7" s="17" t="n">
        <v>0.009</v>
      </c>
      <c r="BI7" s="14" t="n">
        <f aca="false">P7*(1+IFERROR(Q7,0))^4</f>
        <v>76386.8136395055</v>
      </c>
      <c r="BJ7" s="12" t="n">
        <v>-544234</v>
      </c>
      <c r="BK7" s="11" t="s">
        <v>103</v>
      </c>
      <c r="BL7" s="11" t="s">
        <v>104</v>
      </c>
      <c r="BM7" s="14" t="n">
        <f aca="false">O7</f>
        <v>18088709</v>
      </c>
      <c r="BN7" s="11" t="s">
        <v>105</v>
      </c>
      <c r="BO7" s="13" t="n">
        <f aca="false">IFERROR(1-L7/M7,"")</f>
        <v>0.0892432175154688</v>
      </c>
      <c r="BP7" s="11" t="s">
        <v>106</v>
      </c>
      <c r="BQ7" s="12" t="n">
        <v>842661</v>
      </c>
      <c r="BR7" s="11" t="s">
        <v>107</v>
      </c>
      <c r="BS7" s="11" t="s">
        <v>89</v>
      </c>
      <c r="BT7" s="19" t="str">
        <f aca="false">IF(OR(Z7&lt;6,AH7&lt;0.9,S7&lt;0.02,AK7&lt;1),"REVIEW",IF(AND(S7&gt;0.25,AH7&gt;1.2),"ACCELERATING","STABLE"))</f>
        <v>STABLE</v>
      </c>
    </row>
    <row r="8" customFormat="false" ht="15" hidden="false" customHeight="false" outlineLevel="0" collapsed="false">
      <c r="A8" s="11" t="s">
        <v>94</v>
      </c>
      <c r="B8" s="11" t="s">
        <v>92</v>
      </c>
      <c r="C8" s="11" t="s">
        <v>95</v>
      </c>
      <c r="D8" s="11" t="s">
        <v>75</v>
      </c>
      <c r="E8" s="11" t="s">
        <v>96</v>
      </c>
      <c r="F8" s="11" t="s">
        <v>97</v>
      </c>
      <c r="G8" s="11" t="s">
        <v>98</v>
      </c>
      <c r="H8" s="11" t="s">
        <v>99</v>
      </c>
      <c r="I8" s="11" t="s">
        <v>98</v>
      </c>
      <c r="J8" s="12" t="n">
        <v>750000</v>
      </c>
      <c r="K8" s="13" t="n">
        <f aca="false">IFERROR(J8/M8,"")</f>
        <v>0.0892432175154688</v>
      </c>
      <c r="L8" s="12" t="n">
        <v>7654000</v>
      </c>
      <c r="M8" s="14" t="n">
        <f aca="false">L8+J8</f>
        <v>8404000</v>
      </c>
      <c r="N8" s="12" t="n">
        <v>1035000</v>
      </c>
      <c r="O8" s="12" t="n">
        <v>18088709</v>
      </c>
      <c r="P8" s="12" t="n">
        <v>33163</v>
      </c>
      <c r="Q8" s="13" t="n">
        <f aca="false">IFERROR(P8/P7-1,"")</f>
        <v>0.422694122694123</v>
      </c>
      <c r="R8" s="12" t="n">
        <v>34441</v>
      </c>
      <c r="S8" s="13" t="n">
        <f aca="false">IFERROR(R8/R7-1,"")</f>
        <v>0.369532368379195</v>
      </c>
      <c r="T8" s="12" t="n">
        <v>23523</v>
      </c>
      <c r="U8" s="13" t="n">
        <f aca="false">IFERROR(T8/P8,"")</f>
        <v>0.709314597593704</v>
      </c>
      <c r="V8" s="14" t="n">
        <f aca="false">T8-AV8</f>
        <v>-641832</v>
      </c>
      <c r="W8" s="14" t="n">
        <f aca="false">V8-AA8*0.1</f>
        <v>-641832</v>
      </c>
      <c r="X8" s="12" t="n">
        <v>491150</v>
      </c>
      <c r="Y8" s="12" t="n">
        <v>57230</v>
      </c>
      <c r="Z8" s="15" t="n">
        <f aca="false">IFERROR(X8/Y8,"")</f>
        <v>8.58203739297571</v>
      </c>
      <c r="AA8" s="12" t="n">
        <v>0</v>
      </c>
      <c r="AB8" s="14" t="n">
        <f aca="false">W8-0.02*P8</f>
        <v>-642495.26</v>
      </c>
      <c r="AC8" s="16" t="n">
        <v>7</v>
      </c>
      <c r="AD8" s="13" t="n">
        <f aca="false">IFERROR(AC8/AC7-1,"")</f>
        <v>0.4</v>
      </c>
      <c r="AE8" s="17" t="n">
        <v>0.058</v>
      </c>
      <c r="AF8" s="17" t="n">
        <v>0.056</v>
      </c>
      <c r="AG8" s="13" t="n">
        <f aca="false">1-AF8</f>
        <v>0.944</v>
      </c>
      <c r="AH8" s="17" t="n">
        <v>1.213</v>
      </c>
      <c r="AI8" s="12" t="n">
        <v>9384</v>
      </c>
      <c r="AJ8" s="14" t="n">
        <f aca="false">IFERROR(AM8*U8*MIN(1/AE8,5),"")</f>
        <v>36884.3590748726</v>
      </c>
      <c r="AK8" s="18" t="n">
        <f aca="false">IFERROR(AJ8/AI8,"")</f>
        <v>3.93055829868634</v>
      </c>
      <c r="AL8" s="15" t="n">
        <f aca="false">IFERROR(AI8/(AM8*U8/12),"")</f>
        <v>15.2650070144114</v>
      </c>
      <c r="AM8" s="12" t="n">
        <v>10400</v>
      </c>
      <c r="AN8" s="12" t="n">
        <v>32081</v>
      </c>
      <c r="AO8" s="12" t="n">
        <v>66054</v>
      </c>
      <c r="AP8" s="17" t="n">
        <v>0.403</v>
      </c>
      <c r="AQ8" s="16" t="n">
        <v>35</v>
      </c>
      <c r="AR8" s="16" t="n">
        <v>3</v>
      </c>
      <c r="AS8" s="13" t="n">
        <f aca="false">IFERROR(AR8/AR7-1,"")</f>
        <v>0</v>
      </c>
      <c r="AT8" s="11" t="s">
        <v>100</v>
      </c>
      <c r="AU8" s="14" t="n">
        <f aca="false">IFERROR(P8/AR8,"")</f>
        <v>11054.3333333333</v>
      </c>
      <c r="AV8" s="12" t="n">
        <v>665355</v>
      </c>
      <c r="AW8" s="12" t="n">
        <v>284284</v>
      </c>
      <c r="AX8" s="12" t="n">
        <v>157537</v>
      </c>
      <c r="AY8" s="16" t="n">
        <v>1914</v>
      </c>
      <c r="AZ8" s="13" t="n">
        <f aca="false">IFERROR(AY8/AY7-1,"")</f>
        <v>0.352650176678445</v>
      </c>
      <c r="BA8" s="17" t="n">
        <v>0.951</v>
      </c>
      <c r="BB8" s="11" t="s">
        <v>101</v>
      </c>
      <c r="BC8" s="11" t="s">
        <v>82</v>
      </c>
      <c r="BD8" s="11" t="s">
        <v>102</v>
      </c>
      <c r="BE8" s="12" t="n">
        <v>40648</v>
      </c>
      <c r="BF8" s="13" t="n">
        <f aca="false">IFERROR(P8/BE8-1,"")</f>
        <v>-0.184141901200551</v>
      </c>
      <c r="BG8" s="17" t="n">
        <v>-0.026</v>
      </c>
      <c r="BH8" s="17" t="n">
        <v>-0.058</v>
      </c>
      <c r="BI8" s="14" t="n">
        <f aca="false">P8*(1+IFERROR(Q8,0))^4</f>
        <v>135862.612226016</v>
      </c>
      <c r="BJ8" s="12" t="n">
        <v>-539248</v>
      </c>
      <c r="BK8" s="11" t="s">
        <v>103</v>
      </c>
      <c r="BL8" s="11" t="s">
        <v>104</v>
      </c>
      <c r="BM8" s="14" t="n">
        <f aca="false">O8</f>
        <v>18088709</v>
      </c>
      <c r="BN8" s="11" t="s">
        <v>105</v>
      </c>
      <c r="BO8" s="13" t="n">
        <f aca="false">IFERROR(1-L8/M8,"")</f>
        <v>0.0892432175154688</v>
      </c>
      <c r="BP8" s="11" t="s">
        <v>106</v>
      </c>
      <c r="BQ8" s="12" t="n">
        <v>1076095</v>
      </c>
      <c r="BR8" s="11" t="s">
        <v>107</v>
      </c>
      <c r="BS8" s="11" t="s">
        <v>89</v>
      </c>
      <c r="BT8" s="19" t="str">
        <f aca="false">IF(OR(Z8&lt;6,AH8&lt;0.9,S8&lt;0.02,AK8&lt;1),"REVIEW",IF(AND(S8&gt;0.25,AH8&gt;1.2),"ACCELERATING","STABLE"))</f>
        <v>ACCELERATING</v>
      </c>
    </row>
    <row r="9" customFormat="false" ht="15" hidden="false" customHeight="false" outlineLevel="0" collapsed="false">
      <c r="A9" s="11" t="s">
        <v>94</v>
      </c>
      <c r="B9" s="11" t="s">
        <v>93</v>
      </c>
      <c r="C9" s="11" t="s">
        <v>95</v>
      </c>
      <c r="D9" s="11" t="s">
        <v>75</v>
      </c>
      <c r="E9" s="11" t="s">
        <v>96</v>
      </c>
      <c r="F9" s="11" t="s">
        <v>97</v>
      </c>
      <c r="G9" s="11" t="s">
        <v>98</v>
      </c>
      <c r="H9" s="11" t="s">
        <v>99</v>
      </c>
      <c r="I9" s="11" t="s">
        <v>98</v>
      </c>
      <c r="J9" s="12" t="n">
        <v>750000</v>
      </c>
      <c r="K9" s="13" t="n">
        <f aca="false">IFERROR(J9/M9,"")</f>
        <v>0.0892432175154688</v>
      </c>
      <c r="L9" s="12" t="n">
        <v>7654000</v>
      </c>
      <c r="M9" s="14" t="n">
        <f aca="false">L9+J9</f>
        <v>8404000</v>
      </c>
      <c r="N9" s="12" t="n">
        <v>1035000</v>
      </c>
      <c r="O9" s="12" t="n">
        <v>18088709</v>
      </c>
      <c r="P9" s="12" t="n">
        <v>46269</v>
      </c>
      <c r="Q9" s="13" t="n">
        <f aca="false">IFERROR(P9/P8-1,"")</f>
        <v>0.395199469288062</v>
      </c>
      <c r="R9" s="12" t="n">
        <v>49412</v>
      </c>
      <c r="S9" s="13" t="n">
        <f aca="false">IFERROR(R9/R8-1,"")</f>
        <v>0.434685404024273</v>
      </c>
      <c r="T9" s="12" t="n">
        <v>32951</v>
      </c>
      <c r="U9" s="13" t="n">
        <f aca="false">IFERROR(T9/P9,"")</f>
        <v>0.712161490414749</v>
      </c>
      <c r="V9" s="14" t="n">
        <f aca="false">T9-AV9</f>
        <v>-657105</v>
      </c>
      <c r="W9" s="14" t="n">
        <f aca="false">V9-AA9*0.1</f>
        <v>-657105</v>
      </c>
      <c r="X9" s="12" t="n">
        <v>893000</v>
      </c>
      <c r="Y9" s="12" t="n">
        <v>59000</v>
      </c>
      <c r="Z9" s="15" t="n">
        <f aca="false">IFERROR(X9/Y9,"")</f>
        <v>15.135593220339</v>
      </c>
      <c r="AA9" s="12" t="n">
        <v>0</v>
      </c>
      <c r="AB9" s="14" t="n">
        <f aca="false">W9-0.02*P9</f>
        <v>-658030.38</v>
      </c>
      <c r="AC9" s="16" t="n">
        <v>9</v>
      </c>
      <c r="AD9" s="13" t="n">
        <f aca="false">IFERROR(AC9/AC8-1,"")</f>
        <v>0.285714285714286</v>
      </c>
      <c r="AE9" s="17" t="n">
        <v>0.056</v>
      </c>
      <c r="AF9" s="17" t="n">
        <v>0.06</v>
      </c>
      <c r="AG9" s="13" t="n">
        <f aca="false">1-AF9</f>
        <v>0.94</v>
      </c>
      <c r="AH9" s="17" t="n">
        <v>1.243</v>
      </c>
      <c r="AI9" s="12" t="n">
        <v>9200</v>
      </c>
      <c r="AJ9" s="14" t="n">
        <f aca="false">IFERROR(AM9*U9*MIN(1/AE9,5),"")</f>
        <v>37744.5589919817</v>
      </c>
      <c r="AK9" s="18" t="n">
        <f aca="false">IFERROR(AJ9/AI9,"")</f>
        <v>4.10266945565018</v>
      </c>
      <c r="AL9" s="15" t="n">
        <f aca="false">IFERROR(AI9/(AM9*U9/12),"")</f>
        <v>14.6246244423538</v>
      </c>
      <c r="AM9" s="12" t="n">
        <v>10600</v>
      </c>
      <c r="AN9" s="12" t="n">
        <v>44711</v>
      </c>
      <c r="AO9" s="12" t="n">
        <v>122134</v>
      </c>
      <c r="AP9" s="17" t="n">
        <v>0.403</v>
      </c>
      <c r="AQ9" s="16" t="n">
        <v>35</v>
      </c>
      <c r="AR9" s="16" t="n">
        <v>4</v>
      </c>
      <c r="AS9" s="13" t="n">
        <f aca="false">IFERROR(AR9/AR8-1,"")</f>
        <v>0.333333333333333</v>
      </c>
      <c r="AT9" s="11" t="s">
        <v>100</v>
      </c>
      <c r="AU9" s="14" t="n">
        <f aca="false">IFERROR(P9/AR9,"")</f>
        <v>11567.25</v>
      </c>
      <c r="AV9" s="12" t="n">
        <v>690056</v>
      </c>
      <c r="AW9" s="12" t="n">
        <v>320469</v>
      </c>
      <c r="AX9" s="12" t="n">
        <v>198548</v>
      </c>
      <c r="AY9" s="16" t="n">
        <v>2622</v>
      </c>
      <c r="AZ9" s="13" t="n">
        <f aca="false">IFERROR(AY9/AY8-1,"")</f>
        <v>0.369905956112853</v>
      </c>
      <c r="BA9" s="17" t="n">
        <v>0.94</v>
      </c>
      <c r="BB9" s="11" t="s">
        <v>101</v>
      </c>
      <c r="BC9" s="11" t="s">
        <v>82</v>
      </c>
      <c r="BD9" s="11" t="s">
        <v>102</v>
      </c>
      <c r="BE9" s="12" t="n">
        <v>43158</v>
      </c>
      <c r="BF9" s="13" t="n">
        <f aca="false">IFERROR(P9/BE9-1,"")</f>
        <v>0.0720839705269012</v>
      </c>
      <c r="BG9" s="17" t="n">
        <v>0.024</v>
      </c>
      <c r="BH9" s="17" t="n">
        <v>0.014</v>
      </c>
      <c r="BI9" s="14" t="n">
        <f aca="false">P9*(1+IFERROR(Q9,0))^4</f>
        <v>175321.558603916</v>
      </c>
      <c r="BJ9" s="12" t="n">
        <v>-552832</v>
      </c>
      <c r="BK9" s="11" t="s">
        <v>103</v>
      </c>
      <c r="BL9" s="11" t="s">
        <v>104</v>
      </c>
      <c r="BM9" s="14" t="n">
        <f aca="false">O9</f>
        <v>18088709</v>
      </c>
      <c r="BN9" s="11" t="s">
        <v>105</v>
      </c>
      <c r="BO9" s="13" t="n">
        <f aca="false">IFERROR(1-L9/M9,"")</f>
        <v>0.0892432175154688</v>
      </c>
      <c r="BP9" s="11" t="s">
        <v>106</v>
      </c>
      <c r="BQ9" s="12" t="n">
        <v>1033407</v>
      </c>
      <c r="BR9" s="11" t="s">
        <v>107</v>
      </c>
      <c r="BS9" s="11" t="s">
        <v>89</v>
      </c>
      <c r="BT9" s="19" t="str">
        <f aca="false">IF(OR(Z9&lt;6,AH9&lt;0.9,S9&lt;0.02,AK9&lt;1),"REVIEW",IF(AND(S9&gt;0.25,AH9&gt;1.2),"ACCELERATING","STABLE"))</f>
        <v>ACCELERATING</v>
      </c>
    </row>
    <row r="10" customFormat="false" ht="15" hidden="false" customHeight="false" outlineLevel="0" collapsed="false">
      <c r="A10" s="3" t="s">
        <v>108</v>
      </c>
      <c r="B10" s="3" t="s">
        <v>73</v>
      </c>
      <c r="C10" s="3" t="s">
        <v>109</v>
      </c>
      <c r="D10" s="3" t="s">
        <v>110</v>
      </c>
      <c r="E10" s="3" t="s">
        <v>76</v>
      </c>
      <c r="F10" s="3" t="s">
        <v>77</v>
      </c>
      <c r="G10" s="3" t="s">
        <v>111</v>
      </c>
      <c r="H10" s="3" t="s">
        <v>79</v>
      </c>
      <c r="I10" s="3" t="s">
        <v>111</v>
      </c>
      <c r="J10" s="4" t="n">
        <v>500000</v>
      </c>
      <c r="K10" s="5" t="n">
        <f aca="false">IFERROR(J10/M10,"")</f>
        <v>0.026725105564167</v>
      </c>
      <c r="L10" s="4" t="n">
        <v>18209000</v>
      </c>
      <c r="M10" s="6" t="n">
        <f aca="false">L10+J10</f>
        <v>18709000</v>
      </c>
      <c r="N10" s="4" t="n">
        <v>4139000</v>
      </c>
      <c r="O10" s="4" t="n">
        <v>36228666</v>
      </c>
      <c r="P10" s="4" t="n">
        <v>421392</v>
      </c>
      <c r="Q10" s="7"/>
      <c r="R10" s="4" t="n">
        <v>523601</v>
      </c>
      <c r="S10" s="7"/>
      <c r="T10" s="4" t="n">
        <v>262062</v>
      </c>
      <c r="U10" s="5" t="n">
        <f aca="false">IFERROR(T10/P10,"")</f>
        <v>0.621896001822531</v>
      </c>
      <c r="V10" s="6" t="n">
        <f aca="false">T10-AV10</f>
        <v>-2753669</v>
      </c>
      <c r="W10" s="6" t="n">
        <f aca="false">V10-AA10*0.1</f>
        <v>-2813769</v>
      </c>
      <c r="X10" s="4" t="n">
        <v>7340814</v>
      </c>
      <c r="Y10" s="4" t="n">
        <v>212940</v>
      </c>
      <c r="Z10" s="8" t="n">
        <f aca="false">IFERROR(X10/Y10,"")</f>
        <v>34.4736263736264</v>
      </c>
      <c r="AA10" s="4" t="n">
        <v>601000</v>
      </c>
      <c r="AB10" s="6" t="n">
        <f aca="false">W10-0.02*P10</f>
        <v>-2822196.84</v>
      </c>
      <c r="AC10" s="9" t="n">
        <v>15</v>
      </c>
      <c r="AD10" s="7"/>
      <c r="AE10" s="7" t="n">
        <v>0.065</v>
      </c>
      <c r="AF10" s="7" t="n">
        <v>0.043</v>
      </c>
      <c r="AG10" s="5" t="n">
        <f aca="false">1-AF10</f>
        <v>0.957</v>
      </c>
      <c r="AH10" s="7" t="n">
        <v>1.074</v>
      </c>
      <c r="AI10" s="4" t="n">
        <v>49714</v>
      </c>
      <c r="AJ10" s="6" t="n">
        <f aca="false">IFERROR(AM10*U10*MIN(1/AE10,5),"")</f>
        <v>102612.840300718</v>
      </c>
      <c r="AK10" s="10" t="n">
        <f aca="false">IFERROR(AJ10/AI10,"")</f>
        <v>2.06406324779172</v>
      </c>
      <c r="AL10" s="8" t="n">
        <f aca="false">IFERROR(AI10/(AM10*U10/12),"")</f>
        <v>29.0688766752628</v>
      </c>
      <c r="AM10" s="4" t="n">
        <v>33000</v>
      </c>
      <c r="AN10" s="4" t="n">
        <v>713640</v>
      </c>
      <c r="AO10" s="4" t="n">
        <v>1019614</v>
      </c>
      <c r="AP10" s="7" t="n">
        <v>0.406</v>
      </c>
      <c r="AQ10" s="9" t="n">
        <v>30</v>
      </c>
      <c r="AR10" s="9" t="n">
        <v>13</v>
      </c>
      <c r="AS10" s="7"/>
      <c r="AT10" s="3" t="s">
        <v>80</v>
      </c>
      <c r="AU10" s="6" t="n">
        <f aca="false">IFERROR(P10/AR10,"")</f>
        <v>32414.7692307692</v>
      </c>
      <c r="AV10" s="4" t="n">
        <v>3015731</v>
      </c>
      <c r="AW10" s="4" t="n">
        <v>1441786</v>
      </c>
      <c r="AX10" s="4" t="n">
        <v>966937</v>
      </c>
      <c r="AY10" s="9" t="n">
        <v>22197</v>
      </c>
      <c r="AZ10" s="7"/>
      <c r="BA10" s="7" t="n">
        <v>0.933</v>
      </c>
      <c r="BB10" s="3" t="s">
        <v>112</v>
      </c>
      <c r="BC10" s="3" t="s">
        <v>82</v>
      </c>
      <c r="BD10" s="3" t="s">
        <v>102</v>
      </c>
      <c r="BE10" s="4" t="n">
        <v>388860</v>
      </c>
      <c r="BF10" s="5" t="n">
        <f aca="false">IFERROR(P10/BE10-1,"")</f>
        <v>0.0836599290232989</v>
      </c>
      <c r="BG10" s="7" t="n">
        <v>0.066</v>
      </c>
      <c r="BH10" s="7" t="n">
        <v>0.069</v>
      </c>
      <c r="BI10" s="6" t="n">
        <f aca="false">P10</f>
        <v>421392</v>
      </c>
      <c r="BJ10" s="4" t="n">
        <v>-1834873</v>
      </c>
      <c r="BK10" s="3" t="s">
        <v>84</v>
      </c>
      <c r="BL10" s="3" t="s">
        <v>104</v>
      </c>
      <c r="BM10" s="6" t="n">
        <f aca="false">O10</f>
        <v>36228666</v>
      </c>
      <c r="BN10" s="3" t="s">
        <v>113</v>
      </c>
      <c r="BO10" s="5" t="n">
        <f aca="false">IFERROR(1-L10/M10,"")</f>
        <v>0.026725105564167</v>
      </c>
      <c r="BP10" s="3" t="s">
        <v>114</v>
      </c>
      <c r="BQ10" s="4" t="n">
        <v>3896535</v>
      </c>
      <c r="BR10" s="3" t="s">
        <v>88</v>
      </c>
      <c r="BS10" s="3" t="s">
        <v>89</v>
      </c>
      <c r="BT10" s="3" t="s">
        <v>90</v>
      </c>
    </row>
    <row r="11" customFormat="false" ht="15" hidden="false" customHeight="false" outlineLevel="0" collapsed="false">
      <c r="A11" s="11" t="s">
        <v>108</v>
      </c>
      <c r="B11" s="11" t="s">
        <v>91</v>
      </c>
      <c r="C11" s="11" t="s">
        <v>109</v>
      </c>
      <c r="D11" s="11" t="s">
        <v>110</v>
      </c>
      <c r="E11" s="11" t="s">
        <v>76</v>
      </c>
      <c r="F11" s="11" t="s">
        <v>77</v>
      </c>
      <c r="G11" s="11" t="s">
        <v>111</v>
      </c>
      <c r="H11" s="11" t="s">
        <v>79</v>
      </c>
      <c r="I11" s="11" t="s">
        <v>111</v>
      </c>
      <c r="J11" s="12" t="n">
        <v>500000</v>
      </c>
      <c r="K11" s="13" t="n">
        <f aca="false">IFERROR(J11/M11,"")</f>
        <v>0.026725105564167</v>
      </c>
      <c r="L11" s="12" t="n">
        <v>18209000</v>
      </c>
      <c r="M11" s="14" t="n">
        <f aca="false">L11+J11</f>
        <v>18709000</v>
      </c>
      <c r="N11" s="12" t="n">
        <v>4139000</v>
      </c>
      <c r="O11" s="12" t="n">
        <v>36228666</v>
      </c>
      <c r="P11" s="12" t="n">
        <v>491023</v>
      </c>
      <c r="Q11" s="13" t="n">
        <f aca="false">IFERROR(P11/P10-1,"")</f>
        <v>0.165240441204389</v>
      </c>
      <c r="R11" s="12" t="n">
        <v>623925</v>
      </c>
      <c r="S11" s="13" t="n">
        <f aca="false">IFERROR(R11/R10-1,"")</f>
        <v>0.191603912139205</v>
      </c>
      <c r="T11" s="12" t="n">
        <v>306602</v>
      </c>
      <c r="U11" s="13" t="n">
        <f aca="false">IFERROR(T11/P11,"")</f>
        <v>0.624414742282948</v>
      </c>
      <c r="V11" s="14" t="n">
        <f aca="false">T11-AV11</f>
        <v>-2392711</v>
      </c>
      <c r="W11" s="14" t="n">
        <f aca="false">V11-AA11*0.1</f>
        <v>-2452811</v>
      </c>
      <c r="X11" s="12" t="n">
        <v>6803784</v>
      </c>
      <c r="Y11" s="12" t="n">
        <v>219960</v>
      </c>
      <c r="Z11" s="15" t="n">
        <f aca="false">IFERROR(X11/Y11,"")</f>
        <v>30.931914893617</v>
      </c>
      <c r="AA11" s="12" t="n">
        <v>601000</v>
      </c>
      <c r="AB11" s="14" t="n">
        <f aca="false">W11-0.02*P11</f>
        <v>-2462631.46</v>
      </c>
      <c r="AC11" s="16" t="n">
        <v>16</v>
      </c>
      <c r="AD11" s="13" t="n">
        <f aca="false">IFERROR(AC11/AC10-1,"")</f>
        <v>0.0666666666666667</v>
      </c>
      <c r="AE11" s="17" t="n">
        <v>0.064</v>
      </c>
      <c r="AF11" s="17" t="n">
        <v>0.051</v>
      </c>
      <c r="AG11" s="13" t="n">
        <f aca="false">1-AF11</f>
        <v>0.949</v>
      </c>
      <c r="AH11" s="17" t="n">
        <v>1.069</v>
      </c>
      <c r="AI11" s="12" t="n">
        <v>48776</v>
      </c>
      <c r="AJ11" s="14" t="n">
        <f aca="false">IFERROR(AM11*U11*MIN(1/AE11,5),"")</f>
        <v>105089.00112622</v>
      </c>
      <c r="AK11" s="18" t="n">
        <f aca="false">IFERROR(AJ11/AI11,"")</f>
        <v>2.15452273917952</v>
      </c>
      <c r="AL11" s="15" t="n">
        <f aca="false">IFERROR(AI11/(AM11*U11/12),"")</f>
        <v>27.8483948713621</v>
      </c>
      <c r="AM11" s="12" t="n">
        <v>33660</v>
      </c>
      <c r="AN11" s="12" t="n">
        <v>851583</v>
      </c>
      <c r="AO11" s="12" t="n">
        <v>1498168</v>
      </c>
      <c r="AP11" s="17" t="n">
        <v>0.406</v>
      </c>
      <c r="AQ11" s="16" t="n">
        <v>30</v>
      </c>
      <c r="AR11" s="16" t="n">
        <v>14</v>
      </c>
      <c r="AS11" s="13" t="n">
        <f aca="false">IFERROR(AR11/AR10-1,"")</f>
        <v>0.0769230769230769</v>
      </c>
      <c r="AT11" s="11" t="s">
        <v>80</v>
      </c>
      <c r="AU11" s="14" t="n">
        <f aca="false">IFERROR(P11/AR11,"")</f>
        <v>35073.0714285714</v>
      </c>
      <c r="AV11" s="12" t="n">
        <v>2699313</v>
      </c>
      <c r="AW11" s="12" t="n">
        <v>1098826</v>
      </c>
      <c r="AX11" s="12" t="n">
        <v>760773</v>
      </c>
      <c r="AY11" s="16" t="n">
        <v>26024</v>
      </c>
      <c r="AZ11" s="13" t="n">
        <f aca="false">IFERROR(AY11/AY10-1,"")</f>
        <v>0.172410686128756</v>
      </c>
      <c r="BA11" s="17" t="n">
        <v>0.953</v>
      </c>
      <c r="BB11" s="11" t="s">
        <v>112</v>
      </c>
      <c r="BC11" s="11" t="s">
        <v>82</v>
      </c>
      <c r="BD11" s="11" t="s">
        <v>102</v>
      </c>
      <c r="BE11" s="12" t="n">
        <v>479655</v>
      </c>
      <c r="BF11" s="13" t="n">
        <f aca="false">IFERROR(P11/BE11-1,"")</f>
        <v>0.0237003679728138</v>
      </c>
      <c r="BG11" s="17" t="n">
        <v>0.033</v>
      </c>
      <c r="BH11" s="17" t="n">
        <v>0.022</v>
      </c>
      <c r="BI11" s="14" t="n">
        <f aca="false">P11*(1+IFERROR(Q11,0))^4</f>
        <v>905240.615611041</v>
      </c>
      <c r="BJ11" s="12" t="n">
        <v>-1661052</v>
      </c>
      <c r="BK11" s="11" t="s">
        <v>84</v>
      </c>
      <c r="BL11" s="11" t="s">
        <v>104</v>
      </c>
      <c r="BM11" s="14" t="n">
        <f aca="false">O11</f>
        <v>36228666</v>
      </c>
      <c r="BN11" s="11" t="s">
        <v>113</v>
      </c>
      <c r="BO11" s="13" t="n">
        <f aca="false">IFERROR(1-L11/M11,"")</f>
        <v>0.026725105564167</v>
      </c>
      <c r="BP11" s="11" t="s">
        <v>114</v>
      </c>
      <c r="BQ11" s="12" t="n">
        <v>3255467</v>
      </c>
      <c r="BR11" s="11" t="s">
        <v>88</v>
      </c>
      <c r="BS11" s="11" t="s">
        <v>89</v>
      </c>
      <c r="BT11" s="19" t="str">
        <f aca="false">IF(OR(Z11&lt;6,AH11&lt;0.9,S11&lt;0.02,AK11&lt;1),"REVIEW",IF(AND(S11&gt;0.25,AH11&gt;1.2),"ACCELERATING","STABLE"))</f>
        <v>STABLE</v>
      </c>
    </row>
    <row r="12" customFormat="false" ht="15" hidden="false" customHeight="false" outlineLevel="0" collapsed="false">
      <c r="A12" s="11" t="s">
        <v>108</v>
      </c>
      <c r="B12" s="11" t="s">
        <v>92</v>
      </c>
      <c r="C12" s="11" t="s">
        <v>109</v>
      </c>
      <c r="D12" s="11" t="s">
        <v>110</v>
      </c>
      <c r="E12" s="11" t="s">
        <v>76</v>
      </c>
      <c r="F12" s="11" t="s">
        <v>77</v>
      </c>
      <c r="G12" s="11" t="s">
        <v>111</v>
      </c>
      <c r="H12" s="11" t="s">
        <v>79</v>
      </c>
      <c r="I12" s="11" t="s">
        <v>111</v>
      </c>
      <c r="J12" s="12" t="n">
        <v>500000</v>
      </c>
      <c r="K12" s="13" t="n">
        <f aca="false">IFERROR(J12/M12,"")</f>
        <v>0.026725105564167</v>
      </c>
      <c r="L12" s="12" t="n">
        <v>18209000</v>
      </c>
      <c r="M12" s="14" t="n">
        <f aca="false">L12+J12</f>
        <v>18709000</v>
      </c>
      <c r="N12" s="12" t="n">
        <v>4139000</v>
      </c>
      <c r="O12" s="12" t="n">
        <v>36228666</v>
      </c>
      <c r="P12" s="12" t="n">
        <v>595708</v>
      </c>
      <c r="Q12" s="13" t="n">
        <f aca="false">IFERROR(P12/P11-1,"")</f>
        <v>0.213197752447441</v>
      </c>
      <c r="R12" s="12" t="n">
        <v>719902</v>
      </c>
      <c r="S12" s="13" t="n">
        <f aca="false">IFERROR(R12/R11-1,"")</f>
        <v>0.153827783788115</v>
      </c>
      <c r="T12" s="12" t="n">
        <v>373468</v>
      </c>
      <c r="U12" s="13" t="n">
        <f aca="false">IFERROR(T12/P12,"")</f>
        <v>0.626931315342416</v>
      </c>
      <c r="V12" s="14" t="n">
        <f aca="false">T12-AV12</f>
        <v>-2513730</v>
      </c>
      <c r="W12" s="14" t="n">
        <f aca="false">V12-AA12*0.1</f>
        <v>-2573830</v>
      </c>
      <c r="X12" s="12" t="n">
        <v>6228846</v>
      </c>
      <c r="Y12" s="12" t="n">
        <v>226980</v>
      </c>
      <c r="Z12" s="15" t="n">
        <f aca="false">IFERROR(X12/Y12,"")</f>
        <v>27.4422680412371</v>
      </c>
      <c r="AA12" s="12" t="n">
        <v>601000</v>
      </c>
      <c r="AB12" s="14" t="n">
        <f aca="false">W12-0.02*P12</f>
        <v>-2585744.16</v>
      </c>
      <c r="AC12" s="16" t="n">
        <v>18</v>
      </c>
      <c r="AD12" s="13" t="n">
        <f aca="false">IFERROR(AC12/AC11-1,"")</f>
        <v>0.125</v>
      </c>
      <c r="AE12" s="17" t="n">
        <v>0.062</v>
      </c>
      <c r="AF12" s="17" t="n">
        <v>0.056</v>
      </c>
      <c r="AG12" s="13" t="n">
        <f aca="false">1-AF12</f>
        <v>0.944</v>
      </c>
      <c r="AH12" s="17" t="n">
        <v>1.064</v>
      </c>
      <c r="AI12" s="12" t="n">
        <v>47838</v>
      </c>
      <c r="AJ12" s="14" t="n">
        <f aca="false">IFERROR(AM12*U12*MIN(1/AE12,5),"")</f>
        <v>107581.413712759</v>
      </c>
      <c r="AK12" s="18" t="n">
        <f aca="false">IFERROR(AJ12/AI12,"")</f>
        <v>2.24886938652867</v>
      </c>
      <c r="AL12" s="15" t="n">
        <f aca="false">IFERROR(AI12/(AM12*U12/12),"")</f>
        <v>26.6800732667784</v>
      </c>
      <c r="AM12" s="12" t="n">
        <v>34320</v>
      </c>
      <c r="AN12" s="12" t="n">
        <v>695291</v>
      </c>
      <c r="AO12" s="12" t="n">
        <v>2658406</v>
      </c>
      <c r="AP12" s="17" t="n">
        <v>0.406</v>
      </c>
      <c r="AQ12" s="16" t="n">
        <v>30</v>
      </c>
      <c r="AR12" s="16" t="n">
        <v>16</v>
      </c>
      <c r="AS12" s="13" t="n">
        <f aca="false">IFERROR(AR12/AR11-1,"")</f>
        <v>0.142857142857143</v>
      </c>
      <c r="AT12" s="11" t="s">
        <v>80</v>
      </c>
      <c r="AU12" s="14" t="n">
        <f aca="false">IFERROR(P12/AR12,"")</f>
        <v>37231.75</v>
      </c>
      <c r="AV12" s="12" t="n">
        <v>2887198</v>
      </c>
      <c r="AW12" s="12" t="n">
        <v>1212109</v>
      </c>
      <c r="AX12" s="12" t="n">
        <v>830418</v>
      </c>
      <c r="AY12" s="16" t="n">
        <v>30614</v>
      </c>
      <c r="AZ12" s="13" t="n">
        <f aca="false">IFERROR(AY12/AY11-1,"")</f>
        <v>0.17637565324316</v>
      </c>
      <c r="BA12" s="17" t="n">
        <v>0.954</v>
      </c>
      <c r="BB12" s="11" t="s">
        <v>112</v>
      </c>
      <c r="BC12" s="11" t="s">
        <v>82</v>
      </c>
      <c r="BD12" s="11" t="s">
        <v>102</v>
      </c>
      <c r="BE12" s="12" t="n">
        <v>735522</v>
      </c>
      <c r="BF12" s="13" t="n">
        <f aca="false">IFERROR(P12/BE12-1,"")</f>
        <v>-0.190088127887405</v>
      </c>
      <c r="BG12" s="17" t="n">
        <v>0.018</v>
      </c>
      <c r="BH12" s="17" t="n">
        <v>0.018</v>
      </c>
      <c r="BI12" s="14" t="n">
        <f aca="false">P12*(1+IFERROR(Q12,0))^4</f>
        <v>1290505.38392366</v>
      </c>
      <c r="BJ12" s="12" t="n">
        <v>-1534103</v>
      </c>
      <c r="BK12" s="11" t="s">
        <v>84</v>
      </c>
      <c r="BL12" s="11" t="s">
        <v>104</v>
      </c>
      <c r="BM12" s="14" t="n">
        <f aca="false">O12</f>
        <v>36228666</v>
      </c>
      <c r="BN12" s="11" t="s">
        <v>113</v>
      </c>
      <c r="BO12" s="13" t="n">
        <f aca="false">IFERROR(1-L12/M12,"")</f>
        <v>0.026725105564167</v>
      </c>
      <c r="BP12" s="11" t="s">
        <v>114</v>
      </c>
      <c r="BQ12" s="12" t="n">
        <v>4232465</v>
      </c>
      <c r="BR12" s="11" t="s">
        <v>88</v>
      </c>
      <c r="BS12" s="11" t="s">
        <v>89</v>
      </c>
      <c r="BT12" s="19" t="str">
        <f aca="false">IF(OR(Z12&lt;6,AH12&lt;0.9,S12&lt;0.02,AK12&lt;1),"REVIEW",IF(AND(S12&gt;0.25,AH12&gt;1.2),"ACCELERATING","STABLE"))</f>
        <v>STABLE</v>
      </c>
    </row>
    <row r="13" customFormat="false" ht="15" hidden="false" customHeight="false" outlineLevel="0" collapsed="false">
      <c r="A13" s="11" t="s">
        <v>108</v>
      </c>
      <c r="B13" s="11" t="s">
        <v>93</v>
      </c>
      <c r="C13" s="11" t="s">
        <v>109</v>
      </c>
      <c r="D13" s="11" t="s">
        <v>110</v>
      </c>
      <c r="E13" s="11" t="s">
        <v>76</v>
      </c>
      <c r="F13" s="11" t="s">
        <v>77</v>
      </c>
      <c r="G13" s="11" t="s">
        <v>111</v>
      </c>
      <c r="H13" s="11" t="s">
        <v>79</v>
      </c>
      <c r="I13" s="11" t="s">
        <v>111</v>
      </c>
      <c r="J13" s="12" t="n">
        <v>500000</v>
      </c>
      <c r="K13" s="13" t="n">
        <f aca="false">IFERROR(J13/M13,"")</f>
        <v>0.026725105564167</v>
      </c>
      <c r="L13" s="12" t="n">
        <v>18209000</v>
      </c>
      <c r="M13" s="14" t="n">
        <f aca="false">L13+J13</f>
        <v>18709000</v>
      </c>
      <c r="N13" s="12" t="n">
        <v>4139000</v>
      </c>
      <c r="O13" s="12" t="n">
        <v>36228666</v>
      </c>
      <c r="P13" s="12" t="n">
        <v>699091</v>
      </c>
      <c r="Q13" s="13" t="n">
        <f aca="false">IFERROR(P13/P12-1,"")</f>
        <v>0.173546435501957</v>
      </c>
      <c r="R13" s="12" t="n">
        <v>794266</v>
      </c>
      <c r="S13" s="13" t="n">
        <f aca="false">IFERROR(R13/R12-1,"")</f>
        <v>0.103297393256304</v>
      </c>
      <c r="T13" s="12" t="n">
        <v>440043</v>
      </c>
      <c r="U13" s="13" t="n">
        <f aca="false">IFERROR(T13/P13,"")</f>
        <v>0.629450243244442</v>
      </c>
      <c r="V13" s="14" t="n">
        <f aca="false">T13-AV13</f>
        <v>-2321810</v>
      </c>
      <c r="W13" s="14" t="n">
        <f aca="false">V13-AA13*0.1</f>
        <v>-2381910</v>
      </c>
      <c r="X13" s="12" t="n">
        <v>5616000</v>
      </c>
      <c r="Y13" s="12" t="n">
        <v>234000</v>
      </c>
      <c r="Z13" s="15" t="n">
        <f aca="false">IFERROR(X13/Y13,"")</f>
        <v>24</v>
      </c>
      <c r="AA13" s="12" t="n">
        <v>601000</v>
      </c>
      <c r="AB13" s="14" t="n">
        <f aca="false">W13-0.02*P13</f>
        <v>-2395891.82</v>
      </c>
      <c r="AC13" s="16" t="n">
        <v>21</v>
      </c>
      <c r="AD13" s="13" t="n">
        <f aca="false">IFERROR(AC13/AC12-1,"")</f>
        <v>0.166666666666667</v>
      </c>
      <c r="AE13" s="17" t="n">
        <v>0.06</v>
      </c>
      <c r="AF13" s="17" t="n">
        <v>0.062</v>
      </c>
      <c r="AG13" s="13" t="n">
        <f aca="false">1-AF13</f>
        <v>0.938</v>
      </c>
      <c r="AH13" s="17" t="n">
        <v>1.059</v>
      </c>
      <c r="AI13" s="12" t="n">
        <v>46900</v>
      </c>
      <c r="AJ13" s="14" t="n">
        <f aca="false">IFERROR(AM13*U13*MIN(1/AE13,5),"")</f>
        <v>110090.847543453</v>
      </c>
      <c r="AK13" s="18" t="n">
        <f aca="false">IFERROR(AJ13/AI13,"")</f>
        <v>2.34735282608642</v>
      </c>
      <c r="AL13" s="15" t="n">
        <f aca="false">IFERROR(AI13/(AM13*U13/12),"")</f>
        <v>25.5607079315954</v>
      </c>
      <c r="AM13" s="12" t="n">
        <v>34980</v>
      </c>
      <c r="AN13" s="12" t="n">
        <v>861876</v>
      </c>
      <c r="AO13" s="12" t="n">
        <v>1583417</v>
      </c>
      <c r="AP13" s="17" t="n">
        <v>0.406</v>
      </c>
      <c r="AQ13" s="16" t="n">
        <v>30</v>
      </c>
      <c r="AR13" s="16" t="n">
        <v>17</v>
      </c>
      <c r="AS13" s="13" t="n">
        <f aca="false">IFERROR(AR13/AR12-1,"")</f>
        <v>0.0625</v>
      </c>
      <c r="AT13" s="11" t="s">
        <v>80</v>
      </c>
      <c r="AU13" s="14" t="n">
        <f aca="false">IFERROR(P13/AR13,"")</f>
        <v>41123</v>
      </c>
      <c r="AV13" s="12" t="n">
        <v>2761853</v>
      </c>
      <c r="AW13" s="12" t="n">
        <v>1342202</v>
      </c>
      <c r="AX13" s="12" t="n">
        <v>907256</v>
      </c>
      <c r="AY13" s="16" t="n">
        <v>37380</v>
      </c>
      <c r="AZ13" s="13" t="n">
        <f aca="false">IFERROR(AY13/AY12-1,"")</f>
        <v>0.221009995426929</v>
      </c>
      <c r="BA13" s="17" t="n">
        <v>0.942</v>
      </c>
      <c r="BB13" s="11" t="s">
        <v>112</v>
      </c>
      <c r="BC13" s="11" t="s">
        <v>82</v>
      </c>
      <c r="BD13" s="11" t="s">
        <v>102</v>
      </c>
      <c r="BE13" s="12" t="n">
        <v>773838</v>
      </c>
      <c r="BF13" s="13" t="n">
        <f aca="false">IFERROR(P13/BE13-1,"")</f>
        <v>-0.0965925684704033</v>
      </c>
      <c r="BG13" s="17" t="n">
        <v>-0.038</v>
      </c>
      <c r="BH13" s="17" t="n">
        <v>0.041</v>
      </c>
      <c r="BI13" s="14" t="n">
        <f aca="false">P13*(1+IFERROR(Q13,0))^4</f>
        <v>1325973.44242636</v>
      </c>
      <c r="BJ13" s="12" t="n">
        <v>-1579692</v>
      </c>
      <c r="BK13" s="11" t="s">
        <v>84</v>
      </c>
      <c r="BL13" s="11" t="s">
        <v>104</v>
      </c>
      <c r="BM13" s="14" t="n">
        <f aca="false">O13</f>
        <v>36228666</v>
      </c>
      <c r="BN13" s="11" t="s">
        <v>113</v>
      </c>
      <c r="BO13" s="13" t="n">
        <f aca="false">IFERROR(1-L13/M13,"")</f>
        <v>0.026725105564167</v>
      </c>
      <c r="BP13" s="11" t="s">
        <v>114</v>
      </c>
      <c r="BQ13" s="12" t="n">
        <v>4253084</v>
      </c>
      <c r="BR13" s="11" t="s">
        <v>88</v>
      </c>
      <c r="BS13" s="11" t="s">
        <v>89</v>
      </c>
      <c r="BT13" s="19" t="str">
        <f aca="false">IF(OR(Z13&lt;6,AH13&lt;0.9,S13&lt;0.02,AK13&lt;1),"REVIEW",IF(AND(S13&gt;0.25,AH13&gt;1.2),"ACCELERATING","STABLE"))</f>
        <v>STABLE</v>
      </c>
    </row>
    <row r="14" customFormat="false" ht="15" hidden="false" customHeight="false" outlineLevel="0" collapsed="false">
      <c r="A14" s="3" t="s">
        <v>115</v>
      </c>
      <c r="B14" s="3" t="s">
        <v>73</v>
      </c>
      <c r="C14" s="3" t="s">
        <v>116</v>
      </c>
      <c r="D14" s="3" t="s">
        <v>117</v>
      </c>
      <c r="E14" s="3" t="s">
        <v>118</v>
      </c>
      <c r="F14" s="3" t="s">
        <v>77</v>
      </c>
      <c r="G14" s="3" t="s">
        <v>111</v>
      </c>
      <c r="H14" s="3" t="s">
        <v>79</v>
      </c>
      <c r="I14" s="3" t="s">
        <v>111</v>
      </c>
      <c r="J14" s="4" t="n">
        <v>6800000</v>
      </c>
      <c r="K14" s="5" t="n">
        <f aca="false">IFERROR(J14/M14,"")</f>
        <v>0.213152780389944</v>
      </c>
      <c r="L14" s="4" t="n">
        <v>25102000</v>
      </c>
      <c r="M14" s="6" t="n">
        <f aca="false">L14+J14</f>
        <v>31902000</v>
      </c>
      <c r="N14" s="4" t="n">
        <v>6800000</v>
      </c>
      <c r="O14" s="4" t="n">
        <v>24713302</v>
      </c>
      <c r="P14" s="4" t="n">
        <v>1470926</v>
      </c>
      <c r="Q14" s="7"/>
      <c r="R14" s="4" t="n">
        <v>1562249</v>
      </c>
      <c r="S14" s="7"/>
      <c r="T14" s="4" t="n">
        <v>806436</v>
      </c>
      <c r="U14" s="5" t="n">
        <f aca="false">IFERROR(T14/P14,"")</f>
        <v>0.548250557811882</v>
      </c>
      <c r="V14" s="6" t="n">
        <f aca="false">T14-AV14</f>
        <v>-1346297</v>
      </c>
      <c r="W14" s="6" t="n">
        <f aca="false">V14-AA14*0.1</f>
        <v>-1346297</v>
      </c>
      <c r="X14" s="4" t="n">
        <v>2042832</v>
      </c>
      <c r="Y14" s="4" t="n">
        <v>147600</v>
      </c>
      <c r="Z14" s="8" t="n">
        <f aca="false">IFERROR(X14/Y14,"")</f>
        <v>13.840325203252</v>
      </c>
      <c r="AA14" s="4" t="n">
        <v>0</v>
      </c>
      <c r="AB14" s="6" t="n">
        <f aca="false">W14-0.02*P14</f>
        <v>-1375715.52</v>
      </c>
      <c r="AC14" s="9" t="n">
        <v>65</v>
      </c>
      <c r="AD14" s="7"/>
      <c r="AE14" s="7" t="n">
        <v>0.231</v>
      </c>
      <c r="AF14" s="7" t="n">
        <v>0.143</v>
      </c>
      <c r="AG14" s="5" t="n">
        <f aca="false">1-AF14</f>
        <v>0.857</v>
      </c>
      <c r="AH14" s="7" t="n">
        <v>0.993</v>
      </c>
      <c r="AI14" s="4" t="n">
        <v>31084</v>
      </c>
      <c r="AJ14" s="6" t="n">
        <f aca="false">IFERROR(AM14*U14*MIN(1/AE14,5),"")</f>
        <v>59334.4759536669</v>
      </c>
      <c r="AK14" s="10" t="n">
        <f aca="false">IFERROR(AJ14/AI14,"")</f>
        <v>1.90884300455755</v>
      </c>
      <c r="AL14" s="8" t="n">
        <f aca="false">IFERROR(AI14/(AM14*U14/12),"")</f>
        <v>27.2144182753746</v>
      </c>
      <c r="AM14" s="4" t="n">
        <v>25000</v>
      </c>
      <c r="AN14" s="4" t="n">
        <v>2284933</v>
      </c>
      <c r="AO14" s="4" t="n">
        <v>3562405</v>
      </c>
      <c r="AP14" s="7" t="n">
        <v>0.333</v>
      </c>
      <c r="AQ14" s="9" t="n">
        <v>45</v>
      </c>
      <c r="AR14" s="9" t="n">
        <v>10</v>
      </c>
      <c r="AS14" s="7"/>
      <c r="AT14" s="3" t="s">
        <v>119</v>
      </c>
      <c r="AU14" s="6" t="n">
        <f aca="false">IFERROR(P14/AR14,"")</f>
        <v>147092.6</v>
      </c>
      <c r="AV14" s="4" t="n">
        <v>2152733</v>
      </c>
      <c r="AW14" s="4" t="n">
        <v>820702</v>
      </c>
      <c r="AX14" s="4" t="n">
        <v>424361</v>
      </c>
      <c r="AY14" s="9" t="n">
        <v>21797</v>
      </c>
      <c r="AZ14" s="7"/>
      <c r="BA14" s="7" t="n">
        <v>0.819</v>
      </c>
      <c r="BB14" s="3" t="s">
        <v>120</v>
      </c>
      <c r="BC14" s="3" t="s">
        <v>121</v>
      </c>
      <c r="BD14" s="3" t="s">
        <v>102</v>
      </c>
      <c r="BE14" s="4" t="n">
        <v>2317981</v>
      </c>
      <c r="BF14" s="5" t="n">
        <f aca="false">IFERROR(P14/BE14-1,"")</f>
        <v>-0.365427930599949</v>
      </c>
      <c r="BG14" s="7" t="n">
        <v>0.284</v>
      </c>
      <c r="BH14" s="7" t="n">
        <v>0.189</v>
      </c>
      <c r="BI14" s="6" t="n">
        <f aca="false">P14</f>
        <v>1470926</v>
      </c>
      <c r="BJ14" s="4" t="n">
        <v>-1175452</v>
      </c>
      <c r="BK14" s="3" t="s">
        <v>122</v>
      </c>
      <c r="BL14" s="3" t="s">
        <v>123</v>
      </c>
      <c r="BM14" s="6" t="n">
        <f aca="false">O14</f>
        <v>24713302</v>
      </c>
      <c r="BN14" s="3" t="s">
        <v>124</v>
      </c>
      <c r="BO14" s="5" t="n">
        <f aca="false">IFERROR(1-L14/M14,"")</f>
        <v>0.213152780389944</v>
      </c>
      <c r="BP14" s="3" t="s">
        <v>106</v>
      </c>
      <c r="BQ14" s="4" t="n">
        <v>2805523</v>
      </c>
      <c r="BR14" s="3" t="s">
        <v>88</v>
      </c>
      <c r="BS14" s="3" t="s">
        <v>89</v>
      </c>
      <c r="BT14" s="3" t="s">
        <v>90</v>
      </c>
    </row>
    <row r="15" customFormat="false" ht="15" hidden="false" customHeight="false" outlineLevel="0" collapsed="false">
      <c r="A15" s="11" t="s">
        <v>115</v>
      </c>
      <c r="B15" s="11" t="s">
        <v>91</v>
      </c>
      <c r="C15" s="11" t="s">
        <v>116</v>
      </c>
      <c r="D15" s="11" t="s">
        <v>117</v>
      </c>
      <c r="E15" s="11" t="s">
        <v>118</v>
      </c>
      <c r="F15" s="11" t="s">
        <v>77</v>
      </c>
      <c r="G15" s="11" t="s">
        <v>111</v>
      </c>
      <c r="H15" s="11" t="s">
        <v>79</v>
      </c>
      <c r="I15" s="11" t="s">
        <v>111</v>
      </c>
      <c r="J15" s="12" t="n">
        <v>6800000</v>
      </c>
      <c r="K15" s="13" t="n">
        <f aca="false">IFERROR(J15/M15,"")</f>
        <v>0.213152780389944</v>
      </c>
      <c r="L15" s="12" t="n">
        <v>25102000</v>
      </c>
      <c r="M15" s="14" t="n">
        <f aca="false">L15+J15</f>
        <v>31902000</v>
      </c>
      <c r="N15" s="12" t="n">
        <v>6800000</v>
      </c>
      <c r="O15" s="12" t="n">
        <v>24713302</v>
      </c>
      <c r="P15" s="12" t="n">
        <v>1389597</v>
      </c>
      <c r="Q15" s="13" t="n">
        <f aca="false">IFERROR(P15/P14-1,"")</f>
        <v>-0.0552910207583522</v>
      </c>
      <c r="R15" s="12" t="n">
        <v>1502017</v>
      </c>
      <c r="S15" s="13" t="n">
        <f aca="false">IFERROR(R15/R14-1,"")</f>
        <v>-0.0385546734227387</v>
      </c>
      <c r="T15" s="12" t="n">
        <v>747473</v>
      </c>
      <c r="U15" s="13" t="n">
        <f aca="false">IFERROR(T15/P15,"")</f>
        <v>0.537906313844949</v>
      </c>
      <c r="V15" s="14" t="n">
        <f aca="false">T15-AV15</f>
        <v>-2016241</v>
      </c>
      <c r="W15" s="14" t="n">
        <f aca="false">V15-AA15*0.1</f>
        <v>-2016241</v>
      </c>
      <c r="X15" s="12" t="n">
        <v>1627032</v>
      </c>
      <c r="Y15" s="12" t="n">
        <v>158400</v>
      </c>
      <c r="Z15" s="15" t="n">
        <f aca="false">IFERROR(X15/Y15,"")</f>
        <v>10.2716666666667</v>
      </c>
      <c r="AA15" s="12" t="n">
        <v>0</v>
      </c>
      <c r="AB15" s="14" t="n">
        <f aca="false">W15-0.02*P15</f>
        <v>-2044032.94</v>
      </c>
      <c r="AC15" s="16" t="n">
        <v>62</v>
      </c>
      <c r="AD15" s="13" t="n">
        <f aca="false">IFERROR(AC15/AC14-1,"")</f>
        <v>-0.0461538461538461</v>
      </c>
      <c r="AE15" s="17" t="n">
        <v>0.274</v>
      </c>
      <c r="AF15" s="17" t="n">
        <v>0.215</v>
      </c>
      <c r="AG15" s="13" t="n">
        <f aca="false">1-AF15</f>
        <v>0.785</v>
      </c>
      <c r="AH15" s="17" t="n">
        <v>0.953</v>
      </c>
      <c r="AI15" s="12" t="n">
        <v>34356</v>
      </c>
      <c r="AJ15" s="14" t="n">
        <f aca="false">IFERROR(AM15*U15*MIN(1/AE15,5),"")</f>
        <v>50060.6240987088</v>
      </c>
      <c r="AK15" s="18" t="n">
        <f aca="false">IFERROR(AJ15/AI15,"")</f>
        <v>1.45711445158659</v>
      </c>
      <c r="AL15" s="15" t="n">
        <f aca="false">IFERROR(AI15/(AM15*U15/12),"")</f>
        <v>30.0564038674307</v>
      </c>
      <c r="AM15" s="12" t="n">
        <v>25500</v>
      </c>
      <c r="AN15" s="12" t="n">
        <v>1804776</v>
      </c>
      <c r="AO15" s="12" t="n">
        <v>5258702</v>
      </c>
      <c r="AP15" s="17" t="n">
        <v>0.333</v>
      </c>
      <c r="AQ15" s="16" t="n">
        <v>45</v>
      </c>
      <c r="AR15" s="16" t="n">
        <v>9</v>
      </c>
      <c r="AS15" s="13" t="n">
        <f aca="false">IFERROR(AR15/AR14-1,"")</f>
        <v>-0.1</v>
      </c>
      <c r="AT15" s="11" t="s">
        <v>119</v>
      </c>
      <c r="AU15" s="14" t="n">
        <f aca="false">IFERROR(P15/AR15,"")</f>
        <v>154399.666666667</v>
      </c>
      <c r="AV15" s="12" t="n">
        <v>2763714</v>
      </c>
      <c r="AW15" s="12" t="n">
        <v>938311</v>
      </c>
      <c r="AX15" s="12" t="n">
        <v>929253</v>
      </c>
      <c r="AY15" s="16" t="n">
        <v>20322</v>
      </c>
      <c r="AZ15" s="13" t="n">
        <f aca="false">IFERROR(AY15/AY14-1,"")</f>
        <v>-0.0676698628251594</v>
      </c>
      <c r="BA15" s="17" t="n">
        <v>0.807</v>
      </c>
      <c r="BB15" s="11" t="s">
        <v>120</v>
      </c>
      <c r="BC15" s="11" t="s">
        <v>121</v>
      </c>
      <c r="BD15" s="11" t="s">
        <v>102</v>
      </c>
      <c r="BE15" s="12" t="n">
        <v>1865537</v>
      </c>
      <c r="BF15" s="13" t="n">
        <f aca="false">IFERROR(P15/BE15-1,"")</f>
        <v>-0.255122251662658</v>
      </c>
      <c r="BG15" s="17" t="n">
        <v>0.147</v>
      </c>
      <c r="BH15" s="17" t="n">
        <v>0.331</v>
      </c>
      <c r="BI15" s="14" t="n">
        <f aca="false">P15*(1+IFERROR(Q15,0))^4</f>
        <v>1106830.30299395</v>
      </c>
      <c r="BJ15" s="12" t="n">
        <v>-1037673</v>
      </c>
      <c r="BK15" s="11" t="s">
        <v>122</v>
      </c>
      <c r="BL15" s="11" t="s">
        <v>123</v>
      </c>
      <c r="BM15" s="14" t="n">
        <f aca="false">O15</f>
        <v>24713302</v>
      </c>
      <c r="BN15" s="11" t="s">
        <v>124</v>
      </c>
      <c r="BO15" s="13" t="n">
        <f aca="false">IFERROR(1-L15/M15,"")</f>
        <v>0.213152780389944</v>
      </c>
      <c r="BP15" s="11" t="s">
        <v>106</v>
      </c>
      <c r="BQ15" s="12" t="n">
        <v>2531565</v>
      </c>
      <c r="BR15" s="11" t="s">
        <v>88</v>
      </c>
      <c r="BS15" s="11" t="s">
        <v>89</v>
      </c>
      <c r="BT15" s="19" t="str">
        <f aca="false">IF(OR(Z15&lt;6,AH15&lt;0.9,S15&lt;0.02,AK15&lt;1),"REVIEW",IF(AND(S15&gt;0.25,AH15&gt;1.2),"ACCELERATING","STABLE"))</f>
        <v>REVIEW</v>
      </c>
    </row>
    <row r="16" customFormat="false" ht="15" hidden="false" customHeight="false" outlineLevel="0" collapsed="false">
      <c r="A16" s="11" t="s">
        <v>115</v>
      </c>
      <c r="B16" s="11" t="s">
        <v>92</v>
      </c>
      <c r="C16" s="11" t="s">
        <v>116</v>
      </c>
      <c r="D16" s="11" t="s">
        <v>117</v>
      </c>
      <c r="E16" s="11" t="s">
        <v>118</v>
      </c>
      <c r="F16" s="11" t="s">
        <v>77</v>
      </c>
      <c r="G16" s="11" t="s">
        <v>111</v>
      </c>
      <c r="H16" s="11" t="s">
        <v>79</v>
      </c>
      <c r="I16" s="11" t="s">
        <v>111</v>
      </c>
      <c r="J16" s="12" t="n">
        <v>6800000</v>
      </c>
      <c r="K16" s="13" t="n">
        <f aca="false">IFERROR(J16/M16,"")</f>
        <v>0.213152780389944</v>
      </c>
      <c r="L16" s="12" t="n">
        <v>25102000</v>
      </c>
      <c r="M16" s="14" t="n">
        <f aca="false">L16+J16</f>
        <v>31902000</v>
      </c>
      <c r="N16" s="12" t="n">
        <v>6800000</v>
      </c>
      <c r="O16" s="12" t="n">
        <v>24713302</v>
      </c>
      <c r="P16" s="12" t="n">
        <v>1286351</v>
      </c>
      <c r="Q16" s="13" t="n">
        <f aca="false">IFERROR(P16/P15-1,"")</f>
        <v>-0.0742992392758476</v>
      </c>
      <c r="R16" s="12" t="n">
        <v>1418571</v>
      </c>
      <c r="S16" s="13" t="n">
        <f aca="false">IFERROR(R16/R15-1,"")</f>
        <v>-0.0555559624158715</v>
      </c>
      <c r="T16" s="12" t="n">
        <v>678629</v>
      </c>
      <c r="U16" s="13" t="n">
        <f aca="false">IFERROR(T16/P16,"")</f>
        <v>0.52756129547845</v>
      </c>
      <c r="V16" s="14" t="n">
        <f aca="false">T16-AV16</f>
        <v>-1668951</v>
      </c>
      <c r="W16" s="14" t="n">
        <f aca="false">V16-AA16*0.1</f>
        <v>-1668951</v>
      </c>
      <c r="X16" s="12" t="n">
        <v>1139952</v>
      </c>
      <c r="Y16" s="12" t="n">
        <v>169200</v>
      </c>
      <c r="Z16" s="15" t="n">
        <f aca="false">IFERROR(X16/Y16,"")</f>
        <v>6.73730496453901</v>
      </c>
      <c r="AA16" s="12" t="n">
        <v>0</v>
      </c>
      <c r="AB16" s="14" t="n">
        <f aca="false">W16-0.02*P16</f>
        <v>-1694678.02</v>
      </c>
      <c r="AC16" s="16" t="n">
        <v>58</v>
      </c>
      <c r="AD16" s="13" t="n">
        <f aca="false">IFERROR(AC16/AC15-1,"")</f>
        <v>-0.0645161290322581</v>
      </c>
      <c r="AE16" s="17" t="n">
        <v>0.318</v>
      </c>
      <c r="AF16" s="17" t="n">
        <v>0.279</v>
      </c>
      <c r="AG16" s="13" t="n">
        <f aca="false">1-AF16</f>
        <v>0.721</v>
      </c>
      <c r="AH16" s="17" t="n">
        <v>0.913</v>
      </c>
      <c r="AI16" s="12" t="n">
        <v>37628</v>
      </c>
      <c r="AJ16" s="14" t="n">
        <f aca="false">IFERROR(AM16*U16*MIN(1/AE16,5),"")</f>
        <v>43133.9423976091</v>
      </c>
      <c r="AK16" s="18" t="n">
        <f aca="false">IFERROR(AJ16/AI16,"")</f>
        <v>1.1463256723081</v>
      </c>
      <c r="AL16" s="15" t="n">
        <f aca="false">IFERROR(AI16/(AM16*U16/12),"")</f>
        <v>32.9189600897828</v>
      </c>
      <c r="AM16" s="12" t="n">
        <v>26000</v>
      </c>
      <c r="AN16" s="12" t="n">
        <v>2071057</v>
      </c>
      <c r="AO16" s="12" t="n">
        <v>5572556</v>
      </c>
      <c r="AP16" s="17" t="n">
        <v>0.333</v>
      </c>
      <c r="AQ16" s="16" t="n">
        <v>45</v>
      </c>
      <c r="AR16" s="16" t="n">
        <v>8</v>
      </c>
      <c r="AS16" s="13" t="n">
        <f aca="false">IFERROR(AR16/AR15-1,"")</f>
        <v>-0.111111111111111</v>
      </c>
      <c r="AT16" s="11" t="s">
        <v>119</v>
      </c>
      <c r="AU16" s="14" t="n">
        <f aca="false">IFERROR(P16/AR16,"")</f>
        <v>160793.875</v>
      </c>
      <c r="AV16" s="12" t="n">
        <v>2347580</v>
      </c>
      <c r="AW16" s="12" t="n">
        <v>877218</v>
      </c>
      <c r="AX16" s="12" t="n">
        <v>635052</v>
      </c>
      <c r="AY16" s="16" t="n">
        <v>19280</v>
      </c>
      <c r="AZ16" s="13" t="n">
        <f aca="false">IFERROR(AY16/AY15-1,"")</f>
        <v>-0.0512744808581832</v>
      </c>
      <c r="BA16" s="17" t="n">
        <v>0.777</v>
      </c>
      <c r="BB16" s="11" t="s">
        <v>120</v>
      </c>
      <c r="BC16" s="11" t="s">
        <v>121</v>
      </c>
      <c r="BD16" s="11" t="s">
        <v>102</v>
      </c>
      <c r="BE16" s="12" t="n">
        <v>1802530</v>
      </c>
      <c r="BF16" s="13" t="n">
        <f aca="false">IFERROR(P16/BE16-1,"")</f>
        <v>-0.286363611146555</v>
      </c>
      <c r="BG16" s="17" t="n">
        <v>0.213</v>
      </c>
      <c r="BH16" s="17" t="n">
        <v>0.366</v>
      </c>
      <c r="BI16" s="14" t="n">
        <f aca="false">P16*(1+IFERROR(Q16,0))^4</f>
        <v>944587.014611047</v>
      </c>
      <c r="BJ16" s="12" t="n">
        <v>-1182704</v>
      </c>
      <c r="BK16" s="11" t="s">
        <v>122</v>
      </c>
      <c r="BL16" s="11" t="s">
        <v>123</v>
      </c>
      <c r="BM16" s="14" t="n">
        <f aca="false">O16</f>
        <v>24713302</v>
      </c>
      <c r="BN16" s="11" t="s">
        <v>124</v>
      </c>
      <c r="BO16" s="13" t="n">
        <f aca="false">IFERROR(1-L16/M16,"")</f>
        <v>0.213152780389944</v>
      </c>
      <c r="BP16" s="11" t="s">
        <v>106</v>
      </c>
      <c r="BQ16" s="12" t="n">
        <v>2853876</v>
      </c>
      <c r="BR16" s="11" t="s">
        <v>88</v>
      </c>
      <c r="BS16" s="11" t="s">
        <v>89</v>
      </c>
      <c r="BT16" s="19" t="str">
        <f aca="false">IF(OR(Z16&lt;6,AH16&lt;0.9,S16&lt;0.02,AK16&lt;1),"REVIEW",IF(AND(S16&gt;0.25,AH16&gt;1.2),"ACCELERATING","STABLE"))</f>
        <v>REVIEW</v>
      </c>
    </row>
    <row r="17" customFormat="false" ht="15" hidden="false" customHeight="false" outlineLevel="0" collapsed="false">
      <c r="A17" s="11" t="s">
        <v>115</v>
      </c>
      <c r="B17" s="11" t="s">
        <v>93</v>
      </c>
      <c r="C17" s="11" t="s">
        <v>116</v>
      </c>
      <c r="D17" s="11" t="s">
        <v>117</v>
      </c>
      <c r="E17" s="11" t="s">
        <v>118</v>
      </c>
      <c r="F17" s="11" t="s">
        <v>77</v>
      </c>
      <c r="G17" s="11" t="s">
        <v>111</v>
      </c>
      <c r="H17" s="11" t="s">
        <v>79</v>
      </c>
      <c r="I17" s="11" t="s">
        <v>111</v>
      </c>
      <c r="J17" s="12" t="n">
        <v>6800000</v>
      </c>
      <c r="K17" s="13" t="n">
        <f aca="false">IFERROR(J17/M17,"")</f>
        <v>0.213152780389944</v>
      </c>
      <c r="L17" s="12" t="n">
        <v>25102000</v>
      </c>
      <c r="M17" s="14" t="n">
        <f aca="false">L17+J17</f>
        <v>31902000</v>
      </c>
      <c r="N17" s="12" t="n">
        <v>6800000</v>
      </c>
      <c r="O17" s="12" t="n">
        <v>24713302</v>
      </c>
      <c r="P17" s="12" t="n">
        <v>1215438</v>
      </c>
      <c r="Q17" s="13" t="n">
        <f aca="false">IFERROR(P17/P16-1,"")</f>
        <v>-0.0551272553136741</v>
      </c>
      <c r="R17" s="12" t="n">
        <v>1310754</v>
      </c>
      <c r="S17" s="13" t="n">
        <f aca="false">IFERROR(R17/R16-1,"")</f>
        <v>-0.0760039504543657</v>
      </c>
      <c r="T17" s="12" t="n">
        <v>628646</v>
      </c>
      <c r="U17" s="13" t="n">
        <f aca="false">IFERROR(T17/P17,"")</f>
        <v>0.517217661452086</v>
      </c>
      <c r="V17" s="14" t="n">
        <f aca="false">T17-AV17</f>
        <v>-1931236</v>
      </c>
      <c r="W17" s="14" t="n">
        <f aca="false">V17-AA17*0.1</f>
        <v>-1931236</v>
      </c>
      <c r="X17" s="12" t="n">
        <v>581592</v>
      </c>
      <c r="Y17" s="12" t="n">
        <v>180000</v>
      </c>
      <c r="Z17" s="15" t="n">
        <f aca="false">IFERROR(X17/Y17,"")</f>
        <v>3.23106666666667</v>
      </c>
      <c r="AA17" s="12" t="n">
        <v>0</v>
      </c>
      <c r="AB17" s="14" t="n">
        <f aca="false">W17-0.02*P17</f>
        <v>-1955544.76</v>
      </c>
      <c r="AC17" s="16" t="n">
        <v>56</v>
      </c>
      <c r="AD17" s="13" t="n">
        <f aca="false">IFERROR(AC17/AC16-1,"")</f>
        <v>-0.0344827586206896</v>
      </c>
      <c r="AE17" s="17" t="n">
        <v>0.361</v>
      </c>
      <c r="AF17" s="17" t="n">
        <v>0.268</v>
      </c>
      <c r="AG17" s="13" t="n">
        <f aca="false">1-AF17</f>
        <v>0.732</v>
      </c>
      <c r="AH17" s="17" t="n">
        <v>0.873</v>
      </c>
      <c r="AI17" s="12" t="n">
        <v>40900</v>
      </c>
      <c r="AJ17" s="14" t="n">
        <f aca="false">IFERROR(AM17*U17*MIN(1/AE17,5),"")</f>
        <v>37967.5014639343</v>
      </c>
      <c r="AK17" s="18" t="n">
        <f aca="false">IFERROR(AJ17/AI17,"")</f>
        <v>0.928300769289346</v>
      </c>
      <c r="AL17" s="15" t="n">
        <f aca="false">IFERROR(AI17/(AM17*U17/12),"")</f>
        <v>35.8084344316167</v>
      </c>
      <c r="AM17" s="12" t="n">
        <v>26500</v>
      </c>
      <c r="AN17" s="12" t="n">
        <v>1623186</v>
      </c>
      <c r="AO17" s="12" t="n">
        <v>2634711</v>
      </c>
      <c r="AP17" s="17" t="n">
        <v>0.333</v>
      </c>
      <c r="AQ17" s="16" t="n">
        <v>45</v>
      </c>
      <c r="AR17" s="16" t="n">
        <v>7</v>
      </c>
      <c r="AS17" s="13" t="n">
        <f aca="false">IFERROR(AR17/AR16-1,"")</f>
        <v>-0.125</v>
      </c>
      <c r="AT17" s="11" t="s">
        <v>119</v>
      </c>
      <c r="AU17" s="14" t="n">
        <f aca="false">IFERROR(P17/AR17,"")</f>
        <v>173634</v>
      </c>
      <c r="AV17" s="12" t="n">
        <v>2559882</v>
      </c>
      <c r="AW17" s="12" t="n">
        <v>1145270</v>
      </c>
      <c r="AX17" s="12" t="n">
        <v>487243</v>
      </c>
      <c r="AY17" s="16" t="n">
        <v>18212</v>
      </c>
      <c r="AZ17" s="13" t="n">
        <f aca="false">IFERROR(AY17/AY16-1,"")</f>
        <v>-0.0553941908713693</v>
      </c>
      <c r="BA17" s="17" t="n">
        <v>0.604</v>
      </c>
      <c r="BB17" s="11" t="s">
        <v>120</v>
      </c>
      <c r="BC17" s="11" t="s">
        <v>121</v>
      </c>
      <c r="BD17" s="11" t="s">
        <v>102</v>
      </c>
      <c r="BE17" s="12" t="n">
        <v>1591530</v>
      </c>
      <c r="BF17" s="13" t="n">
        <f aca="false">IFERROR(P17/BE17-1,"")</f>
        <v>-0.236308457899003</v>
      </c>
      <c r="BG17" s="17" t="n">
        <v>0.171</v>
      </c>
      <c r="BH17" s="17" t="n">
        <v>0.172</v>
      </c>
      <c r="BI17" s="14" t="n">
        <f aca="false">P17*(1+IFERROR(Q17,0))^4</f>
        <v>968782.080607221</v>
      </c>
      <c r="BJ17" s="12" t="n">
        <v>-1909438</v>
      </c>
      <c r="BK17" s="11" t="s">
        <v>122</v>
      </c>
      <c r="BL17" s="11" t="s">
        <v>123</v>
      </c>
      <c r="BM17" s="14" t="n">
        <f aca="false">O17</f>
        <v>24713302</v>
      </c>
      <c r="BN17" s="11" t="s">
        <v>124</v>
      </c>
      <c r="BO17" s="13" t="n">
        <f aca="false">IFERROR(1-L17/M17,"")</f>
        <v>0.213152780389944</v>
      </c>
      <c r="BP17" s="11" t="s">
        <v>106</v>
      </c>
      <c r="BQ17" s="12" t="n">
        <v>2548123</v>
      </c>
      <c r="BR17" s="11" t="s">
        <v>88</v>
      </c>
      <c r="BS17" s="11" t="s">
        <v>89</v>
      </c>
      <c r="BT17" s="19" t="str">
        <f aca="false">IF(OR(Z17&lt;6,AH17&lt;0.9,S17&lt;0.02,AK17&lt;1),"REVIEW",IF(AND(S17&gt;0.25,AH17&gt;1.2),"ACCELERATING","STABLE"))</f>
        <v>REVIEW</v>
      </c>
    </row>
    <row r="18" customFormat="false" ht="15" hidden="false" customHeight="false" outlineLevel="0" collapsed="false">
      <c r="A18" s="3" t="s">
        <v>125</v>
      </c>
      <c r="B18" s="3" t="s">
        <v>73</v>
      </c>
      <c r="C18" s="3" t="s">
        <v>126</v>
      </c>
      <c r="D18" s="3" t="s">
        <v>127</v>
      </c>
      <c r="E18" s="3" t="s">
        <v>96</v>
      </c>
      <c r="F18" s="3" t="s">
        <v>128</v>
      </c>
      <c r="G18" s="3" t="s">
        <v>78</v>
      </c>
      <c r="H18" s="3" t="s">
        <v>79</v>
      </c>
      <c r="I18" s="3" t="s">
        <v>78</v>
      </c>
      <c r="J18" s="4" t="n">
        <v>1500000</v>
      </c>
      <c r="K18" s="5" t="n">
        <f aca="false">IFERROR(J18/M18,"")</f>
        <v>0.0159296546450873</v>
      </c>
      <c r="L18" s="4" t="n">
        <v>92664000</v>
      </c>
      <c r="M18" s="6" t="n">
        <f aca="false">L18+J18</f>
        <v>94164000</v>
      </c>
      <c r="N18" s="4" t="n">
        <v>8774000</v>
      </c>
      <c r="O18" s="4" t="n">
        <v>186338623</v>
      </c>
      <c r="P18" s="4" t="n">
        <v>3942312</v>
      </c>
      <c r="Q18" s="7"/>
      <c r="R18" s="4" t="n">
        <v>3720603</v>
      </c>
      <c r="S18" s="7"/>
      <c r="T18" s="4" t="n">
        <v>2837589</v>
      </c>
      <c r="U18" s="5" t="n">
        <f aca="false">IFERROR(T18/P18,"")</f>
        <v>0.719777886681724</v>
      </c>
      <c r="V18" s="6" t="n">
        <f aca="false">T18-AV18</f>
        <v>-6933458</v>
      </c>
      <c r="W18" s="6" t="n">
        <f aca="false">V18-AA18*0.1</f>
        <v>-6933458</v>
      </c>
      <c r="X18" s="4" t="n">
        <v>14117141</v>
      </c>
      <c r="Y18" s="4" t="n">
        <v>634270</v>
      </c>
      <c r="Z18" s="8" t="n">
        <f aca="false">IFERROR(X18/Y18,"")</f>
        <v>22.2573052485535</v>
      </c>
      <c r="AA18" s="4" t="n">
        <v>0</v>
      </c>
      <c r="AB18" s="6" t="n">
        <f aca="false">W18-0.02*P18</f>
        <v>-7012304.24</v>
      </c>
      <c r="AC18" s="9" t="n">
        <v>207</v>
      </c>
      <c r="AD18" s="7"/>
      <c r="AE18" s="7" t="n">
        <v>0.071</v>
      </c>
      <c r="AF18" s="7" t="n">
        <v>0.049</v>
      </c>
      <c r="AG18" s="5" t="n">
        <f aca="false">1-AF18</f>
        <v>0.951</v>
      </c>
      <c r="AH18" s="7" t="n">
        <v>1.162</v>
      </c>
      <c r="AI18" s="4" t="n">
        <v>145326</v>
      </c>
      <c r="AJ18" s="6" t="n">
        <f aca="false">IFERROR(AM18*U18*MIN(1/AE18,5),"")</f>
        <v>464256.736909712</v>
      </c>
      <c r="AK18" s="10" t="n">
        <f aca="false">IFERROR(AJ18/AI18,"")</f>
        <v>3.19458828364994</v>
      </c>
      <c r="AL18" s="8" t="n">
        <f aca="false">IFERROR(AI18/(AM18*U18/12),"")</f>
        <v>18.7817629918331</v>
      </c>
      <c r="AM18" s="4" t="n">
        <v>129000</v>
      </c>
      <c r="AN18" s="4" t="n">
        <v>5309636</v>
      </c>
      <c r="AO18" s="4" t="n">
        <v>5911090</v>
      </c>
      <c r="AP18" s="7" t="n">
        <v>0.302</v>
      </c>
      <c r="AQ18" s="9" t="n">
        <v>103</v>
      </c>
      <c r="AR18" s="9" t="n">
        <v>26</v>
      </c>
      <c r="AS18" s="7"/>
      <c r="AT18" s="3" t="s">
        <v>129</v>
      </c>
      <c r="AU18" s="6" t="n">
        <f aca="false">IFERROR(P18/AR18,"")</f>
        <v>151627.384615385</v>
      </c>
      <c r="AV18" s="4" t="n">
        <v>9771047</v>
      </c>
      <c r="AW18" s="4" t="n">
        <v>4114591</v>
      </c>
      <c r="AX18" s="4" t="n">
        <v>3017207</v>
      </c>
      <c r="AY18" s="9" t="n">
        <v>45674</v>
      </c>
      <c r="AZ18" s="7"/>
      <c r="BA18" s="7" t="n">
        <v>0.949</v>
      </c>
      <c r="BB18" s="3" t="s">
        <v>81</v>
      </c>
      <c r="BC18" s="3" t="s">
        <v>82</v>
      </c>
      <c r="BD18" s="3" t="s">
        <v>130</v>
      </c>
      <c r="BE18" s="4" t="n">
        <v>4417705</v>
      </c>
      <c r="BF18" s="5" t="n">
        <f aca="false">IFERROR(P18/BE18-1,"")</f>
        <v>-0.107610852241152</v>
      </c>
      <c r="BG18" s="7" t="n">
        <v>0.056</v>
      </c>
      <c r="BH18" s="7" t="n">
        <v>-0.026</v>
      </c>
      <c r="BI18" s="6" t="n">
        <f aca="false">P18</f>
        <v>3942312</v>
      </c>
      <c r="BJ18" s="4" t="n">
        <v>-5882327</v>
      </c>
      <c r="BK18" s="3" t="s">
        <v>131</v>
      </c>
      <c r="BL18" s="3" t="s">
        <v>132</v>
      </c>
      <c r="BM18" s="6" t="n">
        <f aca="false">O18</f>
        <v>186338623</v>
      </c>
      <c r="BN18" s="3" t="s">
        <v>133</v>
      </c>
      <c r="BO18" s="5" t="n">
        <f aca="false">IFERROR(1-L18/M18,"")</f>
        <v>0.0159296546450873</v>
      </c>
      <c r="BP18" s="3" t="s">
        <v>114</v>
      </c>
      <c r="BQ18" s="4" t="n">
        <v>10575204</v>
      </c>
      <c r="BR18" s="3" t="s">
        <v>88</v>
      </c>
      <c r="BS18" s="3" t="s">
        <v>89</v>
      </c>
      <c r="BT18" s="3" t="s">
        <v>90</v>
      </c>
    </row>
    <row r="19" customFormat="false" ht="15" hidden="false" customHeight="false" outlineLevel="0" collapsed="false">
      <c r="A19" s="11" t="s">
        <v>125</v>
      </c>
      <c r="B19" s="11" t="s">
        <v>91</v>
      </c>
      <c r="C19" s="11" t="s">
        <v>126</v>
      </c>
      <c r="D19" s="11" t="s">
        <v>127</v>
      </c>
      <c r="E19" s="11" t="s">
        <v>96</v>
      </c>
      <c r="F19" s="11" t="s">
        <v>128</v>
      </c>
      <c r="G19" s="11" t="s">
        <v>78</v>
      </c>
      <c r="H19" s="11" t="s">
        <v>79</v>
      </c>
      <c r="I19" s="11" t="s">
        <v>78</v>
      </c>
      <c r="J19" s="12" t="n">
        <v>1500000</v>
      </c>
      <c r="K19" s="13" t="n">
        <f aca="false">IFERROR(J19/M19,"")</f>
        <v>0.0159296546450873</v>
      </c>
      <c r="L19" s="12" t="n">
        <v>92664000</v>
      </c>
      <c r="M19" s="14" t="n">
        <f aca="false">L19+J19</f>
        <v>94164000</v>
      </c>
      <c r="N19" s="12" t="n">
        <v>8774000</v>
      </c>
      <c r="O19" s="12" t="n">
        <v>186338623</v>
      </c>
      <c r="P19" s="12" t="n">
        <v>4640906</v>
      </c>
      <c r="Q19" s="13" t="n">
        <f aca="false">IFERROR(P19/P18-1,"")</f>
        <v>0.177204138079381</v>
      </c>
      <c r="R19" s="12" t="n">
        <v>4598404</v>
      </c>
      <c r="S19" s="13" t="n">
        <f aca="false">IFERROR(R19/R18-1,"")</f>
        <v>0.235929767298473</v>
      </c>
      <c r="T19" s="12" t="n">
        <v>3353945</v>
      </c>
      <c r="U19" s="13" t="n">
        <f aca="false">IFERROR(T19/P19,"")</f>
        <v>0.722691862321711</v>
      </c>
      <c r="V19" s="14" t="n">
        <f aca="false">T19-AV19</f>
        <v>-6893584</v>
      </c>
      <c r="W19" s="14" t="n">
        <f aca="false">V19-AA19*0.1</f>
        <v>-6893584</v>
      </c>
      <c r="X19" s="12" t="n">
        <v>12517526</v>
      </c>
      <c r="Y19" s="12" t="n">
        <v>655180</v>
      </c>
      <c r="Z19" s="15" t="n">
        <f aca="false">IFERROR(X19/Y19,"")</f>
        <v>19.1054763576422</v>
      </c>
      <c r="AA19" s="12" t="n">
        <v>0</v>
      </c>
      <c r="AB19" s="14" t="n">
        <f aca="false">W19-0.02*P19</f>
        <v>-6986402.12</v>
      </c>
      <c r="AC19" s="16" t="n">
        <v>232</v>
      </c>
      <c r="AD19" s="13" t="n">
        <f aca="false">IFERROR(AC19/AC18-1,"")</f>
        <v>0.120772946859903</v>
      </c>
      <c r="AE19" s="17" t="n">
        <v>0.069</v>
      </c>
      <c r="AF19" s="17" t="n">
        <v>0.054</v>
      </c>
      <c r="AG19" s="13" t="n">
        <f aca="false">1-AF19</f>
        <v>0.946</v>
      </c>
      <c r="AH19" s="17" t="n">
        <v>1.157</v>
      </c>
      <c r="AI19" s="12" t="n">
        <v>142584</v>
      </c>
      <c r="AJ19" s="14" t="n">
        <f aca="false">IFERROR(AM19*U19*MIN(1/AE19,5),"")</f>
        <v>475458.976221453</v>
      </c>
      <c r="AK19" s="18" t="n">
        <f aca="false">IFERROR(AJ19/AI19,"")</f>
        <v>3.33458856689007</v>
      </c>
      <c r="AL19" s="15" t="n">
        <f aca="false">IFERROR(AI19/(AM19*U19/12),"")</f>
        <v>17.9932242903231</v>
      </c>
      <c r="AM19" s="12" t="n">
        <v>131580</v>
      </c>
      <c r="AN19" s="12" t="n">
        <v>5794246</v>
      </c>
      <c r="AO19" s="12" t="n">
        <v>7878304</v>
      </c>
      <c r="AP19" s="17" t="n">
        <v>0.302</v>
      </c>
      <c r="AQ19" s="16" t="n">
        <v>103</v>
      </c>
      <c r="AR19" s="16" t="n">
        <v>27</v>
      </c>
      <c r="AS19" s="13" t="n">
        <f aca="false">IFERROR(AR19/AR18-1,"")</f>
        <v>0.0384615384615386</v>
      </c>
      <c r="AT19" s="11" t="s">
        <v>129</v>
      </c>
      <c r="AU19" s="14" t="n">
        <f aca="false">IFERROR(P19/AR19,"")</f>
        <v>171885.407407407</v>
      </c>
      <c r="AV19" s="12" t="n">
        <v>10247529</v>
      </c>
      <c r="AW19" s="12" t="n">
        <v>3472708</v>
      </c>
      <c r="AX19" s="12" t="n">
        <v>2440789</v>
      </c>
      <c r="AY19" s="16" t="n">
        <v>56796</v>
      </c>
      <c r="AZ19" s="13" t="n">
        <f aca="false">IFERROR(AY19/AY18-1,"")</f>
        <v>0.243508341726146</v>
      </c>
      <c r="BA19" s="17" t="n">
        <v>0.949</v>
      </c>
      <c r="BB19" s="11" t="s">
        <v>81</v>
      </c>
      <c r="BC19" s="11" t="s">
        <v>82</v>
      </c>
      <c r="BD19" s="11" t="s">
        <v>130</v>
      </c>
      <c r="BE19" s="12" t="n">
        <v>4942164</v>
      </c>
      <c r="BF19" s="13" t="n">
        <f aca="false">IFERROR(P19/BE19-1,"")</f>
        <v>-0.0609566983208165</v>
      </c>
      <c r="BG19" s="17" t="n">
        <v>0.063</v>
      </c>
      <c r="BH19" s="17" t="n">
        <v>-0.024</v>
      </c>
      <c r="BI19" s="14" t="n">
        <f aca="false">P19*(1+IFERROR(Q19,0))^4</f>
        <v>8912712.39002765</v>
      </c>
      <c r="BJ19" s="12" t="n">
        <v>-6908656</v>
      </c>
      <c r="BK19" s="11" t="s">
        <v>131</v>
      </c>
      <c r="BL19" s="11" t="s">
        <v>132</v>
      </c>
      <c r="BM19" s="14" t="n">
        <f aca="false">O19</f>
        <v>186338623</v>
      </c>
      <c r="BN19" s="11" t="s">
        <v>133</v>
      </c>
      <c r="BO19" s="13" t="n">
        <f aca="false">IFERROR(1-L19/M19,"")</f>
        <v>0.0159296546450873</v>
      </c>
      <c r="BP19" s="11" t="s">
        <v>114</v>
      </c>
      <c r="BQ19" s="12" t="n">
        <v>10010457</v>
      </c>
      <c r="BR19" s="11" t="s">
        <v>88</v>
      </c>
      <c r="BS19" s="11" t="s">
        <v>89</v>
      </c>
      <c r="BT19" s="19" t="str">
        <f aca="false">IF(OR(Z19&lt;6,AH19&lt;0.9,S19&lt;0.02,AK19&lt;1),"REVIEW",IF(AND(S19&gt;0.25,AH19&gt;1.2),"ACCELERATING","STABLE"))</f>
        <v>STABLE</v>
      </c>
    </row>
    <row r="20" customFormat="false" ht="15" hidden="false" customHeight="false" outlineLevel="0" collapsed="false">
      <c r="A20" s="11" t="s">
        <v>125</v>
      </c>
      <c r="B20" s="11" t="s">
        <v>92</v>
      </c>
      <c r="C20" s="11" t="s">
        <v>126</v>
      </c>
      <c r="D20" s="11" t="s">
        <v>127</v>
      </c>
      <c r="E20" s="11" t="s">
        <v>96</v>
      </c>
      <c r="F20" s="11" t="s">
        <v>128</v>
      </c>
      <c r="G20" s="11" t="s">
        <v>78</v>
      </c>
      <c r="H20" s="11" t="s">
        <v>79</v>
      </c>
      <c r="I20" s="11" t="s">
        <v>78</v>
      </c>
      <c r="J20" s="12" t="n">
        <v>1500000</v>
      </c>
      <c r="K20" s="13" t="n">
        <f aca="false">IFERROR(J20/M20,"")</f>
        <v>0.0159296546450873</v>
      </c>
      <c r="L20" s="12" t="n">
        <v>92664000</v>
      </c>
      <c r="M20" s="14" t="n">
        <f aca="false">L20+J20</f>
        <v>94164000</v>
      </c>
      <c r="N20" s="12" t="n">
        <v>8774000</v>
      </c>
      <c r="O20" s="12" t="n">
        <v>186338623</v>
      </c>
      <c r="P20" s="12" t="n">
        <v>5716734</v>
      </c>
      <c r="Q20" s="13" t="n">
        <f aca="false">IFERROR(P20/P19-1,"")</f>
        <v>0.231814219033956</v>
      </c>
      <c r="R20" s="12" t="n">
        <v>6137702</v>
      </c>
      <c r="S20" s="13" t="n">
        <f aca="false">IFERROR(R20/R19-1,"")</f>
        <v>0.334746142357218</v>
      </c>
      <c r="T20" s="12" t="n">
        <v>4148097</v>
      </c>
      <c r="U20" s="13" t="n">
        <f aca="false">IFERROR(T20/P20,"")</f>
        <v>0.725606089071137</v>
      </c>
      <c r="V20" s="14" t="n">
        <f aca="false">T20-AV20</f>
        <v>-8507826</v>
      </c>
      <c r="W20" s="14" t="n">
        <f aca="false">V20-AA20*0.1</f>
        <v>-8507826</v>
      </c>
      <c r="X20" s="12" t="n">
        <v>10804997</v>
      </c>
      <c r="Y20" s="12" t="n">
        <v>676090</v>
      </c>
      <c r="Z20" s="15" t="n">
        <f aca="false">IFERROR(X20/Y20,"")</f>
        <v>15.9815956455501</v>
      </c>
      <c r="AA20" s="12" t="n">
        <v>0</v>
      </c>
      <c r="AB20" s="14" t="n">
        <f aca="false">W20-0.02*P20</f>
        <v>-8622160.68</v>
      </c>
      <c r="AC20" s="16" t="n">
        <v>285</v>
      </c>
      <c r="AD20" s="13" t="n">
        <f aca="false">IFERROR(AC20/AC19-1,"")</f>
        <v>0.228448275862069</v>
      </c>
      <c r="AE20" s="17" t="n">
        <v>0.067</v>
      </c>
      <c r="AF20" s="17" t="n">
        <v>0.06</v>
      </c>
      <c r="AG20" s="13" t="n">
        <f aca="false">1-AF20</f>
        <v>0.94</v>
      </c>
      <c r="AH20" s="17" t="n">
        <v>1.152</v>
      </c>
      <c r="AI20" s="12" t="n">
        <v>139842</v>
      </c>
      <c r="AJ20" s="14" t="n">
        <f aca="false">IFERROR(AM20*U20*MIN(1/AE20,5),"")</f>
        <v>486736.564548919</v>
      </c>
      <c r="AK20" s="18" t="n">
        <f aca="false">IFERROR(AJ20/AI20,"")</f>
        <v>3.48061787266286</v>
      </c>
      <c r="AL20" s="15" t="n">
        <f aca="false">IFERROR(AI20/(AM20*U20/12),"")</f>
        <v>17.2383186534915</v>
      </c>
      <c r="AM20" s="12" t="n">
        <v>134160</v>
      </c>
      <c r="AN20" s="12" t="n">
        <v>8773689</v>
      </c>
      <c r="AO20" s="12" t="n">
        <v>10905272</v>
      </c>
      <c r="AP20" s="17" t="n">
        <v>0.302</v>
      </c>
      <c r="AQ20" s="16" t="n">
        <v>103</v>
      </c>
      <c r="AR20" s="16" t="n">
        <v>29</v>
      </c>
      <c r="AS20" s="13" t="n">
        <f aca="false">IFERROR(AR20/AR19-1,"")</f>
        <v>0.0740740740740742</v>
      </c>
      <c r="AT20" s="11" t="s">
        <v>129</v>
      </c>
      <c r="AU20" s="14" t="n">
        <f aca="false">IFERROR(P20/AR20,"")</f>
        <v>197128.75862069</v>
      </c>
      <c r="AV20" s="12" t="n">
        <v>12655923</v>
      </c>
      <c r="AW20" s="12" t="n">
        <v>4804579</v>
      </c>
      <c r="AX20" s="12" t="n">
        <v>3448397</v>
      </c>
      <c r="AY20" s="16" t="n">
        <v>71387</v>
      </c>
      <c r="AZ20" s="13" t="n">
        <f aca="false">IFERROR(AY20/AY19-1,"")</f>
        <v>0.256901894499613</v>
      </c>
      <c r="BA20" s="17" t="n">
        <v>0.948</v>
      </c>
      <c r="BB20" s="11" t="s">
        <v>81</v>
      </c>
      <c r="BC20" s="11" t="s">
        <v>82</v>
      </c>
      <c r="BD20" s="11" t="s">
        <v>130</v>
      </c>
      <c r="BE20" s="12" t="n">
        <v>6881837</v>
      </c>
      <c r="BF20" s="13" t="n">
        <f aca="false">IFERROR(P20/BE20-1,"")</f>
        <v>-0.169301161884537</v>
      </c>
      <c r="BG20" s="17" t="n">
        <v>0.065</v>
      </c>
      <c r="BH20" s="17" t="n">
        <v>-0.064</v>
      </c>
      <c r="BI20" s="14" t="n">
        <f aca="false">P20*(1+IFERROR(Q20,0))^4</f>
        <v>13162210.6367679</v>
      </c>
      <c r="BJ20" s="12" t="n">
        <v>-5190156</v>
      </c>
      <c r="BK20" s="11" t="s">
        <v>131</v>
      </c>
      <c r="BL20" s="11" t="s">
        <v>132</v>
      </c>
      <c r="BM20" s="14" t="n">
        <f aca="false">O20</f>
        <v>186338623</v>
      </c>
      <c r="BN20" s="11" t="s">
        <v>133</v>
      </c>
      <c r="BO20" s="13" t="n">
        <f aca="false">IFERROR(1-L20/M20,"")</f>
        <v>0.0159296546450873</v>
      </c>
      <c r="BP20" s="11" t="s">
        <v>114</v>
      </c>
      <c r="BQ20" s="12" t="n">
        <v>12763431</v>
      </c>
      <c r="BR20" s="11" t="s">
        <v>88</v>
      </c>
      <c r="BS20" s="11" t="s">
        <v>89</v>
      </c>
      <c r="BT20" s="19" t="str">
        <f aca="false">IF(OR(Z20&lt;6,AH20&lt;0.9,S20&lt;0.02,AK20&lt;1),"REVIEW",IF(AND(S20&gt;0.25,AH20&gt;1.2),"ACCELERATING","STABLE"))</f>
        <v>STABLE</v>
      </c>
    </row>
    <row r="21" customFormat="false" ht="15" hidden="false" customHeight="false" outlineLevel="0" collapsed="false">
      <c r="A21" s="11" t="s">
        <v>125</v>
      </c>
      <c r="B21" s="11" t="s">
        <v>93</v>
      </c>
      <c r="C21" s="11" t="s">
        <v>126</v>
      </c>
      <c r="D21" s="11" t="s">
        <v>127</v>
      </c>
      <c r="E21" s="11" t="s">
        <v>96</v>
      </c>
      <c r="F21" s="11" t="s">
        <v>128</v>
      </c>
      <c r="G21" s="11" t="s">
        <v>78</v>
      </c>
      <c r="H21" s="11" t="s">
        <v>79</v>
      </c>
      <c r="I21" s="11" t="s">
        <v>78</v>
      </c>
      <c r="J21" s="12" t="n">
        <v>1500000</v>
      </c>
      <c r="K21" s="13" t="n">
        <f aca="false">IFERROR(J21/M21,"")</f>
        <v>0.0159296546450873</v>
      </c>
      <c r="L21" s="12" t="n">
        <v>92664000</v>
      </c>
      <c r="M21" s="14" t="n">
        <f aca="false">L21+J21</f>
        <v>94164000</v>
      </c>
      <c r="N21" s="12" t="n">
        <v>8774000</v>
      </c>
      <c r="O21" s="12" t="n">
        <v>186338623</v>
      </c>
      <c r="P21" s="12" t="n">
        <v>6688435</v>
      </c>
      <c r="Q21" s="13" t="n">
        <f aca="false">IFERROR(P21/P20-1,"")</f>
        <v>0.169974849275828</v>
      </c>
      <c r="R21" s="12" t="n">
        <v>7637157</v>
      </c>
      <c r="S21" s="13" t="n">
        <f aca="false">IFERROR(R21/R20-1,"")</f>
        <v>0.24430234638306</v>
      </c>
      <c r="T21" s="12" t="n">
        <v>4872659</v>
      </c>
      <c r="U21" s="13" t="n">
        <f aca="false">IFERROR(T21/P21,"")</f>
        <v>0.728520049907041</v>
      </c>
      <c r="V21" s="14" t="n">
        <f aca="false">T21-AV21</f>
        <v>-7807849</v>
      </c>
      <c r="W21" s="14" t="n">
        <f aca="false">V21-AA21*0.1</f>
        <v>-7807849</v>
      </c>
      <c r="X21" s="12" t="n">
        <v>8979554</v>
      </c>
      <c r="Y21" s="12" t="n">
        <v>697000</v>
      </c>
      <c r="Z21" s="15" t="n">
        <f aca="false">IFERROR(X21/Y21,"")</f>
        <v>12.8831477761836</v>
      </c>
      <c r="AA21" s="12" t="n">
        <v>0</v>
      </c>
      <c r="AB21" s="14" t="n">
        <f aca="false">W21-0.02*P21</f>
        <v>-7941617.7</v>
      </c>
      <c r="AC21" s="16" t="n">
        <v>339</v>
      </c>
      <c r="AD21" s="13" t="n">
        <f aca="false">IFERROR(AC21/AC20-1,"")</f>
        <v>0.189473684210526</v>
      </c>
      <c r="AE21" s="17" t="n">
        <v>0.065</v>
      </c>
      <c r="AF21" s="17" t="n">
        <v>0.053</v>
      </c>
      <c r="AG21" s="13" t="n">
        <f aca="false">1-AF21</f>
        <v>0.947</v>
      </c>
      <c r="AH21" s="17" t="n">
        <v>1.147</v>
      </c>
      <c r="AI21" s="12" t="n">
        <v>137100</v>
      </c>
      <c r="AJ21" s="14" t="n">
        <f aca="false">IFERROR(AM21*U21*MIN(1/AE21,5),"")</f>
        <v>498089.158121444</v>
      </c>
      <c r="AK21" s="18" t="n">
        <f aca="false">IFERROR(AJ21/AI21,"")</f>
        <v>3.63303543487559</v>
      </c>
      <c r="AL21" s="15" t="n">
        <f aca="false">IFERROR(AI21/(AM21*U21/12),"")</f>
        <v>16.5151155488398</v>
      </c>
      <c r="AM21" s="12" t="n">
        <v>136740</v>
      </c>
      <c r="AN21" s="12" t="n">
        <v>10824621</v>
      </c>
      <c r="AO21" s="12" t="n">
        <v>12982232</v>
      </c>
      <c r="AP21" s="17" t="n">
        <v>0.302</v>
      </c>
      <c r="AQ21" s="16" t="n">
        <v>103</v>
      </c>
      <c r="AR21" s="16" t="n">
        <v>30</v>
      </c>
      <c r="AS21" s="13" t="n">
        <f aca="false">IFERROR(AR21/AR20-1,"")</f>
        <v>0.0344827586206897</v>
      </c>
      <c r="AT21" s="11" t="s">
        <v>129</v>
      </c>
      <c r="AU21" s="14" t="n">
        <f aca="false">IFERROR(P21/AR21,"")</f>
        <v>222947.833333333</v>
      </c>
      <c r="AV21" s="12" t="n">
        <v>12680508</v>
      </c>
      <c r="AW21" s="12" t="n">
        <v>5723976</v>
      </c>
      <c r="AX21" s="12" t="n">
        <v>3671004</v>
      </c>
      <c r="AY21" s="16" t="n">
        <v>88358</v>
      </c>
      <c r="AZ21" s="13" t="n">
        <f aca="false">IFERROR(AY21/AY20-1,"")</f>
        <v>0.237732360233656</v>
      </c>
      <c r="BA21" s="17" t="n">
        <v>0.934</v>
      </c>
      <c r="BB21" s="11" t="s">
        <v>81</v>
      </c>
      <c r="BC21" s="11" t="s">
        <v>82</v>
      </c>
      <c r="BD21" s="11" t="s">
        <v>130</v>
      </c>
      <c r="BE21" s="12" t="n">
        <v>8300517</v>
      </c>
      <c r="BF21" s="13" t="n">
        <f aca="false">IFERROR(P21/BE21-1,"")</f>
        <v>-0.194214649521229</v>
      </c>
      <c r="BG21" s="17" t="n">
        <v>-0.018</v>
      </c>
      <c r="BH21" s="17" t="n">
        <v>0.071</v>
      </c>
      <c r="BI21" s="14" t="n">
        <f aca="false">P21*(1+IFERROR(Q21,0))^4</f>
        <v>12532295.14932</v>
      </c>
      <c r="BJ21" s="12" t="n">
        <v>-7321434</v>
      </c>
      <c r="BK21" s="11" t="s">
        <v>131</v>
      </c>
      <c r="BL21" s="11" t="s">
        <v>132</v>
      </c>
      <c r="BM21" s="14" t="n">
        <f aca="false">O21</f>
        <v>186338623</v>
      </c>
      <c r="BN21" s="11" t="s">
        <v>133</v>
      </c>
      <c r="BO21" s="13" t="n">
        <f aca="false">IFERROR(1-L21/M21,"")</f>
        <v>0.0159296546450873</v>
      </c>
      <c r="BP21" s="11" t="s">
        <v>114</v>
      </c>
      <c r="BQ21" s="12" t="n">
        <v>8978310</v>
      </c>
      <c r="BR21" s="11" t="s">
        <v>88</v>
      </c>
      <c r="BS21" s="11" t="s">
        <v>89</v>
      </c>
      <c r="BT21" s="19" t="str">
        <f aca="false">IF(OR(Z21&lt;6,AH21&lt;0.9,S21&lt;0.02,AK21&lt;1),"REVIEW",IF(AND(S21&gt;0.25,AH21&gt;1.2),"ACCELERATING","STABLE"))</f>
        <v>STABLE</v>
      </c>
    </row>
    <row r="22" customFormat="false" ht="15" hidden="false" customHeight="false" outlineLevel="0" collapsed="false">
      <c r="A22" s="3" t="s">
        <v>134</v>
      </c>
      <c r="B22" s="3" t="s">
        <v>73</v>
      </c>
      <c r="C22" s="3" t="s">
        <v>135</v>
      </c>
      <c r="D22" s="3" t="s">
        <v>75</v>
      </c>
      <c r="E22" s="3" t="s">
        <v>96</v>
      </c>
      <c r="F22" s="3" t="s">
        <v>77</v>
      </c>
      <c r="G22" s="3" t="s">
        <v>136</v>
      </c>
      <c r="H22" s="3" t="s">
        <v>79</v>
      </c>
      <c r="I22" s="3" t="s">
        <v>136</v>
      </c>
      <c r="J22" s="4" t="n">
        <v>5000000</v>
      </c>
      <c r="K22" s="5" t="n">
        <f aca="false">IFERROR(J22/M22,"")</f>
        <v>0.184542703181516</v>
      </c>
      <c r="L22" s="4" t="n">
        <v>22094000</v>
      </c>
      <c r="M22" s="6" t="n">
        <f aca="false">L22+J22</f>
        <v>27094000</v>
      </c>
      <c r="N22" s="4" t="n">
        <v>7626000</v>
      </c>
      <c r="O22" s="4" t="n">
        <v>23177226</v>
      </c>
      <c r="P22" s="4" t="n">
        <v>1578813</v>
      </c>
      <c r="Q22" s="7"/>
      <c r="R22" s="4" t="n">
        <v>1612949</v>
      </c>
      <c r="S22" s="7"/>
      <c r="T22" s="4" t="n">
        <v>997891</v>
      </c>
      <c r="U22" s="5" t="n">
        <f aca="false">IFERROR(T22/P22,"")</f>
        <v>0.632051420909253</v>
      </c>
      <c r="V22" s="6" t="n">
        <f aca="false">T22-AV22</f>
        <v>-2103766</v>
      </c>
      <c r="W22" s="6" t="n">
        <f aca="false">V22-AA22*0.1</f>
        <v>-2103766</v>
      </c>
      <c r="X22" s="4" t="n">
        <v>6587910</v>
      </c>
      <c r="Y22" s="4" t="n">
        <v>191100</v>
      </c>
      <c r="Z22" s="8" t="n">
        <f aca="false">IFERROR(X22/Y22,"")</f>
        <v>34.4736263736264</v>
      </c>
      <c r="AA22" s="4" t="n">
        <v>0</v>
      </c>
      <c r="AB22" s="6" t="n">
        <f aca="false">W22-0.02*P22</f>
        <v>-2135342.26</v>
      </c>
      <c r="AC22" s="9" t="n">
        <v>57</v>
      </c>
      <c r="AD22" s="7"/>
      <c r="AE22" s="7" t="n">
        <v>0.123</v>
      </c>
      <c r="AF22" s="7" t="n">
        <v>0.131</v>
      </c>
      <c r="AG22" s="5" t="n">
        <f aca="false">1-AF22</f>
        <v>0.869</v>
      </c>
      <c r="AH22" s="7" t="n">
        <v>1.152</v>
      </c>
      <c r="AI22" s="4" t="n">
        <v>30422</v>
      </c>
      <c r="AJ22" s="6" t="n">
        <f aca="false">IFERROR(AM22*U22*MIN(1/AE22,5),"")</f>
        <v>79006.4276136566</v>
      </c>
      <c r="AK22" s="10" t="n">
        <f aca="false">IFERROR(AJ22/AI22,"")</f>
        <v>2.59701622554916</v>
      </c>
      <c r="AL22" s="8" t="n">
        <f aca="false">IFERROR(AI22/(AM22*U22/12),"")</f>
        <v>23.1034367092999</v>
      </c>
      <c r="AM22" s="4" t="n">
        <v>25000</v>
      </c>
      <c r="AN22" s="4" t="n">
        <v>1577890</v>
      </c>
      <c r="AO22" s="4" t="n">
        <v>3802121</v>
      </c>
      <c r="AP22" s="7" t="n">
        <v>0.187</v>
      </c>
      <c r="AQ22" s="9" t="n">
        <v>33</v>
      </c>
      <c r="AR22" s="9" t="n">
        <v>11</v>
      </c>
      <c r="AS22" s="7"/>
      <c r="AT22" s="3" t="s">
        <v>137</v>
      </c>
      <c r="AU22" s="6" t="n">
        <f aca="false">IFERROR(P22/AR22,"")</f>
        <v>143528.454545455</v>
      </c>
      <c r="AV22" s="4" t="n">
        <v>3101657</v>
      </c>
      <c r="AW22" s="4" t="n">
        <v>1003441</v>
      </c>
      <c r="AX22" s="4" t="n">
        <v>643495</v>
      </c>
      <c r="AY22" s="9" t="n">
        <v>10342</v>
      </c>
      <c r="AZ22" s="7"/>
      <c r="BA22" s="7" t="n">
        <v>0.871</v>
      </c>
      <c r="BB22" s="3" t="s">
        <v>101</v>
      </c>
      <c r="BC22" s="3" t="s">
        <v>82</v>
      </c>
      <c r="BD22" s="3" t="s">
        <v>102</v>
      </c>
      <c r="BE22" s="4" t="n">
        <v>1681303</v>
      </c>
      <c r="BF22" s="5" t="n">
        <f aca="false">IFERROR(P22/BE22-1,"")</f>
        <v>-0.0609586731243565</v>
      </c>
      <c r="BG22" s="7" t="n">
        <v>-0.014</v>
      </c>
      <c r="BH22" s="7" t="n">
        <v>0.089</v>
      </c>
      <c r="BI22" s="6" t="n">
        <f aca="false">P22</f>
        <v>1578813</v>
      </c>
      <c r="BJ22" s="4" t="n">
        <v>-1223482</v>
      </c>
      <c r="BK22" s="3" t="s">
        <v>84</v>
      </c>
      <c r="BL22" s="3" t="s">
        <v>85</v>
      </c>
      <c r="BM22" s="6" t="n">
        <f aca="false">O22</f>
        <v>23177226</v>
      </c>
      <c r="BN22" s="3" t="s">
        <v>138</v>
      </c>
      <c r="BO22" s="5" t="n">
        <f aca="false">IFERROR(1-L22/M22,"")</f>
        <v>0.184542703181516</v>
      </c>
      <c r="BP22" s="3" t="s">
        <v>106</v>
      </c>
      <c r="BQ22" s="4" t="n">
        <v>3484290</v>
      </c>
      <c r="BR22" s="3" t="s">
        <v>88</v>
      </c>
      <c r="BS22" s="3" t="s">
        <v>89</v>
      </c>
      <c r="BT22" s="3" t="s">
        <v>90</v>
      </c>
    </row>
    <row r="23" customFormat="false" ht="15" hidden="false" customHeight="false" outlineLevel="0" collapsed="false">
      <c r="A23" s="11" t="s">
        <v>134</v>
      </c>
      <c r="B23" s="11" t="s">
        <v>91</v>
      </c>
      <c r="C23" s="11" t="s">
        <v>135</v>
      </c>
      <c r="D23" s="11" t="s">
        <v>75</v>
      </c>
      <c r="E23" s="11" t="s">
        <v>96</v>
      </c>
      <c r="F23" s="11" t="s">
        <v>77</v>
      </c>
      <c r="G23" s="11" t="s">
        <v>136</v>
      </c>
      <c r="H23" s="11" t="s">
        <v>79</v>
      </c>
      <c r="I23" s="11" t="s">
        <v>136</v>
      </c>
      <c r="J23" s="12" t="n">
        <v>5000000</v>
      </c>
      <c r="K23" s="13" t="n">
        <f aca="false">IFERROR(J23/M23,"")</f>
        <v>0.184542703181516</v>
      </c>
      <c r="L23" s="12" t="n">
        <v>22094000</v>
      </c>
      <c r="M23" s="14" t="n">
        <f aca="false">L23+J23</f>
        <v>27094000</v>
      </c>
      <c r="N23" s="12" t="n">
        <v>7626000</v>
      </c>
      <c r="O23" s="12" t="n">
        <v>23177226</v>
      </c>
      <c r="P23" s="12" t="n">
        <v>1720214</v>
      </c>
      <c r="Q23" s="13" t="n">
        <f aca="false">IFERROR(P23/P22-1,"")</f>
        <v>0.089561588357836</v>
      </c>
      <c r="R23" s="12" t="n">
        <v>1944536</v>
      </c>
      <c r="S23" s="13" t="n">
        <f aca="false">IFERROR(R23/R22-1,"")</f>
        <v>0.20557810569336</v>
      </c>
      <c r="T23" s="12" t="n">
        <v>1091666</v>
      </c>
      <c r="U23" s="13" t="n">
        <f aca="false">IFERROR(T23/P23,"")</f>
        <v>0.634610577521169</v>
      </c>
      <c r="V23" s="14" t="n">
        <f aca="false">T23-AV23</f>
        <v>-2062346</v>
      </c>
      <c r="W23" s="14" t="n">
        <f aca="false">V23-AA23*0.1</f>
        <v>-2062346</v>
      </c>
      <c r="X23" s="12" t="n">
        <v>6105960</v>
      </c>
      <c r="Y23" s="12" t="n">
        <v>197400</v>
      </c>
      <c r="Z23" s="15" t="n">
        <f aca="false">IFERROR(X23/Y23,"")</f>
        <v>30.931914893617</v>
      </c>
      <c r="AA23" s="12" t="n">
        <v>0</v>
      </c>
      <c r="AB23" s="14" t="n">
        <f aca="false">W23-0.02*P23</f>
        <v>-2096750.28</v>
      </c>
      <c r="AC23" s="16" t="n">
        <v>57</v>
      </c>
      <c r="AD23" s="13" t="n">
        <f aca="false">IFERROR(AC23/AC22-1,"")</f>
        <v>0</v>
      </c>
      <c r="AE23" s="17" t="n">
        <v>0.12</v>
      </c>
      <c r="AF23" s="17" t="n">
        <v>0.109</v>
      </c>
      <c r="AG23" s="13" t="n">
        <f aca="false">1-AF23</f>
        <v>0.891</v>
      </c>
      <c r="AH23" s="17" t="n">
        <v>1.147</v>
      </c>
      <c r="AI23" s="12" t="n">
        <v>29848</v>
      </c>
      <c r="AJ23" s="14" t="n">
        <f aca="false">IFERROR(AM23*U23*MIN(1/AE23,5),"")</f>
        <v>80912.848633949</v>
      </c>
      <c r="AK23" s="18" t="n">
        <f aca="false">IFERROR(AJ23/AI23,"")</f>
        <v>2.71082982558125</v>
      </c>
      <c r="AL23" s="15" t="n">
        <f aca="false">IFERROR(AI23/(AM23*U23/12),"")</f>
        <v>22.1334439490812</v>
      </c>
      <c r="AM23" s="12" t="n">
        <v>25500</v>
      </c>
      <c r="AN23" s="12" t="n">
        <v>2367622</v>
      </c>
      <c r="AO23" s="12" t="n">
        <v>4666294</v>
      </c>
      <c r="AP23" s="17" t="n">
        <v>0.187</v>
      </c>
      <c r="AQ23" s="16" t="n">
        <v>33</v>
      </c>
      <c r="AR23" s="16" t="n">
        <v>12</v>
      </c>
      <c r="AS23" s="13" t="n">
        <f aca="false">IFERROR(AR23/AR22-1,"")</f>
        <v>0.0909090909090908</v>
      </c>
      <c r="AT23" s="11" t="s">
        <v>137</v>
      </c>
      <c r="AU23" s="14" t="n">
        <f aca="false">IFERROR(P23/AR23,"")</f>
        <v>143351.166666667</v>
      </c>
      <c r="AV23" s="12" t="n">
        <v>3154012</v>
      </c>
      <c r="AW23" s="12" t="n">
        <v>1233157</v>
      </c>
      <c r="AX23" s="12" t="n">
        <v>906075</v>
      </c>
      <c r="AY23" s="16" t="n">
        <v>11402</v>
      </c>
      <c r="AZ23" s="13" t="n">
        <f aca="false">IFERROR(AY23/AY22-1,"")</f>
        <v>0.102494681879714</v>
      </c>
      <c r="BA23" s="17" t="n">
        <v>0.873</v>
      </c>
      <c r="BB23" s="11" t="s">
        <v>101</v>
      </c>
      <c r="BC23" s="11" t="s">
        <v>82</v>
      </c>
      <c r="BD23" s="11" t="s">
        <v>102</v>
      </c>
      <c r="BE23" s="12" t="n">
        <v>1941774</v>
      </c>
      <c r="BF23" s="13" t="n">
        <f aca="false">IFERROR(P23/BE23-1,"")</f>
        <v>-0.114101847073861</v>
      </c>
      <c r="BG23" s="17" t="n">
        <v>0.088</v>
      </c>
      <c r="BH23" s="17" t="n">
        <v>-0.041</v>
      </c>
      <c r="BI23" s="14" t="n">
        <f aca="false">P23*(1+IFERROR(Q23,0))^4</f>
        <v>2424318.15814751</v>
      </c>
      <c r="BJ23" s="12" t="n">
        <v>-1719433</v>
      </c>
      <c r="BK23" s="11" t="s">
        <v>84</v>
      </c>
      <c r="BL23" s="11" t="s">
        <v>85</v>
      </c>
      <c r="BM23" s="14" t="n">
        <f aca="false">O23</f>
        <v>23177226</v>
      </c>
      <c r="BN23" s="11" t="s">
        <v>138</v>
      </c>
      <c r="BO23" s="13" t="n">
        <f aca="false">IFERROR(1-L23/M23,"")</f>
        <v>0.184542703181516</v>
      </c>
      <c r="BP23" s="11" t="s">
        <v>106</v>
      </c>
      <c r="BQ23" s="12" t="n">
        <v>3448257</v>
      </c>
      <c r="BR23" s="11" t="s">
        <v>88</v>
      </c>
      <c r="BS23" s="11" t="s">
        <v>89</v>
      </c>
      <c r="BT23" s="19" t="str">
        <f aca="false">IF(OR(Z23&lt;6,AH23&lt;0.9,S23&lt;0.02,AK23&lt;1),"REVIEW",IF(AND(S23&gt;0.25,AH23&gt;1.2),"ACCELERATING","STABLE"))</f>
        <v>STABLE</v>
      </c>
    </row>
    <row r="24" customFormat="false" ht="15" hidden="false" customHeight="false" outlineLevel="0" collapsed="false">
      <c r="A24" s="11" t="s">
        <v>134</v>
      </c>
      <c r="B24" s="11" t="s">
        <v>92</v>
      </c>
      <c r="C24" s="11" t="s">
        <v>135</v>
      </c>
      <c r="D24" s="11" t="s">
        <v>75</v>
      </c>
      <c r="E24" s="11" t="s">
        <v>96</v>
      </c>
      <c r="F24" s="11" t="s">
        <v>77</v>
      </c>
      <c r="G24" s="11" t="s">
        <v>136</v>
      </c>
      <c r="H24" s="11" t="s">
        <v>79</v>
      </c>
      <c r="I24" s="11" t="s">
        <v>136</v>
      </c>
      <c r="J24" s="12" t="n">
        <v>5000000</v>
      </c>
      <c r="K24" s="13" t="n">
        <f aca="false">IFERROR(J24/M24,"")</f>
        <v>0.184542703181516</v>
      </c>
      <c r="L24" s="12" t="n">
        <v>22094000</v>
      </c>
      <c r="M24" s="14" t="n">
        <f aca="false">L24+J24</f>
        <v>27094000</v>
      </c>
      <c r="N24" s="12" t="n">
        <v>7626000</v>
      </c>
      <c r="O24" s="12" t="n">
        <v>23177226</v>
      </c>
      <c r="P24" s="12" t="n">
        <v>1899657</v>
      </c>
      <c r="Q24" s="13" t="n">
        <f aca="false">IFERROR(P24/P23-1,"")</f>
        <v>0.104314346935904</v>
      </c>
      <c r="R24" s="12" t="n">
        <v>1991534</v>
      </c>
      <c r="S24" s="13" t="n">
        <f aca="false">IFERROR(R24/R23-1,"")</f>
        <v>0.0241692619730363</v>
      </c>
      <c r="T24" s="12" t="n">
        <v>1210404</v>
      </c>
      <c r="U24" s="13" t="n">
        <f aca="false">IFERROR(T24/P24,"")</f>
        <v>0.637169762751907</v>
      </c>
      <c r="V24" s="14" t="n">
        <f aca="false">T24-AV24</f>
        <v>-1934284</v>
      </c>
      <c r="W24" s="14" t="n">
        <f aca="false">V24-AA24*0.1</f>
        <v>-1934284</v>
      </c>
      <c r="X24" s="12" t="n">
        <v>5589990</v>
      </c>
      <c r="Y24" s="12" t="n">
        <v>203700</v>
      </c>
      <c r="Z24" s="15" t="n">
        <f aca="false">IFERROR(X24/Y24,"")</f>
        <v>27.4422680412371</v>
      </c>
      <c r="AA24" s="12" t="n">
        <v>0</v>
      </c>
      <c r="AB24" s="14" t="n">
        <f aca="false">W24-0.02*P24</f>
        <v>-1972277.14</v>
      </c>
      <c r="AC24" s="16" t="n">
        <v>60</v>
      </c>
      <c r="AD24" s="13" t="n">
        <f aca="false">IFERROR(AC24/AC23-1,"")</f>
        <v>0.0526315789473684</v>
      </c>
      <c r="AE24" s="17" t="n">
        <v>0.116</v>
      </c>
      <c r="AF24" s="17" t="n">
        <v>0.099</v>
      </c>
      <c r="AG24" s="13" t="n">
        <f aca="false">1-AF24</f>
        <v>0.901</v>
      </c>
      <c r="AH24" s="17" t="n">
        <v>1.142</v>
      </c>
      <c r="AI24" s="12" t="n">
        <v>29274</v>
      </c>
      <c r="AJ24" s="14" t="n">
        <f aca="false">IFERROR(AM24*U24*MIN(1/AE24,5),"")</f>
        <v>82832.069157748</v>
      </c>
      <c r="AK24" s="18" t="n">
        <f aca="false">IFERROR(AJ24/AI24,"")</f>
        <v>2.8295439351557</v>
      </c>
      <c r="AL24" s="15" t="n">
        <f aca="false">IFERROR(AI24/(AM24*U24/12),"")</f>
        <v>21.2048306635318</v>
      </c>
      <c r="AM24" s="12" t="n">
        <v>26000</v>
      </c>
      <c r="AN24" s="12" t="n">
        <v>2824060</v>
      </c>
      <c r="AO24" s="12" t="n">
        <v>6612430</v>
      </c>
      <c r="AP24" s="17" t="n">
        <v>0.187</v>
      </c>
      <c r="AQ24" s="16" t="n">
        <v>33</v>
      </c>
      <c r="AR24" s="16" t="n">
        <v>13</v>
      </c>
      <c r="AS24" s="13" t="n">
        <f aca="false">IFERROR(AR24/AR23-1,"")</f>
        <v>0.0833333333333333</v>
      </c>
      <c r="AT24" s="11" t="s">
        <v>137</v>
      </c>
      <c r="AU24" s="14" t="n">
        <f aca="false">IFERROR(P24/AR24,"")</f>
        <v>146127.461538462</v>
      </c>
      <c r="AV24" s="12" t="n">
        <v>3144688</v>
      </c>
      <c r="AW24" s="12" t="n">
        <v>1270861</v>
      </c>
      <c r="AX24" s="12" t="n">
        <v>864777</v>
      </c>
      <c r="AY24" s="16" t="n">
        <v>13100</v>
      </c>
      <c r="AZ24" s="13" t="n">
        <f aca="false">IFERROR(AY24/AY23-1,"")</f>
        <v>0.148921241887388</v>
      </c>
      <c r="BA24" s="17" t="n">
        <v>0.901</v>
      </c>
      <c r="BB24" s="11" t="s">
        <v>101</v>
      </c>
      <c r="BC24" s="11" t="s">
        <v>82</v>
      </c>
      <c r="BD24" s="11" t="s">
        <v>102</v>
      </c>
      <c r="BE24" s="12" t="n">
        <v>2172323</v>
      </c>
      <c r="BF24" s="13" t="n">
        <f aca="false">IFERROR(P24/BE24-1,"")</f>
        <v>-0.12551816649734</v>
      </c>
      <c r="BG24" s="17" t="n">
        <v>0.085</v>
      </c>
      <c r="BH24" s="17" t="n">
        <v>0.081</v>
      </c>
      <c r="BI24" s="14" t="n">
        <f aca="false">P24*(1+IFERROR(Q24,0))^4</f>
        <v>2825179.52439079</v>
      </c>
      <c r="BJ24" s="12" t="n">
        <v>-1765196</v>
      </c>
      <c r="BK24" s="11" t="s">
        <v>84</v>
      </c>
      <c r="BL24" s="11" t="s">
        <v>85</v>
      </c>
      <c r="BM24" s="14" t="n">
        <f aca="false">O24</f>
        <v>23177226</v>
      </c>
      <c r="BN24" s="11" t="s">
        <v>138</v>
      </c>
      <c r="BO24" s="13" t="n">
        <f aca="false">IFERROR(1-L24/M24,"")</f>
        <v>0.184542703181516</v>
      </c>
      <c r="BP24" s="11" t="s">
        <v>106</v>
      </c>
      <c r="BQ24" s="12" t="n">
        <v>4047490</v>
      </c>
      <c r="BR24" s="11" t="s">
        <v>88</v>
      </c>
      <c r="BS24" s="11" t="s">
        <v>89</v>
      </c>
      <c r="BT24" s="19" t="str">
        <f aca="false">IF(OR(Z24&lt;6,AH24&lt;0.9,S24&lt;0.02,AK24&lt;1),"REVIEW",IF(AND(S24&gt;0.25,AH24&gt;1.2),"ACCELERATING","STABLE"))</f>
        <v>STABLE</v>
      </c>
    </row>
    <row r="25" customFormat="false" ht="15" hidden="false" customHeight="false" outlineLevel="0" collapsed="false">
      <c r="A25" s="11" t="s">
        <v>134</v>
      </c>
      <c r="B25" s="11" t="s">
        <v>93</v>
      </c>
      <c r="C25" s="11" t="s">
        <v>135</v>
      </c>
      <c r="D25" s="11" t="s">
        <v>75</v>
      </c>
      <c r="E25" s="11" t="s">
        <v>96</v>
      </c>
      <c r="F25" s="11" t="s">
        <v>77</v>
      </c>
      <c r="G25" s="11" t="s">
        <v>136</v>
      </c>
      <c r="H25" s="11" t="s">
        <v>79</v>
      </c>
      <c r="I25" s="11" t="s">
        <v>136</v>
      </c>
      <c r="J25" s="12" t="n">
        <v>5000000</v>
      </c>
      <c r="K25" s="13" t="n">
        <f aca="false">IFERROR(J25/M25,"")</f>
        <v>0.184542703181516</v>
      </c>
      <c r="L25" s="12" t="n">
        <v>22094000</v>
      </c>
      <c r="M25" s="14" t="n">
        <f aca="false">L25+J25</f>
        <v>27094000</v>
      </c>
      <c r="N25" s="12" t="n">
        <v>7626000</v>
      </c>
      <c r="O25" s="12" t="n">
        <v>23177226</v>
      </c>
      <c r="P25" s="12" t="n">
        <v>2238692</v>
      </c>
      <c r="Q25" s="13" t="n">
        <f aca="false">IFERROR(P25/P24-1,"")</f>
        <v>0.178471692521334</v>
      </c>
      <c r="R25" s="12" t="n">
        <v>2159111</v>
      </c>
      <c r="S25" s="13" t="n">
        <f aca="false">IFERROR(R25/R24-1,"")</f>
        <v>0.0841446844492737</v>
      </c>
      <c r="T25" s="12" t="n">
        <v>1432155</v>
      </c>
      <c r="U25" s="13" t="n">
        <f aca="false">IFERROR(T25/P25,"")</f>
        <v>0.639728466443798</v>
      </c>
      <c r="V25" s="14" t="n">
        <f aca="false">T25-AV25</f>
        <v>-2239686</v>
      </c>
      <c r="W25" s="14" t="n">
        <f aca="false">V25-AA25*0.1</f>
        <v>-2239686</v>
      </c>
      <c r="X25" s="12" t="n">
        <v>5040000</v>
      </c>
      <c r="Y25" s="12" t="n">
        <v>210000</v>
      </c>
      <c r="Z25" s="15" t="n">
        <f aca="false">IFERROR(X25/Y25,"")</f>
        <v>24</v>
      </c>
      <c r="AA25" s="12" t="n">
        <v>0</v>
      </c>
      <c r="AB25" s="14" t="n">
        <f aca="false">W25-0.02*P25</f>
        <v>-2284459.84</v>
      </c>
      <c r="AC25" s="16" t="n">
        <v>70</v>
      </c>
      <c r="AD25" s="13" t="n">
        <f aca="false">IFERROR(AC25/AC24-1,"")</f>
        <v>0.166666666666667</v>
      </c>
      <c r="AE25" s="17" t="n">
        <v>0.113</v>
      </c>
      <c r="AF25" s="17" t="n">
        <v>0.123</v>
      </c>
      <c r="AG25" s="13" t="n">
        <f aca="false">1-AF25</f>
        <v>0.877</v>
      </c>
      <c r="AH25" s="17" t="n">
        <v>1.137</v>
      </c>
      <c r="AI25" s="12" t="n">
        <v>28700</v>
      </c>
      <c r="AJ25" s="14" t="n">
        <f aca="false">IFERROR(AM25*U25*MIN(1/AE25,5),"")</f>
        <v>84764.0218038033</v>
      </c>
      <c r="AK25" s="18" t="n">
        <f aca="false">IFERROR(AJ25/AI25,"")</f>
        <v>2.95345023706632</v>
      </c>
      <c r="AL25" s="15" t="n">
        <f aca="false">IFERROR(AI25/(AM25*U25/12),"")</f>
        <v>20.3152229372242</v>
      </c>
      <c r="AM25" s="12" t="n">
        <v>26500</v>
      </c>
      <c r="AN25" s="12" t="n">
        <v>2757766</v>
      </c>
      <c r="AO25" s="12" t="n">
        <v>6316796</v>
      </c>
      <c r="AP25" s="17" t="n">
        <v>0.187</v>
      </c>
      <c r="AQ25" s="16" t="n">
        <v>33</v>
      </c>
      <c r="AR25" s="16" t="n">
        <v>14</v>
      </c>
      <c r="AS25" s="13" t="n">
        <f aca="false">IFERROR(AR25/AR24-1,"")</f>
        <v>0.0769230769230769</v>
      </c>
      <c r="AT25" s="11" t="s">
        <v>137</v>
      </c>
      <c r="AU25" s="14" t="n">
        <f aca="false">IFERROR(P25/AR25,"")</f>
        <v>159906.571428571</v>
      </c>
      <c r="AV25" s="12" t="n">
        <v>3671841</v>
      </c>
      <c r="AW25" s="12" t="n">
        <v>1233695</v>
      </c>
      <c r="AX25" s="12" t="n">
        <v>1227739</v>
      </c>
      <c r="AY25" s="16" t="n">
        <v>13673</v>
      </c>
      <c r="AZ25" s="13" t="n">
        <f aca="false">IFERROR(AY25/AY24-1,"")</f>
        <v>0.0437404580152672</v>
      </c>
      <c r="BA25" s="17" t="n">
        <v>0.896</v>
      </c>
      <c r="BB25" s="11" t="s">
        <v>101</v>
      </c>
      <c r="BC25" s="11" t="s">
        <v>82</v>
      </c>
      <c r="BD25" s="11" t="s">
        <v>102</v>
      </c>
      <c r="BE25" s="12" t="n">
        <v>2753169</v>
      </c>
      <c r="BF25" s="13" t="n">
        <f aca="false">IFERROR(P25/BE25-1,"")</f>
        <v>-0.186867206480968</v>
      </c>
      <c r="BG25" s="17" t="n">
        <v>-0.023</v>
      </c>
      <c r="BH25" s="17" t="n">
        <v>-0.079</v>
      </c>
      <c r="BI25" s="14" t="n">
        <f aca="false">P25*(1+IFERROR(Q25,0))^4</f>
        <v>4317883.96559664</v>
      </c>
      <c r="BJ25" s="12" t="n">
        <v>-1392876</v>
      </c>
      <c r="BK25" s="11" t="s">
        <v>84</v>
      </c>
      <c r="BL25" s="11" t="s">
        <v>85</v>
      </c>
      <c r="BM25" s="14" t="n">
        <f aca="false">O25</f>
        <v>23177226</v>
      </c>
      <c r="BN25" s="11" t="s">
        <v>138</v>
      </c>
      <c r="BO25" s="13" t="n">
        <f aca="false">IFERROR(1-L25/M25,"")</f>
        <v>0.184542703181516</v>
      </c>
      <c r="BP25" s="11" t="s">
        <v>106</v>
      </c>
      <c r="BQ25" s="12" t="n">
        <v>3048980</v>
      </c>
      <c r="BR25" s="11" t="s">
        <v>88</v>
      </c>
      <c r="BS25" s="11" t="s">
        <v>89</v>
      </c>
      <c r="BT25" s="19" t="str">
        <f aca="false">IF(OR(Z25&lt;6,AH25&lt;0.9,S25&lt;0.02,AK25&lt;1),"REVIEW",IF(AND(S25&gt;0.25,AH25&gt;1.2),"ACCELERATING","STABLE"))</f>
        <v>STABLE</v>
      </c>
    </row>
    <row r="26" customFormat="false" ht="15" hidden="false" customHeight="false" outlineLevel="0" collapsed="false">
      <c r="A26" s="3" t="s">
        <v>139</v>
      </c>
      <c r="B26" s="3" t="s">
        <v>73</v>
      </c>
      <c r="C26" s="3" t="s">
        <v>140</v>
      </c>
      <c r="D26" s="3" t="s">
        <v>141</v>
      </c>
      <c r="E26" s="3" t="s">
        <v>142</v>
      </c>
      <c r="F26" s="3" t="s">
        <v>143</v>
      </c>
      <c r="G26" s="3" t="s">
        <v>136</v>
      </c>
      <c r="H26" s="3" t="s">
        <v>79</v>
      </c>
      <c r="I26" s="3" t="s">
        <v>136</v>
      </c>
      <c r="J26" s="4" t="n">
        <v>1300000</v>
      </c>
      <c r="K26" s="5" t="n">
        <f aca="false">IFERROR(J26/M26,"")</f>
        <v>0.0419476622245168</v>
      </c>
      <c r="L26" s="4" t="n">
        <v>29691000</v>
      </c>
      <c r="M26" s="6" t="n">
        <f aca="false">L26+J26</f>
        <v>30991000</v>
      </c>
      <c r="N26" s="4" t="n">
        <v>6493000</v>
      </c>
      <c r="O26" s="4" t="n">
        <v>23046462</v>
      </c>
      <c r="P26" s="4" t="n">
        <v>398792</v>
      </c>
      <c r="Q26" s="7"/>
      <c r="R26" s="4" t="n">
        <v>430518</v>
      </c>
      <c r="S26" s="7"/>
      <c r="T26" s="4" t="n">
        <v>231563</v>
      </c>
      <c r="U26" s="5" t="n">
        <f aca="false">IFERROR(T26/P26,"")</f>
        <v>0.580661096511465</v>
      </c>
      <c r="V26" s="6" t="n">
        <f aca="false">T26-AV26</f>
        <v>-2139514</v>
      </c>
      <c r="W26" s="6" t="n">
        <f aca="false">V26-AA26*0.1</f>
        <v>-2139514</v>
      </c>
      <c r="X26" s="4" t="n">
        <v>2337268</v>
      </c>
      <c r="Y26" s="4" t="n">
        <v>171380</v>
      </c>
      <c r="Z26" s="8" t="n">
        <f aca="false">IFERROR(X26/Y26,"")</f>
        <v>13.637927412767</v>
      </c>
      <c r="AA26" s="4" t="n">
        <v>0</v>
      </c>
      <c r="AB26" s="6" t="n">
        <f aca="false">W26-0.02*P26</f>
        <v>-2147489.84</v>
      </c>
      <c r="AC26" s="9" t="n">
        <v>42</v>
      </c>
      <c r="AD26" s="7"/>
      <c r="AE26" s="7" t="n">
        <v>0.157</v>
      </c>
      <c r="AF26" s="7" t="n">
        <v>0.133</v>
      </c>
      <c r="AG26" s="5" t="n">
        <f aca="false">1-AF26</f>
        <v>0.867</v>
      </c>
      <c r="AH26" s="7" t="n">
        <v>0.878</v>
      </c>
      <c r="AI26" s="4" t="n">
        <v>108908</v>
      </c>
      <c r="AJ26" s="6" t="n">
        <f aca="false">IFERROR(AM26*U26*MIN(1/AE26,5),"")</f>
        <v>84195.8589941624</v>
      </c>
      <c r="AK26" s="10" t="n">
        <f aca="false">IFERROR(AJ26/AI26,"")</f>
        <v>0.773091591014089</v>
      </c>
      <c r="AL26" s="8" t="n">
        <f aca="false">IFERROR(AI26/(AM26*U26/12),"")</f>
        <v>77.6104677600957</v>
      </c>
      <c r="AM26" s="4" t="n">
        <v>29000</v>
      </c>
      <c r="AN26" s="4" t="n">
        <v>404169</v>
      </c>
      <c r="AO26" s="4" t="n">
        <v>1597147</v>
      </c>
      <c r="AP26" s="7" t="n">
        <v>0.126</v>
      </c>
      <c r="AQ26" s="9" t="n">
        <v>63</v>
      </c>
      <c r="AR26" s="9" t="n">
        <v>7</v>
      </c>
      <c r="AS26" s="7"/>
      <c r="AT26" s="3" t="s">
        <v>119</v>
      </c>
      <c r="AU26" s="6" t="n">
        <f aca="false">IFERROR(P26/AR26,"")</f>
        <v>56970.2857142857</v>
      </c>
      <c r="AV26" s="4" t="n">
        <v>2371077</v>
      </c>
      <c r="AW26" s="4" t="n">
        <v>1116919</v>
      </c>
      <c r="AX26" s="4" t="n">
        <v>486560</v>
      </c>
      <c r="AY26" s="9" t="n">
        <v>36451</v>
      </c>
      <c r="AZ26" s="7"/>
      <c r="BA26" s="7" t="n">
        <v>0.881</v>
      </c>
      <c r="BB26" s="3" t="s">
        <v>144</v>
      </c>
      <c r="BC26" s="3" t="s">
        <v>121</v>
      </c>
      <c r="BD26" s="3" t="s">
        <v>145</v>
      </c>
      <c r="BE26" s="4" t="n">
        <v>647024</v>
      </c>
      <c r="BF26" s="5" t="n">
        <f aca="false">IFERROR(P26/BE26-1,"")</f>
        <v>-0.383651920176068</v>
      </c>
      <c r="BG26" s="7" t="n">
        <v>0.139</v>
      </c>
      <c r="BH26" s="7" t="n">
        <v>0.259</v>
      </c>
      <c r="BI26" s="6" t="n">
        <f aca="false">P26</f>
        <v>398792</v>
      </c>
      <c r="BJ26" s="4" t="n">
        <v>-1550289</v>
      </c>
      <c r="BK26" s="3" t="s">
        <v>146</v>
      </c>
      <c r="BL26" s="3" t="s">
        <v>147</v>
      </c>
      <c r="BM26" s="6" t="n">
        <f aca="false">O26</f>
        <v>23046462</v>
      </c>
      <c r="BN26" s="3" t="s">
        <v>148</v>
      </c>
      <c r="BO26" s="5" t="n">
        <f aca="false">IFERROR(1-L26/M26,"")</f>
        <v>0.0419476622245168</v>
      </c>
      <c r="BP26" s="3" t="s">
        <v>149</v>
      </c>
      <c r="BQ26" s="4" t="n">
        <v>3107269</v>
      </c>
      <c r="BR26" s="3" t="s">
        <v>88</v>
      </c>
      <c r="BS26" s="3" t="s">
        <v>89</v>
      </c>
      <c r="BT26" s="3" t="s">
        <v>90</v>
      </c>
    </row>
    <row r="27" customFormat="false" ht="15" hidden="false" customHeight="false" outlineLevel="0" collapsed="false">
      <c r="A27" s="11" t="s">
        <v>139</v>
      </c>
      <c r="B27" s="11" t="s">
        <v>91</v>
      </c>
      <c r="C27" s="11" t="s">
        <v>140</v>
      </c>
      <c r="D27" s="11" t="s">
        <v>141</v>
      </c>
      <c r="E27" s="11" t="s">
        <v>142</v>
      </c>
      <c r="F27" s="11" t="s">
        <v>143</v>
      </c>
      <c r="G27" s="11" t="s">
        <v>136</v>
      </c>
      <c r="H27" s="11" t="s">
        <v>79</v>
      </c>
      <c r="I27" s="11" t="s">
        <v>136</v>
      </c>
      <c r="J27" s="12" t="n">
        <v>1300000</v>
      </c>
      <c r="K27" s="13" t="n">
        <f aca="false">IFERROR(J27/M27,"")</f>
        <v>0.0419476622245168</v>
      </c>
      <c r="L27" s="12" t="n">
        <v>29691000</v>
      </c>
      <c r="M27" s="14" t="n">
        <f aca="false">L27+J27</f>
        <v>30991000</v>
      </c>
      <c r="N27" s="12" t="n">
        <v>6493000</v>
      </c>
      <c r="O27" s="12" t="n">
        <v>23046462</v>
      </c>
      <c r="P27" s="12" t="n">
        <v>368612</v>
      </c>
      <c r="Q27" s="13" t="n">
        <f aca="false">IFERROR(P27/P26-1,"")</f>
        <v>-0.0756785492186403</v>
      </c>
      <c r="R27" s="12" t="n">
        <v>396559</v>
      </c>
      <c r="S27" s="13" t="n">
        <f aca="false">IFERROR(R27/R26-1,"")</f>
        <v>-0.0788793964479999</v>
      </c>
      <c r="T27" s="12" t="n">
        <v>210000</v>
      </c>
      <c r="U27" s="13" t="n">
        <f aca="false">IFERROR(T27/P27,"")</f>
        <v>0.569704730176988</v>
      </c>
      <c r="V27" s="14" t="n">
        <f aca="false">T27-AV27</f>
        <v>-1866363</v>
      </c>
      <c r="W27" s="14" t="n">
        <f aca="false">V27-AA27*0.1</f>
        <v>-1866363</v>
      </c>
      <c r="X27" s="12" t="n">
        <v>1854478</v>
      </c>
      <c r="Y27" s="12" t="n">
        <v>183920</v>
      </c>
      <c r="Z27" s="15" t="n">
        <f aca="false">IFERROR(X27/Y27,"")</f>
        <v>10.0830687255328</v>
      </c>
      <c r="AA27" s="12" t="n">
        <v>0</v>
      </c>
      <c r="AB27" s="14" t="n">
        <f aca="false">W27-0.02*P27</f>
        <v>-1873735.24</v>
      </c>
      <c r="AC27" s="16" t="n">
        <v>40</v>
      </c>
      <c r="AD27" s="13" t="n">
        <f aca="false">IFERROR(AC27/AC26-1,"")</f>
        <v>-0.0476190476190477</v>
      </c>
      <c r="AE27" s="17" t="n">
        <v>0.187</v>
      </c>
      <c r="AF27" s="17" t="n">
        <v>0.156</v>
      </c>
      <c r="AG27" s="13" t="n">
        <f aca="false">1-AF27</f>
        <v>0.844</v>
      </c>
      <c r="AH27" s="17" t="n">
        <v>0.838</v>
      </c>
      <c r="AI27" s="12" t="n">
        <v>120372</v>
      </c>
      <c r="AJ27" s="14" t="n">
        <f aca="false">IFERROR(AM27*U27*MIN(1/AE27,5),"")</f>
        <v>84259.3295931766</v>
      </c>
      <c r="AK27" s="18" t="n">
        <f aca="false">IFERROR(AJ27/AI27,"")</f>
        <v>0.699991107509858</v>
      </c>
      <c r="AL27" s="15" t="n">
        <f aca="false">IFERROR(AI27/(AM27*U27/12),"")</f>
        <v>85.7153746044625</v>
      </c>
      <c r="AM27" s="12" t="n">
        <v>29580</v>
      </c>
      <c r="AN27" s="12" t="n">
        <v>540609</v>
      </c>
      <c r="AO27" s="12" t="n">
        <v>1206114</v>
      </c>
      <c r="AP27" s="17" t="n">
        <v>0.126</v>
      </c>
      <c r="AQ27" s="16" t="n">
        <v>63</v>
      </c>
      <c r="AR27" s="16" t="n">
        <v>6</v>
      </c>
      <c r="AS27" s="13" t="n">
        <f aca="false">IFERROR(AR27/AR26-1,"")</f>
        <v>-0.142857142857143</v>
      </c>
      <c r="AT27" s="11" t="s">
        <v>119</v>
      </c>
      <c r="AU27" s="14" t="n">
        <f aca="false">IFERROR(P27/AR27,"")</f>
        <v>61435.3333333333</v>
      </c>
      <c r="AV27" s="12" t="n">
        <v>2076363</v>
      </c>
      <c r="AW27" s="12" t="n">
        <v>989780</v>
      </c>
      <c r="AX27" s="12" t="n">
        <v>410784</v>
      </c>
      <c r="AY27" s="16" t="n">
        <v>34335</v>
      </c>
      <c r="AZ27" s="13" t="n">
        <f aca="false">IFERROR(AY27/AY26-1,"")</f>
        <v>-0.0580505335930427</v>
      </c>
      <c r="BA27" s="17" t="n">
        <v>0.823</v>
      </c>
      <c r="BB27" s="11" t="s">
        <v>144</v>
      </c>
      <c r="BC27" s="11" t="s">
        <v>121</v>
      </c>
      <c r="BD27" s="11" t="s">
        <v>145</v>
      </c>
      <c r="BE27" s="12" t="n">
        <v>476049</v>
      </c>
      <c r="BF27" s="13" t="n">
        <f aca="false">IFERROR(P27/BE27-1,"")</f>
        <v>-0.225684750939504</v>
      </c>
      <c r="BG27" s="17" t="n">
        <v>0.188</v>
      </c>
      <c r="BH27" s="17" t="n">
        <v>0.314</v>
      </c>
      <c r="BI27" s="14" t="n">
        <f aca="false">P27*(1+IFERROR(Q27,0))^4</f>
        <v>269067.718830568</v>
      </c>
      <c r="BJ27" s="12" t="n">
        <v>-1609645</v>
      </c>
      <c r="BK27" s="11" t="s">
        <v>146</v>
      </c>
      <c r="BL27" s="11" t="s">
        <v>147</v>
      </c>
      <c r="BM27" s="14" t="n">
        <f aca="false">O27</f>
        <v>23046462</v>
      </c>
      <c r="BN27" s="11" t="s">
        <v>148</v>
      </c>
      <c r="BO27" s="13" t="n">
        <f aca="false">IFERROR(1-L27/M27,"")</f>
        <v>0.0419476622245168</v>
      </c>
      <c r="BP27" s="11" t="s">
        <v>149</v>
      </c>
      <c r="BQ27" s="12" t="n">
        <v>3411853</v>
      </c>
      <c r="BR27" s="11" t="s">
        <v>88</v>
      </c>
      <c r="BS27" s="11" t="s">
        <v>89</v>
      </c>
      <c r="BT27" s="19" t="str">
        <f aca="false">IF(OR(Z27&lt;6,AH27&lt;0.9,S27&lt;0.02,AK27&lt;1),"REVIEW",IF(AND(S27&gt;0.25,AH27&gt;1.2),"ACCELERATING","STABLE"))</f>
        <v>REVIEW</v>
      </c>
    </row>
    <row r="28" customFormat="false" ht="15" hidden="false" customHeight="false" outlineLevel="0" collapsed="false">
      <c r="A28" s="11" t="s">
        <v>139</v>
      </c>
      <c r="B28" s="11" t="s">
        <v>92</v>
      </c>
      <c r="C28" s="11" t="s">
        <v>140</v>
      </c>
      <c r="D28" s="11" t="s">
        <v>141</v>
      </c>
      <c r="E28" s="11" t="s">
        <v>142</v>
      </c>
      <c r="F28" s="11" t="s">
        <v>143</v>
      </c>
      <c r="G28" s="11" t="s">
        <v>136</v>
      </c>
      <c r="H28" s="11" t="s">
        <v>79</v>
      </c>
      <c r="I28" s="11" t="s">
        <v>136</v>
      </c>
      <c r="J28" s="12" t="n">
        <v>1300000</v>
      </c>
      <c r="K28" s="13" t="n">
        <f aca="false">IFERROR(J28/M28,"")</f>
        <v>0.0419476622245168</v>
      </c>
      <c r="L28" s="12" t="n">
        <v>29691000</v>
      </c>
      <c r="M28" s="14" t="n">
        <f aca="false">L28+J28</f>
        <v>30991000</v>
      </c>
      <c r="N28" s="12" t="n">
        <v>6493000</v>
      </c>
      <c r="O28" s="12" t="n">
        <v>23046462</v>
      </c>
      <c r="P28" s="12" t="n">
        <v>341272</v>
      </c>
      <c r="Q28" s="13" t="n">
        <f aca="false">IFERROR(P28/P27-1,"")</f>
        <v>-0.0741701301097089</v>
      </c>
      <c r="R28" s="12" t="n">
        <v>373636</v>
      </c>
      <c r="S28" s="13" t="n">
        <f aca="false">IFERROR(R28/R27-1,"")</f>
        <v>-0.0578047654951722</v>
      </c>
      <c r="T28" s="12" t="n">
        <v>190686</v>
      </c>
      <c r="U28" s="13" t="n">
        <f aca="false">IFERROR(T28/P28,"")</f>
        <v>0.558750791157786</v>
      </c>
      <c r="V28" s="14" t="n">
        <f aca="false">T28-AV28</f>
        <v>-2124532</v>
      </c>
      <c r="W28" s="14" t="n">
        <f aca="false">V28-AA28*0.1</f>
        <v>-2124532</v>
      </c>
      <c r="X28" s="12" t="n">
        <v>1288924</v>
      </c>
      <c r="Y28" s="12" t="n">
        <v>196460</v>
      </c>
      <c r="Z28" s="15" t="n">
        <f aca="false">IFERROR(X28/Y28,"")</f>
        <v>6.56074518986053</v>
      </c>
      <c r="AA28" s="12" t="n">
        <v>0</v>
      </c>
      <c r="AB28" s="14" t="n">
        <f aca="false">W28-0.02*P28</f>
        <v>-2131357.44</v>
      </c>
      <c r="AC28" s="16" t="n">
        <v>37</v>
      </c>
      <c r="AD28" s="13" t="n">
        <f aca="false">IFERROR(AC28/AC27-1,"")</f>
        <v>-0.075</v>
      </c>
      <c r="AE28" s="17" t="n">
        <v>0.216</v>
      </c>
      <c r="AF28" s="17" t="n">
        <v>0.136</v>
      </c>
      <c r="AG28" s="13" t="n">
        <f aca="false">1-AF28</f>
        <v>0.864</v>
      </c>
      <c r="AH28" s="17" t="n">
        <v>0.798</v>
      </c>
      <c r="AI28" s="12" t="n">
        <v>131836</v>
      </c>
      <c r="AJ28" s="14" t="n">
        <f aca="false">IFERROR(AM28*U28*MIN(1/AE28,5),"")</f>
        <v>78018.1660246242</v>
      </c>
      <c r="AK28" s="18" t="n">
        <f aca="false">IFERROR(AJ28/AI28,"")</f>
        <v>0.591781956556815</v>
      </c>
      <c r="AL28" s="15" t="n">
        <f aca="false">IFERROR(AI28/(AM28*U28/12),"")</f>
        <v>93.8784208271512</v>
      </c>
      <c r="AM28" s="12" t="n">
        <v>30160</v>
      </c>
      <c r="AN28" s="12" t="n">
        <v>436443</v>
      </c>
      <c r="AO28" s="12" t="n">
        <v>1192015</v>
      </c>
      <c r="AP28" s="17" t="n">
        <v>0.126</v>
      </c>
      <c r="AQ28" s="16" t="n">
        <v>63</v>
      </c>
      <c r="AR28" s="16" t="n">
        <v>6</v>
      </c>
      <c r="AS28" s="13" t="n">
        <f aca="false">IFERROR(AR28/AR27-1,"")</f>
        <v>0</v>
      </c>
      <c r="AT28" s="11" t="s">
        <v>119</v>
      </c>
      <c r="AU28" s="14" t="n">
        <f aca="false">IFERROR(P28/AR28,"")</f>
        <v>56878.6666666667</v>
      </c>
      <c r="AV28" s="12" t="n">
        <v>2315218</v>
      </c>
      <c r="AW28" s="12" t="n">
        <v>1145206</v>
      </c>
      <c r="AX28" s="12" t="n">
        <v>700915</v>
      </c>
      <c r="AY28" s="16" t="n">
        <v>31829</v>
      </c>
      <c r="AZ28" s="13" t="n">
        <f aca="false">IFERROR(AY28/AY27-1,"")</f>
        <v>-0.0729867482161061</v>
      </c>
      <c r="BA28" s="17" t="n">
        <v>0.803</v>
      </c>
      <c r="BB28" s="11" t="s">
        <v>144</v>
      </c>
      <c r="BC28" s="11" t="s">
        <v>121</v>
      </c>
      <c r="BD28" s="11" t="s">
        <v>145</v>
      </c>
      <c r="BE28" s="12" t="n">
        <v>430750</v>
      </c>
      <c r="BF28" s="13" t="n">
        <f aca="false">IFERROR(P28/BE28-1,"")</f>
        <v>-0.207726059199071</v>
      </c>
      <c r="BG28" s="17" t="n">
        <v>0.221</v>
      </c>
      <c r="BH28" s="17" t="n">
        <v>0.164</v>
      </c>
      <c r="BI28" s="14" t="n">
        <f aca="false">P28*(1+IFERROR(Q28,0))^4</f>
        <v>250741.032913922</v>
      </c>
      <c r="BJ28" s="12" t="n">
        <v>-2229712</v>
      </c>
      <c r="BK28" s="11" t="s">
        <v>146</v>
      </c>
      <c r="BL28" s="11" t="s">
        <v>147</v>
      </c>
      <c r="BM28" s="14" t="n">
        <f aca="false">O28</f>
        <v>23046462</v>
      </c>
      <c r="BN28" s="11" t="s">
        <v>148</v>
      </c>
      <c r="BO28" s="13" t="n">
        <f aca="false">IFERROR(1-L28/M28,"")</f>
        <v>0.0419476622245168</v>
      </c>
      <c r="BP28" s="11" t="s">
        <v>149</v>
      </c>
      <c r="BQ28" s="12" t="n">
        <v>2361574</v>
      </c>
      <c r="BR28" s="11" t="s">
        <v>88</v>
      </c>
      <c r="BS28" s="11" t="s">
        <v>89</v>
      </c>
      <c r="BT28" s="19" t="str">
        <f aca="false">IF(OR(Z28&lt;6,AH28&lt;0.9,S28&lt;0.02,AK28&lt;1),"REVIEW",IF(AND(S28&gt;0.25,AH28&gt;1.2),"ACCELERATING","STABLE"))</f>
        <v>REVIEW</v>
      </c>
    </row>
    <row r="29" customFormat="false" ht="15" hidden="false" customHeight="false" outlineLevel="0" collapsed="false">
      <c r="A29" s="11" t="s">
        <v>139</v>
      </c>
      <c r="B29" s="11" t="s">
        <v>93</v>
      </c>
      <c r="C29" s="11" t="s">
        <v>140</v>
      </c>
      <c r="D29" s="11" t="s">
        <v>141</v>
      </c>
      <c r="E29" s="11" t="s">
        <v>142</v>
      </c>
      <c r="F29" s="11" t="s">
        <v>143</v>
      </c>
      <c r="G29" s="11" t="s">
        <v>136</v>
      </c>
      <c r="H29" s="11" t="s">
        <v>79</v>
      </c>
      <c r="I29" s="11" t="s">
        <v>136</v>
      </c>
      <c r="J29" s="12" t="n">
        <v>1300000</v>
      </c>
      <c r="K29" s="13" t="n">
        <f aca="false">IFERROR(J29/M29,"")</f>
        <v>0.0419476622245168</v>
      </c>
      <c r="L29" s="12" t="n">
        <v>29691000</v>
      </c>
      <c r="M29" s="14" t="n">
        <f aca="false">L29+J29</f>
        <v>30991000</v>
      </c>
      <c r="N29" s="12" t="n">
        <v>6493000</v>
      </c>
      <c r="O29" s="12" t="n">
        <v>23046462</v>
      </c>
      <c r="P29" s="12" t="n">
        <v>315212</v>
      </c>
      <c r="Q29" s="13" t="n">
        <f aca="false">IFERROR(P29/P28-1,"")</f>
        <v>-0.0763613774350078</v>
      </c>
      <c r="R29" s="12" t="n">
        <v>344438</v>
      </c>
      <c r="S29" s="13" t="n">
        <f aca="false">IFERROR(R29/R28-1,"")</f>
        <v>-0.0781455748375425</v>
      </c>
      <c r="T29" s="12" t="n">
        <v>172671</v>
      </c>
      <c r="U29" s="13" t="n">
        <f aca="false">IFERROR(T29/P29,"")</f>
        <v>0.547793231222162</v>
      </c>
      <c r="V29" s="14" t="n">
        <f aca="false">T29-AV29</f>
        <v>-2627343</v>
      </c>
      <c r="W29" s="14" t="n">
        <f aca="false">V29-AA29*0.1</f>
        <v>-2627343</v>
      </c>
      <c r="X29" s="12" t="n">
        <v>640606</v>
      </c>
      <c r="Y29" s="12" t="n">
        <v>209000</v>
      </c>
      <c r="Z29" s="15" t="n">
        <f aca="false">IFERROR(X29/Y29,"")</f>
        <v>3.0651004784689</v>
      </c>
      <c r="AA29" s="12" t="n">
        <v>0</v>
      </c>
      <c r="AB29" s="14" t="n">
        <f aca="false">W29-0.02*P29</f>
        <v>-2633647.24</v>
      </c>
      <c r="AC29" s="16" t="n">
        <v>35</v>
      </c>
      <c r="AD29" s="13" t="n">
        <f aca="false">IFERROR(AC29/AC28-1,"")</f>
        <v>-0.0540540540540541</v>
      </c>
      <c r="AE29" s="17" t="n">
        <v>0.246</v>
      </c>
      <c r="AF29" s="17" t="n">
        <v>0.223</v>
      </c>
      <c r="AG29" s="13" t="n">
        <f aca="false">1-AF29</f>
        <v>0.777</v>
      </c>
      <c r="AH29" s="17" t="n">
        <v>0.758</v>
      </c>
      <c r="AI29" s="12" t="n">
        <v>143300</v>
      </c>
      <c r="AJ29" s="14" t="n">
        <f aca="false">IFERROR(AM29*U29*MIN(1/AE29,5),"")</f>
        <v>68451.8858852409</v>
      </c>
      <c r="AK29" s="18" t="n">
        <f aca="false">IFERROR(AJ29/AI29,"")</f>
        <v>0.477682385800704</v>
      </c>
      <c r="AL29" s="15" t="n">
        <f aca="false">IFERROR(AI29/(AM29*U29/12),"")</f>
        <v>102.119084259536</v>
      </c>
      <c r="AM29" s="12" t="n">
        <v>30740</v>
      </c>
      <c r="AN29" s="12" t="n">
        <v>462476</v>
      </c>
      <c r="AO29" s="12" t="n">
        <v>625959</v>
      </c>
      <c r="AP29" s="17" t="n">
        <v>0.126</v>
      </c>
      <c r="AQ29" s="16" t="n">
        <v>63</v>
      </c>
      <c r="AR29" s="16" t="n">
        <v>6</v>
      </c>
      <c r="AS29" s="13" t="n">
        <f aca="false">IFERROR(AR29/AR28-1,"")</f>
        <v>0</v>
      </c>
      <c r="AT29" s="11" t="s">
        <v>119</v>
      </c>
      <c r="AU29" s="14" t="n">
        <f aca="false">IFERROR(P29/AR29,"")</f>
        <v>52535.3333333333</v>
      </c>
      <c r="AV29" s="12" t="n">
        <v>2800014</v>
      </c>
      <c r="AW29" s="12" t="n">
        <v>1164716</v>
      </c>
      <c r="AX29" s="12" t="n">
        <v>661202</v>
      </c>
      <c r="AY29" s="16" t="n">
        <v>29600</v>
      </c>
      <c r="AZ29" s="13" t="n">
        <f aca="false">IFERROR(AY29/AY28-1,"")</f>
        <v>-0.0700304753526658</v>
      </c>
      <c r="BA29" s="17" t="n">
        <v>0.794</v>
      </c>
      <c r="BB29" s="11" t="s">
        <v>144</v>
      </c>
      <c r="BC29" s="11" t="s">
        <v>121</v>
      </c>
      <c r="BD29" s="11" t="s">
        <v>145</v>
      </c>
      <c r="BE29" s="12" t="n">
        <v>454919</v>
      </c>
      <c r="BF29" s="13" t="n">
        <f aca="false">IFERROR(P29/BE29-1,"")</f>
        <v>-0.307103022735916</v>
      </c>
      <c r="BG29" s="17" t="n">
        <v>0.203</v>
      </c>
      <c r="BH29" s="17" t="n">
        <v>0.35</v>
      </c>
      <c r="BI29" s="14" t="n">
        <f aca="false">P29*(1+IFERROR(Q29,0))^4</f>
        <v>229409.333050688</v>
      </c>
      <c r="BJ29" s="12" t="n">
        <v>-2487928</v>
      </c>
      <c r="BK29" s="11" t="s">
        <v>146</v>
      </c>
      <c r="BL29" s="11" t="s">
        <v>147</v>
      </c>
      <c r="BM29" s="14" t="n">
        <f aca="false">O29</f>
        <v>23046462</v>
      </c>
      <c r="BN29" s="11" t="s">
        <v>148</v>
      </c>
      <c r="BO29" s="13" t="n">
        <f aca="false">IFERROR(1-L29/M29,"")</f>
        <v>0.0419476622245168</v>
      </c>
      <c r="BP29" s="11" t="s">
        <v>149</v>
      </c>
      <c r="BQ29" s="12" t="n">
        <v>3313276</v>
      </c>
      <c r="BR29" s="11" t="s">
        <v>88</v>
      </c>
      <c r="BS29" s="11" t="s">
        <v>89</v>
      </c>
      <c r="BT29" s="19" t="str">
        <f aca="false">IF(OR(Z29&lt;6,AH29&lt;0.9,S29&lt;0.02,AK29&lt;1),"REVIEW",IF(AND(S29&gt;0.25,AH29&gt;1.2),"ACCELERATING","STABLE"))</f>
        <v>REVIEW</v>
      </c>
    </row>
    <row r="30" customFormat="false" ht="15" hidden="false" customHeight="false" outlineLevel="0" collapsed="false">
      <c r="A30" s="3" t="s">
        <v>150</v>
      </c>
      <c r="B30" s="3" t="s">
        <v>73</v>
      </c>
      <c r="C30" s="3" t="s">
        <v>151</v>
      </c>
      <c r="D30" s="3" t="s">
        <v>152</v>
      </c>
      <c r="E30" s="3" t="s">
        <v>153</v>
      </c>
      <c r="F30" s="3" t="s">
        <v>77</v>
      </c>
      <c r="G30" s="3" t="s">
        <v>154</v>
      </c>
      <c r="H30" s="3" t="s">
        <v>155</v>
      </c>
      <c r="I30" s="3" t="s">
        <v>154</v>
      </c>
      <c r="J30" s="4" t="n">
        <v>466000</v>
      </c>
      <c r="K30" s="5" t="n">
        <f aca="false">IFERROR(J30/M30,"")</f>
        <v>0.112262105516743</v>
      </c>
      <c r="L30" s="4" t="n">
        <v>3685000</v>
      </c>
      <c r="M30" s="6" t="n">
        <f aca="false">L30+J30</f>
        <v>4151000</v>
      </c>
      <c r="N30" s="4" t="n">
        <v>689000</v>
      </c>
      <c r="O30" s="4" t="n">
        <v>5286757</v>
      </c>
      <c r="P30" s="4" t="n">
        <v>19095</v>
      </c>
      <c r="Q30" s="7"/>
      <c r="R30" s="4" t="n">
        <v>21005</v>
      </c>
      <c r="S30" s="7"/>
      <c r="T30" s="4" t="n">
        <v>11054</v>
      </c>
      <c r="U30" s="5" t="n">
        <f aca="false">IFERROR(T30/P30,"")</f>
        <v>0.578894998690757</v>
      </c>
      <c r="V30" s="6" t="n">
        <f aca="false">T30-AV30</f>
        <v>-799399</v>
      </c>
      <c r="W30" s="6" t="n">
        <f aca="false">V30-AA30*0.1</f>
        <v>-799399</v>
      </c>
      <c r="X30" s="4" t="n">
        <v>1267151</v>
      </c>
      <c r="Y30" s="4" t="n">
        <v>67340</v>
      </c>
      <c r="Z30" s="8" t="n">
        <f aca="false">IFERROR(X30/Y30,"")</f>
        <v>18.8172111672112</v>
      </c>
      <c r="AA30" s="4" t="n">
        <v>0</v>
      </c>
      <c r="AB30" s="6" t="n">
        <f aca="false">W30-0.02*P30</f>
        <v>-799780.9</v>
      </c>
      <c r="AC30" s="9" t="n">
        <v>2</v>
      </c>
      <c r="AD30" s="7"/>
      <c r="AE30" s="7" t="n">
        <v>0.128</v>
      </c>
      <c r="AF30" s="7" t="n">
        <v>0.113</v>
      </c>
      <c r="AG30" s="5" t="n">
        <f aca="false">1-AF30</f>
        <v>0.887</v>
      </c>
      <c r="AH30" s="7" t="n">
        <v>1.095</v>
      </c>
      <c r="AI30" s="4" t="n">
        <v>18020</v>
      </c>
      <c r="AJ30" s="6" t="n">
        <f aca="false">IFERROR(AM30*U30*MIN(1/AE30,5),"")</f>
        <v>49206.0748887143</v>
      </c>
      <c r="AK30" s="10" t="n">
        <f aca="false">IFERROR(AJ30/AI30,"")</f>
        <v>2.73063678627715</v>
      </c>
      <c r="AL30" s="8" t="n">
        <f aca="false">IFERROR(AI30/(AM30*U30/12),"")</f>
        <v>21.9728966889814</v>
      </c>
      <c r="AM30" s="4" t="n">
        <v>17000</v>
      </c>
      <c r="AN30" s="4" t="n">
        <v>23631</v>
      </c>
      <c r="AO30" s="4" t="n">
        <v>82454</v>
      </c>
      <c r="AP30" s="7" t="n">
        <v>0.267</v>
      </c>
      <c r="AQ30" s="9" t="n">
        <v>44</v>
      </c>
      <c r="AR30" s="9" t="n">
        <v>5</v>
      </c>
      <c r="AS30" s="7"/>
      <c r="AT30" s="3" t="s">
        <v>80</v>
      </c>
      <c r="AU30" s="6" t="n">
        <f aca="false">IFERROR(P30/AR30,"")</f>
        <v>3819</v>
      </c>
      <c r="AV30" s="4" t="n">
        <v>810453</v>
      </c>
      <c r="AW30" s="4" t="n">
        <v>377641</v>
      </c>
      <c r="AX30" s="4" t="n">
        <v>223932</v>
      </c>
      <c r="AY30" s="9" t="n">
        <v>1122</v>
      </c>
      <c r="AZ30" s="7"/>
      <c r="BA30" s="7" t="n">
        <v>0.865</v>
      </c>
      <c r="BB30" s="3" t="s">
        <v>156</v>
      </c>
      <c r="BC30" s="3" t="s">
        <v>82</v>
      </c>
      <c r="BD30" s="3" t="s">
        <v>157</v>
      </c>
      <c r="BE30" s="4" t="n">
        <v>17858</v>
      </c>
      <c r="BF30" s="5" t="n">
        <f aca="false">IFERROR(P30/BE30-1,"")</f>
        <v>0.0692686751035951</v>
      </c>
      <c r="BG30" s="7" t="n">
        <v>-0.04</v>
      </c>
      <c r="BH30" s="7" t="n">
        <v>-0.019</v>
      </c>
      <c r="BI30" s="6" t="n">
        <f aca="false">P30</f>
        <v>19095</v>
      </c>
      <c r="BJ30" s="4" t="n">
        <v>-569380</v>
      </c>
      <c r="BK30" s="3" t="s">
        <v>158</v>
      </c>
      <c r="BL30" s="3" t="s">
        <v>132</v>
      </c>
      <c r="BM30" s="6" t="n">
        <f aca="false">O30</f>
        <v>5286757</v>
      </c>
      <c r="BN30" s="3" t="s">
        <v>159</v>
      </c>
      <c r="BO30" s="5" t="n">
        <f aca="false">IFERROR(1-L30/M30,"")</f>
        <v>0.112262105516743</v>
      </c>
      <c r="BP30" s="3" t="s">
        <v>87</v>
      </c>
      <c r="BQ30" s="4" t="n">
        <v>817030</v>
      </c>
      <c r="BR30" s="3" t="s">
        <v>88</v>
      </c>
      <c r="BS30" s="3" t="s">
        <v>89</v>
      </c>
      <c r="BT30" s="3" t="s">
        <v>90</v>
      </c>
    </row>
    <row r="31" customFormat="false" ht="15" hidden="false" customHeight="false" outlineLevel="0" collapsed="false">
      <c r="A31" s="11" t="s">
        <v>150</v>
      </c>
      <c r="B31" s="11" t="s">
        <v>91</v>
      </c>
      <c r="C31" s="11" t="s">
        <v>151</v>
      </c>
      <c r="D31" s="11" t="s">
        <v>152</v>
      </c>
      <c r="E31" s="11" t="s">
        <v>153</v>
      </c>
      <c r="F31" s="11" t="s">
        <v>77</v>
      </c>
      <c r="G31" s="11" t="s">
        <v>154</v>
      </c>
      <c r="H31" s="11" t="s">
        <v>155</v>
      </c>
      <c r="I31" s="11" t="s">
        <v>154</v>
      </c>
      <c r="J31" s="12" t="n">
        <v>466000</v>
      </c>
      <c r="K31" s="13" t="n">
        <f aca="false">IFERROR(J31/M31,"")</f>
        <v>0.112262105516743</v>
      </c>
      <c r="L31" s="12" t="n">
        <v>3685000</v>
      </c>
      <c r="M31" s="14" t="n">
        <f aca="false">L31+J31</f>
        <v>4151000</v>
      </c>
      <c r="N31" s="12" t="n">
        <v>689000</v>
      </c>
      <c r="O31" s="12" t="n">
        <v>5286757</v>
      </c>
      <c r="P31" s="12" t="n">
        <v>22551</v>
      </c>
      <c r="Q31" s="13" t="n">
        <f aca="false">IFERROR(P31/P30-1,"")</f>
        <v>0.180989787902592</v>
      </c>
      <c r="R31" s="12" t="n">
        <v>23512</v>
      </c>
      <c r="S31" s="13" t="n">
        <f aca="false">IFERROR(R31/R30-1,"")</f>
        <v>0.119352535110688</v>
      </c>
      <c r="T31" s="12" t="n">
        <v>13107</v>
      </c>
      <c r="U31" s="13" t="n">
        <f aca="false">IFERROR(T31/P31,"")</f>
        <v>0.581215910602634</v>
      </c>
      <c r="V31" s="14" t="n">
        <f aca="false">T31-AV31</f>
        <v>-820870</v>
      </c>
      <c r="W31" s="14" t="n">
        <f aca="false">V31-AA31*0.1</f>
        <v>-820870</v>
      </c>
      <c r="X31" s="12" t="n">
        <v>1097321</v>
      </c>
      <c r="Y31" s="12" t="n">
        <v>69560</v>
      </c>
      <c r="Z31" s="15" t="n">
        <f aca="false">IFERROR(X31/Y31,"")</f>
        <v>15.7751725129385</v>
      </c>
      <c r="AA31" s="12" t="n">
        <v>0</v>
      </c>
      <c r="AB31" s="14" t="n">
        <f aca="false">W31-0.02*P31</f>
        <v>-821321.02</v>
      </c>
      <c r="AC31" s="16" t="n">
        <v>2</v>
      </c>
      <c r="AD31" s="13" t="n">
        <f aca="false">IFERROR(AC31/AC30-1,"")</f>
        <v>0</v>
      </c>
      <c r="AE31" s="17" t="n">
        <v>0.124</v>
      </c>
      <c r="AF31" s="17" t="n">
        <v>0.118</v>
      </c>
      <c r="AG31" s="13" t="n">
        <f aca="false">1-AF31</f>
        <v>0.882</v>
      </c>
      <c r="AH31" s="17" t="n">
        <v>1.09</v>
      </c>
      <c r="AI31" s="12" t="n">
        <v>17680</v>
      </c>
      <c r="AJ31" s="14" t="n">
        <f aca="false">IFERROR(AM31*U31*MIN(1/AE31,5),"")</f>
        <v>50391.4194492484</v>
      </c>
      <c r="AK31" s="18" t="n">
        <f aca="false">IFERROR(AJ31/AI31,"")</f>
        <v>2.85019340776292</v>
      </c>
      <c r="AL31" s="15" t="n">
        <f aca="false">IFERROR(AI31/(AM31*U31/12),"")</f>
        <v>21.0512029943587</v>
      </c>
      <c r="AM31" s="12" t="n">
        <v>17340</v>
      </c>
      <c r="AN31" s="12" t="n">
        <v>26186</v>
      </c>
      <c r="AO31" s="12" t="n">
        <v>63087</v>
      </c>
      <c r="AP31" s="17" t="n">
        <v>0.267</v>
      </c>
      <c r="AQ31" s="16" t="n">
        <v>44</v>
      </c>
      <c r="AR31" s="16" t="n">
        <v>6</v>
      </c>
      <c r="AS31" s="13" t="n">
        <f aca="false">IFERROR(AR31/AR30-1,"")</f>
        <v>0.2</v>
      </c>
      <c r="AT31" s="11" t="s">
        <v>80</v>
      </c>
      <c r="AU31" s="14" t="n">
        <f aca="false">IFERROR(P31/AR31,"")</f>
        <v>3758.5</v>
      </c>
      <c r="AV31" s="12" t="n">
        <v>833977</v>
      </c>
      <c r="AW31" s="12" t="n">
        <v>284906</v>
      </c>
      <c r="AX31" s="12" t="n">
        <v>206286</v>
      </c>
      <c r="AY31" s="16" t="n">
        <v>1365</v>
      </c>
      <c r="AZ31" s="13" t="n">
        <f aca="false">IFERROR(AY31/AY30-1,"")</f>
        <v>0.216577540106952</v>
      </c>
      <c r="BA31" s="17" t="n">
        <v>0.886</v>
      </c>
      <c r="BB31" s="11" t="s">
        <v>156</v>
      </c>
      <c r="BC31" s="11" t="s">
        <v>82</v>
      </c>
      <c r="BD31" s="11" t="s">
        <v>157</v>
      </c>
      <c r="BE31" s="12" t="n">
        <v>26791</v>
      </c>
      <c r="BF31" s="13" t="n">
        <f aca="false">IFERROR(P31/BE31-1,"")</f>
        <v>-0.158262102945019</v>
      </c>
      <c r="BG31" s="17" t="n">
        <v>0.078</v>
      </c>
      <c r="BH31" s="17" t="n">
        <v>0.051</v>
      </c>
      <c r="BI31" s="14" t="n">
        <f aca="false">P31*(1+IFERROR(Q31,0))^4</f>
        <v>43868.2564841946</v>
      </c>
      <c r="BJ31" s="12" t="n">
        <v>-424925</v>
      </c>
      <c r="BK31" s="11" t="s">
        <v>158</v>
      </c>
      <c r="BL31" s="11" t="s">
        <v>132</v>
      </c>
      <c r="BM31" s="14" t="n">
        <f aca="false">O31</f>
        <v>5286757</v>
      </c>
      <c r="BN31" s="11" t="s">
        <v>159</v>
      </c>
      <c r="BO31" s="13" t="n">
        <f aca="false">IFERROR(1-L31/M31,"")</f>
        <v>0.112262105516743</v>
      </c>
      <c r="BP31" s="11" t="s">
        <v>87</v>
      </c>
      <c r="BQ31" s="12" t="n">
        <v>1165012</v>
      </c>
      <c r="BR31" s="11" t="s">
        <v>88</v>
      </c>
      <c r="BS31" s="11" t="s">
        <v>89</v>
      </c>
      <c r="BT31" s="19" t="str">
        <f aca="false">IF(OR(Z31&lt;6,AH31&lt;0.9,S31&lt;0.02,AK31&lt;1),"REVIEW",IF(AND(S31&gt;0.25,AH31&gt;1.2),"ACCELERATING","STABLE"))</f>
        <v>STABLE</v>
      </c>
    </row>
    <row r="32" customFormat="false" ht="15" hidden="false" customHeight="false" outlineLevel="0" collapsed="false">
      <c r="A32" s="11" t="s">
        <v>150</v>
      </c>
      <c r="B32" s="11" t="s">
        <v>92</v>
      </c>
      <c r="C32" s="11" t="s">
        <v>151</v>
      </c>
      <c r="D32" s="11" t="s">
        <v>152</v>
      </c>
      <c r="E32" s="11" t="s">
        <v>153</v>
      </c>
      <c r="F32" s="11" t="s">
        <v>77</v>
      </c>
      <c r="G32" s="11" t="s">
        <v>154</v>
      </c>
      <c r="H32" s="11" t="s">
        <v>155</v>
      </c>
      <c r="I32" s="11" t="s">
        <v>154</v>
      </c>
      <c r="J32" s="12" t="n">
        <v>466000</v>
      </c>
      <c r="K32" s="13" t="n">
        <f aca="false">IFERROR(J32/M32,"")</f>
        <v>0.112262105516743</v>
      </c>
      <c r="L32" s="12" t="n">
        <v>3685000</v>
      </c>
      <c r="M32" s="14" t="n">
        <f aca="false">L32+J32</f>
        <v>4151000</v>
      </c>
      <c r="N32" s="12" t="n">
        <v>689000</v>
      </c>
      <c r="O32" s="12" t="n">
        <v>5286757</v>
      </c>
      <c r="P32" s="12" t="n">
        <v>26077</v>
      </c>
      <c r="Q32" s="13" t="n">
        <f aca="false">IFERROR(P32/P31-1,"")</f>
        <v>0.156356702585251</v>
      </c>
      <c r="R32" s="12" t="n">
        <v>28364</v>
      </c>
      <c r="S32" s="13" t="n">
        <f aca="false">IFERROR(R32/R31-1,"")</f>
        <v>0.206362708404219</v>
      </c>
      <c r="T32" s="12" t="n">
        <v>15218</v>
      </c>
      <c r="U32" s="13" t="n">
        <f aca="false">IFERROR(T32/P32,"")</f>
        <v>0.583579399470798</v>
      </c>
      <c r="V32" s="14" t="n">
        <f aca="false">T32-AV32</f>
        <v>-793506</v>
      </c>
      <c r="W32" s="14" t="n">
        <f aca="false">V32-AA32*0.1</f>
        <v>-793506</v>
      </c>
      <c r="X32" s="12" t="n">
        <v>915503</v>
      </c>
      <c r="Y32" s="12" t="n">
        <v>71780</v>
      </c>
      <c r="Z32" s="15" t="n">
        <f aca="false">IFERROR(X32/Y32,"")</f>
        <v>12.754290888827</v>
      </c>
      <c r="AA32" s="12" t="n">
        <v>0</v>
      </c>
      <c r="AB32" s="14" t="n">
        <f aca="false">W32-0.02*P32</f>
        <v>-794027.54</v>
      </c>
      <c r="AC32" s="16" t="n">
        <v>3</v>
      </c>
      <c r="AD32" s="13" t="n">
        <f aca="false">IFERROR(AC32/AC31-1,"")</f>
        <v>0.5</v>
      </c>
      <c r="AE32" s="17" t="n">
        <v>0.121</v>
      </c>
      <c r="AF32" s="17" t="n">
        <v>0.082</v>
      </c>
      <c r="AG32" s="13" t="n">
        <f aca="false">1-AF32</f>
        <v>0.918</v>
      </c>
      <c r="AH32" s="17" t="n">
        <v>1.085</v>
      </c>
      <c r="AI32" s="12" t="n">
        <v>17340</v>
      </c>
      <c r="AJ32" s="14" t="n">
        <f aca="false">IFERROR(AM32*U32*MIN(1/AE32,5),"")</f>
        <v>51588.4189132186</v>
      </c>
      <c r="AK32" s="18" t="n">
        <f aca="false">IFERROR(AJ32/AI32,"")</f>
        <v>2.97511066396877</v>
      </c>
      <c r="AL32" s="15" t="n">
        <f aca="false">IFERROR(AI32/(AM32*U32/12),"")</f>
        <v>20.167317043582</v>
      </c>
      <c r="AM32" s="12" t="n">
        <v>17680</v>
      </c>
      <c r="AN32" s="12" t="n">
        <v>30436</v>
      </c>
      <c r="AO32" s="12" t="n">
        <v>106731</v>
      </c>
      <c r="AP32" s="17" t="n">
        <v>0.267</v>
      </c>
      <c r="AQ32" s="16" t="n">
        <v>44</v>
      </c>
      <c r="AR32" s="16" t="n">
        <v>6</v>
      </c>
      <c r="AS32" s="13" t="n">
        <f aca="false">IFERROR(AR32/AR31-1,"")</f>
        <v>0</v>
      </c>
      <c r="AT32" s="11" t="s">
        <v>80</v>
      </c>
      <c r="AU32" s="14" t="n">
        <f aca="false">IFERROR(P32/AR32,"")</f>
        <v>4346.16666666667</v>
      </c>
      <c r="AV32" s="12" t="n">
        <v>808724</v>
      </c>
      <c r="AW32" s="12" t="n">
        <v>251848</v>
      </c>
      <c r="AX32" s="12" t="n">
        <v>204882</v>
      </c>
      <c r="AY32" s="16" t="n">
        <v>1465</v>
      </c>
      <c r="AZ32" s="13" t="n">
        <f aca="false">IFERROR(AY32/AY31-1,"")</f>
        <v>0.0732600732600732</v>
      </c>
      <c r="BA32" s="17" t="n">
        <v>0.882</v>
      </c>
      <c r="BB32" s="11" t="s">
        <v>156</v>
      </c>
      <c r="BC32" s="11" t="s">
        <v>82</v>
      </c>
      <c r="BD32" s="11" t="s">
        <v>157</v>
      </c>
      <c r="BE32" s="12" t="n">
        <v>27274</v>
      </c>
      <c r="BF32" s="13" t="n">
        <f aca="false">IFERROR(P32/BE32-1,"")</f>
        <v>-0.0438879518955783</v>
      </c>
      <c r="BG32" s="17" t="n">
        <v>-0.028</v>
      </c>
      <c r="BH32" s="17" t="n">
        <v>0.038</v>
      </c>
      <c r="BI32" s="14" t="n">
        <f aca="false">P32*(1+IFERROR(Q32,0))^4</f>
        <v>46625.6517016504</v>
      </c>
      <c r="BJ32" s="12" t="n">
        <v>-447369</v>
      </c>
      <c r="BK32" s="11" t="s">
        <v>158</v>
      </c>
      <c r="BL32" s="11" t="s">
        <v>132</v>
      </c>
      <c r="BM32" s="14" t="n">
        <f aca="false">O32</f>
        <v>5286757</v>
      </c>
      <c r="BN32" s="11" t="s">
        <v>159</v>
      </c>
      <c r="BO32" s="13" t="n">
        <f aca="false">IFERROR(1-L32/M32,"")</f>
        <v>0.112262105516743</v>
      </c>
      <c r="BP32" s="11" t="s">
        <v>87</v>
      </c>
      <c r="BQ32" s="12" t="n">
        <v>1236233</v>
      </c>
      <c r="BR32" s="11" t="s">
        <v>88</v>
      </c>
      <c r="BS32" s="11" t="s">
        <v>89</v>
      </c>
      <c r="BT32" s="19" t="str">
        <f aca="false">IF(OR(Z32&lt;6,AH32&lt;0.9,S32&lt;0.02,AK32&lt;1),"REVIEW",IF(AND(S32&gt;0.25,AH32&gt;1.2),"ACCELERATING","STABLE"))</f>
        <v>STABLE</v>
      </c>
    </row>
    <row r="33" customFormat="false" ht="15" hidden="false" customHeight="false" outlineLevel="0" collapsed="false">
      <c r="A33" s="11" t="s">
        <v>150</v>
      </c>
      <c r="B33" s="11" t="s">
        <v>93</v>
      </c>
      <c r="C33" s="11" t="s">
        <v>151</v>
      </c>
      <c r="D33" s="11" t="s">
        <v>152</v>
      </c>
      <c r="E33" s="11" t="s">
        <v>153</v>
      </c>
      <c r="F33" s="11" t="s">
        <v>77</v>
      </c>
      <c r="G33" s="11" t="s">
        <v>154</v>
      </c>
      <c r="H33" s="11" t="s">
        <v>155</v>
      </c>
      <c r="I33" s="11" t="s">
        <v>154</v>
      </c>
      <c r="J33" s="12" t="n">
        <v>466000</v>
      </c>
      <c r="K33" s="13" t="n">
        <f aca="false">IFERROR(J33/M33,"")</f>
        <v>0.112262105516743</v>
      </c>
      <c r="L33" s="12" t="n">
        <v>3685000</v>
      </c>
      <c r="M33" s="14" t="n">
        <f aca="false">L33+J33</f>
        <v>4151000</v>
      </c>
      <c r="N33" s="12" t="n">
        <v>689000</v>
      </c>
      <c r="O33" s="12" t="n">
        <v>5286757</v>
      </c>
      <c r="P33" s="12" t="n">
        <v>31676</v>
      </c>
      <c r="Q33" s="13" t="n">
        <f aca="false">IFERROR(P33/P32-1,"")</f>
        <v>0.214710281090616</v>
      </c>
      <c r="R33" s="12" t="n">
        <v>34441</v>
      </c>
      <c r="S33" s="13" t="n">
        <f aca="false">IFERROR(R33/R32-1,"")</f>
        <v>0.214250458327457</v>
      </c>
      <c r="T33" s="12" t="n">
        <v>18559</v>
      </c>
      <c r="U33" s="13" t="n">
        <f aca="false">IFERROR(T33/P33,"")</f>
        <v>0.585900997600707</v>
      </c>
      <c r="V33" s="14" t="n">
        <f aca="false">T33-AV33</f>
        <v>-743931</v>
      </c>
      <c r="W33" s="14" t="n">
        <f aca="false">V33-AA33*0.1</f>
        <v>-743931</v>
      </c>
      <c r="X33" s="12" t="n">
        <v>721697</v>
      </c>
      <c r="Y33" s="12" t="n">
        <v>74000</v>
      </c>
      <c r="Z33" s="15" t="n">
        <f aca="false">IFERROR(X33/Y33,"")</f>
        <v>9.75266216216216</v>
      </c>
      <c r="AA33" s="12" t="n">
        <v>0</v>
      </c>
      <c r="AB33" s="14" t="n">
        <f aca="false">W33-0.02*P33</f>
        <v>-744564.52</v>
      </c>
      <c r="AC33" s="16" t="n">
        <v>3</v>
      </c>
      <c r="AD33" s="13" t="n">
        <f aca="false">IFERROR(AC33/AC32-1,"")</f>
        <v>0</v>
      </c>
      <c r="AE33" s="17" t="n">
        <v>0.117</v>
      </c>
      <c r="AF33" s="17" t="n">
        <v>0.113</v>
      </c>
      <c r="AG33" s="13" t="n">
        <f aca="false">1-AF33</f>
        <v>0.887</v>
      </c>
      <c r="AH33" s="17" t="n">
        <v>1.08</v>
      </c>
      <c r="AI33" s="12" t="n">
        <v>17000</v>
      </c>
      <c r="AJ33" s="14" t="n">
        <f aca="false">IFERROR(AM33*U33*MIN(1/AE33,5),"")</f>
        <v>52789.6798838237</v>
      </c>
      <c r="AK33" s="18" t="n">
        <f aca="false">IFERROR(AJ33/AI33,"")</f>
        <v>3.10527528728375</v>
      </c>
      <c r="AL33" s="15" t="n">
        <f aca="false">IFERROR(AI33/(AM33*U33/12),"")</f>
        <v>19.3219584252974</v>
      </c>
      <c r="AM33" s="12" t="n">
        <v>18020</v>
      </c>
      <c r="AN33" s="12" t="n">
        <v>41088</v>
      </c>
      <c r="AO33" s="12" t="n">
        <v>88144</v>
      </c>
      <c r="AP33" s="17" t="n">
        <v>0.267</v>
      </c>
      <c r="AQ33" s="16" t="n">
        <v>44</v>
      </c>
      <c r="AR33" s="16" t="n">
        <v>7</v>
      </c>
      <c r="AS33" s="13" t="n">
        <f aca="false">IFERROR(AR33/AR32-1,"")</f>
        <v>0.166666666666667</v>
      </c>
      <c r="AT33" s="11" t="s">
        <v>80</v>
      </c>
      <c r="AU33" s="14" t="n">
        <f aca="false">IFERROR(P33/AR33,"")</f>
        <v>4525.14285714286</v>
      </c>
      <c r="AV33" s="12" t="n">
        <v>762490</v>
      </c>
      <c r="AW33" s="12" t="n">
        <v>349243</v>
      </c>
      <c r="AX33" s="12" t="n">
        <v>171733</v>
      </c>
      <c r="AY33" s="16" t="n">
        <v>1667</v>
      </c>
      <c r="AZ33" s="13" t="n">
        <f aca="false">IFERROR(AY33/AY32-1,"")</f>
        <v>0.137883959044369</v>
      </c>
      <c r="BA33" s="17" t="n">
        <v>0.904</v>
      </c>
      <c r="BB33" s="11" t="s">
        <v>156</v>
      </c>
      <c r="BC33" s="11" t="s">
        <v>82</v>
      </c>
      <c r="BD33" s="11" t="s">
        <v>157</v>
      </c>
      <c r="BE33" s="12" t="n">
        <v>37825</v>
      </c>
      <c r="BF33" s="13" t="n">
        <f aca="false">IFERROR(P33/BE33-1,"")</f>
        <v>-0.16256444150694</v>
      </c>
      <c r="BG33" s="17" t="n">
        <v>-0.026</v>
      </c>
      <c r="BH33" s="17" t="n">
        <v>-0.008</v>
      </c>
      <c r="BI33" s="14" t="n">
        <f aca="false">P33*(1+IFERROR(Q33,0))^4</f>
        <v>68963.7967881457</v>
      </c>
      <c r="BJ33" s="12" t="n">
        <v>-608878</v>
      </c>
      <c r="BK33" s="11" t="s">
        <v>158</v>
      </c>
      <c r="BL33" s="11" t="s">
        <v>132</v>
      </c>
      <c r="BM33" s="14" t="n">
        <f aca="false">O33</f>
        <v>5286757</v>
      </c>
      <c r="BN33" s="11" t="s">
        <v>159</v>
      </c>
      <c r="BO33" s="13" t="n">
        <f aca="false">IFERROR(1-L33/M33,"")</f>
        <v>0.112262105516743</v>
      </c>
      <c r="BP33" s="11" t="s">
        <v>87</v>
      </c>
      <c r="BQ33" s="12" t="n">
        <v>1375771</v>
      </c>
      <c r="BR33" s="11" t="s">
        <v>88</v>
      </c>
      <c r="BS33" s="11" t="s">
        <v>89</v>
      </c>
      <c r="BT33" s="19" t="str">
        <f aca="false">IF(OR(Z33&lt;6,AH33&lt;0.9,S33&lt;0.02,AK33&lt;1),"REVIEW",IF(AND(S33&gt;0.25,AH33&gt;1.2),"ACCELERATING","STABLE"))</f>
        <v>STABLE</v>
      </c>
    </row>
    <row r="34" customFormat="false" ht="15" hidden="false" customHeight="false" outlineLevel="0" collapsed="false">
      <c r="A34" s="3" t="s">
        <v>160</v>
      </c>
      <c r="B34" s="3" t="s">
        <v>73</v>
      </c>
      <c r="C34" s="3" t="s">
        <v>161</v>
      </c>
      <c r="D34" s="3" t="s">
        <v>162</v>
      </c>
      <c r="E34" s="3" t="s">
        <v>96</v>
      </c>
      <c r="F34" s="3" t="s">
        <v>97</v>
      </c>
      <c r="G34" s="3" t="s">
        <v>136</v>
      </c>
      <c r="H34" s="3" t="s">
        <v>155</v>
      </c>
      <c r="I34" s="3" t="s">
        <v>136</v>
      </c>
      <c r="J34" s="4" t="n">
        <v>30300000</v>
      </c>
      <c r="K34" s="5" t="n">
        <f aca="false">IFERROR(J34/M34,"")</f>
        <v>0.735561867307552</v>
      </c>
      <c r="L34" s="4" t="n">
        <v>10893000</v>
      </c>
      <c r="M34" s="6" t="n">
        <f aca="false">L34+J34</f>
        <v>41193000</v>
      </c>
      <c r="N34" s="4" t="n">
        <v>30300000</v>
      </c>
      <c r="O34" s="4" t="n">
        <v>87972895</v>
      </c>
      <c r="P34" s="4" t="n">
        <v>168272</v>
      </c>
      <c r="Q34" s="7"/>
      <c r="R34" s="4" t="n">
        <v>175277</v>
      </c>
      <c r="S34" s="7"/>
      <c r="T34" s="4" t="n">
        <v>104855</v>
      </c>
      <c r="U34" s="5" t="n">
        <f aca="false">IFERROR(T34/P34,"")</f>
        <v>0.623128030807264</v>
      </c>
      <c r="V34" s="6" t="n">
        <f aca="false">T34-AV34</f>
        <v>-1600765</v>
      </c>
      <c r="W34" s="6" t="n">
        <f aca="false">V34-AA34*0.1</f>
        <v>-1600765</v>
      </c>
      <c r="X34" s="4" t="n">
        <v>4642908</v>
      </c>
      <c r="Y34" s="4" t="n">
        <v>134680</v>
      </c>
      <c r="Z34" s="8" t="n">
        <f aca="false">IFERROR(X34/Y34,"")</f>
        <v>34.4736263736264</v>
      </c>
      <c r="AA34" s="4" t="n">
        <v>0</v>
      </c>
      <c r="AB34" s="6" t="n">
        <f aca="false">W34-0.02*P34</f>
        <v>-1604130.44</v>
      </c>
      <c r="AC34" s="9" t="n">
        <v>52</v>
      </c>
      <c r="AD34" s="7"/>
      <c r="AE34" s="7" t="n">
        <v>0.051</v>
      </c>
      <c r="AF34" s="7" t="n">
        <v>0.035</v>
      </c>
      <c r="AG34" s="5" t="n">
        <f aca="false">1-AF34</f>
        <v>0.965</v>
      </c>
      <c r="AH34" s="7" t="n">
        <v>1.164</v>
      </c>
      <c r="AI34" s="4" t="n">
        <v>30952</v>
      </c>
      <c r="AJ34" s="6" t="n">
        <f aca="false">IFERROR(AM34*U34*MIN(1/AE34,5),"")</f>
        <v>65428.4432347628</v>
      </c>
      <c r="AK34" s="10" t="n">
        <f aca="false">IFERROR(AJ34/AI34,"")</f>
        <v>2.11386802903731</v>
      </c>
      <c r="AL34" s="8" t="n">
        <f aca="false">IFERROR(AI34/(AM34*U34/12),"")</f>
        <v>28.3839857435779</v>
      </c>
      <c r="AM34" s="4" t="n">
        <v>21000</v>
      </c>
      <c r="AN34" s="4" t="n">
        <v>209603</v>
      </c>
      <c r="AO34" s="4" t="n">
        <v>664346</v>
      </c>
      <c r="AP34" s="7" t="n">
        <v>0.21</v>
      </c>
      <c r="AQ34" s="9" t="n">
        <v>87</v>
      </c>
      <c r="AR34" s="9" t="n">
        <v>6</v>
      </c>
      <c r="AS34" s="7"/>
      <c r="AT34" s="3" t="s">
        <v>163</v>
      </c>
      <c r="AU34" s="6" t="n">
        <f aca="false">IFERROR(P34/AR34,"")</f>
        <v>28045.3333333333</v>
      </c>
      <c r="AV34" s="4" t="n">
        <v>1705620</v>
      </c>
      <c r="AW34" s="4" t="n">
        <v>608133</v>
      </c>
      <c r="AX34" s="4" t="n">
        <v>540160</v>
      </c>
      <c r="AY34" s="9" t="n">
        <v>21620</v>
      </c>
      <c r="AZ34" s="7"/>
      <c r="BA34" s="7" t="n">
        <v>0.961</v>
      </c>
      <c r="BB34" s="3" t="s">
        <v>81</v>
      </c>
      <c r="BC34" s="3" t="s">
        <v>164</v>
      </c>
      <c r="BD34" s="3" t="s">
        <v>83</v>
      </c>
      <c r="BE34" s="4" t="n">
        <v>195777</v>
      </c>
      <c r="BF34" s="5" t="n">
        <f aca="false">IFERROR(P34/BE34-1,"")</f>
        <v>-0.140491477548435</v>
      </c>
      <c r="BG34" s="7" t="n">
        <v>-0.044</v>
      </c>
      <c r="BH34" s="7" t="n">
        <v>0.024</v>
      </c>
      <c r="BI34" s="6" t="n">
        <f aca="false">P34</f>
        <v>168272</v>
      </c>
      <c r="BJ34" s="4" t="n">
        <v>-1208228</v>
      </c>
      <c r="BK34" s="3" t="s">
        <v>103</v>
      </c>
      <c r="BL34" s="3" t="s">
        <v>85</v>
      </c>
      <c r="BM34" s="6" t="n">
        <f aca="false">O34</f>
        <v>87972895</v>
      </c>
      <c r="BN34" s="3" t="s">
        <v>165</v>
      </c>
      <c r="BO34" s="5" t="n">
        <f aca="false">IFERROR(1-L34/M34,"")</f>
        <v>0.735561867307552</v>
      </c>
      <c r="BP34" s="3" t="s">
        <v>106</v>
      </c>
      <c r="BQ34" s="4" t="n">
        <v>2262270</v>
      </c>
      <c r="BR34" s="3" t="s">
        <v>88</v>
      </c>
      <c r="BS34" s="3" t="s">
        <v>89</v>
      </c>
      <c r="BT34" s="3" t="s">
        <v>90</v>
      </c>
    </row>
    <row r="35" customFormat="false" ht="15" hidden="false" customHeight="false" outlineLevel="0" collapsed="false">
      <c r="A35" s="11" t="s">
        <v>160</v>
      </c>
      <c r="B35" s="11" t="s">
        <v>91</v>
      </c>
      <c r="C35" s="11" t="s">
        <v>161</v>
      </c>
      <c r="D35" s="11" t="s">
        <v>162</v>
      </c>
      <c r="E35" s="11" t="s">
        <v>96</v>
      </c>
      <c r="F35" s="11" t="s">
        <v>97</v>
      </c>
      <c r="G35" s="11" t="s">
        <v>136</v>
      </c>
      <c r="H35" s="11" t="s">
        <v>155</v>
      </c>
      <c r="I35" s="11" t="s">
        <v>136</v>
      </c>
      <c r="J35" s="12" t="n">
        <v>30300000</v>
      </c>
      <c r="K35" s="13" t="n">
        <f aca="false">IFERROR(J35/M35,"")</f>
        <v>0.735561867307552</v>
      </c>
      <c r="L35" s="12" t="n">
        <v>10893000</v>
      </c>
      <c r="M35" s="14" t="n">
        <f aca="false">L35+J35</f>
        <v>41193000</v>
      </c>
      <c r="N35" s="12" t="n">
        <v>30300000</v>
      </c>
      <c r="O35" s="12" t="n">
        <v>87972895</v>
      </c>
      <c r="P35" s="12" t="n">
        <v>198969</v>
      </c>
      <c r="Q35" s="13" t="n">
        <f aca="false">IFERROR(P35/P34-1,"")</f>
        <v>0.182424883521917</v>
      </c>
      <c r="R35" s="12" t="n">
        <v>211989</v>
      </c>
      <c r="S35" s="13" t="n">
        <f aca="false">IFERROR(R35/R34-1,"")</f>
        <v>0.209451325616025</v>
      </c>
      <c r="T35" s="12" t="n">
        <v>124484</v>
      </c>
      <c r="U35" s="13" t="n">
        <f aca="false">IFERROR(T35/P35,"")</f>
        <v>0.625645201011213</v>
      </c>
      <c r="V35" s="14" t="n">
        <f aca="false">T35-AV35</f>
        <v>-1764094</v>
      </c>
      <c r="W35" s="14" t="n">
        <f aca="false">V35-AA35*0.1</f>
        <v>-1764094</v>
      </c>
      <c r="X35" s="12" t="n">
        <v>4303248</v>
      </c>
      <c r="Y35" s="12" t="n">
        <v>139120</v>
      </c>
      <c r="Z35" s="15" t="n">
        <f aca="false">IFERROR(X35/Y35,"")</f>
        <v>30.931914893617</v>
      </c>
      <c r="AA35" s="12" t="n">
        <v>0</v>
      </c>
      <c r="AB35" s="14" t="n">
        <f aca="false">W35-0.02*P35</f>
        <v>-1768073.38</v>
      </c>
      <c r="AC35" s="16" t="n">
        <v>57</v>
      </c>
      <c r="AD35" s="13" t="n">
        <f aca="false">IFERROR(AC35/AC34-1,"")</f>
        <v>0.0961538461538463</v>
      </c>
      <c r="AE35" s="17" t="n">
        <v>0.05</v>
      </c>
      <c r="AF35" s="17" t="n">
        <v>0.039</v>
      </c>
      <c r="AG35" s="13" t="n">
        <f aca="false">1-AF35</f>
        <v>0.961</v>
      </c>
      <c r="AH35" s="17" t="n">
        <v>1.159</v>
      </c>
      <c r="AI35" s="12" t="n">
        <v>30368</v>
      </c>
      <c r="AJ35" s="14" t="n">
        <f aca="false">IFERROR(AM35*U35*MIN(1/AE35,5),"")</f>
        <v>67006.6010283009</v>
      </c>
      <c r="AK35" s="18" t="n">
        <f aca="false">IFERROR(AJ35/AI35,"")</f>
        <v>2.20648712553678</v>
      </c>
      <c r="AL35" s="15" t="n">
        <f aca="false">IFERROR(AI35/(AM35*U35/12),"")</f>
        <v>27.1925447946603</v>
      </c>
      <c r="AM35" s="12" t="n">
        <v>21420</v>
      </c>
      <c r="AN35" s="12" t="n">
        <v>312986</v>
      </c>
      <c r="AO35" s="12" t="n">
        <v>611561</v>
      </c>
      <c r="AP35" s="17" t="n">
        <v>0.21</v>
      </c>
      <c r="AQ35" s="16" t="n">
        <v>87</v>
      </c>
      <c r="AR35" s="16" t="n">
        <v>6</v>
      </c>
      <c r="AS35" s="13" t="n">
        <f aca="false">IFERROR(AR35/AR34-1,"")</f>
        <v>0</v>
      </c>
      <c r="AT35" s="11" t="s">
        <v>163</v>
      </c>
      <c r="AU35" s="14" t="n">
        <f aca="false">IFERROR(P35/AR35,"")</f>
        <v>33161.5</v>
      </c>
      <c r="AV35" s="12" t="n">
        <v>1888578</v>
      </c>
      <c r="AW35" s="12" t="n">
        <v>932660</v>
      </c>
      <c r="AX35" s="12" t="n">
        <v>415746</v>
      </c>
      <c r="AY35" s="16" t="n">
        <v>24195</v>
      </c>
      <c r="AZ35" s="13" t="n">
        <f aca="false">IFERROR(AY35/AY34-1,"")</f>
        <v>0.119102682701203</v>
      </c>
      <c r="BA35" s="17" t="n">
        <v>0.957</v>
      </c>
      <c r="BB35" s="11" t="s">
        <v>81</v>
      </c>
      <c r="BC35" s="11" t="s">
        <v>164</v>
      </c>
      <c r="BD35" s="11" t="s">
        <v>83</v>
      </c>
      <c r="BE35" s="12" t="n">
        <v>220067</v>
      </c>
      <c r="BF35" s="13" t="n">
        <f aca="false">IFERROR(P35/BE35-1,"")</f>
        <v>-0.095870802982728</v>
      </c>
      <c r="BG35" s="17" t="n">
        <v>0.02</v>
      </c>
      <c r="BH35" s="17" t="n">
        <v>-0.019</v>
      </c>
      <c r="BI35" s="14" t="n">
        <f aca="false">P35*(1+IFERROR(Q35,0))^4</f>
        <v>388937.358051845</v>
      </c>
      <c r="BJ35" s="12" t="n">
        <v>-1450976</v>
      </c>
      <c r="BK35" s="11" t="s">
        <v>103</v>
      </c>
      <c r="BL35" s="11" t="s">
        <v>85</v>
      </c>
      <c r="BM35" s="14" t="n">
        <f aca="false">O35</f>
        <v>87972895</v>
      </c>
      <c r="BN35" s="11" t="s">
        <v>165</v>
      </c>
      <c r="BO35" s="13" t="n">
        <f aca="false">IFERROR(1-L35/M35,"")</f>
        <v>0.735561867307552</v>
      </c>
      <c r="BP35" s="11" t="s">
        <v>106</v>
      </c>
      <c r="BQ35" s="12" t="n">
        <v>2008045</v>
      </c>
      <c r="BR35" s="11" t="s">
        <v>88</v>
      </c>
      <c r="BS35" s="11" t="s">
        <v>89</v>
      </c>
      <c r="BT35" s="19" t="str">
        <f aca="false">IF(OR(Z35&lt;6,AH35&lt;0.9,S35&lt;0.02,AK35&lt;1),"REVIEW",IF(AND(S35&gt;0.25,AH35&gt;1.2),"ACCELERATING","STABLE"))</f>
        <v>STABLE</v>
      </c>
    </row>
    <row r="36" customFormat="false" ht="15" hidden="false" customHeight="false" outlineLevel="0" collapsed="false">
      <c r="A36" s="11" t="s">
        <v>160</v>
      </c>
      <c r="B36" s="11" t="s">
        <v>92</v>
      </c>
      <c r="C36" s="11" t="s">
        <v>161</v>
      </c>
      <c r="D36" s="11" t="s">
        <v>162</v>
      </c>
      <c r="E36" s="11" t="s">
        <v>96</v>
      </c>
      <c r="F36" s="11" t="s">
        <v>97</v>
      </c>
      <c r="G36" s="11" t="s">
        <v>136</v>
      </c>
      <c r="H36" s="11" t="s">
        <v>155</v>
      </c>
      <c r="I36" s="11" t="s">
        <v>136</v>
      </c>
      <c r="J36" s="12" t="n">
        <v>30300000</v>
      </c>
      <c r="K36" s="13" t="n">
        <f aca="false">IFERROR(J36/M36,"")</f>
        <v>0.735561867307552</v>
      </c>
      <c r="L36" s="12" t="n">
        <v>10893000</v>
      </c>
      <c r="M36" s="14" t="n">
        <f aca="false">L36+J36</f>
        <v>41193000</v>
      </c>
      <c r="N36" s="12" t="n">
        <v>30300000</v>
      </c>
      <c r="O36" s="12" t="n">
        <v>87972895</v>
      </c>
      <c r="P36" s="12" t="n">
        <v>233730</v>
      </c>
      <c r="Q36" s="13" t="n">
        <f aca="false">IFERROR(P36/P35-1,"")</f>
        <v>0.174705607406179</v>
      </c>
      <c r="R36" s="12" t="n">
        <v>238041</v>
      </c>
      <c r="S36" s="13" t="n">
        <f aca="false">IFERROR(R36/R35-1,"")</f>
        <v>0.122893168985183</v>
      </c>
      <c r="T36" s="12" t="n">
        <v>146823</v>
      </c>
      <c r="U36" s="13" t="n">
        <f aca="false">IFERROR(T36/P36,"")</f>
        <v>0.628173533564369</v>
      </c>
      <c r="V36" s="14" t="n">
        <f aca="false">T36-AV36</f>
        <v>-1544890</v>
      </c>
      <c r="W36" s="14" t="n">
        <f aca="false">V36-AA36*0.1</f>
        <v>-1544890</v>
      </c>
      <c r="X36" s="12" t="n">
        <v>3939612</v>
      </c>
      <c r="Y36" s="12" t="n">
        <v>143560</v>
      </c>
      <c r="Z36" s="15" t="n">
        <f aca="false">IFERROR(X36/Y36,"")</f>
        <v>27.4422680412371</v>
      </c>
      <c r="AA36" s="12" t="n">
        <v>0</v>
      </c>
      <c r="AB36" s="14" t="n">
        <f aca="false">W36-0.02*P36</f>
        <v>-1549564.6</v>
      </c>
      <c r="AC36" s="16" t="n">
        <v>63</v>
      </c>
      <c r="AD36" s="13" t="n">
        <f aca="false">IFERROR(AC36/AC35-1,"")</f>
        <v>0.105263157894737</v>
      </c>
      <c r="AE36" s="17" t="n">
        <v>0.048</v>
      </c>
      <c r="AF36" s="17" t="n">
        <v>0.053</v>
      </c>
      <c r="AG36" s="13" t="n">
        <f aca="false">1-AF36</f>
        <v>0.947</v>
      </c>
      <c r="AH36" s="17" t="n">
        <v>1.154</v>
      </c>
      <c r="AI36" s="12" t="n">
        <v>29784</v>
      </c>
      <c r="AJ36" s="14" t="n">
        <f aca="false">IFERROR(AM36*U36*MIN(1/AE36,5),"")</f>
        <v>68596.5498652291</v>
      </c>
      <c r="AK36" s="18" t="n">
        <f aca="false">IFERROR(AJ36/AI36,"")</f>
        <v>2.30313422862037</v>
      </c>
      <c r="AL36" s="15" t="n">
        <f aca="false">IFERROR(AI36/(AM36*U36/12),"")</f>
        <v>26.0514559917515</v>
      </c>
      <c r="AM36" s="12" t="n">
        <v>21840</v>
      </c>
      <c r="AN36" s="12" t="n">
        <v>237411</v>
      </c>
      <c r="AO36" s="12" t="n">
        <v>407245</v>
      </c>
      <c r="AP36" s="17" t="n">
        <v>0.21</v>
      </c>
      <c r="AQ36" s="16" t="n">
        <v>87</v>
      </c>
      <c r="AR36" s="16" t="n">
        <v>7</v>
      </c>
      <c r="AS36" s="13" t="n">
        <f aca="false">IFERROR(AR36/AR35-1,"")</f>
        <v>0.166666666666667</v>
      </c>
      <c r="AT36" s="11" t="s">
        <v>163</v>
      </c>
      <c r="AU36" s="14" t="n">
        <f aca="false">IFERROR(P36/AR36,"")</f>
        <v>33390</v>
      </c>
      <c r="AV36" s="12" t="n">
        <v>1691713</v>
      </c>
      <c r="AW36" s="12" t="n">
        <v>750500</v>
      </c>
      <c r="AX36" s="12" t="n">
        <v>329207</v>
      </c>
      <c r="AY36" s="16" t="n">
        <v>27881</v>
      </c>
      <c r="AZ36" s="13" t="n">
        <f aca="false">IFERROR(AY36/AY35-1,"")</f>
        <v>0.152345525935111</v>
      </c>
      <c r="BA36" s="17" t="n">
        <v>0.961</v>
      </c>
      <c r="BB36" s="11" t="s">
        <v>81</v>
      </c>
      <c r="BC36" s="11" t="s">
        <v>164</v>
      </c>
      <c r="BD36" s="11" t="s">
        <v>83</v>
      </c>
      <c r="BE36" s="12" t="n">
        <v>261397</v>
      </c>
      <c r="BF36" s="13" t="n">
        <f aca="false">IFERROR(P36/BE36-1,"")</f>
        <v>-0.105842836757882</v>
      </c>
      <c r="BG36" s="17" t="n">
        <v>-0.022</v>
      </c>
      <c r="BH36" s="17" t="n">
        <v>-0.066</v>
      </c>
      <c r="BI36" s="14" t="n">
        <f aca="false">P36*(1+IFERROR(Q36,0))^4</f>
        <v>445072.362040524</v>
      </c>
      <c r="BJ36" s="12" t="n">
        <v>-1293354</v>
      </c>
      <c r="BK36" s="11" t="s">
        <v>103</v>
      </c>
      <c r="BL36" s="11" t="s">
        <v>85</v>
      </c>
      <c r="BM36" s="14" t="n">
        <f aca="false">O36</f>
        <v>87972895</v>
      </c>
      <c r="BN36" s="11" t="s">
        <v>165</v>
      </c>
      <c r="BO36" s="13" t="n">
        <f aca="false">IFERROR(1-L36/M36,"")</f>
        <v>0.735561867307552</v>
      </c>
      <c r="BP36" s="11" t="s">
        <v>106</v>
      </c>
      <c r="BQ36" s="12" t="n">
        <v>2302104</v>
      </c>
      <c r="BR36" s="11" t="s">
        <v>88</v>
      </c>
      <c r="BS36" s="11" t="s">
        <v>89</v>
      </c>
      <c r="BT36" s="19" t="str">
        <f aca="false">IF(OR(Z36&lt;6,AH36&lt;0.9,S36&lt;0.02,AK36&lt;1),"REVIEW",IF(AND(S36&gt;0.25,AH36&gt;1.2),"ACCELERATING","STABLE"))</f>
        <v>STABLE</v>
      </c>
    </row>
    <row r="37" customFormat="false" ht="15" hidden="false" customHeight="false" outlineLevel="0" collapsed="false">
      <c r="A37" s="11" t="s">
        <v>160</v>
      </c>
      <c r="B37" s="11" t="s">
        <v>93</v>
      </c>
      <c r="C37" s="11" t="s">
        <v>161</v>
      </c>
      <c r="D37" s="11" t="s">
        <v>162</v>
      </c>
      <c r="E37" s="11" t="s">
        <v>96</v>
      </c>
      <c r="F37" s="11" t="s">
        <v>97</v>
      </c>
      <c r="G37" s="11" t="s">
        <v>136</v>
      </c>
      <c r="H37" s="11" t="s">
        <v>155</v>
      </c>
      <c r="I37" s="11" t="s">
        <v>136</v>
      </c>
      <c r="J37" s="12" t="n">
        <v>30300000</v>
      </c>
      <c r="K37" s="13" t="n">
        <f aca="false">IFERROR(J37/M37,"")</f>
        <v>0.735561867307552</v>
      </c>
      <c r="L37" s="12" t="n">
        <v>10893000</v>
      </c>
      <c r="M37" s="14" t="n">
        <f aca="false">L37+J37</f>
        <v>41193000</v>
      </c>
      <c r="N37" s="12" t="n">
        <v>30300000</v>
      </c>
      <c r="O37" s="12" t="n">
        <v>87972895</v>
      </c>
      <c r="P37" s="12" t="n">
        <v>252506</v>
      </c>
      <c r="Q37" s="13" t="n">
        <f aca="false">IFERROR(P37/P36-1,"")</f>
        <v>0.0803320070166431</v>
      </c>
      <c r="R37" s="12" t="n">
        <v>294972</v>
      </c>
      <c r="S37" s="13" t="n">
        <f aca="false">IFERROR(R37/R36-1,"")</f>
        <v>0.239164681714495</v>
      </c>
      <c r="T37" s="12" t="n">
        <v>159254</v>
      </c>
      <c r="U37" s="13" t="n">
        <f aca="false">IFERROR(T37/P37,"")</f>
        <v>0.630693924104774</v>
      </c>
      <c r="V37" s="14" t="n">
        <f aca="false">T37-AV37</f>
        <v>-1731415</v>
      </c>
      <c r="W37" s="14" t="n">
        <f aca="false">V37-AA37*0.1</f>
        <v>-1731415</v>
      </c>
      <c r="X37" s="12" t="n">
        <v>3552000</v>
      </c>
      <c r="Y37" s="12" t="n">
        <v>148000</v>
      </c>
      <c r="Z37" s="15" t="n">
        <f aca="false">IFERROR(X37/Y37,"")</f>
        <v>24</v>
      </c>
      <c r="AA37" s="12" t="n">
        <v>0</v>
      </c>
      <c r="AB37" s="14" t="n">
        <f aca="false">W37-0.02*P37</f>
        <v>-1736465.12</v>
      </c>
      <c r="AC37" s="16" t="n">
        <v>71</v>
      </c>
      <c r="AD37" s="13" t="n">
        <f aca="false">IFERROR(AC37/AC36-1,"")</f>
        <v>0.126984126984127</v>
      </c>
      <c r="AE37" s="17" t="n">
        <v>0.047</v>
      </c>
      <c r="AF37" s="17" t="n">
        <v>0.034</v>
      </c>
      <c r="AG37" s="13" t="n">
        <f aca="false">1-AF37</f>
        <v>0.966</v>
      </c>
      <c r="AH37" s="17" t="n">
        <v>1.149</v>
      </c>
      <c r="AI37" s="12" t="n">
        <v>29200</v>
      </c>
      <c r="AJ37" s="14" t="n">
        <f aca="false">IFERROR(AM37*U37*MIN(1/AE37,5),"")</f>
        <v>70196.2337528613</v>
      </c>
      <c r="AK37" s="18" t="n">
        <f aca="false">IFERROR(AJ37/AI37,"")</f>
        <v>2.4039806079747</v>
      </c>
      <c r="AL37" s="15" t="n">
        <f aca="false">IFERROR(AI37/(AM37*U37/12),"")</f>
        <v>24.9586039924626</v>
      </c>
      <c r="AM37" s="12" t="n">
        <v>22260</v>
      </c>
      <c r="AN37" s="12" t="n">
        <v>414630</v>
      </c>
      <c r="AO37" s="12" t="n">
        <v>749530</v>
      </c>
      <c r="AP37" s="17" t="n">
        <v>0.21</v>
      </c>
      <c r="AQ37" s="16" t="n">
        <v>87</v>
      </c>
      <c r="AR37" s="16" t="n">
        <v>8</v>
      </c>
      <c r="AS37" s="13" t="n">
        <f aca="false">IFERROR(AR37/AR36-1,"")</f>
        <v>0.142857142857143</v>
      </c>
      <c r="AT37" s="11" t="s">
        <v>163</v>
      </c>
      <c r="AU37" s="14" t="n">
        <f aca="false">IFERROR(P37/AR37,"")</f>
        <v>31563.25</v>
      </c>
      <c r="AV37" s="12" t="n">
        <v>1890669</v>
      </c>
      <c r="AW37" s="12" t="n">
        <v>689690</v>
      </c>
      <c r="AX37" s="12" t="n">
        <v>433086</v>
      </c>
      <c r="AY37" s="16" t="n">
        <v>31507</v>
      </c>
      <c r="AZ37" s="13" t="n">
        <f aca="false">IFERROR(AY37/AY36-1,"")</f>
        <v>0.130052724077329</v>
      </c>
      <c r="BA37" s="17" t="n">
        <v>0.953</v>
      </c>
      <c r="BB37" s="11" t="s">
        <v>81</v>
      </c>
      <c r="BC37" s="11" t="s">
        <v>164</v>
      </c>
      <c r="BD37" s="11" t="s">
        <v>83</v>
      </c>
      <c r="BE37" s="12" t="n">
        <v>267466</v>
      </c>
      <c r="BF37" s="13" t="n">
        <f aca="false">IFERROR(P37/BE37-1,"")</f>
        <v>-0.0559323428024496</v>
      </c>
      <c r="BG37" s="17" t="n">
        <v>0.026</v>
      </c>
      <c r="BH37" s="17" t="n">
        <v>0.019</v>
      </c>
      <c r="BI37" s="14" t="n">
        <f aca="false">P37*(1+IFERROR(Q37,0))^4</f>
        <v>343954.245755711</v>
      </c>
      <c r="BJ37" s="12" t="n">
        <v>-1150381</v>
      </c>
      <c r="BK37" s="11" t="s">
        <v>103</v>
      </c>
      <c r="BL37" s="11" t="s">
        <v>85</v>
      </c>
      <c r="BM37" s="14" t="n">
        <f aca="false">O37</f>
        <v>87972895</v>
      </c>
      <c r="BN37" s="11" t="s">
        <v>165</v>
      </c>
      <c r="BO37" s="13" t="n">
        <f aca="false">IFERROR(1-L37/M37,"")</f>
        <v>0.735561867307552</v>
      </c>
      <c r="BP37" s="11" t="s">
        <v>106</v>
      </c>
      <c r="BQ37" s="12" t="n">
        <v>2273800</v>
      </c>
      <c r="BR37" s="11" t="s">
        <v>88</v>
      </c>
      <c r="BS37" s="11" t="s">
        <v>89</v>
      </c>
      <c r="BT37" s="19" t="str">
        <f aca="false">IF(OR(Z37&lt;6,AH37&lt;0.9,S37&lt;0.02,AK37&lt;1),"REVIEW",IF(AND(S37&gt;0.25,AH37&gt;1.2),"ACCELERATING","STABLE"))</f>
        <v>STABLE</v>
      </c>
    </row>
    <row r="38" customFormat="false" ht="15" hidden="false" customHeight="false" outlineLevel="0" collapsed="false">
      <c r="A38" s="3" t="s">
        <v>166</v>
      </c>
      <c r="B38" s="3" t="s">
        <v>73</v>
      </c>
      <c r="C38" s="3" t="s">
        <v>167</v>
      </c>
      <c r="D38" s="3" t="s">
        <v>75</v>
      </c>
      <c r="E38" s="3" t="s">
        <v>118</v>
      </c>
      <c r="F38" s="3" t="s">
        <v>168</v>
      </c>
      <c r="G38" s="3" t="s">
        <v>169</v>
      </c>
      <c r="H38" s="3" t="s">
        <v>170</v>
      </c>
      <c r="I38" s="3" t="s">
        <v>169</v>
      </c>
      <c r="J38" s="4" t="n">
        <v>2900000</v>
      </c>
      <c r="K38" s="5" t="n">
        <f aca="false">IFERROR(J38/M38,"")</f>
        <v>0.236734693877551</v>
      </c>
      <c r="L38" s="4" t="n">
        <v>9350000</v>
      </c>
      <c r="M38" s="6" t="n">
        <f aca="false">L38+J38</f>
        <v>12250000</v>
      </c>
      <c r="N38" s="4" t="n">
        <v>4211000</v>
      </c>
      <c r="O38" s="4" t="n">
        <v>15729610</v>
      </c>
      <c r="P38" s="4" t="n">
        <v>850475</v>
      </c>
      <c r="Q38" s="7"/>
      <c r="R38" s="4" t="n">
        <v>829445</v>
      </c>
      <c r="S38" s="7"/>
      <c r="T38" s="4" t="n">
        <v>541388</v>
      </c>
      <c r="U38" s="5" t="n">
        <f aca="false">IFERROR(T38/P38,"")</f>
        <v>0.636571327787413</v>
      </c>
      <c r="V38" s="6" t="n">
        <f aca="false">T38-AV38</f>
        <v>-1316531</v>
      </c>
      <c r="W38" s="6" t="n">
        <f aca="false">V38-AA38*0.1</f>
        <v>-1335031</v>
      </c>
      <c r="X38" s="4" t="n">
        <v>3260021</v>
      </c>
      <c r="Y38" s="4" t="n">
        <v>137410</v>
      </c>
      <c r="Z38" s="8" t="n">
        <f aca="false">IFERROR(X38/Y38,"")</f>
        <v>23.724772578415</v>
      </c>
      <c r="AA38" s="4" t="n">
        <v>185000</v>
      </c>
      <c r="AB38" s="6" t="n">
        <f aca="false">W38-0.02*P38</f>
        <v>-1352040.5</v>
      </c>
      <c r="AC38" s="9" t="n">
        <v>12</v>
      </c>
      <c r="AD38" s="7"/>
      <c r="AE38" s="7" t="n">
        <v>0.09</v>
      </c>
      <c r="AF38" s="7" t="n">
        <v>0.064</v>
      </c>
      <c r="AG38" s="5" t="n">
        <f aca="false">1-AF38</f>
        <v>0.936</v>
      </c>
      <c r="AH38" s="7" t="n">
        <v>1.171</v>
      </c>
      <c r="AI38" s="4" t="n">
        <v>68794</v>
      </c>
      <c r="AJ38" s="6" t="n">
        <f aca="false">IFERROR(AM38*U38*MIN(1/AE38,5),"")</f>
        <v>155959.975307916</v>
      </c>
      <c r="AK38" s="10" t="n">
        <f aca="false">IFERROR(AJ38/AI38,"")</f>
        <v>2.26705781475007</v>
      </c>
      <c r="AL38" s="8" t="n">
        <f aca="false">IFERROR(AI38/(AM38*U38/12),"")</f>
        <v>26.466021117602</v>
      </c>
      <c r="AM38" s="4" t="n">
        <v>49000</v>
      </c>
      <c r="AN38" s="4" t="n">
        <v>973900</v>
      </c>
      <c r="AO38" s="4" t="n">
        <v>2171094</v>
      </c>
      <c r="AP38" s="7" t="n">
        <v>0.396</v>
      </c>
      <c r="AQ38" s="9" t="n">
        <v>79</v>
      </c>
      <c r="AR38" s="9" t="n">
        <v>16</v>
      </c>
      <c r="AS38" s="7"/>
      <c r="AT38" s="3" t="s">
        <v>129</v>
      </c>
      <c r="AU38" s="6" t="n">
        <f aca="false">IFERROR(P38/AR38,"")</f>
        <v>53154.6875</v>
      </c>
      <c r="AV38" s="4" t="n">
        <v>1857919</v>
      </c>
      <c r="AW38" s="4" t="n">
        <v>608778</v>
      </c>
      <c r="AX38" s="4" t="n">
        <v>375861</v>
      </c>
      <c r="AY38" s="9" t="n">
        <v>2322</v>
      </c>
      <c r="AZ38" s="7"/>
      <c r="BA38" s="7" t="n">
        <v>0.902</v>
      </c>
      <c r="BB38" s="3" t="s">
        <v>112</v>
      </c>
      <c r="BC38" s="3" t="s">
        <v>171</v>
      </c>
      <c r="BD38" s="3" t="s">
        <v>83</v>
      </c>
      <c r="BE38" s="4" t="n">
        <v>997262</v>
      </c>
      <c r="BF38" s="5" t="n">
        <f aca="false">IFERROR(P38/BE38-1,"")</f>
        <v>-0.147190006237077</v>
      </c>
      <c r="BG38" s="7" t="n">
        <v>0.01</v>
      </c>
      <c r="BH38" s="7" t="n">
        <v>0.029</v>
      </c>
      <c r="BI38" s="6" t="n">
        <f aca="false">P38</f>
        <v>850475</v>
      </c>
      <c r="BJ38" s="4" t="n">
        <v>-846797</v>
      </c>
      <c r="BK38" s="3" t="s">
        <v>103</v>
      </c>
      <c r="BL38" s="3" t="s">
        <v>85</v>
      </c>
      <c r="BM38" s="6" t="n">
        <f aca="false">O38</f>
        <v>15729610</v>
      </c>
      <c r="BN38" s="3" t="s">
        <v>172</v>
      </c>
      <c r="BO38" s="5" t="n">
        <f aca="false">IFERROR(1-L38/M38,"")</f>
        <v>0.236734693877551</v>
      </c>
      <c r="BP38" s="3" t="s">
        <v>106</v>
      </c>
      <c r="BQ38" s="4" t="n">
        <v>2153479</v>
      </c>
      <c r="BR38" s="3" t="s">
        <v>88</v>
      </c>
      <c r="BS38" s="3" t="s">
        <v>89</v>
      </c>
      <c r="BT38" s="3" t="s">
        <v>90</v>
      </c>
    </row>
    <row r="39" customFormat="false" ht="15" hidden="false" customHeight="false" outlineLevel="0" collapsed="false">
      <c r="A39" s="11" t="s">
        <v>166</v>
      </c>
      <c r="B39" s="11" t="s">
        <v>91</v>
      </c>
      <c r="C39" s="11" t="s">
        <v>167</v>
      </c>
      <c r="D39" s="11" t="s">
        <v>75</v>
      </c>
      <c r="E39" s="11" t="s">
        <v>118</v>
      </c>
      <c r="F39" s="11" t="s">
        <v>168</v>
      </c>
      <c r="G39" s="11" t="s">
        <v>169</v>
      </c>
      <c r="H39" s="11" t="s">
        <v>170</v>
      </c>
      <c r="I39" s="11" t="s">
        <v>169</v>
      </c>
      <c r="J39" s="12" t="n">
        <v>2900000</v>
      </c>
      <c r="K39" s="13" t="n">
        <f aca="false">IFERROR(J39/M39,"")</f>
        <v>0.236734693877551</v>
      </c>
      <c r="L39" s="12" t="n">
        <v>9350000</v>
      </c>
      <c r="M39" s="14" t="n">
        <f aca="false">L39+J39</f>
        <v>12250000</v>
      </c>
      <c r="N39" s="12" t="n">
        <v>4211000</v>
      </c>
      <c r="O39" s="12" t="n">
        <v>15729610</v>
      </c>
      <c r="P39" s="12" t="n">
        <v>968757</v>
      </c>
      <c r="Q39" s="13" t="n">
        <f aca="false">IFERROR(P39/P38-1,"")</f>
        <v>0.139077574296717</v>
      </c>
      <c r="R39" s="12" t="n">
        <v>1046628</v>
      </c>
      <c r="S39" s="13" t="n">
        <f aca="false">IFERROR(R39/R38-1,"")</f>
        <v>0.261841351747253</v>
      </c>
      <c r="T39" s="12" t="n">
        <v>619180</v>
      </c>
      <c r="U39" s="13" t="n">
        <f aca="false">IFERROR(T39/P39,"")</f>
        <v>0.639148930020635</v>
      </c>
      <c r="V39" s="14" t="n">
        <f aca="false">T39-AV39</f>
        <v>-1542194</v>
      </c>
      <c r="W39" s="14" t="n">
        <f aca="false">V39-AA39*0.1</f>
        <v>-1560694</v>
      </c>
      <c r="X39" s="12" t="n">
        <v>2913476</v>
      </c>
      <c r="Y39" s="12" t="n">
        <v>141940</v>
      </c>
      <c r="Z39" s="15" t="n">
        <f aca="false">IFERROR(X39/Y39,"")</f>
        <v>20.5261096237847</v>
      </c>
      <c r="AA39" s="12" t="n">
        <v>185000</v>
      </c>
      <c r="AB39" s="14" t="n">
        <f aca="false">W39-0.02*P39</f>
        <v>-1580069.14</v>
      </c>
      <c r="AC39" s="16" t="n">
        <v>13</v>
      </c>
      <c r="AD39" s="13" t="n">
        <f aca="false">IFERROR(AC39/AC38-1,"")</f>
        <v>0.0833333333333333</v>
      </c>
      <c r="AE39" s="17" t="n">
        <v>0.088</v>
      </c>
      <c r="AF39" s="17" t="n">
        <v>0.083</v>
      </c>
      <c r="AG39" s="13" t="n">
        <f aca="false">1-AF39</f>
        <v>0.917</v>
      </c>
      <c r="AH39" s="17" t="n">
        <v>1.166</v>
      </c>
      <c r="AI39" s="12" t="n">
        <v>67496</v>
      </c>
      <c r="AJ39" s="14" t="n">
        <f aca="false">IFERROR(AM39*U39*MIN(1/AE39,5),"")</f>
        <v>159723.317612157</v>
      </c>
      <c r="AK39" s="18" t="n">
        <f aca="false">IFERROR(AJ39/AI39,"")</f>
        <v>2.3664116038307</v>
      </c>
      <c r="AL39" s="15" t="n">
        <f aca="false">IFERROR(AI39/(AM39*U39/12),"")</f>
        <v>25.3548452445354</v>
      </c>
      <c r="AM39" s="12" t="n">
        <v>49980</v>
      </c>
      <c r="AN39" s="12" t="n">
        <v>1264882</v>
      </c>
      <c r="AO39" s="12" t="n">
        <v>1595314</v>
      </c>
      <c r="AP39" s="17" t="n">
        <v>0.396</v>
      </c>
      <c r="AQ39" s="16" t="n">
        <v>79</v>
      </c>
      <c r="AR39" s="16" t="n">
        <v>18</v>
      </c>
      <c r="AS39" s="13" t="n">
        <f aca="false">IFERROR(AR39/AR38-1,"")</f>
        <v>0.125</v>
      </c>
      <c r="AT39" s="11" t="s">
        <v>129</v>
      </c>
      <c r="AU39" s="14" t="n">
        <f aca="false">IFERROR(P39/AR39,"")</f>
        <v>53819.8333333333</v>
      </c>
      <c r="AV39" s="12" t="n">
        <v>2161374</v>
      </c>
      <c r="AW39" s="12" t="n">
        <v>1048078</v>
      </c>
      <c r="AX39" s="12" t="n">
        <v>395985</v>
      </c>
      <c r="AY39" s="16" t="n">
        <v>2835</v>
      </c>
      <c r="AZ39" s="13" t="n">
        <f aca="false">IFERROR(AY39/AY38-1,"")</f>
        <v>0.220930232558139</v>
      </c>
      <c r="BA39" s="17" t="n">
        <v>0.903</v>
      </c>
      <c r="BB39" s="11" t="s">
        <v>112</v>
      </c>
      <c r="BC39" s="11" t="s">
        <v>171</v>
      </c>
      <c r="BD39" s="11" t="s">
        <v>83</v>
      </c>
      <c r="BE39" s="12" t="n">
        <v>1044115</v>
      </c>
      <c r="BF39" s="13" t="n">
        <f aca="false">IFERROR(P39/BE39-1,"")</f>
        <v>-0.0721740421313745</v>
      </c>
      <c r="BG39" s="17" t="n">
        <v>0.038</v>
      </c>
      <c r="BH39" s="17" t="n">
        <v>0.005</v>
      </c>
      <c r="BI39" s="14" t="n">
        <f aca="false">P39*(1+IFERROR(Q39,0))^4</f>
        <v>1630902.73315655</v>
      </c>
      <c r="BJ39" s="12" t="n">
        <v>-1369554</v>
      </c>
      <c r="BK39" s="11" t="s">
        <v>103</v>
      </c>
      <c r="BL39" s="11" t="s">
        <v>85</v>
      </c>
      <c r="BM39" s="14" t="n">
        <f aca="false">O39</f>
        <v>15729610</v>
      </c>
      <c r="BN39" s="11" t="s">
        <v>172</v>
      </c>
      <c r="BO39" s="13" t="n">
        <f aca="false">IFERROR(1-L39/M39,"")</f>
        <v>0.236734693877551</v>
      </c>
      <c r="BP39" s="11" t="s">
        <v>106</v>
      </c>
      <c r="BQ39" s="12" t="n">
        <v>2229896</v>
      </c>
      <c r="BR39" s="11" t="s">
        <v>88</v>
      </c>
      <c r="BS39" s="11" t="s">
        <v>89</v>
      </c>
      <c r="BT39" s="19" t="str">
        <f aca="false">IF(OR(Z39&lt;6,AH39&lt;0.9,S39&lt;0.02,AK39&lt;1),"REVIEW",IF(AND(S39&gt;0.25,AH39&gt;1.2),"ACCELERATING","STABLE"))</f>
        <v>STABLE</v>
      </c>
    </row>
    <row r="40" customFormat="false" ht="15" hidden="false" customHeight="false" outlineLevel="0" collapsed="false">
      <c r="A40" s="11" t="s">
        <v>166</v>
      </c>
      <c r="B40" s="11" t="s">
        <v>92</v>
      </c>
      <c r="C40" s="11" t="s">
        <v>167</v>
      </c>
      <c r="D40" s="11" t="s">
        <v>75</v>
      </c>
      <c r="E40" s="11" t="s">
        <v>118</v>
      </c>
      <c r="F40" s="11" t="s">
        <v>168</v>
      </c>
      <c r="G40" s="11" t="s">
        <v>169</v>
      </c>
      <c r="H40" s="11" t="s">
        <v>170</v>
      </c>
      <c r="I40" s="11" t="s">
        <v>169</v>
      </c>
      <c r="J40" s="12" t="n">
        <v>2900000</v>
      </c>
      <c r="K40" s="13" t="n">
        <f aca="false">IFERROR(J40/M40,"")</f>
        <v>0.236734693877551</v>
      </c>
      <c r="L40" s="12" t="n">
        <v>9350000</v>
      </c>
      <c r="M40" s="14" t="n">
        <f aca="false">L40+J40</f>
        <v>12250000</v>
      </c>
      <c r="N40" s="12" t="n">
        <v>4211000</v>
      </c>
      <c r="O40" s="12" t="n">
        <v>15729610</v>
      </c>
      <c r="P40" s="12" t="n">
        <v>1198191</v>
      </c>
      <c r="Q40" s="13" t="n">
        <f aca="false">IFERROR(P40/P39-1,"")</f>
        <v>0.236833385461989</v>
      </c>
      <c r="R40" s="12" t="n">
        <v>1219590</v>
      </c>
      <c r="S40" s="13" t="n">
        <f aca="false">IFERROR(R40/R39-1,"")</f>
        <v>0.165256423485708</v>
      </c>
      <c r="T40" s="12" t="n">
        <v>768910</v>
      </c>
      <c r="U40" s="13" t="n">
        <f aca="false">IFERROR(T40/P40,"")</f>
        <v>0.641725734878663</v>
      </c>
      <c r="V40" s="14" t="n">
        <f aca="false">T40-AV40</f>
        <v>-1662885</v>
      </c>
      <c r="W40" s="14" t="n">
        <f aca="false">V40-AA40*0.1</f>
        <v>-1681385</v>
      </c>
      <c r="X40" s="12" t="n">
        <v>2542469</v>
      </c>
      <c r="Y40" s="12" t="n">
        <v>146470</v>
      </c>
      <c r="Z40" s="15" t="n">
        <f aca="false">IFERROR(X40/Y40,"")</f>
        <v>17.3582918003687</v>
      </c>
      <c r="AA40" s="12" t="n">
        <v>185000</v>
      </c>
      <c r="AB40" s="14" t="n">
        <f aca="false">W40-0.02*P40</f>
        <v>-1705348.82</v>
      </c>
      <c r="AC40" s="16" t="n">
        <v>15</v>
      </c>
      <c r="AD40" s="13" t="n">
        <f aca="false">IFERROR(AC40/AC39-1,"")</f>
        <v>0.153846153846154</v>
      </c>
      <c r="AE40" s="17" t="n">
        <v>0.085</v>
      </c>
      <c r="AF40" s="17" t="n">
        <v>0.086</v>
      </c>
      <c r="AG40" s="13" t="n">
        <f aca="false">1-AF40</f>
        <v>0.914</v>
      </c>
      <c r="AH40" s="17" t="n">
        <v>1.161</v>
      </c>
      <c r="AI40" s="12" t="n">
        <v>66198</v>
      </c>
      <c r="AJ40" s="14" t="n">
        <f aca="false">IFERROR(AM40*U40*MIN(1/AE40,5),"")</f>
        <v>163511.717247083</v>
      </c>
      <c r="AK40" s="18" t="n">
        <f aca="false">IFERROR(AJ40/AI40,"")</f>
        <v>2.47004014089675</v>
      </c>
      <c r="AL40" s="15" t="n">
        <f aca="false">IFERROR(AI40/(AM40*U40/12),"")</f>
        <v>24.2911032118761</v>
      </c>
      <c r="AM40" s="12" t="n">
        <v>50960</v>
      </c>
      <c r="AN40" s="12" t="n">
        <v>1355542</v>
      </c>
      <c r="AO40" s="12" t="n">
        <v>2312855</v>
      </c>
      <c r="AP40" s="17" t="n">
        <v>0.396</v>
      </c>
      <c r="AQ40" s="16" t="n">
        <v>79</v>
      </c>
      <c r="AR40" s="16" t="n">
        <v>19</v>
      </c>
      <c r="AS40" s="13" t="n">
        <f aca="false">IFERROR(AR40/AR39-1,"")</f>
        <v>0.0555555555555556</v>
      </c>
      <c r="AT40" s="11" t="s">
        <v>129</v>
      </c>
      <c r="AU40" s="14" t="n">
        <f aca="false">IFERROR(P40/AR40,"")</f>
        <v>63062.6842105263</v>
      </c>
      <c r="AV40" s="12" t="n">
        <v>2431795</v>
      </c>
      <c r="AW40" s="12" t="n">
        <v>796506</v>
      </c>
      <c r="AX40" s="12" t="n">
        <v>479894</v>
      </c>
      <c r="AY40" s="16" t="n">
        <v>3286</v>
      </c>
      <c r="AZ40" s="13" t="n">
        <f aca="false">IFERROR(AY40/AY39-1,"")</f>
        <v>0.159082892416226</v>
      </c>
      <c r="BA40" s="17" t="n">
        <v>0.917</v>
      </c>
      <c r="BB40" s="11" t="s">
        <v>112</v>
      </c>
      <c r="BC40" s="11" t="s">
        <v>171</v>
      </c>
      <c r="BD40" s="11" t="s">
        <v>83</v>
      </c>
      <c r="BE40" s="12" t="n">
        <v>1474323</v>
      </c>
      <c r="BF40" s="13" t="n">
        <f aca="false">IFERROR(P40/BE40-1,"")</f>
        <v>-0.187294100410833</v>
      </c>
      <c r="BG40" s="17" t="n">
        <v>0.047</v>
      </c>
      <c r="BH40" s="17" t="n">
        <v>-0.002</v>
      </c>
      <c r="BI40" s="14" t="n">
        <f aca="false">P40*(1+IFERROR(Q40,0))^4</f>
        <v>2803953.78436913</v>
      </c>
      <c r="BJ40" s="12" t="n">
        <v>-1686102</v>
      </c>
      <c r="BK40" s="11" t="s">
        <v>103</v>
      </c>
      <c r="BL40" s="11" t="s">
        <v>85</v>
      </c>
      <c r="BM40" s="14" t="n">
        <f aca="false">O40</f>
        <v>15729610</v>
      </c>
      <c r="BN40" s="11" t="s">
        <v>172</v>
      </c>
      <c r="BO40" s="13" t="n">
        <f aca="false">IFERROR(1-L40/M40,"")</f>
        <v>0.236734693877551</v>
      </c>
      <c r="BP40" s="11" t="s">
        <v>106</v>
      </c>
      <c r="BQ40" s="12" t="n">
        <v>2676937</v>
      </c>
      <c r="BR40" s="11" t="s">
        <v>88</v>
      </c>
      <c r="BS40" s="11" t="s">
        <v>89</v>
      </c>
      <c r="BT40" s="19" t="str">
        <f aca="false">IF(OR(Z40&lt;6,AH40&lt;0.9,S40&lt;0.02,AK40&lt;1),"REVIEW",IF(AND(S40&gt;0.25,AH40&gt;1.2),"ACCELERATING","STABLE"))</f>
        <v>STABLE</v>
      </c>
    </row>
    <row r="41" customFormat="false" ht="15" hidden="false" customHeight="false" outlineLevel="0" collapsed="false">
      <c r="A41" s="11" t="s">
        <v>166</v>
      </c>
      <c r="B41" s="11" t="s">
        <v>93</v>
      </c>
      <c r="C41" s="11" t="s">
        <v>167</v>
      </c>
      <c r="D41" s="11" t="s">
        <v>75</v>
      </c>
      <c r="E41" s="11" t="s">
        <v>118</v>
      </c>
      <c r="F41" s="11" t="s">
        <v>168</v>
      </c>
      <c r="G41" s="11" t="s">
        <v>169</v>
      </c>
      <c r="H41" s="11" t="s">
        <v>170</v>
      </c>
      <c r="I41" s="11" t="s">
        <v>169</v>
      </c>
      <c r="J41" s="12" t="n">
        <v>2900000</v>
      </c>
      <c r="K41" s="13" t="n">
        <f aca="false">IFERROR(J41/M41,"")</f>
        <v>0.236734693877551</v>
      </c>
      <c r="L41" s="12" t="n">
        <v>9350000</v>
      </c>
      <c r="M41" s="14" t="n">
        <f aca="false">L41+J41</f>
        <v>12250000</v>
      </c>
      <c r="N41" s="12" t="n">
        <v>4211000</v>
      </c>
      <c r="O41" s="12" t="n">
        <v>15729610</v>
      </c>
      <c r="P41" s="12" t="n">
        <v>1390501</v>
      </c>
      <c r="Q41" s="13" t="n">
        <f aca="false">IFERROR(P41/P40-1,"")</f>
        <v>0.160500287516765</v>
      </c>
      <c r="R41" s="12" t="n">
        <v>1392547</v>
      </c>
      <c r="S41" s="13" t="n">
        <f aca="false">IFERROR(R41/R40-1,"")</f>
        <v>0.14181569215884</v>
      </c>
      <c r="T41" s="12" t="n">
        <v>895904</v>
      </c>
      <c r="U41" s="13" t="n">
        <f aca="false">IFERROR(T41/P41,"")</f>
        <v>0.644303024593294</v>
      </c>
      <c r="V41" s="14" t="n">
        <f aca="false">T41-AV41</f>
        <v>-1797784</v>
      </c>
      <c r="W41" s="14" t="n">
        <f aca="false">V41-AA41*0.1</f>
        <v>-1816284</v>
      </c>
      <c r="X41" s="12" t="n">
        <v>2147000</v>
      </c>
      <c r="Y41" s="12" t="n">
        <v>151000</v>
      </c>
      <c r="Z41" s="15" t="n">
        <f aca="false">IFERROR(X41/Y41,"")</f>
        <v>14.2185430463576</v>
      </c>
      <c r="AA41" s="12" t="n">
        <v>185000</v>
      </c>
      <c r="AB41" s="14" t="n">
        <f aca="false">W41-0.02*P41</f>
        <v>-1844094.02</v>
      </c>
      <c r="AC41" s="16" t="n">
        <v>17</v>
      </c>
      <c r="AD41" s="13" t="n">
        <f aca="false">IFERROR(AC41/AC40-1,"")</f>
        <v>0.133333333333333</v>
      </c>
      <c r="AE41" s="17" t="n">
        <v>0.083</v>
      </c>
      <c r="AF41" s="17" t="n">
        <v>0.068</v>
      </c>
      <c r="AG41" s="13" t="n">
        <f aca="false">1-AF41</f>
        <v>0.932</v>
      </c>
      <c r="AH41" s="17" t="n">
        <v>1.156</v>
      </c>
      <c r="AI41" s="12" t="n">
        <v>64900</v>
      </c>
      <c r="AJ41" s="14" t="n">
        <f aca="false">IFERROR(AM41*U41*MIN(1/AE41,5),"")</f>
        <v>167325.495486878</v>
      </c>
      <c r="AK41" s="18" t="n">
        <f aca="false">IFERROR(AJ41/AI41,"")</f>
        <v>2.57820486112293</v>
      </c>
      <c r="AL41" s="15" t="n">
        <f aca="false">IFERROR(AI41/(AM41*U41/12),"")</f>
        <v>23.272006388921</v>
      </c>
      <c r="AM41" s="12" t="n">
        <v>51940</v>
      </c>
      <c r="AN41" s="12" t="n">
        <v>1868830</v>
      </c>
      <c r="AO41" s="12" t="n">
        <v>2916203</v>
      </c>
      <c r="AP41" s="17" t="n">
        <v>0.396</v>
      </c>
      <c r="AQ41" s="16" t="n">
        <v>79</v>
      </c>
      <c r="AR41" s="16" t="n">
        <v>21</v>
      </c>
      <c r="AS41" s="13" t="n">
        <f aca="false">IFERROR(AR41/AR40-1,"")</f>
        <v>0.105263157894737</v>
      </c>
      <c r="AT41" s="11" t="s">
        <v>129</v>
      </c>
      <c r="AU41" s="14" t="n">
        <f aca="false">IFERROR(P41/AR41,"")</f>
        <v>66214.3333333333</v>
      </c>
      <c r="AV41" s="12" t="n">
        <v>2693688</v>
      </c>
      <c r="AW41" s="12" t="n">
        <v>1033071</v>
      </c>
      <c r="AX41" s="12" t="n">
        <v>577413</v>
      </c>
      <c r="AY41" s="16" t="n">
        <v>3837</v>
      </c>
      <c r="AZ41" s="13" t="n">
        <f aca="false">IFERROR(AY41/AY40-1,"")</f>
        <v>0.167681071211199</v>
      </c>
      <c r="BA41" s="17" t="n">
        <v>0.938</v>
      </c>
      <c r="BB41" s="11" t="s">
        <v>112</v>
      </c>
      <c r="BC41" s="11" t="s">
        <v>171</v>
      </c>
      <c r="BD41" s="11" t="s">
        <v>83</v>
      </c>
      <c r="BE41" s="12" t="n">
        <v>1418077</v>
      </c>
      <c r="BF41" s="13" t="n">
        <f aca="false">IFERROR(P41/BE41-1,"")</f>
        <v>-0.0194460526473527</v>
      </c>
      <c r="BG41" s="17" t="n">
        <v>-0.059</v>
      </c>
      <c r="BH41" s="17" t="n">
        <v>0.054</v>
      </c>
      <c r="BI41" s="14" t="n">
        <f aca="false">P41*(1+IFERROR(Q41,0))^4</f>
        <v>2522042.00237815</v>
      </c>
      <c r="BJ41" s="12" t="n">
        <v>-1006237</v>
      </c>
      <c r="BK41" s="11" t="s">
        <v>103</v>
      </c>
      <c r="BL41" s="11" t="s">
        <v>85</v>
      </c>
      <c r="BM41" s="14" t="n">
        <f aca="false">O41</f>
        <v>15729610</v>
      </c>
      <c r="BN41" s="11" t="s">
        <v>172</v>
      </c>
      <c r="BO41" s="13" t="n">
        <f aca="false">IFERROR(1-L41/M41,"")</f>
        <v>0.236734693877551</v>
      </c>
      <c r="BP41" s="11" t="s">
        <v>106</v>
      </c>
      <c r="BQ41" s="12" t="n">
        <v>2385915</v>
      </c>
      <c r="BR41" s="11" t="s">
        <v>88</v>
      </c>
      <c r="BS41" s="11" t="s">
        <v>89</v>
      </c>
      <c r="BT41" s="19" t="str">
        <f aca="false">IF(OR(Z41&lt;6,AH41&lt;0.9,S41&lt;0.02,AK41&lt;1),"REVIEW",IF(AND(S41&gt;0.25,AH41&gt;1.2),"ACCELERATING","STABLE"))</f>
        <v>STABLE</v>
      </c>
    </row>
    <row r="42" customFormat="false" ht="15" hidden="false" customHeight="false" outlineLevel="0" collapsed="false">
      <c r="A42" s="3" t="s">
        <v>173</v>
      </c>
      <c r="B42" s="3" t="s">
        <v>73</v>
      </c>
      <c r="C42" s="3" t="s">
        <v>151</v>
      </c>
      <c r="D42" s="3" t="s">
        <v>152</v>
      </c>
      <c r="E42" s="3" t="s">
        <v>174</v>
      </c>
      <c r="F42" s="3" t="s">
        <v>77</v>
      </c>
      <c r="G42" s="3" t="s">
        <v>78</v>
      </c>
      <c r="H42" s="3" t="s">
        <v>170</v>
      </c>
      <c r="I42" s="3" t="s">
        <v>78</v>
      </c>
      <c r="J42" s="4" t="n">
        <v>2300000</v>
      </c>
      <c r="K42" s="5" t="n">
        <f aca="false">IFERROR(J42/M42,"")</f>
        <v>0.0208851678985889</v>
      </c>
      <c r="L42" s="4" t="n">
        <v>107826000</v>
      </c>
      <c r="M42" s="6" t="n">
        <f aca="false">L42+J42</f>
        <v>110126000</v>
      </c>
      <c r="N42" s="4" t="n">
        <v>31906000</v>
      </c>
      <c r="O42" s="4" t="n">
        <v>119295588</v>
      </c>
      <c r="P42" s="4" t="n">
        <v>3050352</v>
      </c>
      <c r="Q42" s="7"/>
      <c r="R42" s="4" t="n">
        <v>3008054</v>
      </c>
      <c r="S42" s="7"/>
      <c r="T42" s="4" t="n">
        <v>2523738</v>
      </c>
      <c r="U42" s="5" t="n">
        <f aca="false">IFERROR(T42/P42,"")</f>
        <v>0.82735959653181</v>
      </c>
      <c r="V42" s="6" t="n">
        <f aca="false">T42-AV42</f>
        <v>-2990515</v>
      </c>
      <c r="W42" s="6" t="n">
        <f aca="false">V42-AA42*0.1</f>
        <v>-2990515</v>
      </c>
      <c r="X42" s="4" t="n">
        <v>2452800</v>
      </c>
      <c r="Y42" s="4" t="n">
        <v>265720</v>
      </c>
      <c r="Z42" s="8" t="n">
        <f aca="false">IFERROR(X42/Y42,"")</f>
        <v>9.23076923076923</v>
      </c>
      <c r="AA42" s="4" t="n">
        <v>0</v>
      </c>
      <c r="AB42" s="6" t="n">
        <f aca="false">W42-0.02*P42</f>
        <v>-3051522.04</v>
      </c>
      <c r="AC42" s="9" t="n">
        <v>81</v>
      </c>
      <c r="AD42" s="7"/>
      <c r="AE42" s="7" t="n">
        <v>0.048</v>
      </c>
      <c r="AF42" s="7" t="n">
        <v>0.032</v>
      </c>
      <c r="AG42" s="5" t="n">
        <f aca="false">1-AF42</f>
        <v>0.968</v>
      </c>
      <c r="AH42" s="7" t="n">
        <v>1.319</v>
      </c>
      <c r="AI42" s="4" t="n">
        <v>46958</v>
      </c>
      <c r="AJ42" s="6" t="n">
        <f aca="false">IFERROR(AM42*U42*MIN(1/AE42,5),"")</f>
        <v>206839.899132953</v>
      </c>
      <c r="AK42" s="10" t="n">
        <f aca="false">IFERROR(AJ42/AI42,"")</f>
        <v>4.40478510867057</v>
      </c>
      <c r="AL42" s="8" t="n">
        <f aca="false">IFERROR(AI42/(AM42*U42/12),"")</f>
        <v>13.621549864463</v>
      </c>
      <c r="AM42" s="4" t="n">
        <v>50000</v>
      </c>
      <c r="AN42" s="4" t="n">
        <v>3216676</v>
      </c>
      <c r="AO42" s="4" t="n">
        <v>7027295</v>
      </c>
      <c r="AP42" s="7" t="n">
        <v>0.129</v>
      </c>
      <c r="AQ42" s="9" t="n">
        <v>34</v>
      </c>
      <c r="AR42" s="9" t="n">
        <v>42</v>
      </c>
      <c r="AS42" s="7"/>
      <c r="AT42" s="3" t="s">
        <v>175</v>
      </c>
      <c r="AU42" s="6" t="n">
        <f aca="false">IFERROR(P42/AR42,"")</f>
        <v>72627.4285714286</v>
      </c>
      <c r="AV42" s="4" t="n">
        <v>5514253</v>
      </c>
      <c r="AW42" s="4" t="n">
        <v>2460087</v>
      </c>
      <c r="AX42" s="4" t="n">
        <v>1468744</v>
      </c>
      <c r="AY42" s="9" t="n">
        <v>32193</v>
      </c>
      <c r="AZ42" s="7"/>
      <c r="BA42" s="7" t="n">
        <v>0.961</v>
      </c>
      <c r="BB42" s="3" t="s">
        <v>101</v>
      </c>
      <c r="BC42" s="3" t="s">
        <v>171</v>
      </c>
      <c r="BD42" s="3" t="s">
        <v>157</v>
      </c>
      <c r="BE42" s="4" t="n">
        <v>2935484</v>
      </c>
      <c r="BF42" s="5" t="n">
        <f aca="false">IFERROR(P42/BE42-1,"")</f>
        <v>0.0391308554228196</v>
      </c>
      <c r="BG42" s="7" t="n">
        <v>0.027</v>
      </c>
      <c r="BH42" s="7" t="n">
        <v>0.034</v>
      </c>
      <c r="BI42" s="6" t="n">
        <f aca="false">P42</f>
        <v>3050352</v>
      </c>
      <c r="BJ42" s="4" t="n">
        <v>-2700603</v>
      </c>
      <c r="BK42" s="3" t="s">
        <v>84</v>
      </c>
      <c r="BL42" s="3" t="s">
        <v>104</v>
      </c>
      <c r="BM42" s="6" t="n">
        <f aca="false">O42</f>
        <v>119295588</v>
      </c>
      <c r="BN42" s="3" t="s">
        <v>176</v>
      </c>
      <c r="BO42" s="5" t="n">
        <f aca="false">IFERROR(1-L42/M42,"")</f>
        <v>0.0208851678985889</v>
      </c>
      <c r="BP42" s="3" t="s">
        <v>106</v>
      </c>
      <c r="BQ42" s="4" t="n">
        <v>4214307</v>
      </c>
      <c r="BR42" s="3" t="s">
        <v>107</v>
      </c>
      <c r="BS42" s="3" t="s">
        <v>89</v>
      </c>
      <c r="BT42" s="3" t="s">
        <v>90</v>
      </c>
    </row>
    <row r="43" customFormat="false" ht="15" hidden="false" customHeight="false" outlineLevel="0" collapsed="false">
      <c r="A43" s="11" t="s">
        <v>173</v>
      </c>
      <c r="B43" s="11" t="s">
        <v>91</v>
      </c>
      <c r="C43" s="11" t="s">
        <v>151</v>
      </c>
      <c r="D43" s="11" t="s">
        <v>152</v>
      </c>
      <c r="E43" s="11" t="s">
        <v>174</v>
      </c>
      <c r="F43" s="11" t="s">
        <v>77</v>
      </c>
      <c r="G43" s="11" t="s">
        <v>78</v>
      </c>
      <c r="H43" s="11" t="s">
        <v>170</v>
      </c>
      <c r="I43" s="11" t="s">
        <v>78</v>
      </c>
      <c r="J43" s="12" t="n">
        <v>2300000</v>
      </c>
      <c r="K43" s="13" t="n">
        <f aca="false">IFERROR(J43/M43,"")</f>
        <v>0.0208851678985889</v>
      </c>
      <c r="L43" s="12" t="n">
        <v>107826000</v>
      </c>
      <c r="M43" s="14" t="n">
        <f aca="false">L43+J43</f>
        <v>110126000</v>
      </c>
      <c r="N43" s="12" t="n">
        <v>31906000</v>
      </c>
      <c r="O43" s="12" t="n">
        <v>119295588</v>
      </c>
      <c r="P43" s="12" t="n">
        <v>3905982</v>
      </c>
      <c r="Q43" s="13" t="n">
        <f aca="false">IFERROR(P43/P42-1,"")</f>
        <v>0.280502053533494</v>
      </c>
      <c r="R43" s="12" t="n">
        <v>4214540</v>
      </c>
      <c r="S43" s="13" t="n">
        <f aca="false">IFERROR(R43/R42-1,"")</f>
        <v>0.401085219879696</v>
      </c>
      <c r="T43" s="12" t="n">
        <v>3244734</v>
      </c>
      <c r="U43" s="13" t="n">
        <f aca="false">IFERROR(T43/P43,"")</f>
        <v>0.830708897276024</v>
      </c>
      <c r="V43" s="14" t="n">
        <f aca="false">T43-AV43</f>
        <v>-2911251</v>
      </c>
      <c r="W43" s="14" t="n">
        <f aca="false">V43-AA43*0.1</f>
        <v>-2911251</v>
      </c>
      <c r="X43" s="12" t="n">
        <v>3153600</v>
      </c>
      <c r="Y43" s="12" t="n">
        <v>274480</v>
      </c>
      <c r="Z43" s="15" t="n">
        <f aca="false">IFERROR(X43/Y43,"")</f>
        <v>11.4893617021277</v>
      </c>
      <c r="AA43" s="12" t="n">
        <v>0</v>
      </c>
      <c r="AB43" s="14" t="n">
        <f aca="false">W43-0.02*P43</f>
        <v>-2989370.64</v>
      </c>
      <c r="AC43" s="16" t="n">
        <v>99</v>
      </c>
      <c r="AD43" s="13" t="n">
        <f aca="false">IFERROR(AC43/AC42-1,"")</f>
        <v>0.222222222222222</v>
      </c>
      <c r="AE43" s="17" t="n">
        <v>0.047</v>
      </c>
      <c r="AF43" s="17" t="n">
        <v>0.05</v>
      </c>
      <c r="AG43" s="13" t="n">
        <f aca="false">1-AF43</f>
        <v>0.95</v>
      </c>
      <c r="AH43" s="17" t="n">
        <v>1.349</v>
      </c>
      <c r="AI43" s="12" t="n">
        <v>46072</v>
      </c>
      <c r="AJ43" s="14" t="n">
        <f aca="false">IFERROR(AM43*U43*MIN(1/AE43,5),"")</f>
        <v>211830.768805386</v>
      </c>
      <c r="AK43" s="18" t="n">
        <f aca="false">IFERROR(AJ43/AI43,"")</f>
        <v>4.59782012513861</v>
      </c>
      <c r="AL43" s="15" t="n">
        <f aca="false">IFERROR(AI43/(AM43*U43/12),"")</f>
        <v>13.0496623110481</v>
      </c>
      <c r="AM43" s="12" t="n">
        <v>51000</v>
      </c>
      <c r="AN43" s="12" t="n">
        <v>5761876</v>
      </c>
      <c r="AO43" s="12" t="n">
        <v>10960238</v>
      </c>
      <c r="AP43" s="17" t="n">
        <v>0.129</v>
      </c>
      <c r="AQ43" s="16" t="n">
        <v>34</v>
      </c>
      <c r="AR43" s="16" t="n">
        <v>52</v>
      </c>
      <c r="AS43" s="13" t="n">
        <f aca="false">IFERROR(AR43/AR42-1,"")</f>
        <v>0.238095238095238</v>
      </c>
      <c r="AT43" s="11" t="s">
        <v>175</v>
      </c>
      <c r="AU43" s="14" t="n">
        <f aca="false">IFERROR(P43/AR43,"")</f>
        <v>75115.0384615385</v>
      </c>
      <c r="AV43" s="12" t="n">
        <v>6155985</v>
      </c>
      <c r="AW43" s="12" t="n">
        <v>2009795</v>
      </c>
      <c r="AX43" s="12" t="n">
        <v>1900468</v>
      </c>
      <c r="AY43" s="16" t="n">
        <v>44157</v>
      </c>
      <c r="AZ43" s="13" t="n">
        <f aca="false">IFERROR(AY43/AY42-1,"")</f>
        <v>0.371633584940826</v>
      </c>
      <c r="BA43" s="17" t="n">
        <v>0.958</v>
      </c>
      <c r="BB43" s="11" t="s">
        <v>101</v>
      </c>
      <c r="BC43" s="11" t="s">
        <v>171</v>
      </c>
      <c r="BD43" s="11" t="s">
        <v>157</v>
      </c>
      <c r="BE43" s="12" t="n">
        <v>4401814</v>
      </c>
      <c r="BF43" s="13" t="n">
        <f aca="false">IFERROR(P43/BE43-1,"")</f>
        <v>-0.112642651415984</v>
      </c>
      <c r="BG43" s="17" t="n">
        <v>0.004</v>
      </c>
      <c r="BH43" s="17" t="n">
        <v>0.02</v>
      </c>
      <c r="BI43" s="14" t="n">
        <f aca="false">P43*(1+IFERROR(Q43,0))^4</f>
        <v>10501500.4353579</v>
      </c>
      <c r="BJ43" s="12" t="n">
        <v>-2345895</v>
      </c>
      <c r="BK43" s="11" t="s">
        <v>84</v>
      </c>
      <c r="BL43" s="11" t="s">
        <v>104</v>
      </c>
      <c r="BM43" s="14" t="n">
        <f aca="false">O43</f>
        <v>119295588</v>
      </c>
      <c r="BN43" s="11" t="s">
        <v>176</v>
      </c>
      <c r="BO43" s="13" t="n">
        <f aca="false">IFERROR(1-L43/M43,"")</f>
        <v>0.0208851678985889</v>
      </c>
      <c r="BP43" s="11" t="s">
        <v>106</v>
      </c>
      <c r="BQ43" s="12" t="n">
        <v>3848711</v>
      </c>
      <c r="BR43" s="11" t="s">
        <v>107</v>
      </c>
      <c r="BS43" s="11" t="s">
        <v>89</v>
      </c>
      <c r="BT43" s="19" t="str">
        <f aca="false">IF(OR(Z43&lt;6,AH43&lt;0.9,S43&lt;0.02,AK43&lt;1),"REVIEW",IF(AND(S43&gt;0.25,AH43&gt;1.2),"ACCELERATING","STABLE"))</f>
        <v>ACCELERATING</v>
      </c>
    </row>
    <row r="44" customFormat="false" ht="15" hidden="false" customHeight="false" outlineLevel="0" collapsed="false">
      <c r="A44" s="11" t="s">
        <v>173</v>
      </c>
      <c r="B44" s="11" t="s">
        <v>92</v>
      </c>
      <c r="C44" s="11" t="s">
        <v>151</v>
      </c>
      <c r="D44" s="11" t="s">
        <v>152</v>
      </c>
      <c r="E44" s="11" t="s">
        <v>174</v>
      </c>
      <c r="F44" s="11" t="s">
        <v>77</v>
      </c>
      <c r="G44" s="11" t="s">
        <v>78</v>
      </c>
      <c r="H44" s="11" t="s">
        <v>170</v>
      </c>
      <c r="I44" s="11" t="s">
        <v>78</v>
      </c>
      <c r="J44" s="12" t="n">
        <v>2300000</v>
      </c>
      <c r="K44" s="13" t="n">
        <f aca="false">IFERROR(J44/M44,"")</f>
        <v>0.0208851678985889</v>
      </c>
      <c r="L44" s="12" t="n">
        <v>107826000</v>
      </c>
      <c r="M44" s="14" t="n">
        <f aca="false">L44+J44</f>
        <v>110126000</v>
      </c>
      <c r="N44" s="12" t="n">
        <v>31906000</v>
      </c>
      <c r="O44" s="12" t="n">
        <v>119295588</v>
      </c>
      <c r="P44" s="12" t="n">
        <v>5070440</v>
      </c>
      <c r="Q44" s="13" t="n">
        <f aca="false">IFERROR(P44/P43-1,"")</f>
        <v>0.298121701533699</v>
      </c>
      <c r="R44" s="12" t="n">
        <v>5482701</v>
      </c>
      <c r="S44" s="13" t="n">
        <f aca="false">IFERROR(R44/R43-1,"")</f>
        <v>0.300901403237364</v>
      </c>
      <c r="T44" s="12" t="n">
        <v>4229044</v>
      </c>
      <c r="U44" s="13" t="n">
        <f aca="false">IFERROR(T44/P44,"")</f>
        <v>0.834058582687104</v>
      </c>
      <c r="V44" s="14" t="n">
        <f aca="false">T44-AV44</f>
        <v>-2925247</v>
      </c>
      <c r="W44" s="14" t="n">
        <f aca="false">V44-AA44*0.1</f>
        <v>-2925247</v>
      </c>
      <c r="X44" s="12" t="n">
        <v>3854400</v>
      </c>
      <c r="Y44" s="12" t="n">
        <v>283240</v>
      </c>
      <c r="Z44" s="15" t="n">
        <f aca="false">IFERROR(X44/Y44,"")</f>
        <v>13.6082474226804</v>
      </c>
      <c r="AA44" s="12" t="n">
        <v>0</v>
      </c>
      <c r="AB44" s="14" t="n">
        <f aca="false">W44-0.02*P44</f>
        <v>-3026655.8</v>
      </c>
      <c r="AC44" s="16" t="n">
        <v>129</v>
      </c>
      <c r="AD44" s="13" t="n">
        <f aca="false">IFERROR(AC44/AC43-1,"")</f>
        <v>0.303030303030303</v>
      </c>
      <c r="AE44" s="17" t="n">
        <v>0.045</v>
      </c>
      <c r="AF44" s="17" t="n">
        <v>0.031</v>
      </c>
      <c r="AG44" s="13" t="n">
        <f aca="false">1-AF44</f>
        <v>0.969</v>
      </c>
      <c r="AH44" s="17" t="n">
        <v>1.379</v>
      </c>
      <c r="AI44" s="12" t="n">
        <v>45186</v>
      </c>
      <c r="AJ44" s="14" t="n">
        <f aca="false">IFERROR(AM44*U44*MIN(1/AE44,5),"")</f>
        <v>216855.231498647</v>
      </c>
      <c r="AK44" s="18" t="n">
        <f aca="false">IFERROR(AJ44/AI44,"")</f>
        <v>4.79916858094647</v>
      </c>
      <c r="AL44" s="15" t="n">
        <f aca="false">IFERROR(AI44/(AM44*U44/12),"")</f>
        <v>12.5021655288815</v>
      </c>
      <c r="AM44" s="12" t="n">
        <v>52000</v>
      </c>
      <c r="AN44" s="12" t="n">
        <v>6329037</v>
      </c>
      <c r="AO44" s="12" t="n">
        <v>20959371</v>
      </c>
      <c r="AP44" s="17" t="n">
        <v>0.129</v>
      </c>
      <c r="AQ44" s="16" t="n">
        <v>34</v>
      </c>
      <c r="AR44" s="16" t="n">
        <v>64</v>
      </c>
      <c r="AS44" s="13" t="n">
        <f aca="false">IFERROR(AR44/AR43-1,"")</f>
        <v>0.230769230769231</v>
      </c>
      <c r="AT44" s="11" t="s">
        <v>175</v>
      </c>
      <c r="AU44" s="14" t="n">
        <f aca="false">IFERROR(P44/AR44,"")</f>
        <v>79225.625</v>
      </c>
      <c r="AV44" s="12" t="n">
        <v>7154291</v>
      </c>
      <c r="AW44" s="12" t="n">
        <v>2481833</v>
      </c>
      <c r="AX44" s="12" t="n">
        <v>1314798</v>
      </c>
      <c r="AY44" s="16" t="n">
        <v>55459</v>
      </c>
      <c r="AZ44" s="13" t="n">
        <f aca="false">IFERROR(AY44/AY43-1,"")</f>
        <v>0.255950358946486</v>
      </c>
      <c r="BA44" s="17" t="n">
        <v>0.955</v>
      </c>
      <c r="BB44" s="11" t="s">
        <v>101</v>
      </c>
      <c r="BC44" s="11" t="s">
        <v>171</v>
      </c>
      <c r="BD44" s="11" t="s">
        <v>157</v>
      </c>
      <c r="BE44" s="12" t="n">
        <v>4972607</v>
      </c>
      <c r="BF44" s="13" t="n">
        <f aca="false">IFERROR(P44/BE44-1,"")</f>
        <v>0.0196743881026593</v>
      </c>
      <c r="BG44" s="17" t="n">
        <v>-0.009</v>
      </c>
      <c r="BH44" s="17" t="n">
        <v>0.052</v>
      </c>
      <c r="BI44" s="14" t="n">
        <f aca="false">P44*(1+IFERROR(Q44,0))^4</f>
        <v>14398169.7475736</v>
      </c>
      <c r="BJ44" s="12" t="n">
        <v>-1738892</v>
      </c>
      <c r="BK44" s="11" t="s">
        <v>84</v>
      </c>
      <c r="BL44" s="11" t="s">
        <v>104</v>
      </c>
      <c r="BM44" s="14" t="n">
        <f aca="false">O44</f>
        <v>119295588</v>
      </c>
      <c r="BN44" s="11" t="s">
        <v>176</v>
      </c>
      <c r="BO44" s="13" t="n">
        <f aca="false">IFERROR(1-L44/M44,"")</f>
        <v>0.0208851678985889</v>
      </c>
      <c r="BP44" s="11" t="s">
        <v>106</v>
      </c>
      <c r="BQ44" s="12" t="n">
        <v>3679480</v>
      </c>
      <c r="BR44" s="11" t="s">
        <v>107</v>
      </c>
      <c r="BS44" s="11" t="s">
        <v>89</v>
      </c>
      <c r="BT44" s="19" t="str">
        <f aca="false">IF(OR(Z44&lt;6,AH44&lt;0.9,S44&lt;0.02,AK44&lt;1),"REVIEW",IF(AND(S44&gt;0.25,AH44&gt;1.2),"ACCELERATING","STABLE"))</f>
        <v>ACCELERATING</v>
      </c>
    </row>
    <row r="45" customFormat="false" ht="15" hidden="false" customHeight="false" outlineLevel="0" collapsed="false">
      <c r="A45" s="11" t="s">
        <v>173</v>
      </c>
      <c r="B45" s="11" t="s">
        <v>93</v>
      </c>
      <c r="C45" s="11" t="s">
        <v>151</v>
      </c>
      <c r="D45" s="11" t="s">
        <v>152</v>
      </c>
      <c r="E45" s="11" t="s">
        <v>174</v>
      </c>
      <c r="F45" s="11" t="s">
        <v>77</v>
      </c>
      <c r="G45" s="11" t="s">
        <v>78</v>
      </c>
      <c r="H45" s="11" t="s">
        <v>170</v>
      </c>
      <c r="I45" s="11" t="s">
        <v>78</v>
      </c>
      <c r="J45" s="12" t="n">
        <v>2300000</v>
      </c>
      <c r="K45" s="13" t="n">
        <f aca="false">IFERROR(J45/M45,"")</f>
        <v>0.0208851678985889</v>
      </c>
      <c r="L45" s="12" t="n">
        <v>107826000</v>
      </c>
      <c r="M45" s="14" t="n">
        <f aca="false">L45+J45</f>
        <v>110126000</v>
      </c>
      <c r="N45" s="12" t="n">
        <v>31906000</v>
      </c>
      <c r="O45" s="12" t="n">
        <v>119295588</v>
      </c>
      <c r="P45" s="12" t="n">
        <v>6702614</v>
      </c>
      <c r="Q45" s="13" t="n">
        <f aca="false">IFERROR(P45/P44-1,"")</f>
        <v>0.321899874567099</v>
      </c>
      <c r="R45" s="12" t="n">
        <v>7181012</v>
      </c>
      <c r="S45" s="13" t="n">
        <f aca="false">IFERROR(R45/R44-1,"")</f>
        <v>0.309758091860198</v>
      </c>
      <c r="T45" s="12" t="n">
        <v>5612824</v>
      </c>
      <c r="U45" s="13" t="n">
        <f aca="false">IFERROR(T45/P45,"")</f>
        <v>0.837408211184472</v>
      </c>
      <c r="V45" s="14" t="n">
        <f aca="false">T45-AV45</f>
        <v>-2733102</v>
      </c>
      <c r="W45" s="14" t="n">
        <f aca="false">V45-AA45*0.1</f>
        <v>-2733102</v>
      </c>
      <c r="X45" s="12" t="n">
        <v>7008000</v>
      </c>
      <c r="Y45" s="12" t="n">
        <v>292000</v>
      </c>
      <c r="Z45" s="15" t="n">
        <f aca="false">IFERROR(X45/Y45,"")</f>
        <v>24</v>
      </c>
      <c r="AA45" s="12" t="n">
        <v>0</v>
      </c>
      <c r="AB45" s="14" t="n">
        <f aca="false">W45-0.02*P45</f>
        <v>-2867154.28</v>
      </c>
      <c r="AC45" s="16" t="n">
        <v>155</v>
      </c>
      <c r="AD45" s="13" t="n">
        <f aca="false">IFERROR(AC45/AC44-1,"")</f>
        <v>0.201550387596899</v>
      </c>
      <c r="AE45" s="17" t="n">
        <v>0.044</v>
      </c>
      <c r="AF45" s="17" t="n">
        <v>0.038</v>
      </c>
      <c r="AG45" s="13" t="n">
        <f aca="false">1-AF45</f>
        <v>0.962</v>
      </c>
      <c r="AH45" s="17" t="n">
        <v>1.409</v>
      </c>
      <c r="AI45" s="12" t="n">
        <v>44300</v>
      </c>
      <c r="AJ45" s="14" t="n">
        <f aca="false">IFERROR(AM45*U45*MIN(1/AE45,5),"")</f>
        <v>221913.175963885</v>
      </c>
      <c r="AK45" s="18" t="n">
        <f aca="false">IFERROR(AJ45/AI45,"")</f>
        <v>5.0093267711938</v>
      </c>
      <c r="AL45" s="15" t="n">
        <f aca="false">IFERROR(AI45/(AM45*U45/12),"")</f>
        <v>11.9776574259501</v>
      </c>
      <c r="AM45" s="12" t="n">
        <v>53000</v>
      </c>
      <c r="AN45" s="12" t="n">
        <v>8872845</v>
      </c>
      <c r="AO45" s="12" t="n">
        <v>25717596</v>
      </c>
      <c r="AP45" s="17" t="n">
        <v>0.129</v>
      </c>
      <c r="AQ45" s="16" t="n">
        <v>34</v>
      </c>
      <c r="AR45" s="16" t="n">
        <v>79</v>
      </c>
      <c r="AS45" s="13" t="n">
        <f aca="false">IFERROR(AR45/AR44-1,"")</f>
        <v>0.234375</v>
      </c>
      <c r="AT45" s="11" t="s">
        <v>175</v>
      </c>
      <c r="AU45" s="14" t="n">
        <f aca="false">IFERROR(P45/AR45,"")</f>
        <v>84843.2151898734</v>
      </c>
      <c r="AV45" s="12" t="n">
        <v>8345926</v>
      </c>
      <c r="AW45" s="12" t="n">
        <v>3821380</v>
      </c>
      <c r="AX45" s="12" t="n">
        <v>2389733</v>
      </c>
      <c r="AY45" s="16" t="n">
        <v>71176</v>
      </c>
      <c r="AZ45" s="13" t="n">
        <f aca="false">IFERROR(AY45/AY44-1,"")</f>
        <v>0.28339854667412</v>
      </c>
      <c r="BA45" s="17" t="n">
        <v>0.965</v>
      </c>
      <c r="BB45" s="11" t="s">
        <v>101</v>
      </c>
      <c r="BC45" s="11" t="s">
        <v>171</v>
      </c>
      <c r="BD45" s="11" t="s">
        <v>157</v>
      </c>
      <c r="BE45" s="12" t="n">
        <v>7226684</v>
      </c>
      <c r="BF45" s="13" t="n">
        <f aca="false">IFERROR(P45/BE45-1,"")</f>
        <v>-0.0725187375011831</v>
      </c>
      <c r="BG45" s="17" t="n">
        <v>0.007</v>
      </c>
      <c r="BH45" s="17" t="n">
        <v>-0.015</v>
      </c>
      <c r="BI45" s="14" t="n">
        <f aca="false">P45*(1+IFERROR(Q45,0))^4</f>
        <v>20466258.4822418</v>
      </c>
      <c r="BJ45" s="12" t="n">
        <v>-2654178</v>
      </c>
      <c r="BK45" s="11" t="s">
        <v>84</v>
      </c>
      <c r="BL45" s="11" t="s">
        <v>104</v>
      </c>
      <c r="BM45" s="14" t="n">
        <f aca="false">O45</f>
        <v>119295588</v>
      </c>
      <c r="BN45" s="11" t="s">
        <v>176</v>
      </c>
      <c r="BO45" s="13" t="n">
        <f aca="false">IFERROR(1-L45/M45,"")</f>
        <v>0.0208851678985889</v>
      </c>
      <c r="BP45" s="11" t="s">
        <v>106</v>
      </c>
      <c r="BQ45" s="12" t="n">
        <v>5250525</v>
      </c>
      <c r="BR45" s="11" t="s">
        <v>107</v>
      </c>
      <c r="BS45" s="11" t="s">
        <v>89</v>
      </c>
      <c r="BT45" s="19" t="str">
        <f aca="false">IF(OR(Z45&lt;6,AH45&lt;0.9,S45&lt;0.02,AK45&lt;1),"REVIEW",IF(AND(S45&gt;0.25,AH45&gt;1.2),"ACCELERATING","STABLE"))</f>
        <v>ACCELERATING</v>
      </c>
    </row>
    <row r="46" customFormat="false" ht="15" hidden="false" customHeight="false" outlineLevel="0" collapsed="false">
      <c r="A46" s="3" t="s">
        <v>177</v>
      </c>
      <c r="B46" s="3" t="s">
        <v>73</v>
      </c>
      <c r="C46" s="3" t="s">
        <v>126</v>
      </c>
      <c r="D46" s="3" t="s">
        <v>127</v>
      </c>
      <c r="E46" s="3" t="s">
        <v>153</v>
      </c>
      <c r="F46" s="3" t="s">
        <v>178</v>
      </c>
      <c r="G46" s="3" t="s">
        <v>136</v>
      </c>
      <c r="H46" s="3" t="s">
        <v>170</v>
      </c>
      <c r="I46" s="3" t="s">
        <v>136</v>
      </c>
      <c r="J46" s="4" t="n">
        <v>57900000</v>
      </c>
      <c r="K46" s="5" t="n">
        <f aca="false">IFERROR(J46/M46,"")</f>
        <v>0.832171550943559</v>
      </c>
      <c r="L46" s="4" t="n">
        <v>11677000</v>
      </c>
      <c r="M46" s="6" t="n">
        <f aca="false">L46+J46</f>
        <v>69577000</v>
      </c>
      <c r="N46" s="4" t="n">
        <v>57900000</v>
      </c>
      <c r="O46" s="4" t="n">
        <v>113334829</v>
      </c>
      <c r="P46" s="4" t="n">
        <v>846990</v>
      </c>
      <c r="Q46" s="7"/>
      <c r="R46" s="4" t="n">
        <v>1051473</v>
      </c>
      <c r="S46" s="7"/>
      <c r="T46" s="4" t="n">
        <v>696294</v>
      </c>
      <c r="U46" s="5" t="n">
        <f aca="false">IFERROR(T46/P46,"")</f>
        <v>0.822080544044204</v>
      </c>
      <c r="V46" s="6" t="n">
        <f aca="false">T46-AV46</f>
        <v>-2069970</v>
      </c>
      <c r="W46" s="6" t="n">
        <f aca="false">V46-AA46*0.1</f>
        <v>-2069970</v>
      </c>
      <c r="X46" s="4" t="n">
        <v>4883588</v>
      </c>
      <c r="Y46" s="4" t="n">
        <v>224770</v>
      </c>
      <c r="Z46" s="8" t="n">
        <f aca="false">IFERROR(X46/Y46,"")</f>
        <v>21.7270454242114</v>
      </c>
      <c r="AA46" s="4" t="n">
        <v>0</v>
      </c>
      <c r="AB46" s="6" t="n">
        <f aca="false">W46-0.02*P46</f>
        <v>-2086909.8</v>
      </c>
      <c r="AC46" s="9" t="n">
        <v>45</v>
      </c>
      <c r="AD46" s="7"/>
      <c r="AE46" s="7" t="n">
        <v>0.046</v>
      </c>
      <c r="AF46" s="7" t="n">
        <v>0.039</v>
      </c>
      <c r="AG46" s="5" t="n">
        <f aca="false">1-AF46</f>
        <v>0.961</v>
      </c>
      <c r="AH46" s="7" t="n">
        <v>1.116</v>
      </c>
      <c r="AI46" s="4" t="n">
        <v>111936</v>
      </c>
      <c r="AJ46" s="6" t="n">
        <f aca="false">IFERROR(AM46*U46*MIN(1/AE46,5),"")</f>
        <v>238403.357772819</v>
      </c>
      <c r="AK46" s="10" t="n">
        <f aca="false">IFERROR(AJ46/AI46,"")</f>
        <v>2.12981844779891</v>
      </c>
      <c r="AL46" s="8" t="n">
        <f aca="false">IFERROR(AI46/(AM46*U46/12),"")</f>
        <v>28.1714152969272</v>
      </c>
      <c r="AM46" s="4" t="n">
        <v>58000</v>
      </c>
      <c r="AN46" s="4" t="n">
        <v>1164328</v>
      </c>
      <c r="AO46" s="4" t="n">
        <v>3497437</v>
      </c>
      <c r="AP46" s="7" t="n">
        <v>0.208</v>
      </c>
      <c r="AQ46" s="9" t="n">
        <v>40</v>
      </c>
      <c r="AR46" s="9" t="n">
        <v>11</v>
      </c>
      <c r="AS46" s="7"/>
      <c r="AT46" s="3" t="s">
        <v>175</v>
      </c>
      <c r="AU46" s="6" t="n">
        <f aca="false">IFERROR(P46/AR46,"")</f>
        <v>76999.0909090909</v>
      </c>
      <c r="AV46" s="4" t="n">
        <v>2766264</v>
      </c>
      <c r="AW46" s="4" t="n">
        <v>1088072</v>
      </c>
      <c r="AX46" s="4" t="n">
        <v>777705</v>
      </c>
      <c r="AY46" s="9" t="n">
        <v>1882</v>
      </c>
      <c r="AZ46" s="7"/>
      <c r="BA46" s="7" t="n">
        <v>0.956</v>
      </c>
      <c r="BB46" s="3" t="s">
        <v>156</v>
      </c>
      <c r="BC46" s="3" t="s">
        <v>179</v>
      </c>
      <c r="BD46" s="3" t="s">
        <v>145</v>
      </c>
      <c r="BE46" s="4" t="n">
        <v>1012965</v>
      </c>
      <c r="BF46" s="5" t="n">
        <f aca="false">IFERROR(P46/BE46-1,"")</f>
        <v>-0.163850675985844</v>
      </c>
      <c r="BG46" s="7" t="n">
        <v>0.078</v>
      </c>
      <c r="BH46" s="7" t="n">
        <v>-0.006</v>
      </c>
      <c r="BI46" s="6" t="n">
        <f aca="false">P46</f>
        <v>846990</v>
      </c>
      <c r="BJ46" s="4" t="n">
        <v>-1466983</v>
      </c>
      <c r="BK46" s="3" t="s">
        <v>103</v>
      </c>
      <c r="BL46" s="3" t="s">
        <v>85</v>
      </c>
      <c r="BM46" s="6" t="n">
        <f aca="false">O46</f>
        <v>113334829</v>
      </c>
      <c r="BN46" s="3" t="s">
        <v>180</v>
      </c>
      <c r="BO46" s="5" t="n">
        <f aca="false">IFERROR(1-L46/M46,"")</f>
        <v>0.832171550943559</v>
      </c>
      <c r="BP46" s="3" t="s">
        <v>114</v>
      </c>
      <c r="BQ46" s="4" t="n">
        <v>3785613</v>
      </c>
      <c r="BR46" s="3" t="s">
        <v>88</v>
      </c>
      <c r="BS46" s="3" t="s">
        <v>89</v>
      </c>
      <c r="BT46" s="3" t="s">
        <v>90</v>
      </c>
    </row>
    <row r="47" customFormat="false" ht="15" hidden="false" customHeight="false" outlineLevel="0" collapsed="false">
      <c r="A47" s="11" t="s">
        <v>177</v>
      </c>
      <c r="B47" s="11" t="s">
        <v>91</v>
      </c>
      <c r="C47" s="11" t="s">
        <v>126</v>
      </c>
      <c r="D47" s="11" t="s">
        <v>127</v>
      </c>
      <c r="E47" s="11" t="s">
        <v>153</v>
      </c>
      <c r="F47" s="11" t="s">
        <v>178</v>
      </c>
      <c r="G47" s="11" t="s">
        <v>136</v>
      </c>
      <c r="H47" s="11" t="s">
        <v>170</v>
      </c>
      <c r="I47" s="11" t="s">
        <v>136</v>
      </c>
      <c r="J47" s="12" t="n">
        <v>57900000</v>
      </c>
      <c r="K47" s="13" t="n">
        <f aca="false">IFERROR(J47/M47,"")</f>
        <v>0.832171550943559</v>
      </c>
      <c r="L47" s="12" t="n">
        <v>11677000</v>
      </c>
      <c r="M47" s="14" t="n">
        <f aca="false">L47+J47</f>
        <v>69577000</v>
      </c>
      <c r="N47" s="12" t="n">
        <v>57900000</v>
      </c>
      <c r="O47" s="12" t="n">
        <v>113334829</v>
      </c>
      <c r="P47" s="12" t="n">
        <v>1003521</v>
      </c>
      <c r="Q47" s="13" t="n">
        <f aca="false">IFERROR(P47/P46-1,"")</f>
        <v>0.184808557361952</v>
      </c>
      <c r="R47" s="12" t="n">
        <v>1190729</v>
      </c>
      <c r="S47" s="13" t="n">
        <f aca="false">IFERROR(R47/R46-1,"")</f>
        <v>0.132438968951176</v>
      </c>
      <c r="T47" s="12" t="n">
        <v>828315</v>
      </c>
      <c r="U47" s="13" t="n">
        <f aca="false">IFERROR(T47/P47,"")</f>
        <v>0.825408735841104</v>
      </c>
      <c r="V47" s="14" t="n">
        <f aca="false">T47-AV47</f>
        <v>-2341691</v>
      </c>
      <c r="W47" s="14" t="n">
        <f aca="false">V47-AA47*0.1</f>
        <v>-2341691</v>
      </c>
      <c r="X47" s="12" t="n">
        <v>4316723</v>
      </c>
      <c r="Y47" s="12" t="n">
        <v>232180</v>
      </c>
      <c r="Z47" s="15" t="n">
        <f aca="false">IFERROR(X47/Y47,"")</f>
        <v>18.5921397191834</v>
      </c>
      <c r="AA47" s="12" t="n">
        <v>0</v>
      </c>
      <c r="AB47" s="14" t="n">
        <f aca="false">W47-0.02*P47</f>
        <v>-2361761.42</v>
      </c>
      <c r="AC47" s="16" t="n">
        <v>49</v>
      </c>
      <c r="AD47" s="13" t="n">
        <f aca="false">IFERROR(AC47/AC46-1,"")</f>
        <v>0.0888888888888888</v>
      </c>
      <c r="AE47" s="17" t="n">
        <v>0.045</v>
      </c>
      <c r="AF47" s="17" t="n">
        <v>0.045</v>
      </c>
      <c r="AG47" s="13" t="n">
        <f aca="false">1-AF47</f>
        <v>0.955</v>
      </c>
      <c r="AH47" s="17" t="n">
        <v>1.111</v>
      </c>
      <c r="AI47" s="12" t="n">
        <v>109824</v>
      </c>
      <c r="AJ47" s="14" t="n">
        <f aca="false">IFERROR(AM47*U47*MIN(1/AE47,5),"")</f>
        <v>244155.904061798</v>
      </c>
      <c r="AK47" s="18" t="n">
        <f aca="false">IFERROR(AJ47/AI47,"")</f>
        <v>2.22315617771888</v>
      </c>
      <c r="AL47" s="15" t="n">
        <f aca="false">IFERROR(AI47/(AM47*U47/12),"")</f>
        <v>26.988657207864</v>
      </c>
      <c r="AM47" s="12" t="n">
        <v>59160</v>
      </c>
      <c r="AN47" s="12" t="n">
        <v>1686085</v>
      </c>
      <c r="AO47" s="12" t="n">
        <v>2988280</v>
      </c>
      <c r="AP47" s="17" t="n">
        <v>0.208</v>
      </c>
      <c r="AQ47" s="16" t="n">
        <v>40</v>
      </c>
      <c r="AR47" s="16" t="n">
        <v>13</v>
      </c>
      <c r="AS47" s="13" t="n">
        <f aca="false">IFERROR(AR47/AR46-1,"")</f>
        <v>0.181818181818182</v>
      </c>
      <c r="AT47" s="11" t="s">
        <v>175</v>
      </c>
      <c r="AU47" s="14" t="n">
        <f aca="false">IFERROR(P47/AR47,"")</f>
        <v>77193.9230769231</v>
      </c>
      <c r="AV47" s="12" t="n">
        <v>3170006</v>
      </c>
      <c r="AW47" s="12" t="n">
        <v>1039630</v>
      </c>
      <c r="AX47" s="12" t="n">
        <v>571385</v>
      </c>
      <c r="AY47" s="16" t="n">
        <v>2058</v>
      </c>
      <c r="AZ47" s="13" t="n">
        <f aca="false">IFERROR(AY47/AY46-1,"")</f>
        <v>0.0935175345377259</v>
      </c>
      <c r="BA47" s="17" t="n">
        <v>0.966</v>
      </c>
      <c r="BB47" s="11" t="s">
        <v>156</v>
      </c>
      <c r="BC47" s="11" t="s">
        <v>179</v>
      </c>
      <c r="BD47" s="11" t="s">
        <v>145</v>
      </c>
      <c r="BE47" s="12" t="n">
        <v>1021441</v>
      </c>
      <c r="BF47" s="13" t="n">
        <f aca="false">IFERROR(P47/BE47-1,"")</f>
        <v>-0.0175438424735251</v>
      </c>
      <c r="BG47" s="17" t="n">
        <v>-0.018</v>
      </c>
      <c r="BH47" s="17" t="n">
        <v>0.081</v>
      </c>
      <c r="BI47" s="14" t="n">
        <f aca="false">P47*(1+IFERROR(Q47,0))^4</f>
        <v>1977512.30285568</v>
      </c>
      <c r="BJ47" s="12" t="n">
        <v>-1837109</v>
      </c>
      <c r="BK47" s="11" t="s">
        <v>103</v>
      </c>
      <c r="BL47" s="11" t="s">
        <v>85</v>
      </c>
      <c r="BM47" s="14" t="n">
        <f aca="false">O47</f>
        <v>113334829</v>
      </c>
      <c r="BN47" s="11" t="s">
        <v>180</v>
      </c>
      <c r="BO47" s="13" t="n">
        <f aca="false">IFERROR(1-L47/M47,"")</f>
        <v>0.832171550943559</v>
      </c>
      <c r="BP47" s="11" t="s">
        <v>114</v>
      </c>
      <c r="BQ47" s="12" t="n">
        <v>4138830</v>
      </c>
      <c r="BR47" s="11" t="s">
        <v>88</v>
      </c>
      <c r="BS47" s="11" t="s">
        <v>89</v>
      </c>
      <c r="BT47" s="19" t="str">
        <f aca="false">IF(OR(Z47&lt;6,AH47&lt;0.9,S47&lt;0.02,AK47&lt;1),"REVIEW",IF(AND(S47&gt;0.25,AH47&gt;1.2),"ACCELERATING","STABLE"))</f>
        <v>STABLE</v>
      </c>
    </row>
    <row r="48" customFormat="false" ht="15" hidden="false" customHeight="false" outlineLevel="0" collapsed="false">
      <c r="A48" s="11" t="s">
        <v>177</v>
      </c>
      <c r="B48" s="11" t="s">
        <v>92</v>
      </c>
      <c r="C48" s="11" t="s">
        <v>126</v>
      </c>
      <c r="D48" s="11" t="s">
        <v>127</v>
      </c>
      <c r="E48" s="11" t="s">
        <v>153</v>
      </c>
      <c r="F48" s="11" t="s">
        <v>178</v>
      </c>
      <c r="G48" s="11" t="s">
        <v>136</v>
      </c>
      <c r="H48" s="11" t="s">
        <v>170</v>
      </c>
      <c r="I48" s="11" t="s">
        <v>136</v>
      </c>
      <c r="J48" s="12" t="n">
        <v>57900000</v>
      </c>
      <c r="K48" s="13" t="n">
        <f aca="false">IFERROR(J48/M48,"")</f>
        <v>0.832171550943559</v>
      </c>
      <c r="L48" s="12" t="n">
        <v>11677000</v>
      </c>
      <c r="M48" s="14" t="n">
        <f aca="false">L48+J48</f>
        <v>69577000</v>
      </c>
      <c r="N48" s="12" t="n">
        <v>57900000</v>
      </c>
      <c r="O48" s="12" t="n">
        <v>113334829</v>
      </c>
      <c r="P48" s="12" t="n">
        <v>1155037</v>
      </c>
      <c r="Q48" s="13" t="n">
        <f aca="false">IFERROR(P48/P47-1,"")</f>
        <v>0.150984383983992</v>
      </c>
      <c r="R48" s="12" t="n">
        <v>1453987</v>
      </c>
      <c r="S48" s="13" t="n">
        <f aca="false">IFERROR(R48/R47-1,"")</f>
        <v>0.221089769376575</v>
      </c>
      <c r="T48" s="12" t="n">
        <v>957222</v>
      </c>
      <c r="U48" s="13" t="n">
        <f aca="false">IFERROR(T48/P48,"")</f>
        <v>0.828737088075966</v>
      </c>
      <c r="V48" s="14" t="n">
        <f aca="false">T48-AV48</f>
        <v>-3020118</v>
      </c>
      <c r="W48" s="14" t="n">
        <f aca="false">V48-AA48*0.1</f>
        <v>-3020118</v>
      </c>
      <c r="X48" s="12" t="n">
        <v>3709844</v>
      </c>
      <c r="Y48" s="12" t="n">
        <v>239590</v>
      </c>
      <c r="Z48" s="15" t="n">
        <f aca="false">IFERROR(X48/Y48,"")</f>
        <v>15.4841353979715</v>
      </c>
      <c r="AA48" s="12" t="n">
        <v>0</v>
      </c>
      <c r="AB48" s="14" t="n">
        <f aca="false">W48-0.02*P48</f>
        <v>-3043218.74</v>
      </c>
      <c r="AC48" s="16" t="n">
        <v>62</v>
      </c>
      <c r="AD48" s="13" t="n">
        <f aca="false">IFERROR(AC48/AC47-1,"")</f>
        <v>0.26530612244898</v>
      </c>
      <c r="AE48" s="17" t="n">
        <v>0.043</v>
      </c>
      <c r="AF48" s="17" t="n">
        <v>0.026</v>
      </c>
      <c r="AG48" s="13" t="n">
        <f aca="false">1-AF48</f>
        <v>0.974</v>
      </c>
      <c r="AH48" s="17" t="n">
        <v>1.106</v>
      </c>
      <c r="AI48" s="12" t="n">
        <v>107712</v>
      </c>
      <c r="AJ48" s="14" t="n">
        <f aca="false">IFERROR(AM48*U48*MIN(1/AE48,5),"")</f>
        <v>249947.105763711</v>
      </c>
      <c r="AK48" s="18" t="n">
        <f aca="false">IFERROR(AJ48/AI48,"")</f>
        <v>2.32051308826975</v>
      </c>
      <c r="AL48" s="15" t="n">
        <f aca="false">IFERROR(AI48/(AM48*U48/12),"")</f>
        <v>25.8563506076744</v>
      </c>
      <c r="AM48" s="12" t="n">
        <v>60320</v>
      </c>
      <c r="AN48" s="12" t="n">
        <v>1999172</v>
      </c>
      <c r="AO48" s="12" t="n">
        <v>5799643</v>
      </c>
      <c r="AP48" s="17" t="n">
        <v>0.208</v>
      </c>
      <c r="AQ48" s="16" t="n">
        <v>40</v>
      </c>
      <c r="AR48" s="16" t="n">
        <v>14</v>
      </c>
      <c r="AS48" s="13" t="n">
        <f aca="false">IFERROR(AR48/AR47-1,"")</f>
        <v>0.0769230769230769</v>
      </c>
      <c r="AT48" s="11" t="s">
        <v>175</v>
      </c>
      <c r="AU48" s="14" t="n">
        <f aca="false">IFERROR(P48/AR48,"")</f>
        <v>82502.6428571429</v>
      </c>
      <c r="AV48" s="12" t="n">
        <v>3977340</v>
      </c>
      <c r="AW48" s="12" t="n">
        <v>1627309</v>
      </c>
      <c r="AX48" s="12" t="n">
        <v>893819</v>
      </c>
      <c r="AY48" s="16" t="n">
        <v>2530</v>
      </c>
      <c r="AZ48" s="13" t="n">
        <f aca="false">IFERROR(AY48/AY47-1,"")</f>
        <v>0.229348882410107</v>
      </c>
      <c r="BA48" s="17" t="n">
        <v>0.96</v>
      </c>
      <c r="BB48" s="11" t="s">
        <v>156</v>
      </c>
      <c r="BC48" s="11" t="s">
        <v>179</v>
      </c>
      <c r="BD48" s="11" t="s">
        <v>145</v>
      </c>
      <c r="BE48" s="12" t="n">
        <v>1344464</v>
      </c>
      <c r="BF48" s="13" t="n">
        <f aca="false">IFERROR(P48/BE48-1,"")</f>
        <v>-0.140894066334242</v>
      </c>
      <c r="BG48" s="17" t="n">
        <v>0.077</v>
      </c>
      <c r="BH48" s="17" t="n">
        <v>-0.022</v>
      </c>
      <c r="BI48" s="14" t="n">
        <f aca="false">P48*(1+IFERROR(Q48,0))^4</f>
        <v>2027092.75729163</v>
      </c>
      <c r="BJ48" s="12" t="n">
        <v>-2850176</v>
      </c>
      <c r="BK48" s="11" t="s">
        <v>103</v>
      </c>
      <c r="BL48" s="11" t="s">
        <v>85</v>
      </c>
      <c r="BM48" s="14" t="n">
        <f aca="false">O48</f>
        <v>113334829</v>
      </c>
      <c r="BN48" s="11" t="s">
        <v>180</v>
      </c>
      <c r="BO48" s="13" t="n">
        <f aca="false">IFERROR(1-L48/M48,"")</f>
        <v>0.832171550943559</v>
      </c>
      <c r="BP48" s="11" t="s">
        <v>114</v>
      </c>
      <c r="BQ48" s="12" t="n">
        <v>4737527</v>
      </c>
      <c r="BR48" s="11" t="s">
        <v>88</v>
      </c>
      <c r="BS48" s="11" t="s">
        <v>89</v>
      </c>
      <c r="BT48" s="19" t="str">
        <f aca="false">IF(OR(Z48&lt;6,AH48&lt;0.9,S48&lt;0.02,AK48&lt;1),"REVIEW",IF(AND(S48&gt;0.25,AH48&gt;1.2),"ACCELERATING","STABLE"))</f>
        <v>STABLE</v>
      </c>
    </row>
    <row r="49" customFormat="false" ht="15" hidden="false" customHeight="false" outlineLevel="0" collapsed="false">
      <c r="A49" s="11" t="s">
        <v>177</v>
      </c>
      <c r="B49" s="11" t="s">
        <v>93</v>
      </c>
      <c r="C49" s="11" t="s">
        <v>126</v>
      </c>
      <c r="D49" s="11" t="s">
        <v>127</v>
      </c>
      <c r="E49" s="11" t="s">
        <v>153</v>
      </c>
      <c r="F49" s="11" t="s">
        <v>178</v>
      </c>
      <c r="G49" s="11" t="s">
        <v>136</v>
      </c>
      <c r="H49" s="11" t="s">
        <v>170</v>
      </c>
      <c r="I49" s="11" t="s">
        <v>136</v>
      </c>
      <c r="J49" s="12" t="n">
        <v>57900000</v>
      </c>
      <c r="K49" s="13" t="n">
        <f aca="false">IFERROR(J49/M49,"")</f>
        <v>0.832171550943559</v>
      </c>
      <c r="L49" s="12" t="n">
        <v>11677000</v>
      </c>
      <c r="M49" s="14" t="n">
        <f aca="false">L49+J49</f>
        <v>69577000</v>
      </c>
      <c r="N49" s="12" t="n">
        <v>57900000</v>
      </c>
      <c r="O49" s="12" t="n">
        <v>113334829</v>
      </c>
      <c r="P49" s="12" t="n">
        <v>1287063</v>
      </c>
      <c r="Q49" s="13" t="n">
        <f aca="false">IFERROR(P49/P48-1,"")</f>
        <v>0.114304563403597</v>
      </c>
      <c r="R49" s="12" t="n">
        <v>1665737</v>
      </c>
      <c r="S49" s="13" t="n">
        <f aca="false">IFERROR(R49/R48-1,"")</f>
        <v>0.14563403936899</v>
      </c>
      <c r="T49" s="12" t="n">
        <v>1070921</v>
      </c>
      <c r="U49" s="13" t="n">
        <f aca="false">IFERROR(T49/P49,"")</f>
        <v>0.832065718616727</v>
      </c>
      <c r="V49" s="14" t="n">
        <f aca="false">T49-AV49</f>
        <v>-2451380</v>
      </c>
      <c r="W49" s="14" t="n">
        <f aca="false">V49-AA49*0.1</f>
        <v>-2451380</v>
      </c>
      <c r="X49" s="12" t="n">
        <v>3062951</v>
      </c>
      <c r="Y49" s="12" t="n">
        <v>247000</v>
      </c>
      <c r="Z49" s="15" t="n">
        <f aca="false">IFERROR(X49/Y49,"")</f>
        <v>12.4006113360324</v>
      </c>
      <c r="AA49" s="12" t="n">
        <v>0</v>
      </c>
      <c r="AB49" s="14" t="n">
        <f aca="false">W49-0.02*P49</f>
        <v>-2477121.26</v>
      </c>
      <c r="AC49" s="16" t="n">
        <v>63</v>
      </c>
      <c r="AD49" s="13" t="n">
        <f aca="false">IFERROR(AC49/AC48-1,"")</f>
        <v>0.0161290322580645</v>
      </c>
      <c r="AE49" s="17" t="n">
        <v>0.042</v>
      </c>
      <c r="AF49" s="17" t="n">
        <v>0.044</v>
      </c>
      <c r="AG49" s="13" t="n">
        <f aca="false">1-AF49</f>
        <v>0.956</v>
      </c>
      <c r="AH49" s="17" t="n">
        <v>1.101</v>
      </c>
      <c r="AI49" s="12" t="n">
        <v>105600</v>
      </c>
      <c r="AJ49" s="14" t="n">
        <f aca="false">IFERROR(AM49*U49*MIN(1/AE49,5),"")</f>
        <v>255777.001902782</v>
      </c>
      <c r="AK49" s="18" t="n">
        <f aca="false">IFERROR(AJ49/AI49,"")</f>
        <v>2.42213069983695</v>
      </c>
      <c r="AL49" s="15" t="n">
        <f aca="false">IFERROR(AI49/(AM49*U49/12),"")</f>
        <v>24.771578182812</v>
      </c>
      <c r="AM49" s="12" t="n">
        <v>61480</v>
      </c>
      <c r="AN49" s="12" t="n">
        <v>1861714</v>
      </c>
      <c r="AO49" s="12" t="n">
        <v>4845130</v>
      </c>
      <c r="AP49" s="17" t="n">
        <v>0.208</v>
      </c>
      <c r="AQ49" s="16" t="n">
        <v>40</v>
      </c>
      <c r="AR49" s="16" t="n">
        <v>16</v>
      </c>
      <c r="AS49" s="13" t="n">
        <f aca="false">IFERROR(AR49/AR48-1,"")</f>
        <v>0.142857142857143</v>
      </c>
      <c r="AT49" s="11" t="s">
        <v>175</v>
      </c>
      <c r="AU49" s="14" t="n">
        <f aca="false">IFERROR(P49/AR49,"")</f>
        <v>80441.4375</v>
      </c>
      <c r="AV49" s="12" t="n">
        <v>3522301</v>
      </c>
      <c r="AW49" s="12" t="n">
        <v>1496243</v>
      </c>
      <c r="AX49" s="12" t="n">
        <v>986399</v>
      </c>
      <c r="AY49" s="16" t="n">
        <v>2770</v>
      </c>
      <c r="AZ49" s="13" t="n">
        <f aca="false">IFERROR(AY49/AY48-1,"")</f>
        <v>0.0948616600790513</v>
      </c>
      <c r="BA49" s="17" t="n">
        <v>0.963</v>
      </c>
      <c r="BB49" s="11" t="s">
        <v>156</v>
      </c>
      <c r="BC49" s="11" t="s">
        <v>179</v>
      </c>
      <c r="BD49" s="11" t="s">
        <v>145</v>
      </c>
      <c r="BE49" s="12" t="n">
        <v>1227501</v>
      </c>
      <c r="BF49" s="13" t="n">
        <f aca="false">IFERROR(P49/BE49-1,"")</f>
        <v>0.0485229747267009</v>
      </c>
      <c r="BG49" s="17" t="n">
        <v>-0.001</v>
      </c>
      <c r="BH49" s="17" t="n">
        <v>-0.046</v>
      </c>
      <c r="BI49" s="14" t="n">
        <f aca="false">P49*(1+IFERROR(Q49,0))^4</f>
        <v>1984337.05287136</v>
      </c>
      <c r="BJ49" s="12" t="n">
        <v>-1862235</v>
      </c>
      <c r="BK49" s="11" t="s">
        <v>103</v>
      </c>
      <c r="BL49" s="11" t="s">
        <v>85</v>
      </c>
      <c r="BM49" s="14" t="n">
        <f aca="false">O49</f>
        <v>113334829</v>
      </c>
      <c r="BN49" s="11" t="s">
        <v>180</v>
      </c>
      <c r="BO49" s="13" t="n">
        <f aca="false">IFERROR(1-L49/M49,"")</f>
        <v>0.832171550943559</v>
      </c>
      <c r="BP49" s="11" t="s">
        <v>114</v>
      </c>
      <c r="BQ49" s="12" t="n">
        <v>4117741</v>
      </c>
      <c r="BR49" s="11" t="s">
        <v>88</v>
      </c>
      <c r="BS49" s="11" t="s">
        <v>89</v>
      </c>
      <c r="BT49" s="19" t="str">
        <f aca="false">IF(OR(Z49&lt;6,AH49&lt;0.9,S49&lt;0.02,AK49&lt;1),"REVIEW",IF(AND(S49&gt;0.25,AH49&gt;1.2),"ACCELERATING","STABLE"))</f>
        <v>STABLE</v>
      </c>
    </row>
    <row r="50" customFormat="false" ht="15" hidden="false" customHeight="false" outlineLevel="0" collapsed="false">
      <c r="A50" s="3" t="s">
        <v>181</v>
      </c>
      <c r="B50" s="3" t="s">
        <v>73</v>
      </c>
      <c r="C50" s="3" t="s">
        <v>182</v>
      </c>
      <c r="D50" s="3" t="s">
        <v>183</v>
      </c>
      <c r="E50" s="3" t="s">
        <v>153</v>
      </c>
      <c r="F50" s="3" t="s">
        <v>184</v>
      </c>
      <c r="G50" s="3" t="s">
        <v>78</v>
      </c>
      <c r="H50" s="3" t="s">
        <v>155</v>
      </c>
      <c r="I50" s="3" t="s">
        <v>78</v>
      </c>
      <c r="J50" s="4" t="n">
        <v>16399999</v>
      </c>
      <c r="K50" s="5" t="n">
        <f aca="false">IFERROR(J50/M50,"")</f>
        <v>0.20257666665732</v>
      </c>
      <c r="L50" s="4" t="n">
        <v>64557000</v>
      </c>
      <c r="M50" s="6" t="n">
        <f aca="false">L50+J50</f>
        <v>80956999</v>
      </c>
      <c r="N50" s="4" t="n">
        <v>19606000</v>
      </c>
      <c r="O50" s="4" t="n">
        <v>97475419</v>
      </c>
      <c r="P50" s="4" t="n">
        <v>1202107</v>
      </c>
      <c r="Q50" s="7"/>
      <c r="R50" s="4" t="n">
        <v>1400339</v>
      </c>
      <c r="S50" s="7"/>
      <c r="T50" s="4" t="n">
        <v>749101</v>
      </c>
      <c r="U50" s="5" t="n">
        <f aca="false">IFERROR(T50/P50,"")</f>
        <v>0.623156674073107</v>
      </c>
      <c r="V50" s="6" t="n">
        <f aca="false">T50-AV50</f>
        <v>-3216884</v>
      </c>
      <c r="W50" s="6" t="n">
        <f aca="false">V50-AA50*0.1</f>
        <v>-3216884</v>
      </c>
      <c r="X50" s="4" t="n">
        <v>9317187</v>
      </c>
      <c r="Y50" s="4" t="n">
        <v>270270</v>
      </c>
      <c r="Z50" s="8" t="n">
        <f aca="false">IFERROR(X50/Y50,"")</f>
        <v>34.4736263736264</v>
      </c>
      <c r="AA50" s="4" t="n">
        <v>0</v>
      </c>
      <c r="AB50" s="6" t="n">
        <f aca="false">W50-0.02*P50</f>
        <v>-3240926.14</v>
      </c>
      <c r="AC50" s="9" t="n">
        <v>132</v>
      </c>
      <c r="AD50" s="7"/>
      <c r="AE50" s="7" t="n">
        <v>0.078</v>
      </c>
      <c r="AF50" s="7" t="n">
        <v>0.056</v>
      </c>
      <c r="AG50" s="5" t="n">
        <f aca="false">1-AF50</f>
        <v>0.944</v>
      </c>
      <c r="AH50" s="7" t="n">
        <v>1.173</v>
      </c>
      <c r="AI50" s="4" t="n">
        <v>99110</v>
      </c>
      <c r="AJ50" s="6" t="n">
        <f aca="false">IFERROR(AM50*U50*MIN(1/AE50,5),"")</f>
        <v>246146.886258877</v>
      </c>
      <c r="AK50" s="10" t="n">
        <f aca="false">IFERROR(AJ50/AI50,"")</f>
        <v>2.48357265925615</v>
      </c>
      <c r="AL50" s="8" t="n">
        <f aca="false">IFERROR(AI50/(AM50*U50/12),"")</f>
        <v>24.158745578223</v>
      </c>
      <c r="AM50" s="4" t="n">
        <v>79000</v>
      </c>
      <c r="AN50" s="4" t="n">
        <v>2041896</v>
      </c>
      <c r="AO50" s="4" t="n">
        <v>3620244</v>
      </c>
      <c r="AP50" s="7" t="n">
        <v>0.264</v>
      </c>
      <c r="AQ50" s="9" t="n">
        <v>104</v>
      </c>
      <c r="AR50" s="9" t="n">
        <v>22</v>
      </c>
      <c r="AS50" s="7"/>
      <c r="AT50" s="3" t="s">
        <v>129</v>
      </c>
      <c r="AU50" s="6" t="n">
        <f aca="false">IFERROR(P50/AR50,"")</f>
        <v>54641.2272727273</v>
      </c>
      <c r="AV50" s="4" t="n">
        <v>3965985</v>
      </c>
      <c r="AW50" s="4" t="n">
        <v>1741895</v>
      </c>
      <c r="AX50" s="4" t="n">
        <v>1223444</v>
      </c>
      <c r="AY50" s="9" t="n">
        <v>102860</v>
      </c>
      <c r="AZ50" s="7"/>
      <c r="BA50" s="7" t="n">
        <v>0.919</v>
      </c>
      <c r="BB50" s="3" t="s">
        <v>156</v>
      </c>
      <c r="BC50" s="3" t="s">
        <v>179</v>
      </c>
      <c r="BD50" s="3" t="s">
        <v>145</v>
      </c>
      <c r="BE50" s="4" t="n">
        <v>1260893</v>
      </c>
      <c r="BF50" s="5" t="n">
        <f aca="false">IFERROR(P50/BE50-1,"")</f>
        <v>-0.0466225127746763</v>
      </c>
      <c r="BG50" s="7" t="n">
        <v>0.087</v>
      </c>
      <c r="BH50" s="7" t="n">
        <v>0.013</v>
      </c>
      <c r="BI50" s="6" t="n">
        <f aca="false">P50</f>
        <v>1202107</v>
      </c>
      <c r="BJ50" s="4" t="n">
        <v>-2627997</v>
      </c>
      <c r="BK50" s="3" t="s">
        <v>158</v>
      </c>
      <c r="BL50" s="3" t="s">
        <v>185</v>
      </c>
      <c r="BM50" s="6" t="n">
        <f aca="false">O50</f>
        <v>97475419</v>
      </c>
      <c r="BN50" s="3" t="s">
        <v>186</v>
      </c>
      <c r="BO50" s="5" t="n">
        <f aca="false">IFERROR(1-L50/M50,"")</f>
        <v>0.20257666665732</v>
      </c>
      <c r="BP50" s="3" t="s">
        <v>187</v>
      </c>
      <c r="BQ50" s="4" t="n">
        <v>5191476</v>
      </c>
      <c r="BR50" s="3" t="s">
        <v>88</v>
      </c>
      <c r="BS50" s="3" t="s">
        <v>89</v>
      </c>
      <c r="BT50" s="3" t="s">
        <v>90</v>
      </c>
    </row>
    <row r="51" customFormat="false" ht="15" hidden="false" customHeight="false" outlineLevel="0" collapsed="false">
      <c r="A51" s="11" t="s">
        <v>181</v>
      </c>
      <c r="B51" s="11" t="s">
        <v>91</v>
      </c>
      <c r="C51" s="11" t="s">
        <v>182</v>
      </c>
      <c r="D51" s="11" t="s">
        <v>183</v>
      </c>
      <c r="E51" s="11" t="s">
        <v>153</v>
      </c>
      <c r="F51" s="11" t="s">
        <v>184</v>
      </c>
      <c r="G51" s="11" t="s">
        <v>78</v>
      </c>
      <c r="H51" s="11" t="s">
        <v>155</v>
      </c>
      <c r="I51" s="11" t="s">
        <v>78</v>
      </c>
      <c r="J51" s="12" t="n">
        <v>16399999</v>
      </c>
      <c r="K51" s="13" t="n">
        <f aca="false">IFERROR(J51/M51,"")</f>
        <v>0.20257666665732</v>
      </c>
      <c r="L51" s="12" t="n">
        <v>64557000</v>
      </c>
      <c r="M51" s="14" t="n">
        <f aca="false">L51+J51</f>
        <v>80956999</v>
      </c>
      <c r="N51" s="12" t="n">
        <v>19606000</v>
      </c>
      <c r="O51" s="12" t="n">
        <v>97475419</v>
      </c>
      <c r="P51" s="12" t="n">
        <v>1473876</v>
      </c>
      <c r="Q51" s="13" t="n">
        <f aca="false">IFERROR(P51/P50-1,"")</f>
        <v>0.226077212760595</v>
      </c>
      <c r="R51" s="12" t="n">
        <v>1792287</v>
      </c>
      <c r="S51" s="13" t="n">
        <f aca="false">IFERROR(R51/R50-1,"")</f>
        <v>0.279895082547869</v>
      </c>
      <c r="T51" s="12" t="n">
        <v>922173</v>
      </c>
      <c r="U51" s="13" t="n">
        <f aca="false">IFERROR(T51/P51,"")</f>
        <v>0.625678822370403</v>
      </c>
      <c r="V51" s="14" t="n">
        <f aca="false">T51-AV51</f>
        <v>-2866521</v>
      </c>
      <c r="W51" s="14" t="n">
        <f aca="false">V51-AA51*0.1</f>
        <v>-2866521</v>
      </c>
      <c r="X51" s="12" t="n">
        <v>8635572</v>
      </c>
      <c r="Y51" s="12" t="n">
        <v>279180</v>
      </c>
      <c r="Z51" s="15" t="n">
        <f aca="false">IFERROR(X51/Y51,"")</f>
        <v>30.931914893617</v>
      </c>
      <c r="AA51" s="12" t="n">
        <v>0</v>
      </c>
      <c r="AB51" s="14" t="n">
        <f aca="false">W51-0.02*P51</f>
        <v>-2895998.52</v>
      </c>
      <c r="AC51" s="16" t="n">
        <v>163</v>
      </c>
      <c r="AD51" s="13" t="n">
        <f aca="false">IFERROR(AC51/AC50-1,"")</f>
        <v>0.234848484848485</v>
      </c>
      <c r="AE51" s="17" t="n">
        <v>0.076</v>
      </c>
      <c r="AF51" s="17" t="n">
        <v>0.074</v>
      </c>
      <c r="AG51" s="13" t="n">
        <f aca="false">1-AF51</f>
        <v>0.926</v>
      </c>
      <c r="AH51" s="17" t="n">
        <v>1.168</v>
      </c>
      <c r="AI51" s="12" t="n">
        <v>97240</v>
      </c>
      <c r="AJ51" s="14" t="n">
        <f aca="false">IFERROR(AM51*U51*MIN(1/AE51,5),"")</f>
        <v>252085.997533035</v>
      </c>
      <c r="AK51" s="18" t="n">
        <f aca="false">IFERROR(AJ51/AI51,"")</f>
        <v>2.59241050527597</v>
      </c>
      <c r="AL51" s="15" t="n">
        <f aca="false">IFERROR(AI51/(AM51*U51/12),"")</f>
        <v>23.1444826650295</v>
      </c>
      <c r="AM51" s="12" t="n">
        <v>80580</v>
      </c>
      <c r="AN51" s="12" t="n">
        <v>1808440</v>
      </c>
      <c r="AO51" s="12" t="n">
        <v>3526499</v>
      </c>
      <c r="AP51" s="17" t="n">
        <v>0.264</v>
      </c>
      <c r="AQ51" s="16" t="n">
        <v>104</v>
      </c>
      <c r="AR51" s="16" t="n">
        <v>23</v>
      </c>
      <c r="AS51" s="13" t="n">
        <f aca="false">IFERROR(AR51/AR50-1,"")</f>
        <v>0.0454545454545454</v>
      </c>
      <c r="AT51" s="11" t="s">
        <v>129</v>
      </c>
      <c r="AU51" s="14" t="n">
        <f aca="false">IFERROR(P51/AR51,"")</f>
        <v>64081.5652173913</v>
      </c>
      <c r="AV51" s="12" t="n">
        <v>3788694</v>
      </c>
      <c r="AW51" s="12" t="n">
        <v>1293481</v>
      </c>
      <c r="AX51" s="12" t="n">
        <v>745719</v>
      </c>
      <c r="AY51" s="16" t="n">
        <v>122626</v>
      </c>
      <c r="AZ51" s="13" t="n">
        <f aca="false">IFERROR(AY51/AY50-1,"")</f>
        <v>0.192164106552596</v>
      </c>
      <c r="BA51" s="17" t="n">
        <v>0.931</v>
      </c>
      <c r="BB51" s="11" t="s">
        <v>156</v>
      </c>
      <c r="BC51" s="11" t="s">
        <v>179</v>
      </c>
      <c r="BD51" s="11" t="s">
        <v>145</v>
      </c>
      <c r="BE51" s="12" t="n">
        <v>1837553</v>
      </c>
      <c r="BF51" s="13" t="n">
        <f aca="false">IFERROR(P51/BE51-1,"")</f>
        <v>-0.197913747249739</v>
      </c>
      <c r="BG51" s="17" t="n">
        <v>-0.056</v>
      </c>
      <c r="BH51" s="17" t="n">
        <v>0.061</v>
      </c>
      <c r="BI51" s="14" t="n">
        <f aca="false">P51*(1+IFERROR(Q51,0))^4</f>
        <v>3330674.7968983</v>
      </c>
      <c r="BJ51" s="12" t="n">
        <v>-2405969</v>
      </c>
      <c r="BK51" s="11" t="s">
        <v>158</v>
      </c>
      <c r="BL51" s="11" t="s">
        <v>185</v>
      </c>
      <c r="BM51" s="14" t="n">
        <f aca="false">O51</f>
        <v>97475419</v>
      </c>
      <c r="BN51" s="11" t="s">
        <v>186</v>
      </c>
      <c r="BO51" s="13" t="n">
        <f aca="false">IFERROR(1-L51/M51,"")</f>
        <v>0.20257666665732</v>
      </c>
      <c r="BP51" s="11" t="s">
        <v>187</v>
      </c>
      <c r="BQ51" s="12" t="n">
        <v>4272156</v>
      </c>
      <c r="BR51" s="11" t="s">
        <v>88</v>
      </c>
      <c r="BS51" s="11" t="s">
        <v>89</v>
      </c>
      <c r="BT51" s="19" t="str">
        <f aca="false">IF(OR(Z51&lt;6,AH51&lt;0.9,S51&lt;0.02,AK51&lt;1),"REVIEW",IF(AND(S51&gt;0.25,AH51&gt;1.2),"ACCELERATING","STABLE"))</f>
        <v>STABLE</v>
      </c>
    </row>
    <row r="52" customFormat="false" ht="15" hidden="false" customHeight="false" outlineLevel="0" collapsed="false">
      <c r="A52" s="11" t="s">
        <v>181</v>
      </c>
      <c r="B52" s="11" t="s">
        <v>92</v>
      </c>
      <c r="C52" s="11" t="s">
        <v>182</v>
      </c>
      <c r="D52" s="11" t="s">
        <v>183</v>
      </c>
      <c r="E52" s="11" t="s">
        <v>153</v>
      </c>
      <c r="F52" s="11" t="s">
        <v>184</v>
      </c>
      <c r="G52" s="11" t="s">
        <v>78</v>
      </c>
      <c r="H52" s="11" t="s">
        <v>155</v>
      </c>
      <c r="I52" s="11" t="s">
        <v>78</v>
      </c>
      <c r="J52" s="12" t="n">
        <v>16399999</v>
      </c>
      <c r="K52" s="13" t="n">
        <f aca="false">IFERROR(J52/M52,"")</f>
        <v>0.20257666665732</v>
      </c>
      <c r="L52" s="12" t="n">
        <v>64557000</v>
      </c>
      <c r="M52" s="14" t="n">
        <f aca="false">L52+J52</f>
        <v>80956999</v>
      </c>
      <c r="N52" s="12" t="n">
        <v>19606000</v>
      </c>
      <c r="O52" s="12" t="n">
        <v>97475419</v>
      </c>
      <c r="P52" s="12" t="n">
        <v>1750760</v>
      </c>
      <c r="Q52" s="13" t="n">
        <f aca="false">IFERROR(P52/P51-1,"")</f>
        <v>0.187861122645324</v>
      </c>
      <c r="R52" s="12" t="n">
        <v>2131723</v>
      </c>
      <c r="S52" s="13" t="n">
        <f aca="false">IFERROR(R52/R51-1,"")</f>
        <v>0.189387079189884</v>
      </c>
      <c r="T52" s="12" t="n">
        <v>1099831</v>
      </c>
      <c r="U52" s="13" t="n">
        <f aca="false">IFERROR(T52/P52,"")</f>
        <v>0.628202037972081</v>
      </c>
      <c r="V52" s="14" t="n">
        <f aca="false">T52-AV52</f>
        <v>-3642000</v>
      </c>
      <c r="W52" s="14" t="n">
        <f aca="false">V52-AA52*0.1</f>
        <v>-3642000</v>
      </c>
      <c r="X52" s="12" t="n">
        <v>7905843</v>
      </c>
      <c r="Y52" s="12" t="n">
        <v>288090</v>
      </c>
      <c r="Z52" s="15" t="n">
        <f aca="false">IFERROR(X52/Y52,"")</f>
        <v>27.4422680412371</v>
      </c>
      <c r="AA52" s="12" t="n">
        <v>0</v>
      </c>
      <c r="AB52" s="14" t="n">
        <f aca="false">W52-0.02*P52</f>
        <v>-3677015.2</v>
      </c>
      <c r="AC52" s="16" t="n">
        <v>197</v>
      </c>
      <c r="AD52" s="13" t="n">
        <f aca="false">IFERROR(AC52/AC51-1,"")</f>
        <v>0.208588957055215</v>
      </c>
      <c r="AE52" s="17" t="n">
        <v>0.074</v>
      </c>
      <c r="AF52" s="17" t="n">
        <v>0.073</v>
      </c>
      <c r="AG52" s="13" t="n">
        <f aca="false">1-AF52</f>
        <v>0.927</v>
      </c>
      <c r="AH52" s="17" t="n">
        <v>1.163</v>
      </c>
      <c r="AI52" s="12" t="n">
        <v>95370</v>
      </c>
      <c r="AJ52" s="14" t="n">
        <f aca="false">IFERROR(AM52*U52*MIN(1/AE52,5),"")</f>
        <v>258065.397198931</v>
      </c>
      <c r="AK52" s="18" t="n">
        <f aca="false">IFERROR(AJ52/AI52,"")</f>
        <v>2.70593894514974</v>
      </c>
      <c r="AL52" s="15" t="n">
        <f aca="false">IFERROR(AI52/(AM52*U52/12),"")</f>
        <v>22.17344929661</v>
      </c>
      <c r="AM52" s="12" t="n">
        <v>82160</v>
      </c>
      <c r="AN52" s="12" t="n">
        <v>3019915</v>
      </c>
      <c r="AO52" s="12" t="n">
        <v>5663716</v>
      </c>
      <c r="AP52" s="17" t="n">
        <v>0.264</v>
      </c>
      <c r="AQ52" s="16" t="n">
        <v>104</v>
      </c>
      <c r="AR52" s="16" t="n">
        <v>26</v>
      </c>
      <c r="AS52" s="13" t="n">
        <f aca="false">IFERROR(AR52/AR51-1,"")</f>
        <v>0.130434782608696</v>
      </c>
      <c r="AT52" s="11" t="s">
        <v>129</v>
      </c>
      <c r="AU52" s="14" t="n">
        <f aca="false">IFERROR(P52/AR52,"")</f>
        <v>67336.9230769231</v>
      </c>
      <c r="AV52" s="12" t="n">
        <v>4741831</v>
      </c>
      <c r="AW52" s="12" t="n">
        <v>1990945</v>
      </c>
      <c r="AX52" s="12" t="n">
        <v>1607744</v>
      </c>
      <c r="AY52" s="16" t="n">
        <v>140275</v>
      </c>
      <c r="AZ52" s="13" t="n">
        <f aca="false">IFERROR(AY52/AY51-1,"")</f>
        <v>0.14392543180076</v>
      </c>
      <c r="BA52" s="17" t="n">
        <v>0.944</v>
      </c>
      <c r="BB52" s="11" t="s">
        <v>156</v>
      </c>
      <c r="BC52" s="11" t="s">
        <v>179</v>
      </c>
      <c r="BD52" s="11" t="s">
        <v>145</v>
      </c>
      <c r="BE52" s="12" t="n">
        <v>2066043</v>
      </c>
      <c r="BF52" s="13" t="n">
        <f aca="false">IFERROR(P52/BE52-1,"")</f>
        <v>-0.152602341771202</v>
      </c>
      <c r="BG52" s="17" t="n">
        <v>-0.022</v>
      </c>
      <c r="BH52" s="17" t="n">
        <v>-0.018</v>
      </c>
      <c r="BI52" s="14" t="n">
        <f aca="false">P52*(1+IFERROR(Q52,0))^4</f>
        <v>3485694.25002114</v>
      </c>
      <c r="BJ52" s="12" t="n">
        <v>-2360171</v>
      </c>
      <c r="BK52" s="11" t="s">
        <v>158</v>
      </c>
      <c r="BL52" s="11" t="s">
        <v>185</v>
      </c>
      <c r="BM52" s="14" t="n">
        <f aca="false">O52</f>
        <v>97475419</v>
      </c>
      <c r="BN52" s="11" t="s">
        <v>186</v>
      </c>
      <c r="BO52" s="13" t="n">
        <f aca="false">IFERROR(1-L52/M52,"")</f>
        <v>0.20257666665732</v>
      </c>
      <c r="BP52" s="11" t="s">
        <v>187</v>
      </c>
      <c r="BQ52" s="12" t="n">
        <v>5067282</v>
      </c>
      <c r="BR52" s="11" t="s">
        <v>88</v>
      </c>
      <c r="BS52" s="11" t="s">
        <v>89</v>
      </c>
      <c r="BT52" s="19" t="str">
        <f aca="false">IF(OR(Z52&lt;6,AH52&lt;0.9,S52&lt;0.02,AK52&lt;1),"REVIEW",IF(AND(S52&gt;0.25,AH52&gt;1.2),"ACCELERATING","STABLE"))</f>
        <v>STABLE</v>
      </c>
    </row>
    <row r="53" customFormat="false" ht="15" hidden="false" customHeight="false" outlineLevel="0" collapsed="false">
      <c r="A53" s="11" t="s">
        <v>181</v>
      </c>
      <c r="B53" s="11" t="s">
        <v>93</v>
      </c>
      <c r="C53" s="11" t="s">
        <v>182</v>
      </c>
      <c r="D53" s="11" t="s">
        <v>183</v>
      </c>
      <c r="E53" s="11" t="s">
        <v>153</v>
      </c>
      <c r="F53" s="11" t="s">
        <v>184</v>
      </c>
      <c r="G53" s="11" t="s">
        <v>78</v>
      </c>
      <c r="H53" s="11" t="s">
        <v>155</v>
      </c>
      <c r="I53" s="11" t="s">
        <v>78</v>
      </c>
      <c r="J53" s="12" t="n">
        <v>16399999</v>
      </c>
      <c r="K53" s="13" t="n">
        <f aca="false">IFERROR(J53/M53,"")</f>
        <v>0.20257666665732</v>
      </c>
      <c r="L53" s="12" t="n">
        <v>64557000</v>
      </c>
      <c r="M53" s="14" t="n">
        <f aca="false">L53+J53</f>
        <v>80956999</v>
      </c>
      <c r="N53" s="12" t="n">
        <v>19606000</v>
      </c>
      <c r="O53" s="12" t="n">
        <v>97475419</v>
      </c>
      <c r="P53" s="12" t="n">
        <v>2186034</v>
      </c>
      <c r="Q53" s="13" t="n">
        <f aca="false">IFERROR(P53/P52-1,"")</f>
        <v>0.248620027873609</v>
      </c>
      <c r="R53" s="12" t="n">
        <v>2688722</v>
      </c>
      <c r="S53" s="13" t="n">
        <f aca="false">IFERROR(R53/R52-1,"")</f>
        <v>0.261290514762002</v>
      </c>
      <c r="T53" s="12" t="n">
        <v>1378786</v>
      </c>
      <c r="U53" s="13" t="n">
        <f aca="false">IFERROR(T53/P53,"")</f>
        <v>0.630724865212527</v>
      </c>
      <c r="V53" s="14" t="n">
        <f aca="false">T53-AV53</f>
        <v>-2947170</v>
      </c>
      <c r="W53" s="14" t="n">
        <f aca="false">V53-AA53*0.1</f>
        <v>-2947170</v>
      </c>
      <c r="X53" s="12" t="n">
        <v>7128000</v>
      </c>
      <c r="Y53" s="12" t="n">
        <v>297000</v>
      </c>
      <c r="Z53" s="15" t="n">
        <f aca="false">IFERROR(X53/Y53,"")</f>
        <v>24</v>
      </c>
      <c r="AA53" s="12" t="n">
        <v>0</v>
      </c>
      <c r="AB53" s="14" t="n">
        <f aca="false">W53-0.02*P53</f>
        <v>-2990890.68</v>
      </c>
      <c r="AC53" s="16" t="n">
        <v>232</v>
      </c>
      <c r="AD53" s="13" t="n">
        <f aca="false">IFERROR(AC53/AC52-1,"")</f>
        <v>0.177664974619289</v>
      </c>
      <c r="AE53" s="17" t="n">
        <v>0.072</v>
      </c>
      <c r="AF53" s="17" t="n">
        <v>0.073</v>
      </c>
      <c r="AG53" s="13" t="n">
        <f aca="false">1-AF53</f>
        <v>0.927</v>
      </c>
      <c r="AH53" s="17" t="n">
        <v>1.158</v>
      </c>
      <c r="AI53" s="12" t="n">
        <v>93500</v>
      </c>
      <c r="AJ53" s="14" t="n">
        <f aca="false">IFERROR(AM53*U53*MIN(1/AE53,5),"")</f>
        <v>264084.501064485</v>
      </c>
      <c r="AK53" s="18" t="n">
        <f aca="false">IFERROR(AJ53/AI53,"")</f>
        <v>2.82443316646508</v>
      </c>
      <c r="AL53" s="15" t="n">
        <f aca="false">IFERROR(AI53/(AM53*U53/12),"")</f>
        <v>21.2432004808572</v>
      </c>
      <c r="AM53" s="12" t="n">
        <v>83740</v>
      </c>
      <c r="AN53" s="12" t="n">
        <v>2858752</v>
      </c>
      <c r="AO53" s="12" t="n">
        <v>5725256</v>
      </c>
      <c r="AP53" s="17" t="n">
        <v>0.264</v>
      </c>
      <c r="AQ53" s="16" t="n">
        <v>104</v>
      </c>
      <c r="AR53" s="16" t="n">
        <v>28</v>
      </c>
      <c r="AS53" s="13" t="n">
        <f aca="false">IFERROR(AR53/AR52-1,"")</f>
        <v>0.0769230769230769</v>
      </c>
      <c r="AT53" s="11" t="s">
        <v>129</v>
      </c>
      <c r="AU53" s="14" t="n">
        <f aca="false">IFERROR(P53/AR53,"")</f>
        <v>78072.6428571429</v>
      </c>
      <c r="AV53" s="12" t="n">
        <v>4325956</v>
      </c>
      <c r="AW53" s="12" t="n">
        <v>1381196</v>
      </c>
      <c r="AX53" s="12" t="n">
        <v>877321</v>
      </c>
      <c r="AY53" s="16" t="n">
        <v>162959</v>
      </c>
      <c r="AZ53" s="13" t="n">
        <f aca="false">IFERROR(AY53/AY52-1,"")</f>
        <v>0.161710924968811</v>
      </c>
      <c r="BA53" s="17" t="n">
        <v>0.942</v>
      </c>
      <c r="BB53" s="11" t="s">
        <v>156</v>
      </c>
      <c r="BC53" s="11" t="s">
        <v>179</v>
      </c>
      <c r="BD53" s="11" t="s">
        <v>145</v>
      </c>
      <c r="BE53" s="12" t="n">
        <v>2314783</v>
      </c>
      <c r="BF53" s="13" t="n">
        <f aca="false">IFERROR(P53/BE53-1,"")</f>
        <v>-0.0556203324458492</v>
      </c>
      <c r="BG53" s="17" t="n">
        <v>-0.026</v>
      </c>
      <c r="BH53" s="17" t="n">
        <v>0.039</v>
      </c>
      <c r="BI53" s="14" t="n">
        <f aca="false">P53*(1+IFERROR(Q53,0))^4</f>
        <v>5313468.36589869</v>
      </c>
      <c r="BJ53" s="12" t="n">
        <v>-3167924</v>
      </c>
      <c r="BK53" s="11" t="s">
        <v>158</v>
      </c>
      <c r="BL53" s="11" t="s">
        <v>185</v>
      </c>
      <c r="BM53" s="14" t="n">
        <f aca="false">O53</f>
        <v>97475419</v>
      </c>
      <c r="BN53" s="11" t="s">
        <v>186</v>
      </c>
      <c r="BO53" s="13" t="n">
        <f aca="false">IFERROR(1-L53/M53,"")</f>
        <v>0.20257666665732</v>
      </c>
      <c r="BP53" s="11" t="s">
        <v>187</v>
      </c>
      <c r="BQ53" s="12" t="n">
        <v>5025603</v>
      </c>
      <c r="BR53" s="11" t="s">
        <v>88</v>
      </c>
      <c r="BS53" s="11" t="s">
        <v>89</v>
      </c>
      <c r="BT53" s="19" t="str">
        <f aca="false">IF(OR(Z53&lt;6,AH53&lt;0.9,S53&lt;0.02,AK53&lt;1),"REVIEW",IF(AND(S53&gt;0.25,AH53&gt;1.2),"ACCELERATING","STABLE"))</f>
        <v>STABLE</v>
      </c>
    </row>
    <row r="54" customFormat="false" ht="15" hidden="false" customHeight="false" outlineLevel="0" collapsed="false">
      <c r="A54" s="3" t="s">
        <v>188</v>
      </c>
      <c r="B54" s="3" t="s">
        <v>73</v>
      </c>
      <c r="C54" s="3" t="s">
        <v>189</v>
      </c>
      <c r="D54" s="3" t="s">
        <v>75</v>
      </c>
      <c r="E54" s="3" t="s">
        <v>153</v>
      </c>
      <c r="F54" s="3" t="s">
        <v>77</v>
      </c>
      <c r="G54" s="3" t="s">
        <v>111</v>
      </c>
      <c r="H54" s="3" t="s">
        <v>99</v>
      </c>
      <c r="I54" s="3" t="s">
        <v>111</v>
      </c>
      <c r="J54" s="4" t="n">
        <v>1600000</v>
      </c>
      <c r="K54" s="5" t="n">
        <f aca="false">IFERROR(J54/M54,"")</f>
        <v>0.1015292848531</v>
      </c>
      <c r="L54" s="4" t="n">
        <v>14159000</v>
      </c>
      <c r="M54" s="6" t="n">
        <f aca="false">L54+J54</f>
        <v>15759000</v>
      </c>
      <c r="N54" s="4" t="n">
        <v>7625000</v>
      </c>
      <c r="O54" s="4" t="n">
        <v>10067777</v>
      </c>
      <c r="P54" s="4" t="n">
        <v>1587160</v>
      </c>
      <c r="Q54" s="7"/>
      <c r="R54" s="4" t="n">
        <v>1728116</v>
      </c>
      <c r="S54" s="7"/>
      <c r="T54" s="4" t="n">
        <v>1038310</v>
      </c>
      <c r="U54" s="5" t="n">
        <f aca="false">IFERROR(T54/P54,"")</f>
        <v>0.654193654073943</v>
      </c>
      <c r="V54" s="6" t="n">
        <f aca="false">T54-AV54</f>
        <v>-1317544</v>
      </c>
      <c r="W54" s="6" t="n">
        <f aca="false">V54-AA54*0.1</f>
        <v>-1317544</v>
      </c>
      <c r="X54" s="4" t="n">
        <v>1534379</v>
      </c>
      <c r="Y54" s="4" t="n">
        <v>104960</v>
      </c>
      <c r="Z54" s="8" t="n">
        <f aca="false">IFERROR(X54/Y54,"")</f>
        <v>14.6187023628049</v>
      </c>
      <c r="AA54" s="4" t="n">
        <v>0</v>
      </c>
      <c r="AB54" s="6" t="n">
        <f aca="false">W54-0.02*P54</f>
        <v>-1349287.2</v>
      </c>
      <c r="AC54" s="9" t="n">
        <v>70</v>
      </c>
      <c r="AD54" s="7"/>
      <c r="AE54" s="7" t="n">
        <v>0.243</v>
      </c>
      <c r="AF54" s="7" t="n">
        <v>0.263</v>
      </c>
      <c r="AG54" s="5" t="n">
        <f aca="false">1-AF54</f>
        <v>0.737</v>
      </c>
      <c r="AH54" s="7" t="n">
        <v>0.882</v>
      </c>
      <c r="AI54" s="4" t="n">
        <v>91352</v>
      </c>
      <c r="AJ54" s="6" t="n">
        <f aca="false">IFERROR(AM54*U54*MIN(1/AE54,5),"")</f>
        <v>115762.663066583</v>
      </c>
      <c r="AK54" s="10" t="n">
        <f aca="false">IFERROR(AJ54/AI54,"")</f>
        <v>1.26721542020517</v>
      </c>
      <c r="AL54" s="8" t="n">
        <f aca="false">IFERROR(AI54/(AM54*U54/12),"")</f>
        <v>38.9694721686605</v>
      </c>
      <c r="AM54" s="4" t="n">
        <v>43000</v>
      </c>
      <c r="AN54" s="4" t="n">
        <v>2588747</v>
      </c>
      <c r="AO54" s="4" t="n">
        <v>5574809</v>
      </c>
      <c r="AP54" s="7" t="n">
        <v>0.149</v>
      </c>
      <c r="AQ54" s="9" t="n">
        <v>27</v>
      </c>
      <c r="AR54" s="9" t="n">
        <v>30</v>
      </c>
      <c r="AS54" s="7"/>
      <c r="AT54" s="3" t="s">
        <v>190</v>
      </c>
      <c r="AU54" s="6" t="n">
        <f aca="false">IFERROR(P54/AR54,"")</f>
        <v>52905.3333333333</v>
      </c>
      <c r="AV54" s="4" t="n">
        <v>2355854</v>
      </c>
      <c r="AW54" s="4" t="n">
        <v>1142895</v>
      </c>
      <c r="AX54" s="4" t="n">
        <v>574545</v>
      </c>
      <c r="AY54" s="9" t="n">
        <v>44260</v>
      </c>
      <c r="AZ54" s="7"/>
      <c r="BA54" s="7" t="n">
        <v>0.748</v>
      </c>
      <c r="BB54" s="3" t="s">
        <v>144</v>
      </c>
      <c r="BC54" s="3" t="s">
        <v>121</v>
      </c>
      <c r="BD54" s="3" t="s">
        <v>145</v>
      </c>
      <c r="BE54" s="4" t="n">
        <v>2671754</v>
      </c>
      <c r="BF54" s="5" t="n">
        <f aca="false">IFERROR(P54/BE54-1,"")</f>
        <v>-0.405948302126618</v>
      </c>
      <c r="BG54" s="7" t="n">
        <v>0.137</v>
      </c>
      <c r="BH54" s="7" t="n">
        <v>0.235</v>
      </c>
      <c r="BI54" s="6" t="n">
        <f aca="false">P54</f>
        <v>1587160</v>
      </c>
      <c r="BJ54" s="4" t="n">
        <v>-1256642</v>
      </c>
      <c r="BK54" s="3" t="s">
        <v>146</v>
      </c>
      <c r="BL54" s="3" t="s">
        <v>147</v>
      </c>
      <c r="BM54" s="6" t="n">
        <f aca="false">O54</f>
        <v>10067777</v>
      </c>
      <c r="BN54" s="3" t="s">
        <v>191</v>
      </c>
      <c r="BO54" s="5" t="n">
        <f aca="false">IFERROR(1-L54/M54,"")</f>
        <v>0.1015292848531</v>
      </c>
      <c r="BP54" s="3" t="s">
        <v>106</v>
      </c>
      <c r="BQ54" s="4" t="n">
        <v>1419772</v>
      </c>
      <c r="BR54" s="3" t="s">
        <v>88</v>
      </c>
      <c r="BS54" s="3" t="s">
        <v>89</v>
      </c>
      <c r="BT54" s="3" t="s">
        <v>90</v>
      </c>
    </row>
    <row r="55" customFormat="false" ht="15" hidden="false" customHeight="false" outlineLevel="0" collapsed="false">
      <c r="A55" s="11" t="s">
        <v>188</v>
      </c>
      <c r="B55" s="11" t="s">
        <v>91</v>
      </c>
      <c r="C55" s="11" t="s">
        <v>189</v>
      </c>
      <c r="D55" s="11" t="s">
        <v>75</v>
      </c>
      <c r="E55" s="11" t="s">
        <v>153</v>
      </c>
      <c r="F55" s="11" t="s">
        <v>77</v>
      </c>
      <c r="G55" s="11" t="s">
        <v>111</v>
      </c>
      <c r="H55" s="11" t="s">
        <v>99</v>
      </c>
      <c r="I55" s="11" t="s">
        <v>111</v>
      </c>
      <c r="J55" s="12" t="n">
        <v>1600000</v>
      </c>
      <c r="K55" s="13" t="n">
        <f aca="false">IFERROR(J55/M55,"")</f>
        <v>0.1015292848531</v>
      </c>
      <c r="L55" s="12" t="n">
        <v>14159000</v>
      </c>
      <c r="M55" s="14" t="n">
        <f aca="false">L55+J55</f>
        <v>15759000</v>
      </c>
      <c r="N55" s="12" t="n">
        <v>7625000</v>
      </c>
      <c r="O55" s="12" t="n">
        <v>10067777</v>
      </c>
      <c r="P55" s="12" t="n">
        <v>1373263</v>
      </c>
      <c r="Q55" s="13" t="n">
        <f aca="false">IFERROR(P55/P54-1,"")</f>
        <v>-0.134767131228106</v>
      </c>
      <c r="R55" s="12" t="n">
        <v>1512923</v>
      </c>
      <c r="S55" s="13" t="n">
        <f aca="false">IFERROR(R55/R54-1,"")</f>
        <v>-0.124524626819033</v>
      </c>
      <c r="T55" s="12" t="n">
        <v>881429</v>
      </c>
      <c r="U55" s="13" t="n">
        <f aca="false">IFERROR(T55/P55,"")</f>
        <v>0.641850104459233</v>
      </c>
      <c r="V55" s="14" t="n">
        <f aca="false">T55-AV55</f>
        <v>-1431517</v>
      </c>
      <c r="W55" s="14" t="n">
        <f aca="false">V55-AA55*0.1</f>
        <v>-1431517</v>
      </c>
      <c r="X55" s="12" t="n">
        <v>1238699</v>
      </c>
      <c r="Y55" s="12" t="n">
        <v>112640</v>
      </c>
      <c r="Z55" s="15" t="n">
        <f aca="false">IFERROR(X55/Y55,"")</f>
        <v>10.99697265625</v>
      </c>
      <c r="AA55" s="12" t="n">
        <v>0</v>
      </c>
      <c r="AB55" s="14" t="n">
        <f aca="false">W55-0.02*P55</f>
        <v>-1458982.26</v>
      </c>
      <c r="AC55" s="16" t="n">
        <v>62</v>
      </c>
      <c r="AD55" s="13" t="n">
        <f aca="false">IFERROR(AC55/AC54-1,"")</f>
        <v>-0.114285714285714</v>
      </c>
      <c r="AE55" s="17" t="n">
        <v>0.288</v>
      </c>
      <c r="AF55" s="17" t="n">
        <v>0.23</v>
      </c>
      <c r="AG55" s="13" t="n">
        <f aca="false">1-AF55</f>
        <v>0.77</v>
      </c>
      <c r="AH55" s="17" t="n">
        <v>0.842</v>
      </c>
      <c r="AI55" s="12" t="n">
        <v>100968</v>
      </c>
      <c r="AJ55" s="14" t="n">
        <f aca="false">IFERROR(AM55*U55*MIN(1/AE55,5),"")</f>
        <v>97748.4221582707</v>
      </c>
      <c r="AK55" s="18" t="n">
        <f aca="false">IFERROR(AJ55/AI55,"")</f>
        <v>0.96811288881894</v>
      </c>
      <c r="AL55" s="15" t="n">
        <f aca="false">IFERROR(AI55/(AM55*U55/12),"")</f>
        <v>43.0390578907573</v>
      </c>
      <c r="AM55" s="12" t="n">
        <v>43860</v>
      </c>
      <c r="AN55" s="12" t="n">
        <v>2071515</v>
      </c>
      <c r="AO55" s="12" t="n">
        <v>4008339</v>
      </c>
      <c r="AP55" s="17" t="n">
        <v>0.149</v>
      </c>
      <c r="AQ55" s="16" t="n">
        <v>27</v>
      </c>
      <c r="AR55" s="16" t="n">
        <v>27</v>
      </c>
      <c r="AS55" s="13" t="n">
        <f aca="false">IFERROR(AR55/AR54-1,"")</f>
        <v>-0.1</v>
      </c>
      <c r="AT55" s="11" t="s">
        <v>190</v>
      </c>
      <c r="AU55" s="14" t="n">
        <f aca="false">IFERROR(P55/AR55,"")</f>
        <v>50861.5925925926</v>
      </c>
      <c r="AV55" s="12" t="n">
        <v>2312946</v>
      </c>
      <c r="AW55" s="12" t="n">
        <v>744247</v>
      </c>
      <c r="AX55" s="12" t="n">
        <v>555970</v>
      </c>
      <c r="AY55" s="16" t="n">
        <v>38663</v>
      </c>
      <c r="AZ55" s="13" t="n">
        <f aca="false">IFERROR(AY55/AY54-1,"")</f>
        <v>-0.126457297785811</v>
      </c>
      <c r="BA55" s="17" t="n">
        <v>0.747</v>
      </c>
      <c r="BB55" s="11" t="s">
        <v>144</v>
      </c>
      <c r="BC55" s="11" t="s">
        <v>121</v>
      </c>
      <c r="BD55" s="11" t="s">
        <v>145</v>
      </c>
      <c r="BE55" s="12" t="n">
        <v>2306465</v>
      </c>
      <c r="BF55" s="13" t="n">
        <f aca="false">IFERROR(P55/BE55-1,"")</f>
        <v>-0.404602714543685</v>
      </c>
      <c r="BG55" s="17" t="n">
        <v>0.172</v>
      </c>
      <c r="BH55" s="17" t="n">
        <v>0.32</v>
      </c>
      <c r="BI55" s="14" t="n">
        <f aca="false">P55*(1+IFERROR(Q55,0))^4</f>
        <v>769636.67701372</v>
      </c>
      <c r="BJ55" s="12" t="n">
        <v>-700073</v>
      </c>
      <c r="BK55" s="11" t="s">
        <v>146</v>
      </c>
      <c r="BL55" s="11" t="s">
        <v>147</v>
      </c>
      <c r="BM55" s="14" t="n">
        <f aca="false">O55</f>
        <v>10067777</v>
      </c>
      <c r="BN55" s="11" t="s">
        <v>191</v>
      </c>
      <c r="BO55" s="13" t="n">
        <f aca="false">IFERROR(1-L55/M55,"")</f>
        <v>0.1015292848531</v>
      </c>
      <c r="BP55" s="11" t="s">
        <v>106</v>
      </c>
      <c r="BQ55" s="12" t="n">
        <v>1701488</v>
      </c>
      <c r="BR55" s="11" t="s">
        <v>88</v>
      </c>
      <c r="BS55" s="11" t="s">
        <v>89</v>
      </c>
      <c r="BT55" s="19" t="str">
        <f aca="false">IF(OR(Z55&lt;6,AH55&lt;0.9,S55&lt;0.02,AK55&lt;1),"REVIEW",IF(AND(S55&gt;0.25,AH55&gt;1.2),"ACCELERATING","STABLE"))</f>
        <v>REVIEW</v>
      </c>
    </row>
    <row r="56" customFormat="false" ht="15" hidden="false" customHeight="false" outlineLevel="0" collapsed="false">
      <c r="A56" s="11" t="s">
        <v>188</v>
      </c>
      <c r="B56" s="11" t="s">
        <v>92</v>
      </c>
      <c r="C56" s="11" t="s">
        <v>189</v>
      </c>
      <c r="D56" s="11" t="s">
        <v>75</v>
      </c>
      <c r="E56" s="11" t="s">
        <v>153</v>
      </c>
      <c r="F56" s="11" t="s">
        <v>77</v>
      </c>
      <c r="G56" s="11" t="s">
        <v>111</v>
      </c>
      <c r="H56" s="11" t="s">
        <v>99</v>
      </c>
      <c r="I56" s="11" t="s">
        <v>111</v>
      </c>
      <c r="J56" s="12" t="n">
        <v>1600000</v>
      </c>
      <c r="K56" s="13" t="n">
        <f aca="false">IFERROR(J56/M56,"")</f>
        <v>0.1015292848531</v>
      </c>
      <c r="L56" s="12" t="n">
        <v>14159000</v>
      </c>
      <c r="M56" s="14" t="n">
        <f aca="false">L56+J56</f>
        <v>15759000</v>
      </c>
      <c r="N56" s="12" t="n">
        <v>7625000</v>
      </c>
      <c r="O56" s="12" t="n">
        <v>10067777</v>
      </c>
      <c r="P56" s="12" t="n">
        <v>1192816</v>
      </c>
      <c r="Q56" s="13" t="n">
        <f aca="false">IFERROR(P56/P55-1,"")</f>
        <v>-0.131400176076979</v>
      </c>
      <c r="R56" s="12" t="n">
        <v>1304820</v>
      </c>
      <c r="S56" s="13" t="n">
        <f aca="false">IFERROR(R56/R55-1,"")</f>
        <v>-0.137550291720068</v>
      </c>
      <c r="T56" s="12" t="n">
        <v>750886</v>
      </c>
      <c r="U56" s="13" t="n">
        <f aca="false">IFERROR(T56/P56,"")</f>
        <v>0.629506981797696</v>
      </c>
      <c r="V56" s="14" t="n">
        <f aca="false">T56-AV56</f>
        <v>-1555371</v>
      </c>
      <c r="W56" s="14" t="n">
        <f aca="false">V56-AA56*0.1</f>
        <v>-1555371</v>
      </c>
      <c r="X56" s="12" t="n">
        <v>892331</v>
      </c>
      <c r="Y56" s="12" t="n">
        <v>120320</v>
      </c>
      <c r="Z56" s="15" t="n">
        <f aca="false">IFERROR(X56/Y56,"")</f>
        <v>7.41631482712766</v>
      </c>
      <c r="AA56" s="12" t="n">
        <v>0</v>
      </c>
      <c r="AB56" s="14" t="n">
        <f aca="false">W56-0.02*P56</f>
        <v>-1579227.32</v>
      </c>
      <c r="AC56" s="16" t="n">
        <v>56</v>
      </c>
      <c r="AD56" s="13" t="n">
        <f aca="false">IFERROR(AC56/AC55-1,"")</f>
        <v>-0.0967741935483871</v>
      </c>
      <c r="AE56" s="17" t="n">
        <v>0.334</v>
      </c>
      <c r="AF56" s="17" t="n">
        <v>0.322</v>
      </c>
      <c r="AG56" s="13" t="n">
        <f aca="false">1-AF56</f>
        <v>0.678</v>
      </c>
      <c r="AH56" s="17" t="n">
        <v>0.802</v>
      </c>
      <c r="AI56" s="12" t="n">
        <v>110584</v>
      </c>
      <c r="AJ56" s="14" t="n">
        <f aca="false">IFERROR(AM56*U56*MIN(1/AE56,5),"")</f>
        <v>84286.0845089609</v>
      </c>
      <c r="AK56" s="18" t="n">
        <f aca="false">IFERROR(AJ56/AI56,"")</f>
        <v>0.762190592752667</v>
      </c>
      <c r="AL56" s="15" t="n">
        <f aca="false">IFERROR(AI56/(AM56*U56/12),"")</f>
        <v>47.138004659464</v>
      </c>
      <c r="AM56" s="12" t="n">
        <v>44720</v>
      </c>
      <c r="AN56" s="12" t="n">
        <v>1566313</v>
      </c>
      <c r="AO56" s="12" t="n">
        <v>2941022</v>
      </c>
      <c r="AP56" s="17" t="n">
        <v>0.149</v>
      </c>
      <c r="AQ56" s="16" t="n">
        <v>27</v>
      </c>
      <c r="AR56" s="16" t="n">
        <v>24</v>
      </c>
      <c r="AS56" s="13" t="n">
        <f aca="false">IFERROR(AR56/AR55-1,"")</f>
        <v>-0.111111111111111</v>
      </c>
      <c r="AT56" s="11" t="s">
        <v>190</v>
      </c>
      <c r="AU56" s="14" t="n">
        <f aca="false">IFERROR(P56/AR56,"")</f>
        <v>49700.6666666667</v>
      </c>
      <c r="AV56" s="12" t="n">
        <v>2306257</v>
      </c>
      <c r="AW56" s="12" t="n">
        <v>1093579</v>
      </c>
      <c r="AX56" s="12" t="n">
        <v>761465</v>
      </c>
      <c r="AY56" s="16" t="n">
        <v>33870</v>
      </c>
      <c r="AZ56" s="13" t="n">
        <f aca="false">IFERROR(AY56/AY55-1,"")</f>
        <v>-0.123968652199778</v>
      </c>
      <c r="BA56" s="17" t="n">
        <v>0.731</v>
      </c>
      <c r="BB56" s="11" t="s">
        <v>144</v>
      </c>
      <c r="BC56" s="11" t="s">
        <v>121</v>
      </c>
      <c r="BD56" s="11" t="s">
        <v>145</v>
      </c>
      <c r="BE56" s="12" t="n">
        <v>1954338</v>
      </c>
      <c r="BF56" s="13" t="n">
        <f aca="false">IFERROR(P56/BE56-1,"")</f>
        <v>-0.389657265017617</v>
      </c>
      <c r="BG56" s="17" t="n">
        <v>0.188</v>
      </c>
      <c r="BH56" s="17" t="n">
        <v>0.329</v>
      </c>
      <c r="BI56" s="14" t="n">
        <f aca="false">P56*(1+IFERROR(Q56,0))^4</f>
        <v>678972.842741845</v>
      </c>
      <c r="BJ56" s="12" t="n">
        <v>-1290809</v>
      </c>
      <c r="BK56" s="11" t="s">
        <v>146</v>
      </c>
      <c r="BL56" s="11" t="s">
        <v>147</v>
      </c>
      <c r="BM56" s="14" t="n">
        <f aca="false">O56</f>
        <v>10067777</v>
      </c>
      <c r="BN56" s="11" t="s">
        <v>191</v>
      </c>
      <c r="BO56" s="13" t="n">
        <f aca="false">IFERROR(1-L56/M56,"")</f>
        <v>0.1015292848531</v>
      </c>
      <c r="BP56" s="11" t="s">
        <v>106</v>
      </c>
      <c r="BQ56" s="12" t="n">
        <v>1549385</v>
      </c>
      <c r="BR56" s="11" t="s">
        <v>88</v>
      </c>
      <c r="BS56" s="11" t="s">
        <v>89</v>
      </c>
      <c r="BT56" s="19" t="str">
        <f aca="false">IF(OR(Z56&lt;6,AH56&lt;0.9,S56&lt;0.02,AK56&lt;1),"REVIEW",IF(AND(S56&gt;0.25,AH56&gt;1.2),"ACCELERATING","STABLE"))</f>
        <v>REVIEW</v>
      </c>
    </row>
    <row r="57" customFormat="false" ht="15" hidden="false" customHeight="false" outlineLevel="0" collapsed="false">
      <c r="A57" s="11" t="s">
        <v>188</v>
      </c>
      <c r="B57" s="11" t="s">
        <v>93</v>
      </c>
      <c r="C57" s="11" t="s">
        <v>189</v>
      </c>
      <c r="D57" s="11" t="s">
        <v>75</v>
      </c>
      <c r="E57" s="11" t="s">
        <v>153</v>
      </c>
      <c r="F57" s="11" t="s">
        <v>77</v>
      </c>
      <c r="G57" s="11" t="s">
        <v>111</v>
      </c>
      <c r="H57" s="11" t="s">
        <v>99</v>
      </c>
      <c r="I57" s="11" t="s">
        <v>111</v>
      </c>
      <c r="J57" s="12" t="n">
        <v>1600000</v>
      </c>
      <c r="K57" s="13" t="n">
        <f aca="false">IFERROR(J57/M57,"")</f>
        <v>0.1015292848531</v>
      </c>
      <c r="L57" s="12" t="n">
        <v>14159000</v>
      </c>
      <c r="M57" s="14" t="n">
        <f aca="false">L57+J57</f>
        <v>15759000</v>
      </c>
      <c r="N57" s="12" t="n">
        <v>7625000</v>
      </c>
      <c r="O57" s="12" t="n">
        <v>10067777</v>
      </c>
      <c r="P57" s="12" t="n">
        <v>1052959</v>
      </c>
      <c r="Q57" s="13" t="n">
        <f aca="false">IFERROR(P57/P56-1,"")</f>
        <v>-0.117249433273866</v>
      </c>
      <c r="R57" s="12" t="n">
        <v>1116933</v>
      </c>
      <c r="S57" s="13" t="n">
        <f aca="false">IFERROR(R57/R56-1,"")</f>
        <v>-0.143994573964225</v>
      </c>
      <c r="T57" s="12" t="n">
        <v>649848</v>
      </c>
      <c r="U57" s="13" t="n">
        <f aca="false">IFERROR(T57/P57,"")</f>
        <v>0.617163631252499</v>
      </c>
      <c r="V57" s="14" t="n">
        <f aca="false">T57-AV57</f>
        <v>-1437785</v>
      </c>
      <c r="W57" s="14" t="n">
        <f aca="false">V57-AA57*0.1</f>
        <v>-1437785</v>
      </c>
      <c r="X57" s="12" t="n">
        <v>495275</v>
      </c>
      <c r="Y57" s="12" t="n">
        <v>128000</v>
      </c>
      <c r="Z57" s="15" t="n">
        <f aca="false">IFERROR(X57/Y57,"")</f>
        <v>3.8693359375</v>
      </c>
      <c r="AA57" s="12" t="n">
        <v>0</v>
      </c>
      <c r="AB57" s="14" t="n">
        <f aca="false">W57-0.02*P57</f>
        <v>-1458844.18</v>
      </c>
      <c r="AC57" s="16" t="n">
        <v>50</v>
      </c>
      <c r="AD57" s="13" t="n">
        <f aca="false">IFERROR(AC57/AC56-1,"")</f>
        <v>-0.107142857142857</v>
      </c>
      <c r="AE57" s="17" t="n">
        <v>0.379</v>
      </c>
      <c r="AF57" s="17" t="n">
        <v>0.329</v>
      </c>
      <c r="AG57" s="13" t="n">
        <f aca="false">1-AF57</f>
        <v>0.671</v>
      </c>
      <c r="AH57" s="17" t="n">
        <v>0.762</v>
      </c>
      <c r="AI57" s="12" t="n">
        <v>120200</v>
      </c>
      <c r="AJ57" s="14" t="n">
        <f aca="false">IFERROR(AM57*U57*MIN(1/AE57,5),"")</f>
        <v>74222.4757585459</v>
      </c>
      <c r="AK57" s="18" t="n">
        <f aca="false">IFERROR(AJ57/AI57,"")</f>
        <v>0.617491478856455</v>
      </c>
      <c r="AL57" s="15" t="n">
        <f aca="false">IFERROR(AI57/(AM57*U57/12),"")</f>
        <v>51.2756373382246</v>
      </c>
      <c r="AM57" s="12" t="n">
        <v>45580</v>
      </c>
      <c r="AN57" s="12" t="n">
        <v>1583222</v>
      </c>
      <c r="AO57" s="12" t="n">
        <v>1992974</v>
      </c>
      <c r="AP57" s="17" t="n">
        <v>0.149</v>
      </c>
      <c r="AQ57" s="16" t="n">
        <v>27</v>
      </c>
      <c r="AR57" s="16" t="n">
        <v>22</v>
      </c>
      <c r="AS57" s="13" t="n">
        <f aca="false">IFERROR(AR57/AR56-1,"")</f>
        <v>-0.0833333333333334</v>
      </c>
      <c r="AT57" s="11" t="s">
        <v>190</v>
      </c>
      <c r="AU57" s="14" t="n">
        <f aca="false">IFERROR(P57/AR57,"")</f>
        <v>47861.7727272727</v>
      </c>
      <c r="AV57" s="12" t="n">
        <v>2087633</v>
      </c>
      <c r="AW57" s="12" t="n">
        <v>719014</v>
      </c>
      <c r="AX57" s="12" t="n">
        <v>588197</v>
      </c>
      <c r="AY57" s="16" t="n">
        <v>29835</v>
      </c>
      <c r="AZ57" s="13" t="n">
        <f aca="false">IFERROR(AY57/AY56-1,"")</f>
        <v>-0.119131975199291</v>
      </c>
      <c r="BA57" s="17" t="n">
        <v>0.725</v>
      </c>
      <c r="BB57" s="11" t="s">
        <v>144</v>
      </c>
      <c r="BC57" s="11" t="s">
        <v>121</v>
      </c>
      <c r="BD57" s="11" t="s">
        <v>145</v>
      </c>
      <c r="BE57" s="12" t="n">
        <v>1700236</v>
      </c>
      <c r="BF57" s="13" t="n">
        <f aca="false">IFERROR(P57/BE57-1,"")</f>
        <v>-0.380698326585251</v>
      </c>
      <c r="BG57" s="17" t="n">
        <v>0.272</v>
      </c>
      <c r="BH57" s="17" t="n">
        <v>0.365</v>
      </c>
      <c r="BI57" s="14" t="n">
        <f aca="false">P57*(1+IFERROR(Q57,0))^4</f>
        <v>639386.527782782</v>
      </c>
      <c r="BJ57" s="12" t="n">
        <v>-1464656</v>
      </c>
      <c r="BK57" s="11" t="s">
        <v>146</v>
      </c>
      <c r="BL57" s="11" t="s">
        <v>147</v>
      </c>
      <c r="BM57" s="14" t="n">
        <f aca="false">O57</f>
        <v>10067777</v>
      </c>
      <c r="BN57" s="11" t="s">
        <v>191</v>
      </c>
      <c r="BO57" s="13" t="n">
        <f aca="false">IFERROR(1-L57/M57,"")</f>
        <v>0.1015292848531</v>
      </c>
      <c r="BP57" s="11" t="s">
        <v>106</v>
      </c>
      <c r="BQ57" s="12" t="n">
        <v>1623268</v>
      </c>
      <c r="BR57" s="11" t="s">
        <v>88</v>
      </c>
      <c r="BS57" s="11" t="s">
        <v>89</v>
      </c>
      <c r="BT57" s="19" t="str">
        <f aca="false">IF(OR(Z57&lt;6,AH57&lt;0.9,S57&lt;0.02,AK57&lt;1),"REVIEW",IF(AND(S57&gt;0.25,AH57&gt;1.2),"ACCELERATING","STABLE"))</f>
        <v>REVIEW</v>
      </c>
    </row>
    <row r="58" customFormat="false" ht="15" hidden="false" customHeight="false" outlineLevel="0" collapsed="false">
      <c r="A58" s="3" t="s">
        <v>192</v>
      </c>
      <c r="B58" s="3" t="s">
        <v>73</v>
      </c>
      <c r="C58" s="3" t="s">
        <v>161</v>
      </c>
      <c r="D58" s="3" t="s">
        <v>162</v>
      </c>
      <c r="E58" s="3" t="s">
        <v>142</v>
      </c>
      <c r="F58" s="3" t="s">
        <v>193</v>
      </c>
      <c r="G58" s="3" t="s">
        <v>136</v>
      </c>
      <c r="H58" s="3" t="s">
        <v>79</v>
      </c>
      <c r="I58" s="3" t="s">
        <v>136</v>
      </c>
      <c r="J58" s="4" t="n">
        <v>1400000</v>
      </c>
      <c r="K58" s="5" t="n">
        <f aca="false">IFERROR(J58/M58,"")</f>
        <v>0.0977175961471348</v>
      </c>
      <c r="L58" s="4" t="n">
        <v>12927000</v>
      </c>
      <c r="M58" s="6" t="n">
        <f aca="false">L58+J58</f>
        <v>14327000</v>
      </c>
      <c r="N58" s="4" t="n">
        <v>3297000</v>
      </c>
      <c r="O58" s="4" t="n">
        <v>11850349</v>
      </c>
      <c r="P58" s="4" t="n">
        <v>839042</v>
      </c>
      <c r="Q58" s="7"/>
      <c r="R58" s="4" t="n">
        <v>1071039</v>
      </c>
      <c r="S58" s="7"/>
      <c r="T58" s="4" t="n">
        <v>423640</v>
      </c>
      <c r="U58" s="5" t="n">
        <f aca="false">IFERROR(T58/P58,"")</f>
        <v>0.504909170220323</v>
      </c>
      <c r="V58" s="6" t="n">
        <f aca="false">T58-AV58</f>
        <v>-1105220</v>
      </c>
      <c r="W58" s="6" t="n">
        <f aca="false">V58-AA58*0.1</f>
        <v>-1225620</v>
      </c>
      <c r="X58" s="4" t="n">
        <v>1430667</v>
      </c>
      <c r="Y58" s="4" t="n">
        <v>106600</v>
      </c>
      <c r="Z58" s="8" t="n">
        <f aca="false">IFERROR(X58/Y58,"")</f>
        <v>13.4208911819887</v>
      </c>
      <c r="AA58" s="4" t="n">
        <v>1204000</v>
      </c>
      <c r="AB58" s="6" t="n">
        <f aca="false">W58-0.02*P58</f>
        <v>-1242400.84</v>
      </c>
      <c r="AC58" s="9" t="n">
        <v>61</v>
      </c>
      <c r="AD58" s="7"/>
      <c r="AE58" s="7" t="n">
        <v>0.153</v>
      </c>
      <c r="AF58" s="7" t="n">
        <v>0.126</v>
      </c>
      <c r="AG58" s="5" t="n">
        <f aca="false">1-AF58</f>
        <v>0.874</v>
      </c>
      <c r="AH58" s="7" t="n">
        <v>0.864</v>
      </c>
      <c r="AI58" s="4" t="n">
        <v>86488</v>
      </c>
      <c r="AJ58" s="6" t="n">
        <f aca="false">IFERROR(AM58*U58*MIN(1/AE58,5),"")</f>
        <v>98457.2881929629</v>
      </c>
      <c r="AK58" s="10" t="n">
        <f aca="false">IFERROR(AJ58/AI58,"")</f>
        <v>1.13839247286286</v>
      </c>
      <c r="AL58" s="8" t="n">
        <f aca="false">IFERROR(AI58/(AM58*U58/12),"")</f>
        <v>52.7059001445349</v>
      </c>
      <c r="AM58" s="4" t="n">
        <v>39000</v>
      </c>
      <c r="AN58" s="4" t="n">
        <v>1276398</v>
      </c>
      <c r="AO58" s="4" t="n">
        <v>2836608</v>
      </c>
      <c r="AP58" s="7" t="n">
        <v>0.319</v>
      </c>
      <c r="AQ58" s="9" t="n">
        <v>78</v>
      </c>
      <c r="AR58" s="9" t="n">
        <v>14</v>
      </c>
      <c r="AS58" s="7"/>
      <c r="AT58" s="3" t="s">
        <v>119</v>
      </c>
      <c r="AU58" s="6" t="n">
        <f aca="false">IFERROR(P58/AR58,"")</f>
        <v>59931.5714285714</v>
      </c>
      <c r="AV58" s="4" t="n">
        <v>1528860</v>
      </c>
      <c r="AW58" s="4" t="n">
        <v>693895</v>
      </c>
      <c r="AX58" s="4" t="n">
        <v>488408</v>
      </c>
      <c r="AY58" s="9" t="n">
        <v>20631</v>
      </c>
      <c r="AZ58" s="7"/>
      <c r="BA58" s="7" t="n">
        <v>0.86</v>
      </c>
      <c r="BB58" s="3" t="s">
        <v>194</v>
      </c>
      <c r="BC58" s="3" t="s">
        <v>121</v>
      </c>
      <c r="BD58" s="3" t="s">
        <v>157</v>
      </c>
      <c r="BE58" s="4" t="n">
        <v>1376304</v>
      </c>
      <c r="BF58" s="5" t="n">
        <f aca="false">IFERROR(P58/BE58-1,"")</f>
        <v>-0.390365791278671</v>
      </c>
      <c r="BG58" s="7" t="n">
        <v>0.198</v>
      </c>
      <c r="BH58" s="7" t="n">
        <v>0.315</v>
      </c>
      <c r="BI58" s="6" t="n">
        <f aca="false">P58</f>
        <v>839042</v>
      </c>
      <c r="BJ58" s="4" t="n">
        <v>-1222958</v>
      </c>
      <c r="BK58" s="3" t="s">
        <v>146</v>
      </c>
      <c r="BL58" s="3" t="s">
        <v>195</v>
      </c>
      <c r="BM58" s="6" t="n">
        <f aca="false">O58</f>
        <v>11850349</v>
      </c>
      <c r="BN58" s="3" t="s">
        <v>196</v>
      </c>
      <c r="BO58" s="5" t="n">
        <f aca="false">IFERROR(1-L58/M58,"")</f>
        <v>0.0977175961471348</v>
      </c>
      <c r="BP58" s="3" t="s">
        <v>106</v>
      </c>
      <c r="BQ58" s="4" t="n">
        <v>1894747</v>
      </c>
      <c r="BR58" s="3" t="s">
        <v>88</v>
      </c>
      <c r="BS58" s="3" t="s">
        <v>89</v>
      </c>
      <c r="BT58" s="3" t="s">
        <v>90</v>
      </c>
    </row>
    <row r="59" customFormat="false" ht="15" hidden="false" customHeight="false" outlineLevel="0" collapsed="false">
      <c r="A59" s="11" t="s">
        <v>192</v>
      </c>
      <c r="B59" s="11" t="s">
        <v>91</v>
      </c>
      <c r="C59" s="11" t="s">
        <v>161</v>
      </c>
      <c r="D59" s="11" t="s">
        <v>162</v>
      </c>
      <c r="E59" s="11" t="s">
        <v>142</v>
      </c>
      <c r="F59" s="11" t="s">
        <v>193</v>
      </c>
      <c r="G59" s="11" t="s">
        <v>136</v>
      </c>
      <c r="H59" s="11" t="s">
        <v>79</v>
      </c>
      <c r="I59" s="11" t="s">
        <v>136</v>
      </c>
      <c r="J59" s="12" t="n">
        <v>1400000</v>
      </c>
      <c r="K59" s="13" t="n">
        <f aca="false">IFERROR(J59/M59,"")</f>
        <v>0.0977175961471348</v>
      </c>
      <c r="L59" s="12" t="n">
        <v>12927000</v>
      </c>
      <c r="M59" s="14" t="n">
        <f aca="false">L59+J59</f>
        <v>14327000</v>
      </c>
      <c r="N59" s="12" t="n">
        <v>3297000</v>
      </c>
      <c r="O59" s="12" t="n">
        <v>11850349</v>
      </c>
      <c r="P59" s="12" t="n">
        <v>752737</v>
      </c>
      <c r="Q59" s="13" t="n">
        <f aca="false">IFERROR(P59/P58-1,"")</f>
        <v>-0.102861358549393</v>
      </c>
      <c r="R59" s="12" t="n">
        <v>962965</v>
      </c>
      <c r="S59" s="13" t="n">
        <f aca="false">IFERROR(R59/R58-1,"")</f>
        <v>-0.100905755999548</v>
      </c>
      <c r="T59" s="12" t="n">
        <v>372893</v>
      </c>
      <c r="U59" s="13" t="n">
        <f aca="false">IFERROR(T59/P59,"")</f>
        <v>0.495382849521148</v>
      </c>
      <c r="V59" s="14" t="n">
        <f aca="false">T59-AV59</f>
        <v>-1366976</v>
      </c>
      <c r="W59" s="14" t="n">
        <f aca="false">V59-AA59*0.1</f>
        <v>-1487376</v>
      </c>
      <c r="X59" s="12" t="n">
        <v>1130367</v>
      </c>
      <c r="Y59" s="12" t="n">
        <v>114400</v>
      </c>
      <c r="Z59" s="15" t="n">
        <f aca="false">IFERROR(X59/Y59,"")</f>
        <v>9.88083041958042</v>
      </c>
      <c r="AA59" s="12" t="n">
        <v>1204000</v>
      </c>
      <c r="AB59" s="14" t="n">
        <f aca="false">W59-0.02*P59</f>
        <v>-1502430.74</v>
      </c>
      <c r="AC59" s="16" t="n">
        <v>58</v>
      </c>
      <c r="AD59" s="13" t="n">
        <f aca="false">IFERROR(AC59/AC58-1,"")</f>
        <v>-0.0491803278688525</v>
      </c>
      <c r="AE59" s="17" t="n">
        <v>0.182</v>
      </c>
      <c r="AF59" s="17" t="n">
        <v>0.176</v>
      </c>
      <c r="AG59" s="13" t="n">
        <f aca="false">1-AF59</f>
        <v>0.824</v>
      </c>
      <c r="AH59" s="17" t="n">
        <v>0.824</v>
      </c>
      <c r="AI59" s="12" t="n">
        <v>95592</v>
      </c>
      <c r="AJ59" s="14" t="n">
        <f aca="false">IFERROR(AM59*U59*MIN(1/AE59,5),"")</f>
        <v>98531.6487697562</v>
      </c>
      <c r="AK59" s="18" t="n">
        <f aca="false">IFERROR(AJ59/AI59,"")</f>
        <v>1.03075203751105</v>
      </c>
      <c r="AL59" s="15" t="n">
        <f aca="false">IFERROR(AI59/(AM59*U59/12),"")</f>
        <v>58.2099261669971</v>
      </c>
      <c r="AM59" s="12" t="n">
        <v>39780</v>
      </c>
      <c r="AN59" s="12" t="n">
        <v>1374912</v>
      </c>
      <c r="AO59" s="12" t="n">
        <v>2923601</v>
      </c>
      <c r="AP59" s="17" t="n">
        <v>0.319</v>
      </c>
      <c r="AQ59" s="16" t="n">
        <v>78</v>
      </c>
      <c r="AR59" s="16" t="n">
        <v>14</v>
      </c>
      <c r="AS59" s="13" t="n">
        <f aca="false">IFERROR(AR59/AR58-1,"")</f>
        <v>0</v>
      </c>
      <c r="AT59" s="11" t="s">
        <v>119</v>
      </c>
      <c r="AU59" s="14" t="n">
        <f aca="false">IFERROR(P59/AR59,"")</f>
        <v>53766.9285714286</v>
      </c>
      <c r="AV59" s="12" t="n">
        <v>1739869</v>
      </c>
      <c r="AW59" s="12" t="n">
        <v>544919</v>
      </c>
      <c r="AX59" s="12" t="n">
        <v>465236</v>
      </c>
      <c r="AY59" s="16" t="n">
        <v>18617</v>
      </c>
      <c r="AZ59" s="13" t="n">
        <f aca="false">IFERROR(AY59/AY58-1,"")</f>
        <v>-0.0976200862779313</v>
      </c>
      <c r="BA59" s="17" t="n">
        <v>0.853</v>
      </c>
      <c r="BB59" s="11" t="s">
        <v>194</v>
      </c>
      <c r="BC59" s="11" t="s">
        <v>121</v>
      </c>
      <c r="BD59" s="11" t="s">
        <v>157</v>
      </c>
      <c r="BE59" s="12" t="n">
        <v>1063244</v>
      </c>
      <c r="BF59" s="13" t="n">
        <f aca="false">IFERROR(P59/BE59-1,"")</f>
        <v>-0.292037387467035</v>
      </c>
      <c r="BG59" s="17" t="n">
        <v>0.301</v>
      </c>
      <c r="BH59" s="17" t="n">
        <v>0.276</v>
      </c>
      <c r="BI59" s="14" t="n">
        <f aca="false">P59*(1+IFERROR(Q59,0))^4</f>
        <v>487620.006233978</v>
      </c>
      <c r="BJ59" s="12" t="n">
        <v>-1043369</v>
      </c>
      <c r="BK59" s="11" t="s">
        <v>146</v>
      </c>
      <c r="BL59" s="11" t="s">
        <v>195</v>
      </c>
      <c r="BM59" s="14" t="n">
        <f aca="false">O59</f>
        <v>11850349</v>
      </c>
      <c r="BN59" s="11" t="s">
        <v>196</v>
      </c>
      <c r="BO59" s="13" t="n">
        <f aca="false">IFERROR(1-L59/M59,"")</f>
        <v>0.0977175961471348</v>
      </c>
      <c r="BP59" s="11" t="s">
        <v>106</v>
      </c>
      <c r="BQ59" s="12" t="n">
        <v>2065147</v>
      </c>
      <c r="BR59" s="11" t="s">
        <v>88</v>
      </c>
      <c r="BS59" s="11" t="s">
        <v>89</v>
      </c>
      <c r="BT59" s="19" t="str">
        <f aca="false">IF(OR(Z59&lt;6,AH59&lt;0.9,S59&lt;0.02,AK59&lt;1),"REVIEW",IF(AND(S59&gt;0.25,AH59&gt;1.2),"ACCELERATING","STABLE"))</f>
        <v>REVIEW</v>
      </c>
    </row>
    <row r="60" customFormat="false" ht="15" hidden="false" customHeight="false" outlineLevel="0" collapsed="false">
      <c r="A60" s="11" t="s">
        <v>192</v>
      </c>
      <c r="B60" s="11" t="s">
        <v>92</v>
      </c>
      <c r="C60" s="11" t="s">
        <v>161</v>
      </c>
      <c r="D60" s="11" t="s">
        <v>162</v>
      </c>
      <c r="E60" s="11" t="s">
        <v>142</v>
      </c>
      <c r="F60" s="11" t="s">
        <v>193</v>
      </c>
      <c r="G60" s="11" t="s">
        <v>136</v>
      </c>
      <c r="H60" s="11" t="s">
        <v>79</v>
      </c>
      <c r="I60" s="11" t="s">
        <v>136</v>
      </c>
      <c r="J60" s="12" t="n">
        <v>1400000</v>
      </c>
      <c r="K60" s="13" t="n">
        <f aca="false">IFERROR(J60/M60,"")</f>
        <v>0.0977175961471348</v>
      </c>
      <c r="L60" s="12" t="n">
        <v>12927000</v>
      </c>
      <c r="M60" s="14" t="n">
        <f aca="false">L60+J60</f>
        <v>14327000</v>
      </c>
      <c r="N60" s="12" t="n">
        <v>3297000</v>
      </c>
      <c r="O60" s="12" t="n">
        <v>11850349</v>
      </c>
      <c r="P60" s="12" t="n">
        <v>689311</v>
      </c>
      <c r="Q60" s="13" t="n">
        <f aca="false">IFERROR(P60/P59-1,"")</f>
        <v>-0.0842605053292186</v>
      </c>
      <c r="R60" s="12" t="n">
        <v>845720</v>
      </c>
      <c r="S60" s="13" t="n">
        <f aca="false">IFERROR(R60/R59-1,"")</f>
        <v>-0.121754165520034</v>
      </c>
      <c r="T60" s="12" t="n">
        <v>334905</v>
      </c>
      <c r="U60" s="13" t="n">
        <f aca="false">IFERROR(T60/P60,"")</f>
        <v>0.485854715795918</v>
      </c>
      <c r="V60" s="14" t="n">
        <f aca="false">T60-AV60</f>
        <v>-1549682</v>
      </c>
      <c r="W60" s="14" t="n">
        <f aca="false">V60-AA60*0.1</f>
        <v>-1670082</v>
      </c>
      <c r="X60" s="12" t="n">
        <v>778587</v>
      </c>
      <c r="Y60" s="12" t="n">
        <v>122200</v>
      </c>
      <c r="Z60" s="15" t="n">
        <f aca="false">IFERROR(X60/Y60,"")</f>
        <v>6.37141571194763</v>
      </c>
      <c r="AA60" s="12" t="n">
        <v>1204000</v>
      </c>
      <c r="AB60" s="14" t="n">
        <f aca="false">W60-0.02*P60</f>
        <v>-1683868.22</v>
      </c>
      <c r="AC60" s="16" t="n">
        <v>53</v>
      </c>
      <c r="AD60" s="13" t="n">
        <f aca="false">IFERROR(AC60/AC59-1,"")</f>
        <v>-0.0862068965517241</v>
      </c>
      <c r="AE60" s="17" t="n">
        <v>0.21</v>
      </c>
      <c r="AF60" s="17" t="n">
        <v>0.213</v>
      </c>
      <c r="AG60" s="13" t="n">
        <f aca="false">1-AF60</f>
        <v>0.787</v>
      </c>
      <c r="AH60" s="17" t="n">
        <v>0.784</v>
      </c>
      <c r="AI60" s="12" t="n">
        <v>104696</v>
      </c>
      <c r="AJ60" s="14" t="n">
        <f aca="false">IFERROR(AM60*U60*MIN(1/AE60,5),"")</f>
        <v>93839.3679651544</v>
      </c>
      <c r="AK60" s="18" t="n">
        <f aca="false">IFERROR(AJ60/AI60,"")</f>
        <v>0.896303277729373</v>
      </c>
      <c r="AL60" s="15" t="n">
        <f aca="false">IFERROR(AI60/(AM60*U60/12),"")</f>
        <v>63.7539307985334</v>
      </c>
      <c r="AM60" s="12" t="n">
        <v>40560</v>
      </c>
      <c r="AN60" s="12" t="n">
        <v>1055808</v>
      </c>
      <c r="AO60" s="12" t="n">
        <v>1568920</v>
      </c>
      <c r="AP60" s="17" t="n">
        <v>0.319</v>
      </c>
      <c r="AQ60" s="16" t="n">
        <v>78</v>
      </c>
      <c r="AR60" s="16" t="n">
        <v>13</v>
      </c>
      <c r="AS60" s="13" t="n">
        <f aca="false">IFERROR(AR60/AR59-1,"")</f>
        <v>-0.0714285714285714</v>
      </c>
      <c r="AT60" s="11" t="s">
        <v>119</v>
      </c>
      <c r="AU60" s="14" t="n">
        <f aca="false">IFERROR(P60/AR60,"")</f>
        <v>53023.9230769231</v>
      </c>
      <c r="AV60" s="12" t="n">
        <v>1884587</v>
      </c>
      <c r="AW60" s="12" t="n">
        <v>872055</v>
      </c>
      <c r="AX60" s="12" t="n">
        <v>578309</v>
      </c>
      <c r="AY60" s="16" t="n">
        <v>17016</v>
      </c>
      <c r="AZ60" s="13" t="n">
        <f aca="false">IFERROR(AY60/AY59-1,"")</f>
        <v>-0.0859966697104797</v>
      </c>
      <c r="BA60" s="17" t="n">
        <v>0.849</v>
      </c>
      <c r="BB60" s="11" t="s">
        <v>194</v>
      </c>
      <c r="BC60" s="11" t="s">
        <v>121</v>
      </c>
      <c r="BD60" s="11" t="s">
        <v>157</v>
      </c>
      <c r="BE60" s="12" t="n">
        <v>869316</v>
      </c>
      <c r="BF60" s="13" t="n">
        <f aca="false">IFERROR(P60/BE60-1,"")</f>
        <v>-0.207065094856186</v>
      </c>
      <c r="BG60" s="17" t="n">
        <v>0.277</v>
      </c>
      <c r="BH60" s="17" t="n">
        <v>0.282</v>
      </c>
      <c r="BI60" s="14" t="n">
        <f aca="false">P60*(1+IFERROR(Q60,0))^4</f>
        <v>484733.44945361</v>
      </c>
      <c r="BJ60" s="12" t="n">
        <v>-1132117</v>
      </c>
      <c r="BK60" s="11" t="s">
        <v>146</v>
      </c>
      <c r="BL60" s="11" t="s">
        <v>195</v>
      </c>
      <c r="BM60" s="14" t="n">
        <f aca="false">O60</f>
        <v>11850349</v>
      </c>
      <c r="BN60" s="11" t="s">
        <v>196</v>
      </c>
      <c r="BO60" s="13" t="n">
        <f aca="false">IFERROR(1-L60/M60,"")</f>
        <v>0.0977175961471348</v>
      </c>
      <c r="BP60" s="11" t="s">
        <v>106</v>
      </c>
      <c r="BQ60" s="12" t="n">
        <v>2031706</v>
      </c>
      <c r="BR60" s="11" t="s">
        <v>88</v>
      </c>
      <c r="BS60" s="11" t="s">
        <v>89</v>
      </c>
      <c r="BT60" s="19" t="str">
        <f aca="false">IF(OR(Z60&lt;6,AH60&lt;0.9,S60&lt;0.02,AK60&lt;1),"REVIEW",IF(AND(S60&gt;0.25,AH60&gt;1.2),"ACCELERATING","STABLE"))</f>
        <v>REVIEW</v>
      </c>
    </row>
    <row r="61" customFormat="false" ht="15" hidden="false" customHeight="false" outlineLevel="0" collapsed="false">
      <c r="A61" s="11" t="s">
        <v>192</v>
      </c>
      <c r="B61" s="11" t="s">
        <v>93</v>
      </c>
      <c r="C61" s="11" t="s">
        <v>161</v>
      </c>
      <c r="D61" s="11" t="s">
        <v>162</v>
      </c>
      <c r="E61" s="11" t="s">
        <v>142</v>
      </c>
      <c r="F61" s="11" t="s">
        <v>193</v>
      </c>
      <c r="G61" s="11" t="s">
        <v>136</v>
      </c>
      <c r="H61" s="11" t="s">
        <v>79</v>
      </c>
      <c r="I61" s="11" t="s">
        <v>136</v>
      </c>
      <c r="J61" s="12" t="n">
        <v>1400000</v>
      </c>
      <c r="K61" s="13" t="n">
        <f aca="false">IFERROR(J61/M61,"")</f>
        <v>0.0977175961471348</v>
      </c>
      <c r="L61" s="12" t="n">
        <v>12927000</v>
      </c>
      <c r="M61" s="14" t="n">
        <f aca="false">L61+J61</f>
        <v>14327000</v>
      </c>
      <c r="N61" s="12" t="n">
        <v>3297000</v>
      </c>
      <c r="O61" s="12" t="n">
        <v>11850349</v>
      </c>
      <c r="P61" s="12" t="n">
        <v>619801</v>
      </c>
      <c r="Q61" s="13" t="n">
        <f aca="false">IFERROR(P61/P60-1,"")</f>
        <v>-0.100839824114224</v>
      </c>
      <c r="R61" s="12" t="n">
        <v>763737</v>
      </c>
      <c r="S61" s="13" t="n">
        <f aca="false">IFERROR(R61/R60-1,"")</f>
        <v>-0.0969387031168708</v>
      </c>
      <c r="T61" s="12" t="n">
        <v>295229</v>
      </c>
      <c r="U61" s="13" t="n">
        <f aca="false">IFERROR(T61/P61,"")</f>
        <v>0.476328692596495</v>
      </c>
      <c r="V61" s="14" t="n">
        <f aca="false">T61-AV61</f>
        <v>-1504886</v>
      </c>
      <c r="W61" s="14" t="n">
        <f aca="false">V61-AA61*0.1</f>
        <v>-1625286</v>
      </c>
      <c r="X61" s="12" t="n">
        <v>375327</v>
      </c>
      <c r="Y61" s="12" t="n">
        <v>130000</v>
      </c>
      <c r="Z61" s="15" t="n">
        <f aca="false">IFERROR(X61/Y61,"")</f>
        <v>2.88713076923077</v>
      </c>
      <c r="AA61" s="12" t="n">
        <v>1204000</v>
      </c>
      <c r="AB61" s="14" t="n">
        <f aca="false">W61-0.02*P61</f>
        <v>-1637682.02</v>
      </c>
      <c r="AC61" s="16" t="n">
        <v>48</v>
      </c>
      <c r="AD61" s="13" t="n">
        <f aca="false">IFERROR(AC61/AC60-1,"")</f>
        <v>-0.0943396226415094</v>
      </c>
      <c r="AE61" s="17" t="n">
        <v>0.239</v>
      </c>
      <c r="AF61" s="17" t="n">
        <v>0.226</v>
      </c>
      <c r="AG61" s="13" t="n">
        <f aca="false">1-AF61</f>
        <v>0.774</v>
      </c>
      <c r="AH61" s="17" t="n">
        <v>0.744</v>
      </c>
      <c r="AI61" s="12" t="n">
        <v>113800</v>
      </c>
      <c r="AJ61" s="14" t="n">
        <f aca="false">IFERROR(AM61*U61*MIN(1/AE61,5),"")</f>
        <v>82390.9127696196</v>
      </c>
      <c r="AK61" s="18" t="n">
        <f aca="false">IFERROR(AJ61/AI61,"")</f>
        <v>0.723997476007202</v>
      </c>
      <c r="AL61" s="15" t="n">
        <f aca="false">IFERROR(AI61/(AM61*U61/12),"")</f>
        <v>69.3499724582203</v>
      </c>
      <c r="AM61" s="12" t="n">
        <v>41340</v>
      </c>
      <c r="AN61" s="12" t="n">
        <v>946240</v>
      </c>
      <c r="AO61" s="12" t="n">
        <v>2634552</v>
      </c>
      <c r="AP61" s="17" t="n">
        <v>0.319</v>
      </c>
      <c r="AQ61" s="16" t="n">
        <v>78</v>
      </c>
      <c r="AR61" s="16" t="n">
        <v>13</v>
      </c>
      <c r="AS61" s="13" t="n">
        <f aca="false">IFERROR(AR61/AR60-1,"")</f>
        <v>0</v>
      </c>
      <c r="AT61" s="11" t="s">
        <v>119</v>
      </c>
      <c r="AU61" s="14" t="n">
        <f aca="false">IFERROR(P61/AR61,"")</f>
        <v>47677</v>
      </c>
      <c r="AV61" s="12" t="n">
        <v>1800115</v>
      </c>
      <c r="AW61" s="12" t="n">
        <v>623305</v>
      </c>
      <c r="AX61" s="12" t="n">
        <v>503170</v>
      </c>
      <c r="AY61" s="16" t="n">
        <v>15347</v>
      </c>
      <c r="AZ61" s="13" t="n">
        <f aca="false">IFERROR(AY61/AY60-1,"")</f>
        <v>-0.0980841560883874</v>
      </c>
      <c r="BA61" s="17" t="n">
        <v>0.757</v>
      </c>
      <c r="BB61" s="11" t="s">
        <v>194</v>
      </c>
      <c r="BC61" s="11" t="s">
        <v>121</v>
      </c>
      <c r="BD61" s="11" t="s">
        <v>157</v>
      </c>
      <c r="BE61" s="12" t="n">
        <v>803363</v>
      </c>
      <c r="BF61" s="13" t="n">
        <f aca="false">IFERROR(P61/BE61-1,"")</f>
        <v>-0.228491976852307</v>
      </c>
      <c r="BG61" s="17" t="n">
        <v>0.267</v>
      </c>
      <c r="BH61" s="17" t="n">
        <v>0.336</v>
      </c>
      <c r="BI61" s="14" t="n">
        <f aca="false">P61*(1+IFERROR(Q61,0))^4</f>
        <v>405135.711844076</v>
      </c>
      <c r="BJ61" s="12" t="n">
        <v>-1032043</v>
      </c>
      <c r="BK61" s="11" t="s">
        <v>146</v>
      </c>
      <c r="BL61" s="11" t="s">
        <v>195</v>
      </c>
      <c r="BM61" s="14" t="n">
        <f aca="false">O61</f>
        <v>11850349</v>
      </c>
      <c r="BN61" s="11" t="s">
        <v>196</v>
      </c>
      <c r="BO61" s="13" t="n">
        <f aca="false">IFERROR(1-L61/M61,"")</f>
        <v>0.0977175961471348</v>
      </c>
      <c r="BP61" s="11" t="s">
        <v>106</v>
      </c>
      <c r="BQ61" s="12" t="n">
        <v>1939179</v>
      </c>
      <c r="BR61" s="11" t="s">
        <v>88</v>
      </c>
      <c r="BS61" s="11" t="s">
        <v>89</v>
      </c>
      <c r="BT61" s="19" t="str">
        <f aca="false">IF(OR(Z61&lt;6,AH61&lt;0.9,S61&lt;0.02,AK61&lt;1),"REVIEW",IF(AND(S61&gt;0.25,AH61&gt;1.2),"ACCELERATING","STABLE"))</f>
        <v>REVIEW</v>
      </c>
    </row>
    <row r="62" customFormat="false" ht="15" hidden="false" customHeight="false" outlineLevel="0" collapsed="false">
      <c r="A62" s="3" t="s">
        <v>197</v>
      </c>
      <c r="B62" s="3" t="s">
        <v>73</v>
      </c>
      <c r="C62" s="3" t="s">
        <v>198</v>
      </c>
      <c r="D62" s="3" t="s">
        <v>75</v>
      </c>
      <c r="E62" s="3" t="s">
        <v>199</v>
      </c>
      <c r="F62" s="3" t="s">
        <v>200</v>
      </c>
      <c r="G62" s="3" t="s">
        <v>111</v>
      </c>
      <c r="H62" s="3" t="s">
        <v>99</v>
      </c>
      <c r="I62" s="3" t="s">
        <v>111</v>
      </c>
      <c r="J62" s="4" t="n">
        <v>1400000</v>
      </c>
      <c r="K62" s="5" t="n">
        <f aca="false">IFERROR(J62/M62,"")</f>
        <v>0.0758560901603815</v>
      </c>
      <c r="L62" s="4" t="n">
        <v>17056000</v>
      </c>
      <c r="M62" s="6" t="n">
        <f aca="false">L62+J62</f>
        <v>18456000</v>
      </c>
      <c r="N62" s="4" t="n">
        <v>7626000</v>
      </c>
      <c r="O62" s="4" t="n">
        <v>29730130</v>
      </c>
      <c r="P62" s="4" t="n">
        <v>437689</v>
      </c>
      <c r="Q62" s="7"/>
      <c r="R62" s="4" t="n">
        <v>487959</v>
      </c>
      <c r="S62" s="7"/>
      <c r="T62" s="4" t="n">
        <v>360097</v>
      </c>
      <c r="U62" s="5" t="n">
        <f aca="false">IFERROR(T62/P62,"")</f>
        <v>0.822723440616511</v>
      </c>
      <c r="V62" s="6" t="n">
        <f aca="false">T62-AV62</f>
        <v>-1828811</v>
      </c>
      <c r="W62" s="6" t="n">
        <f aca="false">V62-AA62*0.1</f>
        <v>-1899311</v>
      </c>
      <c r="X62" s="4" t="n">
        <v>4711296</v>
      </c>
      <c r="Y62" s="4" t="n">
        <v>160160</v>
      </c>
      <c r="Z62" s="8" t="n">
        <f aca="false">IFERROR(X62/Y62,"")</f>
        <v>29.4161838161838</v>
      </c>
      <c r="AA62" s="4" t="n">
        <v>705000</v>
      </c>
      <c r="AB62" s="6" t="n">
        <f aca="false">W62-0.02*P62</f>
        <v>-1908064.78</v>
      </c>
      <c r="AC62" s="9" t="n">
        <v>25</v>
      </c>
      <c r="AD62" s="7"/>
      <c r="AE62" s="7" t="n">
        <v>0.052</v>
      </c>
      <c r="AF62" s="7" t="n">
        <v>0.055</v>
      </c>
      <c r="AG62" s="5" t="n">
        <f aca="false">1-AF62</f>
        <v>0.945</v>
      </c>
      <c r="AH62" s="7" t="n">
        <v>1.148</v>
      </c>
      <c r="AI62" s="4" t="n">
        <v>71338</v>
      </c>
      <c r="AJ62" s="6" t="n">
        <f aca="false">IFERROR(AM62*U62*MIN(1/AE62,5),"")</f>
        <v>209794.47735721</v>
      </c>
      <c r="AK62" s="10" t="n">
        <f aca="false">IFERROR(AJ62/AI62,"")</f>
        <v>2.94085168293491</v>
      </c>
      <c r="AL62" s="8" t="n">
        <f aca="false">IFERROR(AI62/(AM62*U62/12),"")</f>
        <v>20.4022529759547</v>
      </c>
      <c r="AM62" s="4" t="n">
        <v>51000</v>
      </c>
      <c r="AN62" s="4" t="n">
        <v>694813</v>
      </c>
      <c r="AO62" s="4" t="n">
        <v>1202824</v>
      </c>
      <c r="AP62" s="7" t="n">
        <v>0.299</v>
      </c>
      <c r="AQ62" s="9" t="n">
        <v>71</v>
      </c>
      <c r="AR62" s="9" t="n">
        <v>8</v>
      </c>
      <c r="AS62" s="7"/>
      <c r="AT62" s="3" t="s">
        <v>80</v>
      </c>
      <c r="AU62" s="6" t="n">
        <f aca="false">IFERROR(P62/AR62,"")</f>
        <v>54711.125</v>
      </c>
      <c r="AV62" s="4" t="n">
        <v>2188908</v>
      </c>
      <c r="AW62" s="4" t="n">
        <v>900521</v>
      </c>
      <c r="AX62" s="4" t="n">
        <v>528066</v>
      </c>
      <c r="AY62" s="9" t="n">
        <v>4104</v>
      </c>
      <c r="AZ62" s="7"/>
      <c r="BA62" s="7" t="n">
        <v>0.952</v>
      </c>
      <c r="BB62" s="3" t="s">
        <v>112</v>
      </c>
      <c r="BC62" s="3" t="s">
        <v>82</v>
      </c>
      <c r="BD62" s="3" t="s">
        <v>157</v>
      </c>
      <c r="BE62" s="4" t="n">
        <v>515253</v>
      </c>
      <c r="BF62" s="5" t="n">
        <f aca="false">IFERROR(P62/BE62-1,"")</f>
        <v>-0.15053575622073</v>
      </c>
      <c r="BG62" s="7" t="n">
        <v>-0.059</v>
      </c>
      <c r="BH62" s="7" t="n">
        <v>0.026</v>
      </c>
      <c r="BI62" s="6" t="n">
        <f aca="false">P62</f>
        <v>437689</v>
      </c>
      <c r="BJ62" s="4" t="n">
        <v>-1512198</v>
      </c>
      <c r="BK62" s="3" t="s">
        <v>103</v>
      </c>
      <c r="BL62" s="3" t="s">
        <v>132</v>
      </c>
      <c r="BM62" s="6" t="n">
        <f aca="false">O62</f>
        <v>29730130</v>
      </c>
      <c r="BN62" s="3" t="s">
        <v>201</v>
      </c>
      <c r="BO62" s="5" t="n">
        <f aca="false">IFERROR(1-L62/M62,"")</f>
        <v>0.0758560901603814</v>
      </c>
      <c r="BP62" s="3" t="s">
        <v>87</v>
      </c>
      <c r="BQ62" s="4" t="n">
        <v>2000464</v>
      </c>
      <c r="BR62" s="3" t="s">
        <v>88</v>
      </c>
      <c r="BS62" s="3" t="s">
        <v>89</v>
      </c>
      <c r="BT62" s="3" t="s">
        <v>90</v>
      </c>
    </row>
    <row r="63" customFormat="false" ht="15" hidden="false" customHeight="false" outlineLevel="0" collapsed="false">
      <c r="A63" s="11" t="s">
        <v>197</v>
      </c>
      <c r="B63" s="11" t="s">
        <v>91</v>
      </c>
      <c r="C63" s="11" t="s">
        <v>198</v>
      </c>
      <c r="D63" s="11" t="s">
        <v>75</v>
      </c>
      <c r="E63" s="11" t="s">
        <v>199</v>
      </c>
      <c r="F63" s="11" t="s">
        <v>200</v>
      </c>
      <c r="G63" s="11" t="s">
        <v>111</v>
      </c>
      <c r="H63" s="11" t="s">
        <v>99</v>
      </c>
      <c r="I63" s="11" t="s">
        <v>111</v>
      </c>
      <c r="J63" s="12" t="n">
        <v>1400000</v>
      </c>
      <c r="K63" s="13" t="n">
        <f aca="false">IFERROR(J63/M63,"")</f>
        <v>0.0758560901603815</v>
      </c>
      <c r="L63" s="12" t="n">
        <v>17056000</v>
      </c>
      <c r="M63" s="14" t="n">
        <f aca="false">L63+J63</f>
        <v>18456000</v>
      </c>
      <c r="N63" s="12" t="n">
        <v>7626000</v>
      </c>
      <c r="O63" s="12" t="n">
        <v>29730130</v>
      </c>
      <c r="P63" s="12" t="n">
        <v>557439</v>
      </c>
      <c r="Q63" s="13" t="n">
        <f aca="false">IFERROR(P63/P62-1,"")</f>
        <v>0.273596092202454</v>
      </c>
      <c r="R63" s="12" t="n">
        <v>550926</v>
      </c>
      <c r="S63" s="13" t="n">
        <f aca="false">IFERROR(R63/R62-1,"")</f>
        <v>0.129041579313016</v>
      </c>
      <c r="T63" s="12" t="n">
        <v>460475</v>
      </c>
      <c r="U63" s="13" t="n">
        <f aca="false">IFERROR(T63/P63,"")</f>
        <v>0.826054510000197</v>
      </c>
      <c r="V63" s="14" t="n">
        <f aca="false">T63-AV63</f>
        <v>-1653717</v>
      </c>
      <c r="W63" s="14" t="n">
        <f aca="false">V63-AA63*0.1</f>
        <v>-1724217</v>
      </c>
      <c r="X63" s="12" t="n">
        <v>4307376</v>
      </c>
      <c r="Y63" s="12" t="n">
        <v>165440</v>
      </c>
      <c r="Z63" s="15" t="n">
        <f aca="false">IFERROR(X63/Y63,"")</f>
        <v>26.0358800773694</v>
      </c>
      <c r="AA63" s="12" t="n">
        <v>705000</v>
      </c>
      <c r="AB63" s="14" t="n">
        <f aca="false">W63-0.02*P63</f>
        <v>-1735365.78</v>
      </c>
      <c r="AC63" s="16" t="n">
        <v>26</v>
      </c>
      <c r="AD63" s="13" t="n">
        <f aca="false">IFERROR(AC63/AC62-1,"")</f>
        <v>0.04</v>
      </c>
      <c r="AE63" s="17" t="n">
        <v>0.051</v>
      </c>
      <c r="AF63" s="17" t="n">
        <v>0.04</v>
      </c>
      <c r="AG63" s="13" t="n">
        <f aca="false">1-AF63</f>
        <v>0.96</v>
      </c>
      <c r="AH63" s="17" t="n">
        <v>1.143</v>
      </c>
      <c r="AI63" s="12" t="n">
        <v>69992</v>
      </c>
      <c r="AJ63" s="14" t="n">
        <f aca="false">IFERROR(AM63*U63*MIN(1/AE63,5),"")</f>
        <v>214856.778051051</v>
      </c>
      <c r="AK63" s="18" t="n">
        <f aca="false">IFERROR(AJ63/AI63,"")</f>
        <v>3.06973337025733</v>
      </c>
      <c r="AL63" s="15" t="n">
        <f aca="false">IFERROR(AI63/(AM63*U63/12),"")</f>
        <v>19.5456714844815</v>
      </c>
      <c r="AM63" s="12" t="n">
        <v>52020</v>
      </c>
      <c r="AN63" s="12" t="n">
        <v>531949</v>
      </c>
      <c r="AO63" s="12" t="n">
        <v>1597972</v>
      </c>
      <c r="AP63" s="17" t="n">
        <v>0.299</v>
      </c>
      <c r="AQ63" s="16" t="n">
        <v>71</v>
      </c>
      <c r="AR63" s="16" t="n">
        <v>9</v>
      </c>
      <c r="AS63" s="13" t="n">
        <f aca="false">IFERROR(AR63/AR62-1,"")</f>
        <v>0.125</v>
      </c>
      <c r="AT63" s="11" t="s">
        <v>80</v>
      </c>
      <c r="AU63" s="14" t="n">
        <f aca="false">IFERROR(P63/AR63,"")</f>
        <v>61937.6666666667</v>
      </c>
      <c r="AV63" s="12" t="n">
        <v>2114192</v>
      </c>
      <c r="AW63" s="12" t="n">
        <v>695091</v>
      </c>
      <c r="AX63" s="12" t="n">
        <v>708881</v>
      </c>
      <c r="AY63" s="16" t="n">
        <v>4605</v>
      </c>
      <c r="AZ63" s="13" t="n">
        <f aca="false">IFERROR(AY63/AY62-1,"")</f>
        <v>0.122076023391813</v>
      </c>
      <c r="BA63" s="17" t="n">
        <v>0.954</v>
      </c>
      <c r="BB63" s="11" t="s">
        <v>112</v>
      </c>
      <c r="BC63" s="11" t="s">
        <v>82</v>
      </c>
      <c r="BD63" s="11" t="s">
        <v>157</v>
      </c>
      <c r="BE63" s="12" t="n">
        <v>568115</v>
      </c>
      <c r="BF63" s="13" t="n">
        <f aca="false">IFERROR(P63/BE63-1,"")</f>
        <v>-0.0187919699356645</v>
      </c>
      <c r="BG63" s="17" t="n">
        <v>0.017</v>
      </c>
      <c r="BH63" s="17" t="n">
        <v>0.089</v>
      </c>
      <c r="BI63" s="14" t="n">
        <f aca="false">P63*(1+IFERROR(Q63,0))^4</f>
        <v>1466642.34989981</v>
      </c>
      <c r="BJ63" s="12" t="n">
        <v>-1779218</v>
      </c>
      <c r="BK63" s="11" t="s">
        <v>103</v>
      </c>
      <c r="BL63" s="11" t="s">
        <v>132</v>
      </c>
      <c r="BM63" s="14" t="n">
        <f aca="false">O63</f>
        <v>29730130</v>
      </c>
      <c r="BN63" s="11" t="s">
        <v>201</v>
      </c>
      <c r="BO63" s="13" t="n">
        <f aca="false">IFERROR(1-L63/M63,"")</f>
        <v>0.0758560901603814</v>
      </c>
      <c r="BP63" s="11" t="s">
        <v>87</v>
      </c>
      <c r="BQ63" s="12" t="n">
        <v>2161669</v>
      </c>
      <c r="BR63" s="11" t="s">
        <v>88</v>
      </c>
      <c r="BS63" s="11" t="s">
        <v>89</v>
      </c>
      <c r="BT63" s="19" t="str">
        <f aca="false">IF(OR(Z63&lt;6,AH63&lt;0.9,S63&lt;0.02,AK63&lt;1),"REVIEW",IF(AND(S63&gt;0.25,AH63&gt;1.2),"ACCELERATING","STABLE"))</f>
        <v>STABLE</v>
      </c>
    </row>
    <row r="64" customFormat="false" ht="15" hidden="false" customHeight="false" outlineLevel="0" collapsed="false">
      <c r="A64" s="11" t="s">
        <v>197</v>
      </c>
      <c r="B64" s="11" t="s">
        <v>92</v>
      </c>
      <c r="C64" s="11" t="s">
        <v>198</v>
      </c>
      <c r="D64" s="11" t="s">
        <v>75</v>
      </c>
      <c r="E64" s="11" t="s">
        <v>199</v>
      </c>
      <c r="F64" s="11" t="s">
        <v>200</v>
      </c>
      <c r="G64" s="11" t="s">
        <v>111</v>
      </c>
      <c r="H64" s="11" t="s">
        <v>99</v>
      </c>
      <c r="I64" s="11" t="s">
        <v>111</v>
      </c>
      <c r="J64" s="12" t="n">
        <v>1400000</v>
      </c>
      <c r="K64" s="13" t="n">
        <f aca="false">IFERROR(J64/M64,"")</f>
        <v>0.0758560901603815</v>
      </c>
      <c r="L64" s="12" t="n">
        <v>17056000</v>
      </c>
      <c r="M64" s="14" t="n">
        <f aca="false">L64+J64</f>
        <v>18456000</v>
      </c>
      <c r="N64" s="12" t="n">
        <v>7626000</v>
      </c>
      <c r="O64" s="12" t="n">
        <v>29730130</v>
      </c>
      <c r="P64" s="12" t="n">
        <v>663422</v>
      </c>
      <c r="Q64" s="13" t="n">
        <f aca="false">IFERROR(P64/P63-1,"")</f>
        <v>0.190124838771597</v>
      </c>
      <c r="R64" s="12" t="n">
        <v>658923</v>
      </c>
      <c r="S64" s="13" t="n">
        <f aca="false">IFERROR(R64/R63-1,"")</f>
        <v>0.196028141710502</v>
      </c>
      <c r="T64" s="12" t="n">
        <v>550232</v>
      </c>
      <c r="U64" s="13" t="n">
        <f aca="false">IFERROR(T64/P64,"")</f>
        <v>0.82938461492082</v>
      </c>
      <c r="V64" s="14" t="n">
        <f aca="false">T64-AV64</f>
        <v>-1949306</v>
      </c>
      <c r="W64" s="14" t="n">
        <f aca="false">V64-AA64*0.1</f>
        <v>-2019806</v>
      </c>
      <c r="X64" s="12" t="n">
        <v>3874944</v>
      </c>
      <c r="Y64" s="12" t="n">
        <v>170720</v>
      </c>
      <c r="Z64" s="15" t="n">
        <f aca="false">IFERROR(X64/Y64,"")</f>
        <v>22.6976569821931</v>
      </c>
      <c r="AA64" s="12" t="n">
        <v>705000</v>
      </c>
      <c r="AB64" s="14" t="n">
        <f aca="false">W64-0.02*P64</f>
        <v>-2033074.44</v>
      </c>
      <c r="AC64" s="16" t="n">
        <v>31</v>
      </c>
      <c r="AD64" s="13" t="n">
        <f aca="false">IFERROR(AC64/AC63-1,"")</f>
        <v>0.192307692307692</v>
      </c>
      <c r="AE64" s="17" t="n">
        <v>0.049</v>
      </c>
      <c r="AF64" s="17" t="n">
        <v>0.04</v>
      </c>
      <c r="AG64" s="13" t="n">
        <f aca="false">1-AF64</f>
        <v>0.96</v>
      </c>
      <c r="AH64" s="17" t="n">
        <v>1.138</v>
      </c>
      <c r="AI64" s="12" t="n">
        <v>68646</v>
      </c>
      <c r="AJ64" s="14" t="n">
        <f aca="false">IFERROR(AM64*U64*MIN(1/AE64,5),"")</f>
        <v>219952.799877001</v>
      </c>
      <c r="AK64" s="18" t="n">
        <f aca="false">IFERROR(AJ64/AI64,"")</f>
        <v>3.20416047369113</v>
      </c>
      <c r="AL64" s="15" t="n">
        <f aca="false">IFERROR(AI64/(AM64*U64/12),"")</f>
        <v>18.7256538780285</v>
      </c>
      <c r="AM64" s="12" t="n">
        <v>53040</v>
      </c>
      <c r="AN64" s="12" t="n">
        <v>673777</v>
      </c>
      <c r="AO64" s="12" t="n">
        <v>2624103</v>
      </c>
      <c r="AP64" s="17" t="n">
        <v>0.299</v>
      </c>
      <c r="AQ64" s="16" t="n">
        <v>71</v>
      </c>
      <c r="AR64" s="16" t="n">
        <v>10</v>
      </c>
      <c r="AS64" s="13" t="n">
        <f aca="false">IFERROR(AR64/AR63-1,"")</f>
        <v>0.111111111111111</v>
      </c>
      <c r="AT64" s="11" t="s">
        <v>80</v>
      </c>
      <c r="AU64" s="14" t="n">
        <f aca="false">IFERROR(P64/AR64,"")</f>
        <v>66342.2</v>
      </c>
      <c r="AV64" s="12" t="n">
        <v>2499538</v>
      </c>
      <c r="AW64" s="12" t="n">
        <v>983536</v>
      </c>
      <c r="AX64" s="12" t="n">
        <v>588139</v>
      </c>
      <c r="AY64" s="16" t="n">
        <v>5626</v>
      </c>
      <c r="AZ64" s="13" t="n">
        <f aca="false">IFERROR(AY64/AY63-1,"")</f>
        <v>0.22171552660152</v>
      </c>
      <c r="BA64" s="17" t="n">
        <v>0.955</v>
      </c>
      <c r="BB64" s="11" t="s">
        <v>112</v>
      </c>
      <c r="BC64" s="11" t="s">
        <v>82</v>
      </c>
      <c r="BD64" s="11" t="s">
        <v>157</v>
      </c>
      <c r="BE64" s="12" t="n">
        <v>816796</v>
      </c>
      <c r="BF64" s="13" t="n">
        <f aca="false">IFERROR(P64/BE64-1,"")</f>
        <v>-0.187775160505194</v>
      </c>
      <c r="BG64" s="17" t="n">
        <v>0.057</v>
      </c>
      <c r="BH64" s="17" t="n">
        <v>0.023</v>
      </c>
      <c r="BI64" s="14" t="n">
        <f aca="false">P64*(1+IFERROR(Q64,0))^4</f>
        <v>1330944.50201317</v>
      </c>
      <c r="BJ64" s="12" t="n">
        <v>-1156674</v>
      </c>
      <c r="BK64" s="11" t="s">
        <v>103</v>
      </c>
      <c r="BL64" s="11" t="s">
        <v>132</v>
      </c>
      <c r="BM64" s="14" t="n">
        <f aca="false">O64</f>
        <v>29730130</v>
      </c>
      <c r="BN64" s="11" t="s">
        <v>201</v>
      </c>
      <c r="BO64" s="13" t="n">
        <f aca="false">IFERROR(1-L64/M64,"")</f>
        <v>0.0758560901603814</v>
      </c>
      <c r="BP64" s="11" t="s">
        <v>87</v>
      </c>
      <c r="BQ64" s="12" t="n">
        <v>3206849</v>
      </c>
      <c r="BR64" s="11" t="s">
        <v>88</v>
      </c>
      <c r="BS64" s="11" t="s">
        <v>89</v>
      </c>
      <c r="BT64" s="19" t="str">
        <f aca="false">IF(OR(Z64&lt;6,AH64&lt;0.9,S64&lt;0.02,AK64&lt;1),"REVIEW",IF(AND(S64&gt;0.25,AH64&gt;1.2),"ACCELERATING","STABLE"))</f>
        <v>STABLE</v>
      </c>
    </row>
    <row r="65" customFormat="false" ht="15" hidden="false" customHeight="false" outlineLevel="0" collapsed="false">
      <c r="A65" s="11" t="s">
        <v>197</v>
      </c>
      <c r="B65" s="11" t="s">
        <v>93</v>
      </c>
      <c r="C65" s="11" t="s">
        <v>198</v>
      </c>
      <c r="D65" s="11" t="s">
        <v>75</v>
      </c>
      <c r="E65" s="11" t="s">
        <v>199</v>
      </c>
      <c r="F65" s="11" t="s">
        <v>200</v>
      </c>
      <c r="G65" s="11" t="s">
        <v>111</v>
      </c>
      <c r="H65" s="11" t="s">
        <v>99</v>
      </c>
      <c r="I65" s="11" t="s">
        <v>111</v>
      </c>
      <c r="J65" s="12" t="n">
        <v>1400000</v>
      </c>
      <c r="K65" s="13" t="n">
        <f aca="false">IFERROR(J65/M65,"")</f>
        <v>0.0758560901603815</v>
      </c>
      <c r="L65" s="12" t="n">
        <v>17056000</v>
      </c>
      <c r="M65" s="14" t="n">
        <f aca="false">L65+J65</f>
        <v>18456000</v>
      </c>
      <c r="N65" s="12" t="n">
        <v>7626000</v>
      </c>
      <c r="O65" s="12" t="n">
        <v>29730130</v>
      </c>
      <c r="P65" s="12" t="n">
        <v>780999</v>
      </c>
      <c r="Q65" s="13" t="n">
        <f aca="false">IFERROR(P65/P64-1,"")</f>
        <v>0.177228069011881</v>
      </c>
      <c r="R65" s="12" t="n">
        <v>803882</v>
      </c>
      <c r="S65" s="13" t="n">
        <f aca="false">IFERROR(R65/R64-1,"")</f>
        <v>0.219993838430287</v>
      </c>
      <c r="T65" s="12" t="n">
        <v>650350</v>
      </c>
      <c r="U65" s="13" t="n">
        <f aca="false">IFERROR(T65/P65,"")</f>
        <v>0.832715534847036</v>
      </c>
      <c r="V65" s="14" t="n">
        <f aca="false">T65-AV65</f>
        <v>-2155509</v>
      </c>
      <c r="W65" s="14" t="n">
        <f aca="false">V65-AA65*0.1</f>
        <v>-2226009</v>
      </c>
      <c r="X65" s="12" t="n">
        <v>3414000</v>
      </c>
      <c r="Y65" s="12" t="n">
        <v>176000</v>
      </c>
      <c r="Z65" s="15" t="n">
        <f aca="false">IFERROR(X65/Y65,"")</f>
        <v>19.3977272727273</v>
      </c>
      <c r="AA65" s="12" t="n">
        <v>705000</v>
      </c>
      <c r="AB65" s="14" t="n">
        <f aca="false">W65-0.02*P65</f>
        <v>-2241628.98</v>
      </c>
      <c r="AC65" s="16" t="n">
        <v>35</v>
      </c>
      <c r="AD65" s="13" t="n">
        <f aca="false">IFERROR(AC65/AC64-1,"")</f>
        <v>0.129032258064516</v>
      </c>
      <c r="AE65" s="17" t="n">
        <v>0.048</v>
      </c>
      <c r="AF65" s="17" t="n">
        <v>0.044</v>
      </c>
      <c r="AG65" s="13" t="n">
        <f aca="false">1-AF65</f>
        <v>0.956</v>
      </c>
      <c r="AH65" s="17" t="n">
        <v>1.133</v>
      </c>
      <c r="AI65" s="12" t="n">
        <v>67300</v>
      </c>
      <c r="AJ65" s="14" t="n">
        <f aca="false">IFERROR(AM65*U65*MIN(1/AE65,5),"")</f>
        <v>225083.009069154</v>
      </c>
      <c r="AK65" s="18" t="n">
        <f aca="false">IFERROR(AJ65/AI65,"")</f>
        <v>3.34447264590124</v>
      </c>
      <c r="AL65" s="15" t="n">
        <f aca="false">IFERROR(AI65/(AM65*U65/12),"")</f>
        <v>17.9400480591557</v>
      </c>
      <c r="AM65" s="12" t="n">
        <v>54060</v>
      </c>
      <c r="AN65" s="12" t="n">
        <v>1070588</v>
      </c>
      <c r="AO65" s="12" t="n">
        <v>1925087</v>
      </c>
      <c r="AP65" s="17" t="n">
        <v>0.299</v>
      </c>
      <c r="AQ65" s="16" t="n">
        <v>71</v>
      </c>
      <c r="AR65" s="16" t="n">
        <v>11</v>
      </c>
      <c r="AS65" s="13" t="n">
        <f aca="false">IFERROR(AR65/AR64-1,"")</f>
        <v>0.1</v>
      </c>
      <c r="AT65" s="11" t="s">
        <v>80</v>
      </c>
      <c r="AU65" s="14" t="n">
        <f aca="false">IFERROR(P65/AR65,"")</f>
        <v>70999.9090909091</v>
      </c>
      <c r="AV65" s="12" t="n">
        <v>2805859</v>
      </c>
      <c r="AW65" s="12" t="n">
        <v>947195</v>
      </c>
      <c r="AX65" s="12" t="n">
        <v>516042</v>
      </c>
      <c r="AY65" s="16" t="n">
        <v>6389</v>
      </c>
      <c r="AZ65" s="13" t="n">
        <f aca="false">IFERROR(AY65/AY64-1,"")</f>
        <v>0.135620334162816</v>
      </c>
      <c r="BA65" s="17" t="n">
        <v>0.959</v>
      </c>
      <c r="BB65" s="11" t="s">
        <v>112</v>
      </c>
      <c r="BC65" s="11" t="s">
        <v>82</v>
      </c>
      <c r="BD65" s="11" t="s">
        <v>157</v>
      </c>
      <c r="BE65" s="12" t="n">
        <v>935501</v>
      </c>
      <c r="BF65" s="13" t="n">
        <f aca="false">IFERROR(P65/BE65-1,"")</f>
        <v>-0.165154286312895</v>
      </c>
      <c r="BG65" s="17" t="n">
        <v>-0.017</v>
      </c>
      <c r="BH65" s="17" t="n">
        <v>-0.06</v>
      </c>
      <c r="BI65" s="14" t="n">
        <f aca="false">P65*(1+IFERROR(Q65,0))^4</f>
        <v>1500005.70933801</v>
      </c>
      <c r="BJ65" s="12" t="n">
        <v>-1645037</v>
      </c>
      <c r="BK65" s="11" t="s">
        <v>103</v>
      </c>
      <c r="BL65" s="11" t="s">
        <v>132</v>
      </c>
      <c r="BM65" s="14" t="n">
        <f aca="false">O65</f>
        <v>29730130</v>
      </c>
      <c r="BN65" s="11" t="s">
        <v>201</v>
      </c>
      <c r="BO65" s="13" t="n">
        <f aca="false">IFERROR(1-L65/M65,"")</f>
        <v>0.0758560901603814</v>
      </c>
      <c r="BP65" s="11" t="s">
        <v>87</v>
      </c>
      <c r="BQ65" s="12" t="n">
        <v>3075838</v>
      </c>
      <c r="BR65" s="11" t="s">
        <v>88</v>
      </c>
      <c r="BS65" s="11" t="s">
        <v>89</v>
      </c>
      <c r="BT65" s="19" t="str">
        <f aca="false">IF(OR(Z65&lt;6,AH65&lt;0.9,S65&lt;0.02,AK65&lt;1),"REVIEW",IF(AND(S65&gt;0.25,AH65&gt;1.2),"ACCELERATING","STABLE"))</f>
        <v>STABLE</v>
      </c>
    </row>
    <row r="66" customFormat="false" ht="15" hidden="false" customHeight="false" outlineLevel="0" collapsed="false">
      <c r="A66" s="3" t="s">
        <v>202</v>
      </c>
      <c r="B66" s="3" t="s">
        <v>73</v>
      </c>
      <c r="C66" s="3" t="s">
        <v>203</v>
      </c>
      <c r="D66" s="3" t="s">
        <v>204</v>
      </c>
      <c r="E66" s="3" t="s">
        <v>174</v>
      </c>
      <c r="F66" s="3" t="s">
        <v>205</v>
      </c>
      <c r="G66" s="3" t="s">
        <v>111</v>
      </c>
      <c r="H66" s="3" t="s">
        <v>99</v>
      </c>
      <c r="I66" s="3" t="s">
        <v>111</v>
      </c>
      <c r="J66" s="4" t="n">
        <v>634000</v>
      </c>
      <c r="K66" s="5" t="n">
        <f aca="false">IFERROR(J66/M66,"")</f>
        <v>0.0297038980509745</v>
      </c>
      <c r="L66" s="4" t="n">
        <v>20710000</v>
      </c>
      <c r="M66" s="6" t="n">
        <f aca="false">L66+J66</f>
        <v>21344000</v>
      </c>
      <c r="N66" s="4" t="n">
        <v>7288000</v>
      </c>
      <c r="O66" s="4" t="n">
        <v>40686504</v>
      </c>
      <c r="P66" s="4" t="n">
        <v>788320</v>
      </c>
      <c r="Q66" s="7"/>
      <c r="R66" s="4" t="n">
        <v>805276</v>
      </c>
      <c r="S66" s="7"/>
      <c r="T66" s="4" t="n">
        <v>557928</v>
      </c>
      <c r="U66" s="5" t="n">
        <f aca="false">IFERROR(T66/P66,"")</f>
        <v>0.70774304850822</v>
      </c>
      <c r="V66" s="6" t="n">
        <f aca="false">T66-AV66</f>
        <v>-742301</v>
      </c>
      <c r="W66" s="6" t="n">
        <f aca="false">V66-AA66*0.1</f>
        <v>-742301</v>
      </c>
      <c r="X66" s="4" t="n">
        <v>2487906</v>
      </c>
      <c r="Y66" s="4" t="n">
        <v>78260</v>
      </c>
      <c r="Z66" s="8" t="n">
        <f aca="false">IFERROR(X66/Y66,"")</f>
        <v>31.7902632251469</v>
      </c>
      <c r="AA66" s="4" t="n">
        <v>0</v>
      </c>
      <c r="AB66" s="6" t="n">
        <f aca="false">W66-0.02*P66</f>
        <v>-758067.4</v>
      </c>
      <c r="AC66" s="9" t="n">
        <v>22</v>
      </c>
      <c r="AD66" s="7"/>
      <c r="AE66" s="7" t="n">
        <v>0.098</v>
      </c>
      <c r="AF66" s="7" t="n">
        <v>0.093</v>
      </c>
      <c r="AG66" s="5" t="n">
        <f aca="false">1-AF66</f>
        <v>0.907</v>
      </c>
      <c r="AH66" s="7" t="n">
        <v>1.09</v>
      </c>
      <c r="AI66" s="4" t="n">
        <v>55332</v>
      </c>
      <c r="AJ66" s="6" t="n">
        <f aca="false">IFERROR(AM66*U66*MIN(1/AE66,5),"")</f>
        <v>138009.894459103</v>
      </c>
      <c r="AK66" s="10" t="n">
        <f aca="false">IFERROR(AJ66/AI66,"")</f>
        <v>2.49421482070236</v>
      </c>
      <c r="AL66" s="8" t="n">
        <f aca="false">IFERROR(AI66/(AM66*U66/12),"")</f>
        <v>24.0556665376178</v>
      </c>
      <c r="AM66" s="4" t="n">
        <v>39000</v>
      </c>
      <c r="AN66" s="4" t="n">
        <v>1203491</v>
      </c>
      <c r="AO66" s="4" t="n">
        <v>2391342</v>
      </c>
      <c r="AP66" s="7" t="n">
        <v>0.254</v>
      </c>
      <c r="AQ66" s="9" t="n">
        <v>24</v>
      </c>
      <c r="AR66" s="9" t="n">
        <v>12</v>
      </c>
      <c r="AS66" s="7"/>
      <c r="AT66" s="3" t="s">
        <v>129</v>
      </c>
      <c r="AU66" s="6" t="n">
        <f aca="false">IFERROR(P66/AR66,"")</f>
        <v>65693.3333333333</v>
      </c>
      <c r="AV66" s="4" t="n">
        <v>1300229</v>
      </c>
      <c r="AW66" s="4" t="n">
        <v>573061</v>
      </c>
      <c r="AX66" s="4" t="n">
        <v>328828</v>
      </c>
      <c r="AY66" s="9" t="n">
        <v>16321</v>
      </c>
      <c r="AZ66" s="7"/>
      <c r="BA66" s="7" t="n">
        <v>0.9</v>
      </c>
      <c r="BB66" s="3" t="s">
        <v>101</v>
      </c>
      <c r="BC66" s="3" t="s">
        <v>82</v>
      </c>
      <c r="BD66" s="3" t="s">
        <v>130</v>
      </c>
      <c r="BE66" s="4" t="n">
        <v>968287</v>
      </c>
      <c r="BF66" s="5" t="n">
        <f aca="false">IFERROR(P66/BE66-1,"")</f>
        <v>-0.185861216767343</v>
      </c>
      <c r="BG66" s="7" t="n">
        <v>-0.043</v>
      </c>
      <c r="BH66" s="7" t="n">
        <v>-0.055</v>
      </c>
      <c r="BI66" s="6" t="n">
        <f aca="false">P66</f>
        <v>788320</v>
      </c>
      <c r="BJ66" s="4" t="n">
        <v>-819924</v>
      </c>
      <c r="BK66" s="3" t="s">
        <v>103</v>
      </c>
      <c r="BL66" s="3" t="s">
        <v>85</v>
      </c>
      <c r="BM66" s="6" t="n">
        <f aca="false">O66</f>
        <v>40686504</v>
      </c>
      <c r="BN66" s="3" t="s">
        <v>206</v>
      </c>
      <c r="BO66" s="5" t="n">
        <f aca="false">IFERROR(1-L66/M66,"")</f>
        <v>0.0297038980509745</v>
      </c>
      <c r="BP66" s="3" t="s">
        <v>106</v>
      </c>
      <c r="BQ66" s="4" t="n">
        <v>1040573</v>
      </c>
      <c r="BR66" s="3" t="s">
        <v>88</v>
      </c>
      <c r="BS66" s="3" t="s">
        <v>89</v>
      </c>
      <c r="BT66" s="3" t="s">
        <v>90</v>
      </c>
    </row>
    <row r="67" customFormat="false" ht="15" hidden="false" customHeight="false" outlineLevel="0" collapsed="false">
      <c r="A67" s="11" t="s">
        <v>202</v>
      </c>
      <c r="B67" s="11" t="s">
        <v>91</v>
      </c>
      <c r="C67" s="11" t="s">
        <v>203</v>
      </c>
      <c r="D67" s="11" t="s">
        <v>204</v>
      </c>
      <c r="E67" s="11" t="s">
        <v>174</v>
      </c>
      <c r="F67" s="11" t="s">
        <v>205</v>
      </c>
      <c r="G67" s="11" t="s">
        <v>111</v>
      </c>
      <c r="H67" s="11" t="s">
        <v>99</v>
      </c>
      <c r="I67" s="11" t="s">
        <v>111</v>
      </c>
      <c r="J67" s="12" t="n">
        <v>634000</v>
      </c>
      <c r="K67" s="13" t="n">
        <f aca="false">IFERROR(J67/M67,"")</f>
        <v>0.0297038980509745</v>
      </c>
      <c r="L67" s="12" t="n">
        <v>20710000</v>
      </c>
      <c r="M67" s="14" t="n">
        <f aca="false">L67+J67</f>
        <v>21344000</v>
      </c>
      <c r="N67" s="12" t="n">
        <v>7288000</v>
      </c>
      <c r="O67" s="12" t="n">
        <v>40686504</v>
      </c>
      <c r="P67" s="12" t="n">
        <v>921898</v>
      </c>
      <c r="Q67" s="13" t="n">
        <f aca="false">IFERROR(P67/P66-1,"")</f>
        <v>0.169446417698397</v>
      </c>
      <c r="R67" s="12" t="n">
        <v>971054</v>
      </c>
      <c r="S67" s="13" t="n">
        <f aca="false">IFERROR(R67/R66-1,"")</f>
        <v>0.205864821502193</v>
      </c>
      <c r="T67" s="12" t="n">
        <v>655108</v>
      </c>
      <c r="U67" s="13" t="n">
        <f aca="false">IFERROR(T67/P67,"")</f>
        <v>0.710607898053798</v>
      </c>
      <c r="V67" s="14" t="n">
        <f aca="false">T67-AV67</f>
        <v>-880352</v>
      </c>
      <c r="W67" s="14" t="n">
        <f aca="false">V67-AA67*0.1</f>
        <v>-880352</v>
      </c>
      <c r="X67" s="12" t="n">
        <v>2290536</v>
      </c>
      <c r="Y67" s="12" t="n">
        <v>80840</v>
      </c>
      <c r="Z67" s="15" t="n">
        <f aca="false">IFERROR(X67/Y67,"")</f>
        <v>28.3341909945572</v>
      </c>
      <c r="AA67" s="12" t="n">
        <v>0</v>
      </c>
      <c r="AB67" s="14" t="n">
        <f aca="false">W67-0.02*P67</f>
        <v>-898789.96</v>
      </c>
      <c r="AC67" s="16" t="n">
        <v>26</v>
      </c>
      <c r="AD67" s="13" t="n">
        <f aca="false">IFERROR(AC67/AC66-1,"")</f>
        <v>0.181818181818182</v>
      </c>
      <c r="AE67" s="17" t="n">
        <v>0.095</v>
      </c>
      <c r="AF67" s="17" t="n">
        <v>0.07</v>
      </c>
      <c r="AG67" s="13" t="n">
        <f aca="false">1-AF67</f>
        <v>0.93</v>
      </c>
      <c r="AH67" s="17" t="n">
        <v>1.085</v>
      </c>
      <c r="AI67" s="12" t="n">
        <v>54288</v>
      </c>
      <c r="AJ67" s="14" t="n">
        <f aca="false">IFERROR(AM67*U67*MIN(1/AE67,5),"")</f>
        <v>141339.9109229</v>
      </c>
      <c r="AK67" s="18" t="n">
        <f aca="false">IFERROR(AJ67/AI67,"")</f>
        <v>2.60352031614538</v>
      </c>
      <c r="AL67" s="15" t="n">
        <f aca="false">IFERROR(AI67/(AM67*U67/12),"")</f>
        <v>23.045719915423</v>
      </c>
      <c r="AM67" s="12" t="n">
        <v>39780</v>
      </c>
      <c r="AN67" s="12" t="n">
        <v>1176455</v>
      </c>
      <c r="AO67" s="12" t="n">
        <v>2441432</v>
      </c>
      <c r="AP67" s="17" t="n">
        <v>0.254</v>
      </c>
      <c r="AQ67" s="16" t="n">
        <v>24</v>
      </c>
      <c r="AR67" s="16" t="n">
        <v>13</v>
      </c>
      <c r="AS67" s="13" t="n">
        <f aca="false">IFERROR(AR67/AR66-1,"")</f>
        <v>0.0833333333333333</v>
      </c>
      <c r="AT67" s="11" t="s">
        <v>129</v>
      </c>
      <c r="AU67" s="14" t="n">
        <f aca="false">IFERROR(P67/AR67,"")</f>
        <v>70915.2307692308</v>
      </c>
      <c r="AV67" s="12" t="n">
        <v>1535460</v>
      </c>
      <c r="AW67" s="12" t="n">
        <v>695953</v>
      </c>
      <c r="AX67" s="12" t="n">
        <v>383995</v>
      </c>
      <c r="AY67" s="16" t="n">
        <v>18391</v>
      </c>
      <c r="AZ67" s="13" t="n">
        <f aca="false">IFERROR(AY67/AY66-1,"")</f>
        <v>0.126830463819619</v>
      </c>
      <c r="BA67" s="17" t="n">
        <v>0.897</v>
      </c>
      <c r="BB67" s="11" t="s">
        <v>101</v>
      </c>
      <c r="BC67" s="11" t="s">
        <v>82</v>
      </c>
      <c r="BD67" s="11" t="s">
        <v>130</v>
      </c>
      <c r="BE67" s="12" t="n">
        <v>1126085</v>
      </c>
      <c r="BF67" s="13" t="n">
        <f aca="false">IFERROR(P67/BE67-1,"")</f>
        <v>-0.18132467797724</v>
      </c>
      <c r="BG67" s="17" t="n">
        <v>-0.001</v>
      </c>
      <c r="BH67" s="17" t="n">
        <v>0.096</v>
      </c>
      <c r="BI67" s="14" t="n">
        <f aca="false">P67*(1+IFERROR(Q67,0))^4</f>
        <v>1724265.68101032</v>
      </c>
      <c r="BJ67" s="12" t="n">
        <v>-585765</v>
      </c>
      <c r="BK67" s="11" t="s">
        <v>103</v>
      </c>
      <c r="BL67" s="11" t="s">
        <v>85</v>
      </c>
      <c r="BM67" s="14" t="n">
        <f aca="false">O67</f>
        <v>40686504</v>
      </c>
      <c r="BN67" s="11" t="s">
        <v>206</v>
      </c>
      <c r="BO67" s="13" t="n">
        <f aca="false">IFERROR(1-L67/M67,"")</f>
        <v>0.0297038980509745</v>
      </c>
      <c r="BP67" s="11" t="s">
        <v>106</v>
      </c>
      <c r="BQ67" s="12" t="n">
        <v>1195960</v>
      </c>
      <c r="BR67" s="11" t="s">
        <v>88</v>
      </c>
      <c r="BS67" s="11" t="s">
        <v>89</v>
      </c>
      <c r="BT67" s="19" t="str">
        <f aca="false">IF(OR(Z67&lt;6,AH67&lt;0.9,S67&lt;0.02,AK67&lt;1),"REVIEW",IF(AND(S67&gt;0.25,AH67&gt;1.2),"ACCELERATING","STABLE"))</f>
        <v>STABLE</v>
      </c>
    </row>
    <row r="68" customFormat="false" ht="15" hidden="false" customHeight="false" outlineLevel="0" collapsed="false">
      <c r="A68" s="11" t="s">
        <v>202</v>
      </c>
      <c r="B68" s="11" t="s">
        <v>92</v>
      </c>
      <c r="C68" s="11" t="s">
        <v>203</v>
      </c>
      <c r="D68" s="11" t="s">
        <v>204</v>
      </c>
      <c r="E68" s="11" t="s">
        <v>174</v>
      </c>
      <c r="F68" s="11" t="s">
        <v>205</v>
      </c>
      <c r="G68" s="11" t="s">
        <v>111</v>
      </c>
      <c r="H68" s="11" t="s">
        <v>99</v>
      </c>
      <c r="I68" s="11" t="s">
        <v>111</v>
      </c>
      <c r="J68" s="12" t="n">
        <v>634000</v>
      </c>
      <c r="K68" s="13" t="n">
        <f aca="false">IFERROR(J68/M68,"")</f>
        <v>0.0297038980509745</v>
      </c>
      <c r="L68" s="12" t="n">
        <v>20710000</v>
      </c>
      <c r="M68" s="14" t="n">
        <f aca="false">L68+J68</f>
        <v>21344000</v>
      </c>
      <c r="N68" s="12" t="n">
        <v>7288000</v>
      </c>
      <c r="O68" s="12" t="n">
        <v>40686504</v>
      </c>
      <c r="P68" s="12" t="n">
        <v>1214452</v>
      </c>
      <c r="Q68" s="13" t="n">
        <f aca="false">IFERROR(P68/P67-1,"")</f>
        <v>0.317338794530414</v>
      </c>
      <c r="R68" s="12" t="n">
        <v>1182546</v>
      </c>
      <c r="S68" s="13" t="n">
        <f aca="false">IFERROR(R68/R67-1,"")</f>
        <v>0.217796332644735</v>
      </c>
      <c r="T68" s="12" t="n">
        <v>866479</v>
      </c>
      <c r="U68" s="13" t="n">
        <f aca="false">IFERROR(T68/P68,"")</f>
        <v>0.713473237311973</v>
      </c>
      <c r="V68" s="14" t="n">
        <f aca="false">T68-AV68</f>
        <v>-1029699</v>
      </c>
      <c r="W68" s="14" t="n">
        <f aca="false">V68-AA68*0.1</f>
        <v>-1029699</v>
      </c>
      <c r="X68" s="12" t="n">
        <v>2079234</v>
      </c>
      <c r="Y68" s="12" t="n">
        <v>83420</v>
      </c>
      <c r="Z68" s="15" t="n">
        <f aca="false">IFERROR(X68/Y68,"")</f>
        <v>24.9248861184368</v>
      </c>
      <c r="AA68" s="12" t="n">
        <v>0</v>
      </c>
      <c r="AB68" s="14" t="n">
        <f aca="false">W68-0.02*P68</f>
        <v>-1053988.04</v>
      </c>
      <c r="AC68" s="16" t="n">
        <v>30</v>
      </c>
      <c r="AD68" s="13" t="n">
        <f aca="false">IFERROR(AC68/AC67-1,"")</f>
        <v>0.153846153846154</v>
      </c>
      <c r="AE68" s="17" t="n">
        <v>0.093</v>
      </c>
      <c r="AF68" s="17" t="n">
        <v>0.096</v>
      </c>
      <c r="AG68" s="13" t="n">
        <f aca="false">1-AF68</f>
        <v>0.904</v>
      </c>
      <c r="AH68" s="17" t="n">
        <v>1.08</v>
      </c>
      <c r="AI68" s="12" t="n">
        <v>53244</v>
      </c>
      <c r="AJ68" s="14" t="n">
        <f aca="false">IFERROR(AM68*U68*MIN(1/AE68,5),"")</f>
        <v>144692.372526868</v>
      </c>
      <c r="AK68" s="18" t="n">
        <f aca="false">IFERROR(AJ68/AI68,"")</f>
        <v>2.71753385408437</v>
      </c>
      <c r="AL68" s="15" t="n">
        <f aca="false">IFERROR(AI68/(AM68*U68/12),"")</f>
        <v>22.0788417814269</v>
      </c>
      <c r="AM68" s="12" t="n">
        <v>40560</v>
      </c>
      <c r="AN68" s="12" t="n">
        <v>1541053</v>
      </c>
      <c r="AO68" s="12" t="n">
        <v>3308469</v>
      </c>
      <c r="AP68" s="17" t="n">
        <v>0.254</v>
      </c>
      <c r="AQ68" s="16" t="n">
        <v>24</v>
      </c>
      <c r="AR68" s="16" t="n">
        <v>15</v>
      </c>
      <c r="AS68" s="13" t="n">
        <f aca="false">IFERROR(AR68/AR67-1,"")</f>
        <v>0.153846153846154</v>
      </c>
      <c r="AT68" s="11" t="s">
        <v>129</v>
      </c>
      <c r="AU68" s="14" t="n">
        <f aca="false">IFERROR(P68/AR68,"")</f>
        <v>80963.4666666667</v>
      </c>
      <c r="AV68" s="12" t="n">
        <v>1896178</v>
      </c>
      <c r="AW68" s="12" t="n">
        <v>901515</v>
      </c>
      <c r="AX68" s="12" t="n">
        <v>501824</v>
      </c>
      <c r="AY68" s="16" t="n">
        <v>21425</v>
      </c>
      <c r="AZ68" s="13" t="n">
        <f aca="false">IFERROR(AY68/AY67-1,"")</f>
        <v>0.16497199717253</v>
      </c>
      <c r="BA68" s="17" t="n">
        <v>0.905</v>
      </c>
      <c r="BB68" s="11" t="s">
        <v>101</v>
      </c>
      <c r="BC68" s="11" t="s">
        <v>82</v>
      </c>
      <c r="BD68" s="11" t="s">
        <v>130</v>
      </c>
      <c r="BE68" s="12" t="n">
        <v>1231038</v>
      </c>
      <c r="BF68" s="13" t="n">
        <f aca="false">IFERROR(P68/BE68-1,"")</f>
        <v>-0.0134731827937075</v>
      </c>
      <c r="BG68" s="17" t="n">
        <v>-0.012</v>
      </c>
      <c r="BH68" s="17" t="n">
        <v>0.088</v>
      </c>
      <c r="BI68" s="14" t="n">
        <f aca="false">P68*(1+IFERROR(Q68,0))^4</f>
        <v>3657381.64429188</v>
      </c>
      <c r="BJ68" s="12" t="n">
        <v>-802545</v>
      </c>
      <c r="BK68" s="11" t="s">
        <v>103</v>
      </c>
      <c r="BL68" s="11" t="s">
        <v>85</v>
      </c>
      <c r="BM68" s="14" t="n">
        <f aca="false">O68</f>
        <v>40686504</v>
      </c>
      <c r="BN68" s="11" t="s">
        <v>206</v>
      </c>
      <c r="BO68" s="13" t="n">
        <f aca="false">IFERROR(1-L68/M68,"")</f>
        <v>0.0297038980509745</v>
      </c>
      <c r="BP68" s="11" t="s">
        <v>106</v>
      </c>
      <c r="BQ68" s="12" t="n">
        <v>1130646</v>
      </c>
      <c r="BR68" s="11" t="s">
        <v>88</v>
      </c>
      <c r="BS68" s="11" t="s">
        <v>89</v>
      </c>
      <c r="BT68" s="19" t="str">
        <f aca="false">IF(OR(Z68&lt;6,AH68&lt;0.9,S68&lt;0.02,AK68&lt;1),"REVIEW",IF(AND(S68&gt;0.25,AH68&gt;1.2),"ACCELERATING","STABLE"))</f>
        <v>STABLE</v>
      </c>
    </row>
    <row r="69" customFormat="false" ht="15" hidden="false" customHeight="false" outlineLevel="0" collapsed="false">
      <c r="A69" s="11" t="s">
        <v>202</v>
      </c>
      <c r="B69" s="11" t="s">
        <v>93</v>
      </c>
      <c r="C69" s="11" t="s">
        <v>203</v>
      </c>
      <c r="D69" s="11" t="s">
        <v>204</v>
      </c>
      <c r="E69" s="11" t="s">
        <v>174</v>
      </c>
      <c r="F69" s="11" t="s">
        <v>205</v>
      </c>
      <c r="G69" s="11" t="s">
        <v>111</v>
      </c>
      <c r="H69" s="11" t="s">
        <v>99</v>
      </c>
      <c r="I69" s="11" t="s">
        <v>111</v>
      </c>
      <c r="J69" s="12" t="n">
        <v>634000</v>
      </c>
      <c r="K69" s="13" t="n">
        <f aca="false">IFERROR(J69/M69,"")</f>
        <v>0.0297038980509745</v>
      </c>
      <c r="L69" s="12" t="n">
        <v>20710000</v>
      </c>
      <c r="M69" s="14" t="n">
        <f aca="false">L69+J69</f>
        <v>21344000</v>
      </c>
      <c r="N69" s="12" t="n">
        <v>7288000</v>
      </c>
      <c r="O69" s="12" t="n">
        <v>40686504</v>
      </c>
      <c r="P69" s="12" t="n">
        <v>1443802</v>
      </c>
      <c r="Q69" s="13" t="n">
        <f aca="false">IFERROR(P69/P68-1,"")</f>
        <v>0.188850609163639</v>
      </c>
      <c r="R69" s="12" t="n">
        <v>1416320</v>
      </c>
      <c r="S69" s="13" t="n">
        <f aca="false">IFERROR(R69/R68-1,"")</f>
        <v>0.197687024437104</v>
      </c>
      <c r="T69" s="12" t="n">
        <v>1034251</v>
      </c>
      <c r="U69" s="13" t="n">
        <f aca="false">IFERROR(T69/P69,"")</f>
        <v>0.716338528413176</v>
      </c>
      <c r="V69" s="14" t="n">
        <f aca="false">T69-AV69</f>
        <v>-1032246</v>
      </c>
      <c r="W69" s="14" t="n">
        <f aca="false">V69-AA69*0.1</f>
        <v>-1032246</v>
      </c>
      <c r="X69" s="12" t="n">
        <v>1854000</v>
      </c>
      <c r="Y69" s="12" t="n">
        <v>86000</v>
      </c>
      <c r="Z69" s="15" t="n">
        <f aca="false">IFERROR(X69/Y69,"")</f>
        <v>21.5581395348837</v>
      </c>
      <c r="AA69" s="12" t="n">
        <v>0</v>
      </c>
      <c r="AB69" s="14" t="n">
        <f aca="false">W69-0.02*P69</f>
        <v>-1061122.04</v>
      </c>
      <c r="AC69" s="16" t="n">
        <v>36</v>
      </c>
      <c r="AD69" s="13" t="n">
        <f aca="false">IFERROR(AC69/AC68-1,"")</f>
        <v>0.2</v>
      </c>
      <c r="AE69" s="17" t="n">
        <v>0.09</v>
      </c>
      <c r="AF69" s="17" t="n">
        <v>0.096</v>
      </c>
      <c r="AG69" s="13" t="n">
        <f aca="false">1-AF69</f>
        <v>0.904</v>
      </c>
      <c r="AH69" s="17" t="n">
        <v>1.075</v>
      </c>
      <c r="AI69" s="12" t="n">
        <v>52200</v>
      </c>
      <c r="AJ69" s="14" t="n">
        <f aca="false">IFERROR(AM69*U69*MIN(1/AE69,5),"")</f>
        <v>148067.173823003</v>
      </c>
      <c r="AK69" s="18" t="n">
        <f aca="false">IFERROR(AJ69/AI69,"")</f>
        <v>2.8365358969924</v>
      </c>
      <c r="AL69" s="15" t="n">
        <f aca="false">IFERROR(AI69/(AM69*U69/12),"")</f>
        <v>21.1525614971481</v>
      </c>
      <c r="AM69" s="12" t="n">
        <v>41340</v>
      </c>
      <c r="AN69" s="12" t="n">
        <v>2009724</v>
      </c>
      <c r="AO69" s="12" t="n">
        <v>2965528</v>
      </c>
      <c r="AP69" s="17" t="n">
        <v>0.254</v>
      </c>
      <c r="AQ69" s="16" t="n">
        <v>24</v>
      </c>
      <c r="AR69" s="16" t="n">
        <v>17</v>
      </c>
      <c r="AS69" s="13" t="n">
        <f aca="false">IFERROR(AR69/AR68-1,"")</f>
        <v>0.133333333333333</v>
      </c>
      <c r="AT69" s="11" t="s">
        <v>129</v>
      </c>
      <c r="AU69" s="14" t="n">
        <f aca="false">IFERROR(P69/AR69,"")</f>
        <v>84929.5294117647</v>
      </c>
      <c r="AV69" s="12" t="n">
        <v>2066497</v>
      </c>
      <c r="AW69" s="12" t="n">
        <v>805435</v>
      </c>
      <c r="AX69" s="12" t="n">
        <v>647270</v>
      </c>
      <c r="AY69" s="16" t="n">
        <v>25837</v>
      </c>
      <c r="AZ69" s="13" t="n">
        <f aca="false">IFERROR(AY69/AY68-1,"")</f>
        <v>0.205927654609102</v>
      </c>
      <c r="BA69" s="17" t="n">
        <v>0.911</v>
      </c>
      <c r="BB69" s="11" t="s">
        <v>101</v>
      </c>
      <c r="BC69" s="11" t="s">
        <v>82</v>
      </c>
      <c r="BD69" s="11" t="s">
        <v>130</v>
      </c>
      <c r="BE69" s="12" t="n">
        <v>1402451</v>
      </c>
      <c r="BF69" s="13" t="n">
        <f aca="false">IFERROR(P69/BE69-1,"")</f>
        <v>0.0294848090949345</v>
      </c>
      <c r="BG69" s="17" t="n">
        <v>0.089</v>
      </c>
      <c r="BH69" s="17" t="n">
        <v>0.072</v>
      </c>
      <c r="BI69" s="14" t="n">
        <f aca="false">P69*(1+IFERROR(Q69,0))^4</f>
        <v>2884142.9212768</v>
      </c>
      <c r="BJ69" s="12" t="n">
        <v>-530707</v>
      </c>
      <c r="BK69" s="11" t="s">
        <v>103</v>
      </c>
      <c r="BL69" s="11" t="s">
        <v>85</v>
      </c>
      <c r="BM69" s="14" t="n">
        <f aca="false">O69</f>
        <v>40686504</v>
      </c>
      <c r="BN69" s="11" t="s">
        <v>206</v>
      </c>
      <c r="BO69" s="13" t="n">
        <f aca="false">IFERROR(1-L69/M69,"")</f>
        <v>0.0297038980509745</v>
      </c>
      <c r="BP69" s="11" t="s">
        <v>106</v>
      </c>
      <c r="BQ69" s="12" t="n">
        <v>1544719</v>
      </c>
      <c r="BR69" s="11" t="s">
        <v>88</v>
      </c>
      <c r="BS69" s="11" t="s">
        <v>89</v>
      </c>
      <c r="BT69" s="19" t="str">
        <f aca="false">IF(OR(Z69&lt;6,AH69&lt;0.9,S69&lt;0.02,AK69&lt;1),"REVIEW",IF(AND(S69&gt;0.25,AH69&gt;1.2),"ACCELERATING","STABLE"))</f>
        <v>STABLE</v>
      </c>
    </row>
    <row r="70" customFormat="false" ht="15" hidden="false" customHeight="false" outlineLevel="0" collapsed="false">
      <c r="A70" s="3" t="s">
        <v>207</v>
      </c>
      <c r="B70" s="3" t="s">
        <v>73</v>
      </c>
      <c r="C70" s="3" t="s">
        <v>208</v>
      </c>
      <c r="D70" s="3" t="s">
        <v>209</v>
      </c>
      <c r="E70" s="3" t="s">
        <v>76</v>
      </c>
      <c r="F70" s="3" t="s">
        <v>77</v>
      </c>
      <c r="G70" s="3" t="s">
        <v>136</v>
      </c>
      <c r="H70" s="3" t="s">
        <v>99</v>
      </c>
      <c r="I70" s="3" t="s">
        <v>136</v>
      </c>
      <c r="J70" s="4" t="n">
        <v>2600000</v>
      </c>
      <c r="K70" s="5" t="n">
        <f aca="false">IFERROR(J70/M70,"")</f>
        <v>0.178412132024978</v>
      </c>
      <c r="L70" s="4" t="n">
        <v>11973000</v>
      </c>
      <c r="M70" s="6" t="n">
        <f aca="false">L70+J70</f>
        <v>14573000</v>
      </c>
      <c r="N70" s="4" t="n">
        <v>2600000</v>
      </c>
      <c r="O70" s="4" t="n">
        <v>26759123</v>
      </c>
      <c r="P70" s="4" t="n">
        <v>1003434</v>
      </c>
      <c r="Q70" s="7"/>
      <c r="R70" s="4" t="n">
        <v>1057245</v>
      </c>
      <c r="S70" s="7"/>
      <c r="T70" s="4" t="n">
        <v>756571</v>
      </c>
      <c r="U70" s="5" t="n">
        <f aca="false">IFERROR(T70/P70,"")</f>
        <v>0.753981826408115</v>
      </c>
      <c r="V70" s="6" t="n">
        <f aca="false">T70-AV70</f>
        <v>-1773348</v>
      </c>
      <c r="W70" s="6" t="n">
        <f aca="false">V70-AA70*0.1</f>
        <v>-1773348</v>
      </c>
      <c r="X70" s="4" t="n">
        <v>876720</v>
      </c>
      <c r="Y70" s="4" t="n">
        <v>184730</v>
      </c>
      <c r="Z70" s="8" t="n">
        <f aca="false">IFERROR(X70/Y70,"")</f>
        <v>4.74595355383533</v>
      </c>
      <c r="AA70" s="4" t="n">
        <v>0</v>
      </c>
      <c r="AB70" s="6" t="n">
        <f aca="false">W70-0.02*P70</f>
        <v>-1793416.68</v>
      </c>
      <c r="AC70" s="9" t="n">
        <v>24</v>
      </c>
      <c r="AD70" s="7"/>
      <c r="AE70" s="7" t="n">
        <v>0.057</v>
      </c>
      <c r="AF70" s="7" t="n">
        <v>0.057</v>
      </c>
      <c r="AG70" s="5" t="n">
        <f aca="false">1-AF70</f>
        <v>0.943</v>
      </c>
      <c r="AH70" s="7" t="n">
        <v>1.262</v>
      </c>
      <c r="AI70" s="4" t="n">
        <v>43566</v>
      </c>
      <c r="AJ70" s="6" t="n">
        <f aca="false">IFERROR(AM70*U70*MIN(1/AE70,5),"")</f>
        <v>222424.638790394</v>
      </c>
      <c r="AK70" s="10" t="n">
        <f aca="false">IFERROR(AJ70/AI70,"")</f>
        <v>5.10546386609727</v>
      </c>
      <c r="AL70" s="8" t="n">
        <f aca="false">IFERROR(AI70/(AM70*U70/12),"")</f>
        <v>11.7521152971875</v>
      </c>
      <c r="AM70" s="4" t="n">
        <v>59000</v>
      </c>
      <c r="AN70" s="4" t="n">
        <v>971069</v>
      </c>
      <c r="AO70" s="4" t="n">
        <v>3845157</v>
      </c>
      <c r="AP70" s="7" t="n">
        <v>0.383</v>
      </c>
      <c r="AQ70" s="9" t="n">
        <v>41</v>
      </c>
      <c r="AR70" s="9" t="n">
        <v>5</v>
      </c>
      <c r="AS70" s="7"/>
      <c r="AT70" s="3" t="s">
        <v>163</v>
      </c>
      <c r="AU70" s="6" t="n">
        <f aca="false">IFERROR(P70/AR70,"")</f>
        <v>200686.8</v>
      </c>
      <c r="AV70" s="4" t="n">
        <v>2529919</v>
      </c>
      <c r="AW70" s="4" t="n">
        <v>875604</v>
      </c>
      <c r="AX70" s="4" t="n">
        <v>490405</v>
      </c>
      <c r="AY70" s="9" t="n">
        <v>13417</v>
      </c>
      <c r="AZ70" s="7"/>
      <c r="BA70" s="7" t="n">
        <v>0.955</v>
      </c>
      <c r="BB70" s="3" t="s">
        <v>112</v>
      </c>
      <c r="BC70" s="3" t="s">
        <v>82</v>
      </c>
      <c r="BD70" s="3" t="s">
        <v>83</v>
      </c>
      <c r="BE70" s="4" t="n">
        <v>1150176</v>
      </c>
      <c r="BF70" s="5" t="n">
        <f aca="false">IFERROR(P70/BE70-1,"")</f>
        <v>-0.127582213504716</v>
      </c>
      <c r="BG70" s="7" t="n">
        <v>-0.054</v>
      </c>
      <c r="BH70" s="7" t="n">
        <v>-0.024</v>
      </c>
      <c r="BI70" s="6" t="n">
        <f aca="false">P70</f>
        <v>1003434</v>
      </c>
      <c r="BJ70" s="4" t="n">
        <v>-1693730</v>
      </c>
      <c r="BK70" s="3" t="s">
        <v>210</v>
      </c>
      <c r="BL70" s="3" t="s">
        <v>132</v>
      </c>
      <c r="BM70" s="6" t="n">
        <f aca="false">O70</f>
        <v>26759123</v>
      </c>
      <c r="BN70" s="3" t="s">
        <v>211</v>
      </c>
      <c r="BO70" s="5" t="n">
        <f aca="false">IFERROR(1-L70/M70,"")</f>
        <v>0.178412132024978</v>
      </c>
      <c r="BP70" s="3" t="s">
        <v>87</v>
      </c>
      <c r="BQ70" s="4" t="n">
        <v>2716789</v>
      </c>
      <c r="BR70" s="3" t="s">
        <v>88</v>
      </c>
      <c r="BS70" s="3" t="s">
        <v>89</v>
      </c>
      <c r="BT70" s="3" t="s">
        <v>90</v>
      </c>
    </row>
    <row r="71" customFormat="false" ht="15" hidden="false" customHeight="false" outlineLevel="0" collapsed="false">
      <c r="A71" s="11" t="s">
        <v>207</v>
      </c>
      <c r="B71" s="11" t="s">
        <v>91</v>
      </c>
      <c r="C71" s="11" t="s">
        <v>208</v>
      </c>
      <c r="D71" s="11" t="s">
        <v>209</v>
      </c>
      <c r="E71" s="11" t="s">
        <v>76</v>
      </c>
      <c r="F71" s="11" t="s">
        <v>77</v>
      </c>
      <c r="G71" s="11" t="s">
        <v>136</v>
      </c>
      <c r="H71" s="11" t="s">
        <v>99</v>
      </c>
      <c r="I71" s="11" t="s">
        <v>136</v>
      </c>
      <c r="J71" s="12" t="n">
        <v>2600000</v>
      </c>
      <c r="K71" s="13" t="n">
        <f aca="false">IFERROR(J71/M71,"")</f>
        <v>0.178412132024978</v>
      </c>
      <c r="L71" s="12" t="n">
        <v>11973000</v>
      </c>
      <c r="M71" s="14" t="n">
        <f aca="false">L71+J71</f>
        <v>14573000</v>
      </c>
      <c r="N71" s="12" t="n">
        <v>2600000</v>
      </c>
      <c r="O71" s="12" t="n">
        <v>26759123</v>
      </c>
      <c r="P71" s="12" t="n">
        <v>1334787</v>
      </c>
      <c r="Q71" s="13" t="n">
        <f aca="false">IFERROR(P71/P70-1,"")</f>
        <v>0.330219027858335</v>
      </c>
      <c r="R71" s="12" t="n">
        <v>1511746</v>
      </c>
      <c r="S71" s="13" t="n">
        <f aca="false">IFERROR(R71/R70-1,"")</f>
        <v>0.429891841531528</v>
      </c>
      <c r="T71" s="12" t="n">
        <v>1010479</v>
      </c>
      <c r="U71" s="13" t="n">
        <f aca="false">IFERROR(T71/P71,"")</f>
        <v>0.757033893797288</v>
      </c>
      <c r="V71" s="14" t="n">
        <f aca="false">T71-AV71</f>
        <v>-1841073</v>
      </c>
      <c r="W71" s="14" t="n">
        <f aca="false">V71-AA71*0.1</f>
        <v>-1841073</v>
      </c>
      <c r="X71" s="12" t="n">
        <v>1127211</v>
      </c>
      <c r="Y71" s="12" t="n">
        <v>190820</v>
      </c>
      <c r="Z71" s="15" t="n">
        <f aca="false">IFERROR(X71/Y71,"")</f>
        <v>5.9071952625511</v>
      </c>
      <c r="AA71" s="12" t="n">
        <v>0</v>
      </c>
      <c r="AB71" s="14" t="n">
        <f aca="false">W71-0.02*P71</f>
        <v>-1867768.74</v>
      </c>
      <c r="AC71" s="16" t="n">
        <v>30</v>
      </c>
      <c r="AD71" s="13" t="n">
        <f aca="false">IFERROR(AC71/AC70-1,"")</f>
        <v>0.25</v>
      </c>
      <c r="AE71" s="17" t="n">
        <v>0.055</v>
      </c>
      <c r="AF71" s="17" t="n">
        <v>0.053</v>
      </c>
      <c r="AG71" s="13" t="n">
        <f aca="false">1-AF71</f>
        <v>0.947</v>
      </c>
      <c r="AH71" s="17" t="n">
        <v>1.292</v>
      </c>
      <c r="AI71" s="12" t="n">
        <v>42744</v>
      </c>
      <c r="AJ71" s="14" t="n">
        <f aca="false">IFERROR(AM71*U71*MIN(1/AE71,5),"")</f>
        <v>227791.498643604</v>
      </c>
      <c r="AK71" s="18" t="n">
        <f aca="false">IFERROR(AJ71/AI71,"")</f>
        <v>5.32920406708787</v>
      </c>
      <c r="AL71" s="15" t="n">
        <f aca="false">IFERROR(AI71/(AM71*U71/12),"")</f>
        <v>11.2587169199522</v>
      </c>
      <c r="AM71" s="12" t="n">
        <v>60180</v>
      </c>
      <c r="AN71" s="12" t="n">
        <v>1512519</v>
      </c>
      <c r="AO71" s="12" t="n">
        <v>5387328</v>
      </c>
      <c r="AP71" s="17" t="n">
        <v>0.383</v>
      </c>
      <c r="AQ71" s="16" t="n">
        <v>41</v>
      </c>
      <c r="AR71" s="16" t="n">
        <v>6</v>
      </c>
      <c r="AS71" s="13" t="n">
        <f aca="false">IFERROR(AR71/AR70-1,"")</f>
        <v>0.2</v>
      </c>
      <c r="AT71" s="11" t="s">
        <v>163</v>
      </c>
      <c r="AU71" s="14" t="n">
        <f aca="false">IFERROR(P71/AR71,"")</f>
        <v>222464.5</v>
      </c>
      <c r="AV71" s="12" t="n">
        <v>2851552</v>
      </c>
      <c r="AW71" s="12" t="n">
        <v>1241673</v>
      </c>
      <c r="AX71" s="12" t="n">
        <v>640098</v>
      </c>
      <c r="AY71" s="16" t="n">
        <v>17528</v>
      </c>
      <c r="AZ71" s="13" t="n">
        <f aca="false">IFERROR(AY71/AY70-1,"")</f>
        <v>0.306402325408064</v>
      </c>
      <c r="BA71" s="17" t="n">
        <v>0.958</v>
      </c>
      <c r="BB71" s="11" t="s">
        <v>112</v>
      </c>
      <c r="BC71" s="11" t="s">
        <v>82</v>
      </c>
      <c r="BD71" s="11" t="s">
        <v>83</v>
      </c>
      <c r="BE71" s="12" t="n">
        <v>1212805</v>
      </c>
      <c r="BF71" s="13" t="n">
        <f aca="false">IFERROR(P71/BE71-1,"")</f>
        <v>0.10057841120378</v>
      </c>
      <c r="BG71" s="17" t="n">
        <v>0.082</v>
      </c>
      <c r="BH71" s="17" t="n">
        <v>0.053</v>
      </c>
      <c r="BI71" s="14" t="n">
        <f aca="false">P71*(1+IFERROR(Q71,0))^4</f>
        <v>4179310.0523303</v>
      </c>
      <c r="BJ71" s="12" t="n">
        <v>-2014201</v>
      </c>
      <c r="BK71" s="11" t="s">
        <v>210</v>
      </c>
      <c r="BL71" s="11" t="s">
        <v>132</v>
      </c>
      <c r="BM71" s="14" t="n">
        <f aca="false">O71</f>
        <v>26759123</v>
      </c>
      <c r="BN71" s="11" t="s">
        <v>211</v>
      </c>
      <c r="BO71" s="13" t="n">
        <f aca="false">IFERROR(1-L71/M71,"")</f>
        <v>0.178412132024978</v>
      </c>
      <c r="BP71" s="11" t="s">
        <v>87</v>
      </c>
      <c r="BQ71" s="12" t="n">
        <v>2562271</v>
      </c>
      <c r="BR71" s="11" t="s">
        <v>88</v>
      </c>
      <c r="BS71" s="11" t="s">
        <v>89</v>
      </c>
      <c r="BT71" s="19" t="str">
        <f aca="false">IF(OR(Z71&lt;6,AH71&lt;0.9,S71&lt;0.02,AK71&lt;1),"REVIEW",IF(AND(S71&gt;0.25,AH71&gt;1.2),"ACCELERATING","STABLE"))</f>
        <v>REVIEW</v>
      </c>
    </row>
    <row r="72" customFormat="false" ht="15" hidden="false" customHeight="false" outlineLevel="0" collapsed="false">
      <c r="A72" s="11" t="s">
        <v>207</v>
      </c>
      <c r="B72" s="11" t="s">
        <v>92</v>
      </c>
      <c r="C72" s="11" t="s">
        <v>208</v>
      </c>
      <c r="D72" s="11" t="s">
        <v>209</v>
      </c>
      <c r="E72" s="11" t="s">
        <v>76</v>
      </c>
      <c r="F72" s="11" t="s">
        <v>77</v>
      </c>
      <c r="G72" s="11" t="s">
        <v>136</v>
      </c>
      <c r="H72" s="11" t="s">
        <v>99</v>
      </c>
      <c r="I72" s="11" t="s">
        <v>136</v>
      </c>
      <c r="J72" s="12" t="n">
        <v>2600000</v>
      </c>
      <c r="K72" s="13" t="n">
        <f aca="false">IFERROR(J72/M72,"")</f>
        <v>0.178412132024978</v>
      </c>
      <c r="L72" s="12" t="n">
        <v>11973000</v>
      </c>
      <c r="M72" s="14" t="n">
        <f aca="false">L72+J72</f>
        <v>14573000</v>
      </c>
      <c r="N72" s="12" t="n">
        <v>2600000</v>
      </c>
      <c r="O72" s="12" t="n">
        <v>26759123</v>
      </c>
      <c r="P72" s="12" t="n">
        <v>1833982</v>
      </c>
      <c r="Q72" s="13" t="n">
        <f aca="false">IFERROR(P72/P71-1,"")</f>
        <v>0.373988509028032</v>
      </c>
      <c r="R72" s="12" t="n">
        <v>2011601</v>
      </c>
      <c r="S72" s="13" t="n">
        <f aca="false">IFERROR(R72/R71-1,"")</f>
        <v>0.330647476494067</v>
      </c>
      <c r="T72" s="12" t="n">
        <v>1393985</v>
      </c>
      <c r="U72" s="13" t="n">
        <f aca="false">IFERROR(T72/P72,"")</f>
        <v>0.760086522114176</v>
      </c>
      <c r="V72" s="14" t="n">
        <f aca="false">T72-AV72</f>
        <v>-1879482</v>
      </c>
      <c r="W72" s="14" t="n">
        <f aca="false">V72-AA72*0.1</f>
        <v>-1879482</v>
      </c>
      <c r="X72" s="12" t="n">
        <v>1377703</v>
      </c>
      <c r="Y72" s="12" t="n">
        <v>196910</v>
      </c>
      <c r="Z72" s="15" t="n">
        <f aca="false">IFERROR(X72/Y72,"")</f>
        <v>6.99661266568483</v>
      </c>
      <c r="AA72" s="12" t="n">
        <v>0</v>
      </c>
      <c r="AB72" s="14" t="n">
        <f aca="false">W72-0.02*P72</f>
        <v>-1916161.64</v>
      </c>
      <c r="AC72" s="16" t="n">
        <v>40</v>
      </c>
      <c r="AD72" s="13" t="n">
        <f aca="false">IFERROR(AC72/AC71-1,"")</f>
        <v>0.333333333333333</v>
      </c>
      <c r="AE72" s="17" t="n">
        <v>0.054</v>
      </c>
      <c r="AF72" s="17" t="n">
        <v>0.056</v>
      </c>
      <c r="AG72" s="13" t="n">
        <f aca="false">1-AF72</f>
        <v>0.944</v>
      </c>
      <c r="AH72" s="17" t="n">
        <v>1.322</v>
      </c>
      <c r="AI72" s="12" t="n">
        <v>41922</v>
      </c>
      <c r="AJ72" s="14" t="n">
        <f aca="false">IFERROR(AM72*U72*MIN(1/AE72,5),"")</f>
        <v>233194.544984629</v>
      </c>
      <c r="AK72" s="18" t="n">
        <f aca="false">IFERROR(AJ72/AI72,"")</f>
        <v>5.56258157971063</v>
      </c>
      <c r="AL72" s="15" t="n">
        <f aca="false">IFERROR(AI72/(AM72*U72/12),"")</f>
        <v>10.7863586610304</v>
      </c>
      <c r="AM72" s="12" t="n">
        <v>61360</v>
      </c>
      <c r="AN72" s="12" t="n">
        <v>1892727</v>
      </c>
      <c r="AO72" s="12" t="n">
        <v>4649447</v>
      </c>
      <c r="AP72" s="17" t="n">
        <v>0.383</v>
      </c>
      <c r="AQ72" s="16" t="n">
        <v>41</v>
      </c>
      <c r="AR72" s="16" t="n">
        <v>7</v>
      </c>
      <c r="AS72" s="13" t="n">
        <f aca="false">IFERROR(AR72/AR71-1,"")</f>
        <v>0.166666666666667</v>
      </c>
      <c r="AT72" s="11" t="s">
        <v>163</v>
      </c>
      <c r="AU72" s="14" t="n">
        <f aca="false">IFERROR(P72/AR72,"")</f>
        <v>261997.428571429</v>
      </c>
      <c r="AV72" s="12" t="n">
        <v>3273467</v>
      </c>
      <c r="AW72" s="12" t="n">
        <v>1312041</v>
      </c>
      <c r="AX72" s="12" t="n">
        <v>736668</v>
      </c>
      <c r="AY72" s="16" t="n">
        <v>23671</v>
      </c>
      <c r="AZ72" s="13" t="n">
        <f aca="false">IFERROR(AY72/AY71-1,"")</f>
        <v>0.350467822911913</v>
      </c>
      <c r="BA72" s="17" t="n">
        <v>0.944</v>
      </c>
      <c r="BB72" s="11" t="s">
        <v>112</v>
      </c>
      <c r="BC72" s="11" t="s">
        <v>82</v>
      </c>
      <c r="BD72" s="11" t="s">
        <v>83</v>
      </c>
      <c r="BE72" s="12" t="n">
        <v>1667346</v>
      </c>
      <c r="BF72" s="13" t="n">
        <f aca="false">IFERROR(P72/BE72-1,"")</f>
        <v>0.0999408641037913</v>
      </c>
      <c r="BG72" s="17" t="n">
        <v>-0.017</v>
      </c>
      <c r="BH72" s="17" t="n">
        <v>-0.074</v>
      </c>
      <c r="BI72" s="14" t="n">
        <f aca="false">P72*(1+IFERROR(Q72,0))^4</f>
        <v>6536232.18941313</v>
      </c>
      <c r="BJ72" s="12" t="n">
        <v>-2157073</v>
      </c>
      <c r="BK72" s="11" t="s">
        <v>210</v>
      </c>
      <c r="BL72" s="11" t="s">
        <v>132</v>
      </c>
      <c r="BM72" s="14" t="n">
        <f aca="false">O72</f>
        <v>26759123</v>
      </c>
      <c r="BN72" s="11" t="s">
        <v>211</v>
      </c>
      <c r="BO72" s="13" t="n">
        <f aca="false">IFERROR(1-L72/M72,"")</f>
        <v>0.178412132024978</v>
      </c>
      <c r="BP72" s="11" t="s">
        <v>87</v>
      </c>
      <c r="BQ72" s="12" t="n">
        <v>2962889</v>
      </c>
      <c r="BR72" s="11" t="s">
        <v>88</v>
      </c>
      <c r="BS72" s="11" t="s">
        <v>89</v>
      </c>
      <c r="BT72" s="19" t="str">
        <f aca="false">IF(OR(Z72&lt;6,AH72&lt;0.9,S72&lt;0.02,AK72&lt;1),"REVIEW",IF(AND(S72&gt;0.25,AH72&gt;1.2),"ACCELERATING","STABLE"))</f>
        <v>ACCELERATING</v>
      </c>
    </row>
    <row r="73" customFormat="false" ht="15" hidden="false" customHeight="false" outlineLevel="0" collapsed="false">
      <c r="A73" s="11" t="s">
        <v>207</v>
      </c>
      <c r="B73" s="11" t="s">
        <v>93</v>
      </c>
      <c r="C73" s="11" t="s">
        <v>208</v>
      </c>
      <c r="D73" s="11" t="s">
        <v>209</v>
      </c>
      <c r="E73" s="11" t="s">
        <v>76</v>
      </c>
      <c r="F73" s="11" t="s">
        <v>77</v>
      </c>
      <c r="G73" s="11" t="s">
        <v>136</v>
      </c>
      <c r="H73" s="11" t="s">
        <v>99</v>
      </c>
      <c r="I73" s="11" t="s">
        <v>136</v>
      </c>
      <c r="J73" s="12" t="n">
        <v>2600000</v>
      </c>
      <c r="K73" s="13" t="n">
        <f aca="false">IFERROR(J73/M73,"")</f>
        <v>0.178412132024978</v>
      </c>
      <c r="L73" s="12" t="n">
        <v>11973000</v>
      </c>
      <c r="M73" s="14" t="n">
        <f aca="false">L73+J73</f>
        <v>14573000</v>
      </c>
      <c r="N73" s="12" t="n">
        <v>2600000</v>
      </c>
      <c r="O73" s="12" t="n">
        <v>26759123</v>
      </c>
      <c r="P73" s="12" t="n">
        <v>2373007</v>
      </c>
      <c r="Q73" s="13" t="n">
        <f aca="false">IFERROR(P73/P72-1,"")</f>
        <v>0.293909645787145</v>
      </c>
      <c r="R73" s="12" t="n">
        <v>2666467</v>
      </c>
      <c r="S73" s="13" t="n">
        <f aca="false">IFERROR(R73/R72-1,"")</f>
        <v>0.325544678094712</v>
      </c>
      <c r="T73" s="12" t="n">
        <v>1810934</v>
      </c>
      <c r="U73" s="13" t="n">
        <f aca="false">IFERROR(T73/P73,"")</f>
        <v>0.763138920365595</v>
      </c>
      <c r="V73" s="14" t="n">
        <f aca="false">T73-AV73</f>
        <v>-1975511</v>
      </c>
      <c r="W73" s="14" t="n">
        <f aca="false">V73-AA73*0.1</f>
        <v>-1975511</v>
      </c>
      <c r="X73" s="12" t="n">
        <v>2504915</v>
      </c>
      <c r="Y73" s="12" t="n">
        <v>203000</v>
      </c>
      <c r="Z73" s="15" t="n">
        <f aca="false">IFERROR(X73/Y73,"")</f>
        <v>12.3394827586207</v>
      </c>
      <c r="AA73" s="12" t="n">
        <v>0</v>
      </c>
      <c r="AB73" s="14" t="n">
        <f aca="false">W73-0.02*P73</f>
        <v>-2022971.14</v>
      </c>
      <c r="AC73" s="16" t="n">
        <v>47</v>
      </c>
      <c r="AD73" s="13" t="n">
        <f aca="false">IFERROR(AC73/AC72-1,"")</f>
        <v>0.175</v>
      </c>
      <c r="AE73" s="17" t="n">
        <v>0.052</v>
      </c>
      <c r="AF73" s="17" t="n">
        <v>0.055</v>
      </c>
      <c r="AG73" s="13" t="n">
        <f aca="false">1-AF73</f>
        <v>0.945</v>
      </c>
      <c r="AH73" s="17" t="n">
        <v>1.352</v>
      </c>
      <c r="AI73" s="12" t="n">
        <v>41100</v>
      </c>
      <c r="AJ73" s="14" t="n">
        <f aca="false">IFERROR(AM73*U73*MIN(1/AE73,5),"")</f>
        <v>238633.540398322</v>
      </c>
      <c r="AK73" s="18" t="n">
        <f aca="false">IFERROR(AJ73/AI73,"")</f>
        <v>5.80616886613921</v>
      </c>
      <c r="AL73" s="15" t="n">
        <f aca="false">IFERROR(AI73/(AM73*U73/12),"")</f>
        <v>10.3338365423562</v>
      </c>
      <c r="AM73" s="12" t="n">
        <v>62540</v>
      </c>
      <c r="AN73" s="12" t="n">
        <v>3004670</v>
      </c>
      <c r="AO73" s="12" t="n">
        <v>9565000</v>
      </c>
      <c r="AP73" s="17" t="n">
        <v>0.383</v>
      </c>
      <c r="AQ73" s="16" t="n">
        <v>41</v>
      </c>
      <c r="AR73" s="16" t="n">
        <v>8</v>
      </c>
      <c r="AS73" s="13" t="n">
        <f aca="false">IFERROR(AR73/AR72-1,"")</f>
        <v>0.142857142857143</v>
      </c>
      <c r="AT73" s="11" t="s">
        <v>163</v>
      </c>
      <c r="AU73" s="14" t="n">
        <f aca="false">IFERROR(P73/AR73,"")</f>
        <v>296625.875</v>
      </c>
      <c r="AV73" s="12" t="n">
        <v>3786445</v>
      </c>
      <c r="AW73" s="12" t="n">
        <v>1272675</v>
      </c>
      <c r="AX73" s="12" t="n">
        <v>842113</v>
      </c>
      <c r="AY73" s="16" t="n">
        <v>27868</v>
      </c>
      <c r="AZ73" s="13" t="n">
        <f aca="false">IFERROR(AY73/AY72-1,"")</f>
        <v>0.177305563770014</v>
      </c>
      <c r="BA73" s="17" t="n">
        <v>0.951</v>
      </c>
      <c r="BB73" s="11" t="s">
        <v>112</v>
      </c>
      <c r="BC73" s="11" t="s">
        <v>82</v>
      </c>
      <c r="BD73" s="11" t="s">
        <v>83</v>
      </c>
      <c r="BE73" s="12" t="n">
        <v>2198317</v>
      </c>
      <c r="BF73" s="13" t="n">
        <f aca="false">IFERROR(P73/BE73-1,"")</f>
        <v>0.0794653364369198</v>
      </c>
      <c r="BG73" s="17" t="n">
        <v>0.082</v>
      </c>
      <c r="BH73" s="17" t="n">
        <v>0.077</v>
      </c>
      <c r="BI73" s="14" t="n">
        <f aca="false">P73*(1+IFERROR(Q73,0))^4</f>
        <v>6651426.87829488</v>
      </c>
      <c r="BJ73" s="12" t="n">
        <v>-1712711</v>
      </c>
      <c r="BK73" s="11" t="s">
        <v>210</v>
      </c>
      <c r="BL73" s="11" t="s">
        <v>132</v>
      </c>
      <c r="BM73" s="14" t="n">
        <f aca="false">O73</f>
        <v>26759123</v>
      </c>
      <c r="BN73" s="11" t="s">
        <v>211</v>
      </c>
      <c r="BO73" s="13" t="n">
        <f aca="false">IFERROR(1-L73/M73,"")</f>
        <v>0.178412132024978</v>
      </c>
      <c r="BP73" s="11" t="s">
        <v>87</v>
      </c>
      <c r="BQ73" s="12" t="n">
        <v>3112379</v>
      </c>
      <c r="BR73" s="11" t="s">
        <v>88</v>
      </c>
      <c r="BS73" s="11" t="s">
        <v>89</v>
      </c>
      <c r="BT73" s="19" t="str">
        <f aca="false">IF(OR(Z73&lt;6,AH73&lt;0.9,S73&lt;0.02,AK73&lt;1),"REVIEW",IF(AND(S73&gt;0.25,AH73&gt;1.2),"ACCELERATING","STABLE"))</f>
        <v>ACCELERATING</v>
      </c>
    </row>
    <row r="74" customFormat="false" ht="15" hidden="false" customHeight="false" outlineLevel="0" collapsed="false">
      <c r="A74" s="3" t="s">
        <v>212</v>
      </c>
      <c r="B74" s="3" t="s">
        <v>73</v>
      </c>
      <c r="C74" s="3" t="s">
        <v>213</v>
      </c>
      <c r="D74" s="3" t="s">
        <v>214</v>
      </c>
      <c r="E74" s="3" t="s">
        <v>174</v>
      </c>
      <c r="F74" s="3" t="s">
        <v>77</v>
      </c>
      <c r="G74" s="3" t="s">
        <v>136</v>
      </c>
      <c r="H74" s="3" t="s">
        <v>170</v>
      </c>
      <c r="I74" s="3" t="s">
        <v>136</v>
      </c>
      <c r="J74" s="4" t="n">
        <v>7000000</v>
      </c>
      <c r="K74" s="5" t="n">
        <f aca="false">IFERROR(J74/M74,"")</f>
        <v>0.401813902761036</v>
      </c>
      <c r="L74" s="4" t="n">
        <v>10421000</v>
      </c>
      <c r="M74" s="6" t="n">
        <f aca="false">L74+J74</f>
        <v>17421000</v>
      </c>
      <c r="N74" s="4" t="n">
        <v>7000000</v>
      </c>
      <c r="O74" s="4" t="n">
        <v>30165225</v>
      </c>
      <c r="P74" s="4" t="n">
        <v>447074</v>
      </c>
      <c r="Q74" s="7"/>
      <c r="R74" s="4" t="n">
        <v>564377</v>
      </c>
      <c r="S74" s="7"/>
      <c r="T74" s="4" t="n">
        <v>338186</v>
      </c>
      <c r="U74" s="5" t="n">
        <f aca="false">IFERROR(T74/P74,"")</f>
        <v>0.756443004961147</v>
      </c>
      <c r="V74" s="6" t="n">
        <f aca="false">T74-AV74</f>
        <v>-728108</v>
      </c>
      <c r="W74" s="6" t="n">
        <f aca="false">V74-AA74*0.1</f>
        <v>-728108</v>
      </c>
      <c r="X74" s="4" t="n">
        <v>2666535</v>
      </c>
      <c r="Y74" s="4" t="n">
        <v>77350</v>
      </c>
      <c r="Z74" s="8" t="n">
        <f aca="false">IFERROR(X74/Y74,"")</f>
        <v>34.4736263736264</v>
      </c>
      <c r="AA74" s="4" t="n">
        <v>0</v>
      </c>
      <c r="AB74" s="6" t="n">
        <f aca="false">W74-0.02*P74</f>
        <v>-737049.48</v>
      </c>
      <c r="AC74" s="9" t="n">
        <v>19</v>
      </c>
      <c r="AD74" s="7"/>
      <c r="AE74" s="7" t="n">
        <v>0.149</v>
      </c>
      <c r="AF74" s="7" t="n">
        <v>0.145</v>
      </c>
      <c r="AG74" s="5" t="n">
        <f aca="false">1-AF74</f>
        <v>0.855</v>
      </c>
      <c r="AH74" s="7" t="n">
        <v>1.161</v>
      </c>
      <c r="AI74" s="4" t="n">
        <v>64554</v>
      </c>
      <c r="AJ74" s="6" t="n">
        <f aca="false">IFERROR(AM74*U74*MIN(1/AE74,5),"")</f>
        <v>170199.676116258</v>
      </c>
      <c r="AK74" s="10" t="n">
        <f aca="false">IFERROR(AJ74/AI74,"")</f>
        <v>2.63654732652133</v>
      </c>
      <c r="AL74" s="8" t="n">
        <f aca="false">IFERROR(AI74/(AM74*U74/12),"")</f>
        <v>22.7570350801038</v>
      </c>
      <c r="AM74" s="4" t="n">
        <v>45000</v>
      </c>
      <c r="AN74" s="4" t="n">
        <v>709779</v>
      </c>
      <c r="AO74" s="4" t="n">
        <v>1830290</v>
      </c>
      <c r="AP74" s="7" t="n">
        <v>0.276</v>
      </c>
      <c r="AQ74" s="9" t="n">
        <v>29</v>
      </c>
      <c r="AR74" s="9" t="n">
        <v>15</v>
      </c>
      <c r="AS74" s="7"/>
      <c r="AT74" s="3" t="s">
        <v>100</v>
      </c>
      <c r="AU74" s="6" t="n">
        <f aca="false">IFERROR(P74/AR74,"")</f>
        <v>29804.9333333333</v>
      </c>
      <c r="AV74" s="4" t="n">
        <v>1066294</v>
      </c>
      <c r="AW74" s="4" t="n">
        <v>403106</v>
      </c>
      <c r="AX74" s="4" t="n">
        <v>197490</v>
      </c>
      <c r="AY74" s="9" t="n">
        <v>892</v>
      </c>
      <c r="AZ74" s="7"/>
      <c r="BA74" s="7" t="n">
        <v>0.893</v>
      </c>
      <c r="BB74" s="3" t="s">
        <v>156</v>
      </c>
      <c r="BC74" s="3" t="s">
        <v>164</v>
      </c>
      <c r="BD74" s="3" t="s">
        <v>102</v>
      </c>
      <c r="BE74" s="4" t="n">
        <v>420292</v>
      </c>
      <c r="BF74" s="5" t="n">
        <f aca="false">IFERROR(P74/BE74-1,"")</f>
        <v>0.0637223644513814</v>
      </c>
      <c r="BG74" s="7" t="n">
        <v>0.011</v>
      </c>
      <c r="BH74" s="7" t="n">
        <v>0.084</v>
      </c>
      <c r="BI74" s="6" t="n">
        <f aca="false">P74</f>
        <v>447074</v>
      </c>
      <c r="BJ74" s="4" t="n">
        <v>-687827</v>
      </c>
      <c r="BK74" s="3" t="s">
        <v>103</v>
      </c>
      <c r="BL74" s="3" t="s">
        <v>132</v>
      </c>
      <c r="BM74" s="6" t="n">
        <f aca="false">O74</f>
        <v>30165225</v>
      </c>
      <c r="BN74" s="3" t="s">
        <v>215</v>
      </c>
      <c r="BO74" s="5" t="n">
        <f aca="false">IFERROR(1-L74/M74,"")</f>
        <v>0.401813902761036</v>
      </c>
      <c r="BP74" s="3" t="s">
        <v>87</v>
      </c>
      <c r="BQ74" s="4" t="n">
        <v>1239442</v>
      </c>
      <c r="BR74" s="3" t="s">
        <v>88</v>
      </c>
      <c r="BS74" s="3" t="s">
        <v>89</v>
      </c>
      <c r="BT74" s="3" t="s">
        <v>90</v>
      </c>
    </row>
    <row r="75" customFormat="false" ht="15" hidden="false" customHeight="false" outlineLevel="0" collapsed="false">
      <c r="A75" s="11" t="s">
        <v>212</v>
      </c>
      <c r="B75" s="11" t="s">
        <v>91</v>
      </c>
      <c r="C75" s="11" t="s">
        <v>213</v>
      </c>
      <c r="D75" s="11" t="s">
        <v>214</v>
      </c>
      <c r="E75" s="11" t="s">
        <v>174</v>
      </c>
      <c r="F75" s="11" t="s">
        <v>77</v>
      </c>
      <c r="G75" s="11" t="s">
        <v>136</v>
      </c>
      <c r="H75" s="11" t="s">
        <v>170</v>
      </c>
      <c r="I75" s="11" t="s">
        <v>136</v>
      </c>
      <c r="J75" s="12" t="n">
        <v>7000000</v>
      </c>
      <c r="K75" s="13" t="n">
        <f aca="false">IFERROR(J75/M75,"")</f>
        <v>0.401813902761036</v>
      </c>
      <c r="L75" s="12" t="n">
        <v>10421000</v>
      </c>
      <c r="M75" s="14" t="n">
        <f aca="false">L75+J75</f>
        <v>17421000</v>
      </c>
      <c r="N75" s="12" t="n">
        <v>7000000</v>
      </c>
      <c r="O75" s="12" t="n">
        <v>30165225</v>
      </c>
      <c r="P75" s="12" t="n">
        <v>527888</v>
      </c>
      <c r="Q75" s="13" t="n">
        <f aca="false">IFERROR(P75/P74-1,"")</f>
        <v>0.180762021499796</v>
      </c>
      <c r="R75" s="12" t="n">
        <v>680717</v>
      </c>
      <c r="S75" s="13" t="n">
        <f aca="false">IFERROR(R75/R74-1,"")</f>
        <v>0.20613880438076</v>
      </c>
      <c r="T75" s="12" t="n">
        <v>400935</v>
      </c>
      <c r="U75" s="13" t="n">
        <f aca="false">IFERROR(T75/P75,"")</f>
        <v>0.759507698602734</v>
      </c>
      <c r="V75" s="14" t="n">
        <f aca="false">T75-AV75</f>
        <v>-1017921</v>
      </c>
      <c r="W75" s="14" t="n">
        <f aca="false">V75-AA75*0.1</f>
        <v>-1017921</v>
      </c>
      <c r="X75" s="12" t="n">
        <v>2471460</v>
      </c>
      <c r="Y75" s="12" t="n">
        <v>79900</v>
      </c>
      <c r="Z75" s="15" t="n">
        <f aca="false">IFERROR(X75/Y75,"")</f>
        <v>30.931914893617</v>
      </c>
      <c r="AA75" s="12" t="n">
        <v>0</v>
      </c>
      <c r="AB75" s="14" t="n">
        <f aca="false">W75-0.02*P75</f>
        <v>-1028478.76</v>
      </c>
      <c r="AC75" s="16" t="n">
        <v>22</v>
      </c>
      <c r="AD75" s="13" t="n">
        <f aca="false">IFERROR(AC75/AC74-1,"")</f>
        <v>0.157894736842105</v>
      </c>
      <c r="AE75" s="17" t="n">
        <v>0.145</v>
      </c>
      <c r="AF75" s="17" t="n">
        <v>0.143</v>
      </c>
      <c r="AG75" s="13" t="n">
        <f aca="false">1-AF75</f>
        <v>0.857</v>
      </c>
      <c r="AH75" s="17" t="n">
        <v>1.156</v>
      </c>
      <c r="AI75" s="12" t="n">
        <v>63336</v>
      </c>
      <c r="AJ75" s="14" t="n">
        <f aca="false">IFERROR(AM75*U75*MIN(1/AE75,5),"")</f>
        <v>174307.016829327</v>
      </c>
      <c r="AK75" s="18" t="n">
        <f aca="false">IFERROR(AJ75/AI75,"")</f>
        <v>2.75210017729771</v>
      </c>
      <c r="AL75" s="15" t="n">
        <f aca="false">IFERROR(AI75/(AM75*U75/12),"")</f>
        <v>21.8015319700005</v>
      </c>
      <c r="AM75" s="12" t="n">
        <v>45900</v>
      </c>
      <c r="AN75" s="12" t="n">
        <v>962802</v>
      </c>
      <c r="AO75" s="12" t="n">
        <v>1478235</v>
      </c>
      <c r="AP75" s="17" t="n">
        <v>0.276</v>
      </c>
      <c r="AQ75" s="16" t="n">
        <v>29</v>
      </c>
      <c r="AR75" s="16" t="n">
        <v>17</v>
      </c>
      <c r="AS75" s="13" t="n">
        <f aca="false">IFERROR(AR75/AR74-1,"")</f>
        <v>0.133333333333333</v>
      </c>
      <c r="AT75" s="11" t="s">
        <v>100</v>
      </c>
      <c r="AU75" s="14" t="n">
        <f aca="false">IFERROR(P75/AR75,"")</f>
        <v>31052.2352941176</v>
      </c>
      <c r="AV75" s="12" t="n">
        <v>1418856</v>
      </c>
      <c r="AW75" s="12" t="n">
        <v>541227</v>
      </c>
      <c r="AX75" s="12" t="n">
        <v>352013</v>
      </c>
      <c r="AY75" s="16" t="n">
        <v>990</v>
      </c>
      <c r="AZ75" s="13" t="n">
        <f aca="false">IFERROR(AY75/AY74-1,"")</f>
        <v>0.109865470852018</v>
      </c>
      <c r="BA75" s="17" t="n">
        <v>0.86</v>
      </c>
      <c r="BB75" s="11" t="s">
        <v>156</v>
      </c>
      <c r="BC75" s="11" t="s">
        <v>164</v>
      </c>
      <c r="BD75" s="11" t="s">
        <v>102</v>
      </c>
      <c r="BE75" s="12" t="n">
        <v>550381</v>
      </c>
      <c r="BF75" s="13" t="n">
        <f aca="false">IFERROR(P75/BE75-1,"")</f>
        <v>-0.0408680532213139</v>
      </c>
      <c r="BG75" s="17" t="n">
        <v>0.025</v>
      </c>
      <c r="BH75" s="17" t="n">
        <v>0.071</v>
      </c>
      <c r="BI75" s="14" t="n">
        <f aca="false">P75*(1+IFERROR(Q75,0))^4</f>
        <v>1026103.79355658</v>
      </c>
      <c r="BJ75" s="12" t="n">
        <v>-657671</v>
      </c>
      <c r="BK75" s="11" t="s">
        <v>103</v>
      </c>
      <c r="BL75" s="11" t="s">
        <v>132</v>
      </c>
      <c r="BM75" s="14" t="n">
        <f aca="false">O75</f>
        <v>30165225</v>
      </c>
      <c r="BN75" s="11" t="s">
        <v>215</v>
      </c>
      <c r="BO75" s="13" t="n">
        <f aca="false">IFERROR(1-L75/M75,"")</f>
        <v>0.401813902761036</v>
      </c>
      <c r="BP75" s="11" t="s">
        <v>87</v>
      </c>
      <c r="BQ75" s="12" t="n">
        <v>1192958</v>
      </c>
      <c r="BR75" s="11" t="s">
        <v>88</v>
      </c>
      <c r="BS75" s="11" t="s">
        <v>89</v>
      </c>
      <c r="BT75" s="19" t="str">
        <f aca="false">IF(OR(Z75&lt;6,AH75&lt;0.9,S75&lt;0.02,AK75&lt;1),"REVIEW",IF(AND(S75&gt;0.25,AH75&gt;1.2),"ACCELERATING","STABLE"))</f>
        <v>STABLE</v>
      </c>
    </row>
    <row r="76" customFormat="false" ht="15" hidden="false" customHeight="false" outlineLevel="0" collapsed="false">
      <c r="A76" s="11" t="s">
        <v>212</v>
      </c>
      <c r="B76" s="11" t="s">
        <v>92</v>
      </c>
      <c r="C76" s="11" t="s">
        <v>213</v>
      </c>
      <c r="D76" s="11" t="s">
        <v>214</v>
      </c>
      <c r="E76" s="11" t="s">
        <v>174</v>
      </c>
      <c r="F76" s="11" t="s">
        <v>77</v>
      </c>
      <c r="G76" s="11" t="s">
        <v>136</v>
      </c>
      <c r="H76" s="11" t="s">
        <v>170</v>
      </c>
      <c r="I76" s="11" t="s">
        <v>136</v>
      </c>
      <c r="J76" s="12" t="n">
        <v>7000000</v>
      </c>
      <c r="K76" s="13" t="n">
        <f aca="false">IFERROR(J76/M76,"")</f>
        <v>0.401813902761036</v>
      </c>
      <c r="L76" s="12" t="n">
        <v>10421000</v>
      </c>
      <c r="M76" s="14" t="n">
        <f aca="false">L76+J76</f>
        <v>17421000</v>
      </c>
      <c r="N76" s="12" t="n">
        <v>7000000</v>
      </c>
      <c r="O76" s="12" t="n">
        <v>30165225</v>
      </c>
      <c r="P76" s="12" t="n">
        <v>610827</v>
      </c>
      <c r="Q76" s="13" t="n">
        <f aca="false">IFERROR(P76/P75-1,"")</f>
        <v>0.157114766768709</v>
      </c>
      <c r="R76" s="12" t="n">
        <v>751223</v>
      </c>
      <c r="S76" s="13" t="n">
        <f aca="false">IFERROR(R76/R75-1,"")</f>
        <v>0.103576082277951</v>
      </c>
      <c r="T76" s="12" t="n">
        <v>465798</v>
      </c>
      <c r="U76" s="13" t="n">
        <f aca="false">IFERROR(T76/P76,"")</f>
        <v>0.762569434553482</v>
      </c>
      <c r="V76" s="14" t="n">
        <f aca="false">T76-AV76</f>
        <v>-1022448</v>
      </c>
      <c r="W76" s="14" t="n">
        <f aca="false">V76-AA76*0.1</f>
        <v>-1022448</v>
      </c>
      <c r="X76" s="12" t="n">
        <v>2262615</v>
      </c>
      <c r="Y76" s="12" t="n">
        <v>82450</v>
      </c>
      <c r="Z76" s="15" t="n">
        <f aca="false">IFERROR(X76/Y76,"")</f>
        <v>27.4422680412371</v>
      </c>
      <c r="AA76" s="12" t="n">
        <v>0</v>
      </c>
      <c r="AB76" s="14" t="n">
        <f aca="false">W76-0.02*P76</f>
        <v>-1034664.54</v>
      </c>
      <c r="AC76" s="16" t="n">
        <v>26</v>
      </c>
      <c r="AD76" s="13" t="n">
        <f aca="false">IFERROR(AC76/AC75-1,"")</f>
        <v>0.181818181818182</v>
      </c>
      <c r="AE76" s="17" t="n">
        <v>0.141</v>
      </c>
      <c r="AF76" s="17" t="n">
        <v>0.108</v>
      </c>
      <c r="AG76" s="13" t="n">
        <f aca="false">1-AF76</f>
        <v>0.892</v>
      </c>
      <c r="AH76" s="17" t="n">
        <v>1.151</v>
      </c>
      <c r="AI76" s="12" t="n">
        <v>62118</v>
      </c>
      <c r="AJ76" s="14" t="n">
        <f aca="false">IFERROR(AM76*U76*MIN(1/AE76,5),"")</f>
        <v>178441.247685515</v>
      </c>
      <c r="AK76" s="18" t="n">
        <f aca="false">IFERROR(AJ76/AI76,"")</f>
        <v>2.87261740052022</v>
      </c>
      <c r="AL76" s="15" t="n">
        <f aca="false">IFERROR(AI76/(AM76*U76/12),"")</f>
        <v>20.8868748024482</v>
      </c>
      <c r="AM76" s="12" t="n">
        <v>46800</v>
      </c>
      <c r="AN76" s="12" t="n">
        <v>830983</v>
      </c>
      <c r="AO76" s="12" t="n">
        <v>1442346</v>
      </c>
      <c r="AP76" s="17" t="n">
        <v>0.276</v>
      </c>
      <c r="AQ76" s="16" t="n">
        <v>29</v>
      </c>
      <c r="AR76" s="16" t="n">
        <v>19</v>
      </c>
      <c r="AS76" s="13" t="n">
        <f aca="false">IFERROR(AR76/AR75-1,"")</f>
        <v>0.117647058823529</v>
      </c>
      <c r="AT76" s="11" t="s">
        <v>100</v>
      </c>
      <c r="AU76" s="14" t="n">
        <f aca="false">IFERROR(P76/AR76,"")</f>
        <v>32148.7894736842</v>
      </c>
      <c r="AV76" s="12" t="n">
        <v>1488246</v>
      </c>
      <c r="AW76" s="12" t="n">
        <v>457280</v>
      </c>
      <c r="AX76" s="12" t="n">
        <v>374263</v>
      </c>
      <c r="AY76" s="16" t="n">
        <v>1231</v>
      </c>
      <c r="AZ76" s="13" t="n">
        <f aca="false">IFERROR(AY76/AY75-1,"")</f>
        <v>0.243434343434343</v>
      </c>
      <c r="BA76" s="17" t="n">
        <v>0.848</v>
      </c>
      <c r="BB76" s="11" t="s">
        <v>156</v>
      </c>
      <c r="BC76" s="11" t="s">
        <v>164</v>
      </c>
      <c r="BD76" s="11" t="s">
        <v>102</v>
      </c>
      <c r="BE76" s="12" t="n">
        <v>557403</v>
      </c>
      <c r="BF76" s="13" t="n">
        <f aca="false">IFERROR(P76/BE76-1,"")</f>
        <v>0.0958444787702972</v>
      </c>
      <c r="BG76" s="17" t="n">
        <v>0.064</v>
      </c>
      <c r="BH76" s="17" t="n">
        <v>0.037</v>
      </c>
      <c r="BI76" s="14" t="n">
        <f aca="false">P76*(1+IFERROR(Q76,0))^4</f>
        <v>1095024.83622288</v>
      </c>
      <c r="BJ76" s="12" t="n">
        <v>-888915</v>
      </c>
      <c r="BK76" s="11" t="s">
        <v>103</v>
      </c>
      <c r="BL76" s="11" t="s">
        <v>132</v>
      </c>
      <c r="BM76" s="14" t="n">
        <f aca="false">O76</f>
        <v>30165225</v>
      </c>
      <c r="BN76" s="11" t="s">
        <v>215</v>
      </c>
      <c r="BO76" s="13" t="n">
        <f aca="false">IFERROR(1-L76/M76,"")</f>
        <v>0.401813902761036</v>
      </c>
      <c r="BP76" s="11" t="s">
        <v>87</v>
      </c>
      <c r="BQ76" s="12" t="n">
        <v>1311032</v>
      </c>
      <c r="BR76" s="11" t="s">
        <v>88</v>
      </c>
      <c r="BS76" s="11" t="s">
        <v>89</v>
      </c>
      <c r="BT76" s="19" t="str">
        <f aca="false">IF(OR(Z76&lt;6,AH76&lt;0.9,S76&lt;0.02,AK76&lt;1),"REVIEW",IF(AND(S76&gt;0.25,AH76&gt;1.2),"ACCELERATING","STABLE"))</f>
        <v>STABLE</v>
      </c>
    </row>
    <row r="77" customFormat="false" ht="15" hidden="false" customHeight="false" outlineLevel="0" collapsed="false">
      <c r="A77" s="11" t="s">
        <v>212</v>
      </c>
      <c r="B77" s="11" t="s">
        <v>93</v>
      </c>
      <c r="C77" s="11" t="s">
        <v>213</v>
      </c>
      <c r="D77" s="11" t="s">
        <v>214</v>
      </c>
      <c r="E77" s="11" t="s">
        <v>174</v>
      </c>
      <c r="F77" s="11" t="s">
        <v>77</v>
      </c>
      <c r="G77" s="11" t="s">
        <v>136</v>
      </c>
      <c r="H77" s="11" t="s">
        <v>170</v>
      </c>
      <c r="I77" s="11" t="s">
        <v>136</v>
      </c>
      <c r="J77" s="12" t="n">
        <v>7000000</v>
      </c>
      <c r="K77" s="13" t="n">
        <f aca="false">IFERROR(J77/M77,"")</f>
        <v>0.401813902761036</v>
      </c>
      <c r="L77" s="12" t="n">
        <v>10421000</v>
      </c>
      <c r="M77" s="14" t="n">
        <f aca="false">L77+J77</f>
        <v>17421000</v>
      </c>
      <c r="N77" s="12" t="n">
        <v>7000000</v>
      </c>
      <c r="O77" s="12" t="n">
        <v>30165225</v>
      </c>
      <c r="P77" s="12" t="n">
        <v>739985</v>
      </c>
      <c r="Q77" s="13" t="n">
        <f aca="false">IFERROR(P77/P76-1,"")</f>
        <v>0.211447758530648</v>
      </c>
      <c r="R77" s="12" t="n">
        <v>850326</v>
      </c>
      <c r="S77" s="13" t="n">
        <f aca="false">IFERROR(R77/R76-1,"")</f>
        <v>0.13192221217934</v>
      </c>
      <c r="T77" s="12" t="n">
        <v>566556</v>
      </c>
      <c r="U77" s="13" t="n">
        <f aca="false">IFERROR(T77/P77,"")</f>
        <v>0.765631735778428</v>
      </c>
      <c r="V77" s="14" t="n">
        <f aca="false">T77-AV77</f>
        <v>-891996</v>
      </c>
      <c r="W77" s="14" t="n">
        <f aca="false">V77-AA77*0.1</f>
        <v>-891996</v>
      </c>
      <c r="X77" s="12" t="n">
        <v>2040000</v>
      </c>
      <c r="Y77" s="12" t="n">
        <v>85000</v>
      </c>
      <c r="Z77" s="15" t="n">
        <f aca="false">IFERROR(X77/Y77,"")</f>
        <v>24</v>
      </c>
      <c r="AA77" s="12" t="n">
        <v>0</v>
      </c>
      <c r="AB77" s="14" t="n">
        <f aca="false">W77-0.02*P77</f>
        <v>-906795.7</v>
      </c>
      <c r="AC77" s="16" t="n">
        <v>27</v>
      </c>
      <c r="AD77" s="13" t="n">
        <f aca="false">IFERROR(AC77/AC76-1,"")</f>
        <v>0.0384615384615386</v>
      </c>
      <c r="AE77" s="17" t="n">
        <v>0.137</v>
      </c>
      <c r="AF77" s="17" t="n">
        <v>0.118</v>
      </c>
      <c r="AG77" s="13" t="n">
        <f aca="false">1-AF77</f>
        <v>0.882</v>
      </c>
      <c r="AH77" s="17" t="n">
        <v>1.146</v>
      </c>
      <c r="AI77" s="12" t="n">
        <v>60900</v>
      </c>
      <c r="AJ77" s="14" t="n">
        <f aca="false">IFERROR(AM77*U77*MIN(1/AE77,5),"")</f>
        <v>182603.168983155</v>
      </c>
      <c r="AK77" s="18" t="n">
        <f aca="false">IFERROR(AJ77/AI77,"")</f>
        <v>2.9984099997234</v>
      </c>
      <c r="AL77" s="15" t="n">
        <f aca="false">IFERROR(AI77/(AM77*U77/12),"")</f>
        <v>20.0106056228251</v>
      </c>
      <c r="AM77" s="12" t="n">
        <v>47700</v>
      </c>
      <c r="AN77" s="12" t="n">
        <v>1138012</v>
      </c>
      <c r="AO77" s="12" t="n">
        <v>2158593</v>
      </c>
      <c r="AP77" s="17" t="n">
        <v>0.276</v>
      </c>
      <c r="AQ77" s="16" t="n">
        <v>29</v>
      </c>
      <c r="AR77" s="16" t="n">
        <v>21</v>
      </c>
      <c r="AS77" s="13" t="n">
        <f aca="false">IFERROR(AR77/AR76-1,"")</f>
        <v>0.105263157894737</v>
      </c>
      <c r="AT77" s="11" t="s">
        <v>100</v>
      </c>
      <c r="AU77" s="14" t="n">
        <f aca="false">IFERROR(P77/AR77,"")</f>
        <v>35237.380952381</v>
      </c>
      <c r="AV77" s="12" t="n">
        <v>1458552</v>
      </c>
      <c r="AW77" s="12" t="n">
        <v>590766</v>
      </c>
      <c r="AX77" s="12" t="n">
        <v>469798</v>
      </c>
      <c r="AY77" s="16" t="n">
        <v>1313</v>
      </c>
      <c r="AZ77" s="13" t="n">
        <f aca="false">IFERROR(AY77/AY76-1,"")</f>
        <v>0.066612510154346</v>
      </c>
      <c r="BA77" s="17" t="n">
        <v>0.89</v>
      </c>
      <c r="BB77" s="11" t="s">
        <v>156</v>
      </c>
      <c r="BC77" s="11" t="s">
        <v>164</v>
      </c>
      <c r="BD77" s="11" t="s">
        <v>102</v>
      </c>
      <c r="BE77" s="12" t="n">
        <v>755590</v>
      </c>
      <c r="BF77" s="13" t="n">
        <f aca="false">IFERROR(P77/BE77-1,"")</f>
        <v>-0.0206527349488479</v>
      </c>
      <c r="BG77" s="17" t="n">
        <v>0.068</v>
      </c>
      <c r="BH77" s="17" t="n">
        <v>-0.026</v>
      </c>
      <c r="BI77" s="14" t="n">
        <f aca="false">P77*(1+IFERROR(Q77,0))^4</f>
        <v>1593828.83352141</v>
      </c>
      <c r="BJ77" s="12" t="n">
        <v>-584170</v>
      </c>
      <c r="BK77" s="11" t="s">
        <v>103</v>
      </c>
      <c r="BL77" s="11" t="s">
        <v>132</v>
      </c>
      <c r="BM77" s="14" t="n">
        <f aca="false">O77</f>
        <v>30165225</v>
      </c>
      <c r="BN77" s="11" t="s">
        <v>215</v>
      </c>
      <c r="BO77" s="13" t="n">
        <f aca="false">IFERROR(1-L77/M77,"")</f>
        <v>0.401813902761036</v>
      </c>
      <c r="BP77" s="11" t="s">
        <v>87</v>
      </c>
      <c r="BQ77" s="12" t="n">
        <v>1609696</v>
      </c>
      <c r="BR77" s="11" t="s">
        <v>88</v>
      </c>
      <c r="BS77" s="11" t="s">
        <v>89</v>
      </c>
      <c r="BT77" s="19" t="str">
        <f aca="false">IF(OR(Z77&lt;6,AH77&lt;0.9,S77&lt;0.02,AK77&lt;1),"REVIEW",IF(AND(S77&gt;0.25,AH77&gt;1.2),"ACCELERATING","STABLE"))</f>
        <v>STABLE</v>
      </c>
    </row>
    <row r="78" customFormat="false" ht="15" hidden="false" customHeight="false" outlineLevel="0" collapsed="false">
      <c r="A78" s="3" t="s">
        <v>216</v>
      </c>
      <c r="B78" s="3" t="s">
        <v>73</v>
      </c>
      <c r="C78" s="3" t="s">
        <v>217</v>
      </c>
      <c r="D78" s="3" t="s">
        <v>75</v>
      </c>
      <c r="E78" s="3" t="s">
        <v>96</v>
      </c>
      <c r="F78" s="3" t="s">
        <v>218</v>
      </c>
      <c r="G78" s="3" t="s">
        <v>111</v>
      </c>
      <c r="H78" s="3" t="s">
        <v>155</v>
      </c>
      <c r="I78" s="3" t="s">
        <v>111</v>
      </c>
      <c r="J78" s="4" t="n">
        <v>3500000</v>
      </c>
      <c r="K78" s="5" t="n">
        <f aca="false">IFERROR(J78/M78,"")</f>
        <v>0.181818181818182</v>
      </c>
      <c r="L78" s="4" t="n">
        <v>15750000</v>
      </c>
      <c r="M78" s="6" t="n">
        <f aca="false">L78+J78</f>
        <v>19250000</v>
      </c>
      <c r="N78" s="4" t="n">
        <v>5144000</v>
      </c>
      <c r="O78" s="4" t="n">
        <v>42052608</v>
      </c>
      <c r="P78" s="4" t="n">
        <v>602340</v>
      </c>
      <c r="Q78" s="7"/>
      <c r="R78" s="4" t="n">
        <v>695053</v>
      </c>
      <c r="S78" s="7"/>
      <c r="T78" s="4" t="n">
        <v>493610</v>
      </c>
      <c r="U78" s="5" t="n">
        <f aca="false">IFERROR(T78/P78,"")</f>
        <v>0.819487332735664</v>
      </c>
      <c r="V78" s="6" t="n">
        <f aca="false">T78-AV78</f>
        <v>-2040831</v>
      </c>
      <c r="W78" s="6" t="n">
        <f aca="false">V78-AA78*0.1</f>
        <v>-2040831</v>
      </c>
      <c r="X78" s="4" t="n">
        <v>6735507</v>
      </c>
      <c r="Y78" s="4" t="n">
        <v>197470</v>
      </c>
      <c r="Z78" s="8" t="n">
        <f aca="false">IFERROR(X78/Y78,"")</f>
        <v>34.1090140274472</v>
      </c>
      <c r="AA78" s="4" t="n">
        <v>0</v>
      </c>
      <c r="AB78" s="6" t="n">
        <f aca="false">W78-0.02*P78</f>
        <v>-2052877.8</v>
      </c>
      <c r="AC78" s="9" t="n">
        <v>27</v>
      </c>
      <c r="AD78" s="7"/>
      <c r="AE78" s="7" t="n">
        <v>0.146</v>
      </c>
      <c r="AF78" s="7" t="n">
        <v>0.124</v>
      </c>
      <c r="AG78" s="5" t="n">
        <f aca="false">1-AF78</f>
        <v>0.876</v>
      </c>
      <c r="AH78" s="7" t="n">
        <v>1.098</v>
      </c>
      <c r="AI78" s="4" t="n">
        <v>107272</v>
      </c>
      <c r="AJ78" s="6" t="n">
        <f aca="false">IFERROR(AM78*U78*MIN(1/AE78,5),"")</f>
        <v>204871.833183916</v>
      </c>
      <c r="AK78" s="10" t="n">
        <f aca="false">IFERROR(AJ78/AI78,"")</f>
        <v>1.90983512178309</v>
      </c>
      <c r="AL78" s="8" t="n">
        <f aca="false">IFERROR(AI78/(AM78*U78/12),"")</f>
        <v>31.4163245379956</v>
      </c>
      <c r="AM78" s="4" t="n">
        <v>50000</v>
      </c>
      <c r="AN78" s="4" t="n">
        <v>709817</v>
      </c>
      <c r="AO78" s="4" t="n">
        <v>1285962</v>
      </c>
      <c r="AP78" s="7" t="n">
        <v>0.269</v>
      </c>
      <c r="AQ78" s="9" t="n">
        <v>24</v>
      </c>
      <c r="AR78" s="9" t="n">
        <v>15</v>
      </c>
      <c r="AS78" s="7"/>
      <c r="AT78" s="3" t="s">
        <v>100</v>
      </c>
      <c r="AU78" s="6" t="n">
        <f aca="false">IFERROR(P78/AR78,"")</f>
        <v>40156</v>
      </c>
      <c r="AV78" s="4" t="n">
        <v>2534441</v>
      </c>
      <c r="AW78" s="4" t="n">
        <v>1097712</v>
      </c>
      <c r="AX78" s="4" t="n">
        <v>523979</v>
      </c>
      <c r="AY78" s="9" t="n">
        <v>15263</v>
      </c>
      <c r="AZ78" s="7"/>
      <c r="BA78" s="7" t="n">
        <v>0.877</v>
      </c>
      <c r="BB78" s="3" t="s">
        <v>101</v>
      </c>
      <c r="BC78" s="3" t="s">
        <v>164</v>
      </c>
      <c r="BD78" s="3" t="s">
        <v>130</v>
      </c>
      <c r="BE78" s="4" t="n">
        <v>644540</v>
      </c>
      <c r="BF78" s="5" t="n">
        <f aca="false">IFERROR(P78/BE78-1,"")</f>
        <v>-0.0654730505476774</v>
      </c>
      <c r="BG78" s="7" t="n">
        <v>0.058</v>
      </c>
      <c r="BH78" s="7" t="n">
        <v>-0.079</v>
      </c>
      <c r="BI78" s="6" t="n">
        <f aca="false">P78</f>
        <v>602340</v>
      </c>
      <c r="BJ78" s="4" t="n">
        <v>-2286715</v>
      </c>
      <c r="BK78" s="3" t="s">
        <v>131</v>
      </c>
      <c r="BL78" s="3" t="s">
        <v>185</v>
      </c>
      <c r="BM78" s="6" t="n">
        <f aca="false">O78</f>
        <v>42052608</v>
      </c>
      <c r="BN78" s="3" t="s">
        <v>219</v>
      </c>
      <c r="BO78" s="5" t="n">
        <f aca="false">IFERROR(1-L78/M78,"")</f>
        <v>0.181818181818182</v>
      </c>
      <c r="BP78" s="3" t="s">
        <v>187</v>
      </c>
      <c r="BQ78" s="4" t="n">
        <v>3038075</v>
      </c>
      <c r="BR78" s="3" t="s">
        <v>88</v>
      </c>
      <c r="BS78" s="3" t="s">
        <v>89</v>
      </c>
      <c r="BT78" s="3" t="s">
        <v>90</v>
      </c>
    </row>
    <row r="79" customFormat="false" ht="15" hidden="false" customHeight="false" outlineLevel="0" collapsed="false">
      <c r="A79" s="11" t="s">
        <v>216</v>
      </c>
      <c r="B79" s="11" t="s">
        <v>91</v>
      </c>
      <c r="C79" s="11" t="s">
        <v>217</v>
      </c>
      <c r="D79" s="11" t="s">
        <v>75</v>
      </c>
      <c r="E79" s="11" t="s">
        <v>96</v>
      </c>
      <c r="F79" s="11" t="s">
        <v>218</v>
      </c>
      <c r="G79" s="11" t="s">
        <v>111</v>
      </c>
      <c r="H79" s="11" t="s">
        <v>155</v>
      </c>
      <c r="I79" s="11" t="s">
        <v>111</v>
      </c>
      <c r="J79" s="12" t="n">
        <v>3500000</v>
      </c>
      <c r="K79" s="13" t="n">
        <f aca="false">IFERROR(J79/M79,"")</f>
        <v>0.181818181818182</v>
      </c>
      <c r="L79" s="12" t="n">
        <v>15750000</v>
      </c>
      <c r="M79" s="14" t="n">
        <f aca="false">L79+J79</f>
        <v>19250000</v>
      </c>
      <c r="N79" s="12" t="n">
        <v>5144000</v>
      </c>
      <c r="O79" s="12" t="n">
        <v>42052608</v>
      </c>
      <c r="P79" s="12" t="n">
        <v>790701</v>
      </c>
      <c r="Q79" s="13" t="n">
        <f aca="false">IFERROR(P79/P78-1,"")</f>
        <v>0.312715409901385</v>
      </c>
      <c r="R79" s="12" t="n">
        <v>862548</v>
      </c>
      <c r="S79" s="13" t="n">
        <f aca="false">IFERROR(R79/R78-1,"")</f>
        <v>0.240981622984147</v>
      </c>
      <c r="T79" s="12" t="n">
        <v>650593</v>
      </c>
      <c r="U79" s="13" t="n">
        <f aca="false">IFERROR(T79/P79,"")</f>
        <v>0.822805333495215</v>
      </c>
      <c r="V79" s="14" t="n">
        <f aca="false">T79-AV79</f>
        <v>-2174813</v>
      </c>
      <c r="W79" s="14" t="n">
        <f aca="false">V79-AA79*0.1</f>
        <v>-2174813</v>
      </c>
      <c r="X79" s="12" t="n">
        <v>6237492</v>
      </c>
      <c r="Y79" s="12" t="n">
        <v>203980</v>
      </c>
      <c r="Z79" s="15" t="n">
        <f aca="false">IFERROR(X79/Y79,"")</f>
        <v>30.5789391116776</v>
      </c>
      <c r="AA79" s="12" t="n">
        <v>0</v>
      </c>
      <c r="AB79" s="14" t="n">
        <f aca="false">W79-0.02*P79</f>
        <v>-2190627.02</v>
      </c>
      <c r="AC79" s="16" t="n">
        <v>32</v>
      </c>
      <c r="AD79" s="13" t="n">
        <f aca="false">IFERROR(AC79/AC78-1,"")</f>
        <v>0.185185185185185</v>
      </c>
      <c r="AE79" s="17" t="n">
        <v>0.142</v>
      </c>
      <c r="AF79" s="17" t="n">
        <v>0.125</v>
      </c>
      <c r="AG79" s="13" t="n">
        <f aca="false">1-AF79</f>
        <v>0.875</v>
      </c>
      <c r="AH79" s="17" t="n">
        <v>1.093</v>
      </c>
      <c r="AI79" s="12" t="n">
        <v>105248</v>
      </c>
      <c r="AJ79" s="14" t="n">
        <f aca="false">IFERROR(AM79*U79*MIN(1/AE79,5),"")</f>
        <v>209815.36004128</v>
      </c>
      <c r="AK79" s="18" t="n">
        <f aca="false">IFERROR(AJ79/AI79,"")</f>
        <v>1.99353298914259</v>
      </c>
      <c r="AL79" s="15" t="n">
        <f aca="false">IFERROR(AI79/(AM79*U79/12),"")</f>
        <v>30.097319847115</v>
      </c>
      <c r="AM79" s="12" t="n">
        <v>51000</v>
      </c>
      <c r="AN79" s="12" t="n">
        <v>902732</v>
      </c>
      <c r="AO79" s="12" t="n">
        <v>1428768</v>
      </c>
      <c r="AP79" s="17" t="n">
        <v>0.269</v>
      </c>
      <c r="AQ79" s="16" t="n">
        <v>24</v>
      </c>
      <c r="AR79" s="16" t="n">
        <v>17</v>
      </c>
      <c r="AS79" s="13" t="n">
        <f aca="false">IFERROR(AR79/AR78-1,"")</f>
        <v>0.133333333333333</v>
      </c>
      <c r="AT79" s="11" t="s">
        <v>100</v>
      </c>
      <c r="AU79" s="14" t="n">
        <f aca="false">IFERROR(P79/AR79,"")</f>
        <v>46511.8235294118</v>
      </c>
      <c r="AV79" s="12" t="n">
        <v>2825406</v>
      </c>
      <c r="AW79" s="12" t="n">
        <v>1388482</v>
      </c>
      <c r="AX79" s="12" t="n">
        <v>764033</v>
      </c>
      <c r="AY79" s="16" t="n">
        <v>17924</v>
      </c>
      <c r="AZ79" s="13" t="n">
        <f aca="false">IFERROR(AY79/AY78-1,"")</f>
        <v>0.174343182860512</v>
      </c>
      <c r="BA79" s="17" t="n">
        <v>0.853</v>
      </c>
      <c r="BB79" s="11" t="s">
        <v>101</v>
      </c>
      <c r="BC79" s="11" t="s">
        <v>164</v>
      </c>
      <c r="BD79" s="11" t="s">
        <v>130</v>
      </c>
      <c r="BE79" s="12" t="n">
        <v>749281</v>
      </c>
      <c r="BF79" s="13" t="n">
        <f aca="false">IFERROR(P79/BE79-1,"")</f>
        <v>0.0552796614354294</v>
      </c>
      <c r="BG79" s="17" t="n">
        <v>0.001</v>
      </c>
      <c r="BH79" s="17" t="n">
        <v>-0.072</v>
      </c>
      <c r="BI79" s="14" t="n">
        <f aca="false">P79*(1+IFERROR(Q79,0))^4</f>
        <v>2347981.23536914</v>
      </c>
      <c r="BJ79" s="12" t="n">
        <v>-1279709</v>
      </c>
      <c r="BK79" s="11" t="s">
        <v>131</v>
      </c>
      <c r="BL79" s="11" t="s">
        <v>185</v>
      </c>
      <c r="BM79" s="14" t="n">
        <f aca="false">O79</f>
        <v>42052608</v>
      </c>
      <c r="BN79" s="11" t="s">
        <v>219</v>
      </c>
      <c r="BO79" s="13" t="n">
        <f aca="false">IFERROR(1-L79/M79,"")</f>
        <v>0.181818181818182</v>
      </c>
      <c r="BP79" s="11" t="s">
        <v>187</v>
      </c>
      <c r="BQ79" s="12" t="n">
        <v>3250623</v>
      </c>
      <c r="BR79" s="11" t="s">
        <v>88</v>
      </c>
      <c r="BS79" s="11" t="s">
        <v>89</v>
      </c>
      <c r="BT79" s="19" t="str">
        <f aca="false">IF(OR(Z79&lt;6,AH79&lt;0.9,S79&lt;0.02,AK79&lt;1),"REVIEW",IF(AND(S79&gt;0.25,AH79&gt;1.2),"ACCELERATING","STABLE"))</f>
        <v>STABLE</v>
      </c>
    </row>
    <row r="80" customFormat="false" ht="15" hidden="false" customHeight="false" outlineLevel="0" collapsed="false">
      <c r="A80" s="11" t="s">
        <v>216</v>
      </c>
      <c r="B80" s="11" t="s">
        <v>92</v>
      </c>
      <c r="C80" s="11" t="s">
        <v>217</v>
      </c>
      <c r="D80" s="11" t="s">
        <v>75</v>
      </c>
      <c r="E80" s="11" t="s">
        <v>96</v>
      </c>
      <c r="F80" s="11" t="s">
        <v>218</v>
      </c>
      <c r="G80" s="11" t="s">
        <v>111</v>
      </c>
      <c r="H80" s="11" t="s">
        <v>155</v>
      </c>
      <c r="I80" s="11" t="s">
        <v>111</v>
      </c>
      <c r="J80" s="12" t="n">
        <v>3500000</v>
      </c>
      <c r="K80" s="13" t="n">
        <f aca="false">IFERROR(J80/M80,"")</f>
        <v>0.181818181818182</v>
      </c>
      <c r="L80" s="12" t="n">
        <v>15750000</v>
      </c>
      <c r="M80" s="14" t="n">
        <f aca="false">L80+J80</f>
        <v>19250000</v>
      </c>
      <c r="N80" s="12" t="n">
        <v>5144000</v>
      </c>
      <c r="O80" s="12" t="n">
        <v>42052608</v>
      </c>
      <c r="P80" s="12" t="n">
        <v>938383</v>
      </c>
      <c r="Q80" s="13" t="n">
        <f aca="false">IFERROR(P80/P79-1,"")</f>
        <v>0.186773508570243</v>
      </c>
      <c r="R80" s="12" t="n">
        <v>1122843</v>
      </c>
      <c r="S80" s="13" t="n">
        <f aca="false">IFERROR(R80/R79-1,"")</f>
        <v>0.301774509940316</v>
      </c>
      <c r="T80" s="12" t="n">
        <v>775220</v>
      </c>
      <c r="U80" s="13" t="n">
        <f aca="false">IFERROR(T80/P80,"")</f>
        <v>0.826123235395356</v>
      </c>
      <c r="V80" s="14" t="n">
        <f aca="false">T80-AV80</f>
        <v>-2521522</v>
      </c>
      <c r="W80" s="14" t="n">
        <f aca="false">V80-AA80*0.1</f>
        <v>-2521522</v>
      </c>
      <c r="X80" s="12" t="n">
        <v>5704323</v>
      </c>
      <c r="Y80" s="12" t="n">
        <v>210490</v>
      </c>
      <c r="Z80" s="15" t="n">
        <f aca="false">IFERROR(X80/Y80,"")</f>
        <v>27.1002090360587</v>
      </c>
      <c r="AA80" s="12" t="n">
        <v>0</v>
      </c>
      <c r="AB80" s="14" t="n">
        <f aca="false">W80-0.02*P80</f>
        <v>-2540289.66</v>
      </c>
      <c r="AC80" s="16" t="n">
        <v>40</v>
      </c>
      <c r="AD80" s="13" t="n">
        <f aca="false">IFERROR(AC80/AC79-1,"")</f>
        <v>0.25</v>
      </c>
      <c r="AE80" s="17" t="n">
        <v>0.138</v>
      </c>
      <c r="AF80" s="17" t="n">
        <v>0.141</v>
      </c>
      <c r="AG80" s="13" t="n">
        <f aca="false">1-AF80</f>
        <v>0.859</v>
      </c>
      <c r="AH80" s="17" t="n">
        <v>1.088</v>
      </c>
      <c r="AI80" s="12" t="n">
        <v>103224</v>
      </c>
      <c r="AJ80" s="14" t="n">
        <f aca="false">IFERROR(AM80*U80*MIN(1/AE80,5),"")</f>
        <v>214792.041202792</v>
      </c>
      <c r="AK80" s="18" t="n">
        <f aca="false">IFERROR(AJ80/AI80,"")</f>
        <v>2.08083431375254</v>
      </c>
      <c r="AL80" s="15" t="n">
        <f aca="false">IFERROR(AI80/(AM80*U80/12),"")</f>
        <v>28.8345879359308</v>
      </c>
      <c r="AM80" s="12" t="n">
        <v>52000</v>
      </c>
      <c r="AN80" s="12" t="n">
        <v>1275854</v>
      </c>
      <c r="AO80" s="12" t="n">
        <v>3714025</v>
      </c>
      <c r="AP80" s="17" t="n">
        <v>0.269</v>
      </c>
      <c r="AQ80" s="16" t="n">
        <v>24</v>
      </c>
      <c r="AR80" s="16" t="n">
        <v>19</v>
      </c>
      <c r="AS80" s="13" t="n">
        <f aca="false">IFERROR(AR80/AR79-1,"")</f>
        <v>0.117647058823529</v>
      </c>
      <c r="AT80" s="11" t="s">
        <v>100</v>
      </c>
      <c r="AU80" s="14" t="n">
        <f aca="false">IFERROR(P80/AR80,"")</f>
        <v>49388.5789473684</v>
      </c>
      <c r="AV80" s="12" t="n">
        <v>3296742</v>
      </c>
      <c r="AW80" s="12" t="n">
        <v>1309267</v>
      </c>
      <c r="AX80" s="12" t="n">
        <v>1105076</v>
      </c>
      <c r="AY80" s="16" t="n">
        <v>22235</v>
      </c>
      <c r="AZ80" s="13" t="n">
        <f aca="false">IFERROR(AY80/AY79-1,"")</f>
        <v>0.240515509930819</v>
      </c>
      <c r="BA80" s="17" t="n">
        <v>0.858</v>
      </c>
      <c r="BB80" s="11" t="s">
        <v>101</v>
      </c>
      <c r="BC80" s="11" t="s">
        <v>164</v>
      </c>
      <c r="BD80" s="11" t="s">
        <v>130</v>
      </c>
      <c r="BE80" s="12" t="n">
        <v>942835</v>
      </c>
      <c r="BF80" s="13" t="n">
        <f aca="false">IFERROR(P80/BE80-1,"")</f>
        <v>-0.00472192907560709</v>
      </c>
      <c r="BG80" s="17" t="n">
        <v>-0.008</v>
      </c>
      <c r="BH80" s="17" t="n">
        <v>0.073</v>
      </c>
      <c r="BI80" s="14" t="n">
        <f aca="false">P80*(1+IFERROR(Q80,0))^4</f>
        <v>1861450.55500962</v>
      </c>
      <c r="BJ80" s="12" t="n">
        <v>-1526069</v>
      </c>
      <c r="BK80" s="11" t="s">
        <v>131</v>
      </c>
      <c r="BL80" s="11" t="s">
        <v>185</v>
      </c>
      <c r="BM80" s="14" t="n">
        <f aca="false">O80</f>
        <v>42052608</v>
      </c>
      <c r="BN80" s="11" t="s">
        <v>219</v>
      </c>
      <c r="BO80" s="13" t="n">
        <f aca="false">IFERROR(1-L80/M80,"")</f>
        <v>0.181818181818182</v>
      </c>
      <c r="BP80" s="11" t="s">
        <v>187</v>
      </c>
      <c r="BQ80" s="12" t="n">
        <v>3150157</v>
      </c>
      <c r="BR80" s="11" t="s">
        <v>88</v>
      </c>
      <c r="BS80" s="11" t="s">
        <v>89</v>
      </c>
      <c r="BT80" s="19" t="str">
        <f aca="false">IF(OR(Z80&lt;6,AH80&lt;0.9,S80&lt;0.02,AK80&lt;1),"REVIEW",IF(AND(S80&gt;0.25,AH80&gt;1.2),"ACCELERATING","STABLE"))</f>
        <v>STABLE</v>
      </c>
    </row>
    <row r="81" customFormat="false" ht="15" hidden="false" customHeight="false" outlineLevel="0" collapsed="false">
      <c r="A81" s="11" t="s">
        <v>216</v>
      </c>
      <c r="B81" s="11" t="s">
        <v>93</v>
      </c>
      <c r="C81" s="11" t="s">
        <v>217</v>
      </c>
      <c r="D81" s="11" t="s">
        <v>75</v>
      </c>
      <c r="E81" s="11" t="s">
        <v>96</v>
      </c>
      <c r="F81" s="11" t="s">
        <v>218</v>
      </c>
      <c r="G81" s="11" t="s">
        <v>111</v>
      </c>
      <c r="H81" s="11" t="s">
        <v>155</v>
      </c>
      <c r="I81" s="11" t="s">
        <v>111</v>
      </c>
      <c r="J81" s="12" t="n">
        <v>3500000</v>
      </c>
      <c r="K81" s="13" t="n">
        <f aca="false">IFERROR(J81/M81,"")</f>
        <v>0.181818181818182</v>
      </c>
      <c r="L81" s="12" t="n">
        <v>15750000</v>
      </c>
      <c r="M81" s="14" t="n">
        <f aca="false">L81+J81</f>
        <v>19250000</v>
      </c>
      <c r="N81" s="12" t="n">
        <v>5144000</v>
      </c>
      <c r="O81" s="12" t="n">
        <v>42052608</v>
      </c>
      <c r="P81" s="12" t="n">
        <v>1217805</v>
      </c>
      <c r="Q81" s="13" t="n">
        <f aca="false">IFERROR(P81/P80-1,"")</f>
        <v>0.297769674003046</v>
      </c>
      <c r="R81" s="12" t="n">
        <v>1418942</v>
      </c>
      <c r="S81" s="13" t="n">
        <f aca="false">IFERROR(R81/R80-1,"")</f>
        <v>0.26370472096277</v>
      </c>
      <c r="T81" s="12" t="n">
        <v>1010098</v>
      </c>
      <c r="U81" s="13" t="n">
        <f aca="false">IFERROR(T81/P81,"")</f>
        <v>0.829441495149059</v>
      </c>
      <c r="V81" s="14" t="n">
        <f aca="false">T81-AV81</f>
        <v>-2701780</v>
      </c>
      <c r="W81" s="14" t="n">
        <f aca="false">V81-AA81*0.1</f>
        <v>-2701780</v>
      </c>
      <c r="X81" s="12" t="n">
        <v>5136000</v>
      </c>
      <c r="Y81" s="12" t="n">
        <v>217000</v>
      </c>
      <c r="Z81" s="15" t="n">
        <f aca="false">IFERROR(X81/Y81,"")</f>
        <v>23.668202764977</v>
      </c>
      <c r="AA81" s="12" t="n">
        <v>0</v>
      </c>
      <c r="AB81" s="14" t="n">
        <f aca="false">W81-0.02*P81</f>
        <v>-2726136.1</v>
      </c>
      <c r="AC81" s="16" t="n">
        <v>48</v>
      </c>
      <c r="AD81" s="13" t="n">
        <f aca="false">IFERROR(AC81/AC80-1,"")</f>
        <v>0.2</v>
      </c>
      <c r="AE81" s="17" t="n">
        <v>0.134</v>
      </c>
      <c r="AF81" s="17" t="n">
        <v>0.112</v>
      </c>
      <c r="AG81" s="13" t="n">
        <f aca="false">1-AF81</f>
        <v>0.888</v>
      </c>
      <c r="AH81" s="17" t="n">
        <v>1.083</v>
      </c>
      <c r="AI81" s="12" t="n">
        <v>101200</v>
      </c>
      <c r="AJ81" s="14" t="n">
        <f aca="false">IFERROR(AM81*U81*MIN(1/AE81,5),"")</f>
        <v>219801.996214501</v>
      </c>
      <c r="AK81" s="18" t="n">
        <f aca="false">IFERROR(AJ81/AI81,"")</f>
        <v>2.17195648433301</v>
      </c>
      <c r="AL81" s="15" t="n">
        <f aca="false">IFERROR(AI81/(AM81*U81/12),"")</f>
        <v>27.6248628519026</v>
      </c>
      <c r="AM81" s="12" t="n">
        <v>53000</v>
      </c>
      <c r="AN81" s="12" t="n">
        <v>1772492</v>
      </c>
      <c r="AO81" s="12" t="n">
        <v>5251915</v>
      </c>
      <c r="AP81" s="17" t="n">
        <v>0.269</v>
      </c>
      <c r="AQ81" s="16" t="n">
        <v>24</v>
      </c>
      <c r="AR81" s="16" t="n">
        <v>21</v>
      </c>
      <c r="AS81" s="13" t="n">
        <f aca="false">IFERROR(AR81/AR80-1,"")</f>
        <v>0.105263157894737</v>
      </c>
      <c r="AT81" s="11" t="s">
        <v>100</v>
      </c>
      <c r="AU81" s="14" t="n">
        <f aca="false">IFERROR(P81/AR81,"")</f>
        <v>57990.7142857143</v>
      </c>
      <c r="AV81" s="12" t="n">
        <v>3711878</v>
      </c>
      <c r="AW81" s="12" t="n">
        <v>1190744</v>
      </c>
      <c r="AX81" s="12" t="n">
        <v>711531</v>
      </c>
      <c r="AY81" s="16" t="n">
        <v>26873</v>
      </c>
      <c r="AZ81" s="13" t="n">
        <f aca="false">IFERROR(AY81/AY80-1,"")</f>
        <v>0.208590060715089</v>
      </c>
      <c r="BA81" s="17" t="n">
        <v>0.874</v>
      </c>
      <c r="BB81" s="11" t="s">
        <v>101</v>
      </c>
      <c r="BC81" s="11" t="s">
        <v>164</v>
      </c>
      <c r="BD81" s="11" t="s">
        <v>130</v>
      </c>
      <c r="BE81" s="12" t="n">
        <v>1131775</v>
      </c>
      <c r="BF81" s="13" t="n">
        <f aca="false">IFERROR(P81/BE81-1,"")</f>
        <v>0.0760133418744893</v>
      </c>
      <c r="BG81" s="17" t="n">
        <v>-0.034</v>
      </c>
      <c r="BH81" s="17" t="n">
        <v>0.005</v>
      </c>
      <c r="BI81" s="14" t="n">
        <f aca="false">P81*(1+IFERROR(Q81,0))^4</f>
        <v>3454365.11059658</v>
      </c>
      <c r="BJ81" s="12" t="n">
        <v>-1381820</v>
      </c>
      <c r="BK81" s="11" t="s">
        <v>131</v>
      </c>
      <c r="BL81" s="11" t="s">
        <v>185</v>
      </c>
      <c r="BM81" s="14" t="n">
        <f aca="false">O81</f>
        <v>42052608</v>
      </c>
      <c r="BN81" s="11" t="s">
        <v>219</v>
      </c>
      <c r="BO81" s="13" t="n">
        <f aca="false">IFERROR(1-L81/M81,"")</f>
        <v>0.181818181818182</v>
      </c>
      <c r="BP81" s="11" t="s">
        <v>187</v>
      </c>
      <c r="BQ81" s="12" t="n">
        <v>2774438</v>
      </c>
      <c r="BR81" s="11" t="s">
        <v>88</v>
      </c>
      <c r="BS81" s="11" t="s">
        <v>89</v>
      </c>
      <c r="BT81" s="19" t="str">
        <f aca="false">IF(OR(Z81&lt;6,AH81&lt;0.9,S81&lt;0.02,AK81&lt;1),"REVIEW",IF(AND(S81&gt;0.25,AH81&gt;1.2),"ACCELERATING","STABLE"))</f>
        <v>STABLE</v>
      </c>
    </row>
    <row r="82" customFormat="false" ht="15" hidden="false" customHeight="false" outlineLevel="0" collapsed="false">
      <c r="A82" s="3" t="s">
        <v>220</v>
      </c>
      <c r="B82" s="3" t="s">
        <v>73</v>
      </c>
      <c r="C82" s="3" t="s">
        <v>221</v>
      </c>
      <c r="D82" s="3" t="s">
        <v>75</v>
      </c>
      <c r="E82" s="3" t="s">
        <v>174</v>
      </c>
      <c r="F82" s="3" t="s">
        <v>222</v>
      </c>
      <c r="G82" s="3" t="s">
        <v>111</v>
      </c>
      <c r="H82" s="3" t="s">
        <v>99</v>
      </c>
      <c r="I82" s="3" t="s">
        <v>111</v>
      </c>
      <c r="J82" s="4" t="n">
        <v>2100000</v>
      </c>
      <c r="K82" s="5" t="n">
        <f aca="false">IFERROR(J82/M82,"")</f>
        <v>0.148577897268997</v>
      </c>
      <c r="L82" s="4" t="n">
        <v>12034000</v>
      </c>
      <c r="M82" s="6" t="n">
        <f aca="false">L82+J82</f>
        <v>14134000</v>
      </c>
      <c r="N82" s="4" t="n">
        <v>4630000</v>
      </c>
      <c r="O82" s="4" t="n">
        <v>25904794</v>
      </c>
      <c r="P82" s="4" t="n">
        <v>1151869</v>
      </c>
      <c r="Q82" s="7"/>
      <c r="R82" s="4" t="n">
        <v>1243567</v>
      </c>
      <c r="S82" s="7"/>
      <c r="T82" s="4" t="n">
        <v>890891</v>
      </c>
      <c r="U82" s="5" t="n">
        <f aca="false">IFERROR(T82/P82,"")</f>
        <v>0.773430832846443</v>
      </c>
      <c r="V82" s="6" t="n">
        <f aca="false">T82-AV82</f>
        <v>-1339396</v>
      </c>
      <c r="W82" s="6" t="n">
        <f aca="false">V82-AA82*0.1</f>
        <v>-1339396</v>
      </c>
      <c r="X82" s="4" t="n">
        <v>3764520</v>
      </c>
      <c r="Y82" s="4" t="n">
        <v>109200</v>
      </c>
      <c r="Z82" s="8" t="n">
        <f aca="false">IFERROR(X82/Y82,"")</f>
        <v>34.4736263736264</v>
      </c>
      <c r="AA82" s="4" t="n">
        <v>0</v>
      </c>
      <c r="AB82" s="6" t="n">
        <f aca="false">W82-0.02*P82</f>
        <v>-1362433.38</v>
      </c>
      <c r="AC82" s="9" t="n">
        <v>20</v>
      </c>
      <c r="AD82" s="7"/>
      <c r="AE82" s="7" t="n">
        <v>0.06</v>
      </c>
      <c r="AF82" s="7" t="n">
        <v>0.056</v>
      </c>
      <c r="AG82" s="5" t="n">
        <f aca="false">1-AF82</f>
        <v>0.944</v>
      </c>
      <c r="AH82" s="7" t="n">
        <v>1.12</v>
      </c>
      <c r="AI82" s="4" t="n">
        <v>62328</v>
      </c>
      <c r="AJ82" s="6" t="n">
        <f aca="false">IFERROR(AM82*U82*MIN(1/AE82,5),"")</f>
        <v>112147.470762734</v>
      </c>
      <c r="AK82" s="10" t="n">
        <f aca="false">IFERROR(AJ82/AI82,"")</f>
        <v>1.79931123672722</v>
      </c>
      <c r="AL82" s="8" t="n">
        <f aca="false">IFERROR(AI82/(AM82*U82/12),"")</f>
        <v>33.3460930912288</v>
      </c>
      <c r="AM82" s="4" t="n">
        <v>29000</v>
      </c>
      <c r="AN82" s="4" t="n">
        <v>1616266</v>
      </c>
      <c r="AO82" s="4" t="n">
        <v>4002624</v>
      </c>
      <c r="AP82" s="7" t="n">
        <v>0.351</v>
      </c>
      <c r="AQ82" s="9" t="n">
        <v>72</v>
      </c>
      <c r="AR82" s="9" t="n">
        <v>10</v>
      </c>
      <c r="AS82" s="7"/>
      <c r="AT82" s="3" t="s">
        <v>175</v>
      </c>
      <c r="AU82" s="6" t="n">
        <f aca="false">IFERROR(P82/AR82,"")</f>
        <v>115186.9</v>
      </c>
      <c r="AV82" s="4" t="n">
        <v>2230287</v>
      </c>
      <c r="AW82" s="4" t="n">
        <v>934242</v>
      </c>
      <c r="AX82" s="4" t="n">
        <v>722794</v>
      </c>
      <c r="AY82" s="9" t="n">
        <v>11119</v>
      </c>
      <c r="AZ82" s="7"/>
      <c r="BA82" s="7" t="n">
        <v>0.935</v>
      </c>
      <c r="BB82" s="3" t="s">
        <v>101</v>
      </c>
      <c r="BC82" s="3" t="s">
        <v>179</v>
      </c>
      <c r="BD82" s="3" t="s">
        <v>145</v>
      </c>
      <c r="BE82" s="4" t="n">
        <v>1307343</v>
      </c>
      <c r="BF82" s="5" t="n">
        <f aca="false">IFERROR(P82/BE82-1,"")</f>
        <v>-0.118923648958231</v>
      </c>
      <c r="BG82" s="7" t="n">
        <v>0.076</v>
      </c>
      <c r="BH82" s="7" t="n">
        <v>-0.013</v>
      </c>
      <c r="BI82" s="6" t="n">
        <f aca="false">P82</f>
        <v>1151869</v>
      </c>
      <c r="BJ82" s="4" t="n">
        <v>-869311</v>
      </c>
      <c r="BK82" s="3" t="s">
        <v>131</v>
      </c>
      <c r="BL82" s="3" t="s">
        <v>185</v>
      </c>
      <c r="BM82" s="6" t="n">
        <f aca="false">O82</f>
        <v>25904794</v>
      </c>
      <c r="BN82" s="3" t="s">
        <v>223</v>
      </c>
      <c r="BO82" s="5" t="n">
        <f aca="false">IFERROR(1-L82/M82,"")</f>
        <v>0.148577897268997</v>
      </c>
      <c r="BP82" s="3" t="s">
        <v>106</v>
      </c>
      <c r="BQ82" s="4" t="n">
        <v>2109761</v>
      </c>
      <c r="BR82" s="3" t="s">
        <v>88</v>
      </c>
      <c r="BS82" s="3" t="s">
        <v>89</v>
      </c>
      <c r="BT82" s="3" t="s">
        <v>90</v>
      </c>
    </row>
    <row r="83" customFormat="false" ht="15" hidden="false" customHeight="false" outlineLevel="0" collapsed="false">
      <c r="A83" s="11" t="s">
        <v>220</v>
      </c>
      <c r="B83" s="11" t="s">
        <v>91</v>
      </c>
      <c r="C83" s="11" t="s">
        <v>221</v>
      </c>
      <c r="D83" s="11" t="s">
        <v>75</v>
      </c>
      <c r="E83" s="11" t="s">
        <v>174</v>
      </c>
      <c r="F83" s="11" t="s">
        <v>222</v>
      </c>
      <c r="G83" s="11" t="s">
        <v>111</v>
      </c>
      <c r="H83" s="11" t="s">
        <v>99</v>
      </c>
      <c r="I83" s="11" t="s">
        <v>111</v>
      </c>
      <c r="J83" s="12" t="n">
        <v>2100000</v>
      </c>
      <c r="K83" s="13" t="n">
        <f aca="false">IFERROR(J83/M83,"")</f>
        <v>0.148577897268997</v>
      </c>
      <c r="L83" s="12" t="n">
        <v>12034000</v>
      </c>
      <c r="M83" s="14" t="n">
        <f aca="false">L83+J83</f>
        <v>14134000</v>
      </c>
      <c r="N83" s="12" t="n">
        <v>4630000</v>
      </c>
      <c r="O83" s="12" t="n">
        <v>25904794</v>
      </c>
      <c r="P83" s="12" t="n">
        <v>1369882</v>
      </c>
      <c r="Q83" s="13" t="n">
        <f aca="false">IFERROR(P83/P82-1,"")</f>
        <v>0.189268918600987</v>
      </c>
      <c r="R83" s="12" t="n">
        <v>1526178</v>
      </c>
      <c r="S83" s="13" t="n">
        <f aca="false">IFERROR(R83/R82-1,"")</f>
        <v>0.227258362436443</v>
      </c>
      <c r="T83" s="12" t="n">
        <v>1063798</v>
      </c>
      <c r="U83" s="13" t="n">
        <f aca="false">IFERROR(T83/P83,"")</f>
        <v>0.776561776853773</v>
      </c>
      <c r="V83" s="14" t="n">
        <f aca="false">T83-AV83</f>
        <v>-1017897</v>
      </c>
      <c r="W83" s="14" t="n">
        <f aca="false">V83-AA83*0.1</f>
        <v>-1017897</v>
      </c>
      <c r="X83" s="12" t="n">
        <v>3489120</v>
      </c>
      <c r="Y83" s="12" t="n">
        <v>112800</v>
      </c>
      <c r="Z83" s="15" t="n">
        <f aca="false">IFERROR(X83/Y83,"")</f>
        <v>30.931914893617</v>
      </c>
      <c r="AA83" s="12" t="n">
        <v>0</v>
      </c>
      <c r="AB83" s="14" t="n">
        <f aca="false">W83-0.02*P83</f>
        <v>-1045294.64</v>
      </c>
      <c r="AC83" s="16" t="n">
        <v>23</v>
      </c>
      <c r="AD83" s="13" t="n">
        <f aca="false">IFERROR(AC83/AC82-1,"")</f>
        <v>0.15</v>
      </c>
      <c r="AE83" s="17" t="n">
        <v>0.058</v>
      </c>
      <c r="AF83" s="17" t="n">
        <v>0.042</v>
      </c>
      <c r="AG83" s="13" t="n">
        <f aca="false">1-AF83</f>
        <v>0.958</v>
      </c>
      <c r="AH83" s="17" t="n">
        <v>1.115</v>
      </c>
      <c r="AI83" s="12" t="n">
        <v>61152</v>
      </c>
      <c r="AJ83" s="14" t="n">
        <f aca="false">IFERROR(AM83*U83*MIN(1/AE83,5),"")</f>
        <v>114853.486796673</v>
      </c>
      <c r="AK83" s="18" t="n">
        <f aca="false">IFERROR(AJ83/AI83,"")</f>
        <v>1.87816403055784</v>
      </c>
      <c r="AL83" s="15" t="n">
        <f aca="false">IFERROR(AI83/(AM83*U83/12),"")</f>
        <v>31.9460915147966</v>
      </c>
      <c r="AM83" s="12" t="n">
        <v>29580</v>
      </c>
      <c r="AN83" s="12" t="n">
        <v>1883026</v>
      </c>
      <c r="AO83" s="12" t="n">
        <v>2498168</v>
      </c>
      <c r="AP83" s="17" t="n">
        <v>0.351</v>
      </c>
      <c r="AQ83" s="16" t="n">
        <v>72</v>
      </c>
      <c r="AR83" s="16" t="n">
        <v>11</v>
      </c>
      <c r="AS83" s="13" t="n">
        <f aca="false">IFERROR(AR83/AR82-1,"")</f>
        <v>0.1</v>
      </c>
      <c r="AT83" s="11" t="s">
        <v>175</v>
      </c>
      <c r="AU83" s="14" t="n">
        <f aca="false">IFERROR(P83/AR83,"")</f>
        <v>124534.727272727</v>
      </c>
      <c r="AV83" s="12" t="n">
        <v>2081695</v>
      </c>
      <c r="AW83" s="12" t="n">
        <v>781713</v>
      </c>
      <c r="AX83" s="12" t="n">
        <v>536946</v>
      </c>
      <c r="AY83" s="16" t="n">
        <v>13642</v>
      </c>
      <c r="AZ83" s="13" t="n">
        <f aca="false">IFERROR(AY83/AY82-1,"")</f>
        <v>0.226908894684774</v>
      </c>
      <c r="BA83" s="17" t="n">
        <v>0.955</v>
      </c>
      <c r="BB83" s="11" t="s">
        <v>101</v>
      </c>
      <c r="BC83" s="11" t="s">
        <v>179</v>
      </c>
      <c r="BD83" s="11" t="s">
        <v>145</v>
      </c>
      <c r="BE83" s="12" t="n">
        <v>1579042</v>
      </c>
      <c r="BF83" s="13" t="n">
        <f aca="false">IFERROR(P83/BE83-1,"")</f>
        <v>-0.132460061226997</v>
      </c>
      <c r="BG83" s="17" t="n">
        <v>-0.016</v>
      </c>
      <c r="BH83" s="17" t="n">
        <v>0.002</v>
      </c>
      <c r="BI83" s="14" t="n">
        <f aca="false">P83*(1+IFERROR(Q83,0))^4</f>
        <v>2740333.59119042</v>
      </c>
      <c r="BJ83" s="12" t="n">
        <v>-713009</v>
      </c>
      <c r="BK83" s="11" t="s">
        <v>131</v>
      </c>
      <c r="BL83" s="11" t="s">
        <v>185</v>
      </c>
      <c r="BM83" s="14" t="n">
        <f aca="false">O83</f>
        <v>25904794</v>
      </c>
      <c r="BN83" s="11" t="s">
        <v>223</v>
      </c>
      <c r="BO83" s="13" t="n">
        <f aca="false">IFERROR(1-L83/M83,"")</f>
        <v>0.148577897268997</v>
      </c>
      <c r="BP83" s="11" t="s">
        <v>106</v>
      </c>
      <c r="BQ83" s="12" t="n">
        <v>1486027</v>
      </c>
      <c r="BR83" s="11" t="s">
        <v>88</v>
      </c>
      <c r="BS83" s="11" t="s">
        <v>89</v>
      </c>
      <c r="BT83" s="19" t="str">
        <f aca="false">IF(OR(Z83&lt;6,AH83&lt;0.9,S83&lt;0.02,AK83&lt;1),"REVIEW",IF(AND(S83&gt;0.25,AH83&gt;1.2),"ACCELERATING","STABLE"))</f>
        <v>STABLE</v>
      </c>
    </row>
    <row r="84" customFormat="false" ht="15" hidden="false" customHeight="false" outlineLevel="0" collapsed="false">
      <c r="A84" s="11" t="s">
        <v>220</v>
      </c>
      <c r="B84" s="11" t="s">
        <v>92</v>
      </c>
      <c r="C84" s="11" t="s">
        <v>221</v>
      </c>
      <c r="D84" s="11" t="s">
        <v>75</v>
      </c>
      <c r="E84" s="11" t="s">
        <v>174</v>
      </c>
      <c r="F84" s="11" t="s">
        <v>222</v>
      </c>
      <c r="G84" s="11" t="s">
        <v>111</v>
      </c>
      <c r="H84" s="11" t="s">
        <v>99</v>
      </c>
      <c r="I84" s="11" t="s">
        <v>111</v>
      </c>
      <c r="J84" s="12" t="n">
        <v>2100000</v>
      </c>
      <c r="K84" s="13" t="n">
        <f aca="false">IFERROR(J84/M84,"")</f>
        <v>0.148577897268997</v>
      </c>
      <c r="L84" s="12" t="n">
        <v>12034000</v>
      </c>
      <c r="M84" s="14" t="n">
        <f aca="false">L84+J84</f>
        <v>14134000</v>
      </c>
      <c r="N84" s="12" t="n">
        <v>4630000</v>
      </c>
      <c r="O84" s="12" t="n">
        <v>25904794</v>
      </c>
      <c r="P84" s="12" t="n">
        <v>1738202</v>
      </c>
      <c r="Q84" s="13" t="n">
        <f aca="false">IFERROR(P84/P83-1,"")</f>
        <v>0.268869873463554</v>
      </c>
      <c r="R84" s="12" t="n">
        <v>1770042</v>
      </c>
      <c r="S84" s="13" t="n">
        <f aca="false">IFERROR(R84/R83-1,"")</f>
        <v>0.159787390461663</v>
      </c>
      <c r="T84" s="12" t="n">
        <v>1355264</v>
      </c>
      <c r="U84" s="13" t="n">
        <f aca="false">IFERROR(T84/P84,"")</f>
        <v>0.779693039128939</v>
      </c>
      <c r="V84" s="14" t="n">
        <f aca="false">T84-AV84</f>
        <v>-1296494</v>
      </c>
      <c r="W84" s="14" t="n">
        <f aca="false">V84-AA84*0.1</f>
        <v>-1296494</v>
      </c>
      <c r="X84" s="12" t="n">
        <v>3194280</v>
      </c>
      <c r="Y84" s="12" t="n">
        <v>116400</v>
      </c>
      <c r="Z84" s="15" t="n">
        <f aca="false">IFERROR(X84/Y84,"")</f>
        <v>27.4422680412371</v>
      </c>
      <c r="AA84" s="12" t="n">
        <v>0</v>
      </c>
      <c r="AB84" s="14" t="n">
        <f aca="false">W84-0.02*P84</f>
        <v>-1331258.04</v>
      </c>
      <c r="AC84" s="16" t="n">
        <v>27</v>
      </c>
      <c r="AD84" s="13" t="n">
        <f aca="false">IFERROR(AC84/AC83-1,"")</f>
        <v>0.173913043478261</v>
      </c>
      <c r="AE84" s="17" t="n">
        <v>0.057</v>
      </c>
      <c r="AF84" s="17" t="n">
        <v>0.035</v>
      </c>
      <c r="AG84" s="13" t="n">
        <f aca="false">1-AF84</f>
        <v>0.965</v>
      </c>
      <c r="AH84" s="17" t="n">
        <v>1.11</v>
      </c>
      <c r="AI84" s="12" t="n">
        <v>59976</v>
      </c>
      <c r="AJ84" s="14" t="n">
        <f aca="false">IFERROR(AM84*U84*MIN(1/AE84,5),"")</f>
        <v>117577.710300644</v>
      </c>
      <c r="AK84" s="18" t="n">
        <f aca="false">IFERROR(AJ84/AI84,"")</f>
        <v>1.96041267007876</v>
      </c>
      <c r="AL84" s="15" t="n">
        <f aca="false">IFERROR(AI84/(AM84*U84/12),"")</f>
        <v>30.6058009702566</v>
      </c>
      <c r="AM84" s="12" t="n">
        <v>30160</v>
      </c>
      <c r="AN84" s="12" t="n">
        <v>2160945</v>
      </c>
      <c r="AO84" s="12" t="n">
        <v>6670742</v>
      </c>
      <c r="AP84" s="17" t="n">
        <v>0.351</v>
      </c>
      <c r="AQ84" s="16" t="n">
        <v>72</v>
      </c>
      <c r="AR84" s="16" t="n">
        <v>12</v>
      </c>
      <c r="AS84" s="13" t="n">
        <f aca="false">IFERROR(AR84/AR83-1,"")</f>
        <v>0.0909090909090908</v>
      </c>
      <c r="AT84" s="11" t="s">
        <v>175</v>
      </c>
      <c r="AU84" s="14" t="n">
        <f aca="false">IFERROR(P84/AR84,"")</f>
        <v>144850.166666667</v>
      </c>
      <c r="AV84" s="12" t="n">
        <v>2651758</v>
      </c>
      <c r="AW84" s="12" t="n">
        <v>1266557</v>
      </c>
      <c r="AX84" s="12" t="n">
        <v>561813</v>
      </c>
      <c r="AY84" s="16" t="n">
        <v>16572</v>
      </c>
      <c r="AZ84" s="13" t="n">
        <f aca="false">IFERROR(AY84/AY83-1,"")</f>
        <v>0.214777891804721</v>
      </c>
      <c r="BA84" s="17" t="n">
        <v>0.946</v>
      </c>
      <c r="BB84" s="11" t="s">
        <v>101</v>
      </c>
      <c r="BC84" s="11" t="s">
        <v>179</v>
      </c>
      <c r="BD84" s="11" t="s">
        <v>145</v>
      </c>
      <c r="BE84" s="12" t="n">
        <v>1721852</v>
      </c>
      <c r="BF84" s="13" t="n">
        <f aca="false">IFERROR(P84/BE84-1,"")</f>
        <v>0.00949558963255837</v>
      </c>
      <c r="BG84" s="17" t="n">
        <v>0.003</v>
      </c>
      <c r="BH84" s="17" t="n">
        <v>0.021</v>
      </c>
      <c r="BI84" s="14" t="n">
        <f aca="false">P84*(1+IFERROR(Q84,0))^4</f>
        <v>4505765.54628506</v>
      </c>
      <c r="BJ84" s="12" t="n">
        <v>-1195286</v>
      </c>
      <c r="BK84" s="11" t="s">
        <v>131</v>
      </c>
      <c r="BL84" s="11" t="s">
        <v>185</v>
      </c>
      <c r="BM84" s="14" t="n">
        <f aca="false">O84</f>
        <v>25904794</v>
      </c>
      <c r="BN84" s="11" t="s">
        <v>223</v>
      </c>
      <c r="BO84" s="13" t="n">
        <f aca="false">IFERROR(1-L84/M84,"")</f>
        <v>0.148577897268997</v>
      </c>
      <c r="BP84" s="11" t="s">
        <v>106</v>
      </c>
      <c r="BQ84" s="12" t="n">
        <v>1595663</v>
      </c>
      <c r="BR84" s="11" t="s">
        <v>88</v>
      </c>
      <c r="BS84" s="11" t="s">
        <v>89</v>
      </c>
      <c r="BT84" s="19" t="str">
        <f aca="false">IF(OR(Z84&lt;6,AH84&lt;0.9,S84&lt;0.02,AK84&lt;1),"REVIEW",IF(AND(S84&gt;0.25,AH84&gt;1.2),"ACCELERATING","STABLE"))</f>
        <v>STABLE</v>
      </c>
    </row>
    <row r="85" customFormat="false" ht="15" hidden="false" customHeight="false" outlineLevel="0" collapsed="false">
      <c r="A85" s="11" t="s">
        <v>220</v>
      </c>
      <c r="B85" s="11" t="s">
        <v>93</v>
      </c>
      <c r="C85" s="11" t="s">
        <v>221</v>
      </c>
      <c r="D85" s="11" t="s">
        <v>75</v>
      </c>
      <c r="E85" s="11" t="s">
        <v>174</v>
      </c>
      <c r="F85" s="11" t="s">
        <v>222</v>
      </c>
      <c r="G85" s="11" t="s">
        <v>111</v>
      </c>
      <c r="H85" s="11" t="s">
        <v>99</v>
      </c>
      <c r="I85" s="11" t="s">
        <v>111</v>
      </c>
      <c r="J85" s="12" t="n">
        <v>2100000</v>
      </c>
      <c r="K85" s="13" t="n">
        <f aca="false">IFERROR(J85/M85,"")</f>
        <v>0.148577897268997</v>
      </c>
      <c r="L85" s="12" t="n">
        <v>12034000</v>
      </c>
      <c r="M85" s="14" t="n">
        <f aca="false">L85+J85</f>
        <v>14134000</v>
      </c>
      <c r="N85" s="12" t="n">
        <v>4630000</v>
      </c>
      <c r="O85" s="12" t="n">
        <v>25904794</v>
      </c>
      <c r="P85" s="12" t="n">
        <v>2032193</v>
      </c>
      <c r="Q85" s="13" t="n">
        <f aca="false">IFERROR(P85/P84-1,"")</f>
        <v>0.169135117782628</v>
      </c>
      <c r="R85" s="12" t="n">
        <v>2120196</v>
      </c>
      <c r="S85" s="13" t="n">
        <f aca="false">IFERROR(R85/R84-1,"")</f>
        <v>0.197822424552638</v>
      </c>
      <c r="T85" s="12" t="n">
        <v>1590851</v>
      </c>
      <c r="U85" s="13" t="n">
        <f aca="false">IFERROR(T85/P85,"")</f>
        <v>0.782824761230848</v>
      </c>
      <c r="V85" s="14" t="n">
        <f aca="false">T85-AV85</f>
        <v>-1248366</v>
      </c>
      <c r="W85" s="14" t="n">
        <f aca="false">V85-AA85*0.1</f>
        <v>-1248366</v>
      </c>
      <c r="X85" s="12" t="n">
        <v>2880000</v>
      </c>
      <c r="Y85" s="12" t="n">
        <v>120000</v>
      </c>
      <c r="Z85" s="15" t="n">
        <f aca="false">IFERROR(X85/Y85,"")</f>
        <v>24</v>
      </c>
      <c r="AA85" s="12" t="n">
        <v>0</v>
      </c>
      <c r="AB85" s="14" t="n">
        <f aca="false">W85-0.02*P85</f>
        <v>-1289009.86</v>
      </c>
      <c r="AC85" s="16" t="n">
        <v>31</v>
      </c>
      <c r="AD85" s="13" t="n">
        <f aca="false">IFERROR(AC85/AC84-1,"")</f>
        <v>0.148148148148148</v>
      </c>
      <c r="AE85" s="17" t="n">
        <v>0.055</v>
      </c>
      <c r="AF85" s="17" t="n">
        <v>0.048</v>
      </c>
      <c r="AG85" s="13" t="n">
        <f aca="false">1-AF85</f>
        <v>0.952</v>
      </c>
      <c r="AH85" s="17" t="n">
        <v>1.105</v>
      </c>
      <c r="AI85" s="12" t="n">
        <v>58800</v>
      </c>
      <c r="AJ85" s="14" t="n">
        <f aca="false">IFERROR(AM85*U85*MIN(1/AE85,5),"")</f>
        <v>120320.165801181</v>
      </c>
      <c r="AK85" s="18" t="n">
        <f aca="false">IFERROR(AJ85/AI85,"")</f>
        <v>2.04626132314934</v>
      </c>
      <c r="AL85" s="15" t="n">
        <f aca="false">IFERROR(AI85/(AM85*U85/12),"")</f>
        <v>29.3217681051879</v>
      </c>
      <c r="AM85" s="12" t="n">
        <v>30740</v>
      </c>
      <c r="AN85" s="12" t="n">
        <v>2253863</v>
      </c>
      <c r="AO85" s="12" t="n">
        <v>4645084</v>
      </c>
      <c r="AP85" s="17" t="n">
        <v>0.351</v>
      </c>
      <c r="AQ85" s="16" t="n">
        <v>72</v>
      </c>
      <c r="AR85" s="16" t="n">
        <v>13</v>
      </c>
      <c r="AS85" s="13" t="n">
        <f aca="false">IFERROR(AR85/AR84-1,"")</f>
        <v>0.0833333333333333</v>
      </c>
      <c r="AT85" s="11" t="s">
        <v>175</v>
      </c>
      <c r="AU85" s="14" t="n">
        <f aca="false">IFERROR(P85/AR85,"")</f>
        <v>156322.538461538</v>
      </c>
      <c r="AV85" s="12" t="n">
        <v>2839217</v>
      </c>
      <c r="AW85" s="12" t="n">
        <v>1230578</v>
      </c>
      <c r="AX85" s="12" t="n">
        <v>612165</v>
      </c>
      <c r="AY85" s="16" t="n">
        <v>20303</v>
      </c>
      <c r="AZ85" s="13" t="n">
        <f aca="false">IFERROR(AY85/AY84-1,"")</f>
        <v>0.225138788317644</v>
      </c>
      <c r="BA85" s="17" t="n">
        <v>0.959</v>
      </c>
      <c r="BB85" s="11" t="s">
        <v>101</v>
      </c>
      <c r="BC85" s="11" t="s">
        <v>179</v>
      </c>
      <c r="BD85" s="11" t="s">
        <v>145</v>
      </c>
      <c r="BE85" s="12" t="n">
        <v>2005265</v>
      </c>
      <c r="BF85" s="13" t="n">
        <f aca="false">IFERROR(P85/BE85-1,"")</f>
        <v>0.0134286490812936</v>
      </c>
      <c r="BG85" s="17" t="n">
        <v>0.032</v>
      </c>
      <c r="BH85" s="17" t="n">
        <v>-0.003</v>
      </c>
      <c r="BI85" s="14" t="n">
        <f aca="false">P85*(1+IFERROR(Q85,0))^4</f>
        <v>3796852.92153534</v>
      </c>
      <c r="BJ85" s="12" t="n">
        <v>-855239</v>
      </c>
      <c r="BK85" s="11" t="s">
        <v>131</v>
      </c>
      <c r="BL85" s="11" t="s">
        <v>185</v>
      </c>
      <c r="BM85" s="14" t="n">
        <f aca="false">O85</f>
        <v>25904794</v>
      </c>
      <c r="BN85" s="11" t="s">
        <v>223</v>
      </c>
      <c r="BO85" s="13" t="n">
        <f aca="false">IFERROR(1-L85/M85,"")</f>
        <v>0.148577897268997</v>
      </c>
      <c r="BP85" s="11" t="s">
        <v>106</v>
      </c>
      <c r="BQ85" s="12" t="n">
        <v>1603820</v>
      </c>
      <c r="BR85" s="11" t="s">
        <v>88</v>
      </c>
      <c r="BS85" s="11" t="s">
        <v>89</v>
      </c>
      <c r="BT85" s="19" t="str">
        <f aca="false">IF(OR(Z85&lt;6,AH85&lt;0.9,S85&lt;0.02,AK85&lt;1),"REVIEW",IF(AND(S85&gt;0.25,AH85&gt;1.2),"ACCELERATING","STABLE"))</f>
        <v>STABLE</v>
      </c>
    </row>
    <row r="86" customFormat="false" ht="15" hidden="false" customHeight="false" outlineLevel="0" collapsed="false">
      <c r="A86" s="3" t="s">
        <v>224</v>
      </c>
      <c r="B86" s="3" t="s">
        <v>73</v>
      </c>
      <c r="C86" s="3" t="s">
        <v>225</v>
      </c>
      <c r="D86" s="3" t="s">
        <v>75</v>
      </c>
      <c r="E86" s="3" t="s">
        <v>142</v>
      </c>
      <c r="F86" s="3" t="s">
        <v>77</v>
      </c>
      <c r="G86" s="3" t="s">
        <v>111</v>
      </c>
      <c r="H86" s="3" t="s">
        <v>79</v>
      </c>
      <c r="I86" s="3" t="s">
        <v>111</v>
      </c>
      <c r="J86" s="4" t="n">
        <v>1400000</v>
      </c>
      <c r="K86" s="5" t="n">
        <f aca="false">IFERROR(J86/M86,"")</f>
        <v>0.0706036613041505</v>
      </c>
      <c r="L86" s="4" t="n">
        <v>18429000</v>
      </c>
      <c r="M86" s="6" t="n">
        <f aca="false">L86+J86</f>
        <v>19829000</v>
      </c>
      <c r="N86" s="4" t="n">
        <v>4750000</v>
      </c>
      <c r="O86" s="4" t="n">
        <v>41996896</v>
      </c>
      <c r="P86" s="4" t="n">
        <v>326265</v>
      </c>
      <c r="Q86" s="7"/>
      <c r="R86" s="4" t="n">
        <v>325789</v>
      </c>
      <c r="S86" s="7"/>
      <c r="T86" s="4" t="n">
        <v>253804</v>
      </c>
      <c r="U86" s="5" t="n">
        <f aca="false">IFERROR(T86/P86,"")</f>
        <v>0.777907529155748</v>
      </c>
      <c r="V86" s="6" t="n">
        <f aca="false">T86-AV86</f>
        <v>-1724308</v>
      </c>
      <c r="W86" s="6" t="n">
        <f aca="false">V86-AA86*0.1</f>
        <v>-1724308</v>
      </c>
      <c r="X86" s="4" t="n">
        <v>3157392</v>
      </c>
      <c r="Y86" s="4" t="n">
        <v>138320</v>
      </c>
      <c r="Z86" s="8" t="n">
        <f aca="false">IFERROR(X86/Y86,"")</f>
        <v>22.8267206477733</v>
      </c>
      <c r="AA86" s="4" t="n">
        <v>0</v>
      </c>
      <c r="AB86" s="6" t="n">
        <f aca="false">W86-0.02*P86</f>
        <v>-1730833.3</v>
      </c>
      <c r="AC86" s="9" t="n">
        <v>11</v>
      </c>
      <c r="AD86" s="7"/>
      <c r="AE86" s="7" t="n">
        <v>0.07</v>
      </c>
      <c r="AF86" s="7" t="n">
        <v>0.043</v>
      </c>
      <c r="AG86" s="5" t="n">
        <f aca="false">1-AF86</f>
        <v>0.957</v>
      </c>
      <c r="AH86" s="7" t="n">
        <v>1.128</v>
      </c>
      <c r="AI86" s="4" t="n">
        <v>54590</v>
      </c>
      <c r="AJ86" s="6" t="n">
        <f aca="false">IFERROR(AM86*U86*MIN(1/AE86,5),"")</f>
        <v>182808.269351601</v>
      </c>
      <c r="AK86" s="10" t="n">
        <f aca="false">IFERROR(AJ86/AI86,"")</f>
        <v>3.34875012551018</v>
      </c>
      <c r="AL86" s="8" t="n">
        <f aca="false">IFERROR(AI86/(AM86*U86/12),"")</f>
        <v>17.9171325871497</v>
      </c>
      <c r="AM86" s="4" t="n">
        <v>47000</v>
      </c>
      <c r="AN86" s="4" t="n">
        <v>314037</v>
      </c>
      <c r="AO86" s="4" t="n">
        <v>672946</v>
      </c>
      <c r="AP86" s="7" t="n">
        <v>0.32</v>
      </c>
      <c r="AQ86" s="9" t="n">
        <v>73</v>
      </c>
      <c r="AR86" s="9" t="n">
        <v>7</v>
      </c>
      <c r="AS86" s="7"/>
      <c r="AT86" s="3" t="s">
        <v>137</v>
      </c>
      <c r="AU86" s="6" t="n">
        <f aca="false">IFERROR(P86/AR86,"")</f>
        <v>46609.2857142857</v>
      </c>
      <c r="AV86" s="4" t="n">
        <v>1978112</v>
      </c>
      <c r="AW86" s="4" t="n">
        <v>922537</v>
      </c>
      <c r="AX86" s="4" t="n">
        <v>545645</v>
      </c>
      <c r="AY86" s="9" t="n">
        <v>3701</v>
      </c>
      <c r="AZ86" s="7"/>
      <c r="BA86" s="7" t="n">
        <v>0.949</v>
      </c>
      <c r="BB86" s="3" t="s">
        <v>101</v>
      </c>
      <c r="BC86" s="3" t="s">
        <v>179</v>
      </c>
      <c r="BD86" s="3" t="s">
        <v>83</v>
      </c>
      <c r="BE86" s="4" t="n">
        <v>377894</v>
      </c>
      <c r="BF86" s="5" t="n">
        <f aca="false">IFERROR(P86/BE86-1,"")</f>
        <v>-0.136622968345621</v>
      </c>
      <c r="BG86" s="7" t="n">
        <v>-0.008</v>
      </c>
      <c r="BH86" s="7" t="n">
        <v>-0.075</v>
      </c>
      <c r="BI86" s="6" t="n">
        <f aca="false">P86</f>
        <v>326265</v>
      </c>
      <c r="BJ86" s="4" t="n">
        <v>-1289863</v>
      </c>
      <c r="BK86" s="3" t="s">
        <v>84</v>
      </c>
      <c r="BL86" s="3" t="s">
        <v>185</v>
      </c>
      <c r="BM86" s="6" t="n">
        <f aca="false">O86</f>
        <v>41996896</v>
      </c>
      <c r="BN86" s="3" t="s">
        <v>226</v>
      </c>
      <c r="BO86" s="5" t="n">
        <f aca="false">IFERROR(1-L86/M86,"")</f>
        <v>0.0706036613041505</v>
      </c>
      <c r="BP86" s="3" t="s">
        <v>106</v>
      </c>
      <c r="BQ86" s="4" t="n">
        <v>2373195</v>
      </c>
      <c r="BR86" s="3" t="s">
        <v>88</v>
      </c>
      <c r="BS86" s="3" t="s">
        <v>89</v>
      </c>
      <c r="BT86" s="3" t="s">
        <v>90</v>
      </c>
    </row>
    <row r="87" customFormat="false" ht="15" hidden="false" customHeight="false" outlineLevel="0" collapsed="false">
      <c r="A87" s="11" t="s">
        <v>224</v>
      </c>
      <c r="B87" s="11" t="s">
        <v>91</v>
      </c>
      <c r="C87" s="11" t="s">
        <v>225</v>
      </c>
      <c r="D87" s="11" t="s">
        <v>75</v>
      </c>
      <c r="E87" s="11" t="s">
        <v>142</v>
      </c>
      <c r="F87" s="11" t="s">
        <v>77</v>
      </c>
      <c r="G87" s="11" t="s">
        <v>111</v>
      </c>
      <c r="H87" s="11" t="s">
        <v>79</v>
      </c>
      <c r="I87" s="11" t="s">
        <v>111</v>
      </c>
      <c r="J87" s="12" t="n">
        <v>1400000</v>
      </c>
      <c r="K87" s="13" t="n">
        <f aca="false">IFERROR(J87/M87,"")</f>
        <v>0.0706036613041505</v>
      </c>
      <c r="L87" s="12" t="n">
        <v>18429000</v>
      </c>
      <c r="M87" s="14" t="n">
        <f aca="false">L87+J87</f>
        <v>19829000</v>
      </c>
      <c r="N87" s="12" t="n">
        <v>4750000</v>
      </c>
      <c r="O87" s="12" t="n">
        <v>41996896</v>
      </c>
      <c r="P87" s="12" t="n">
        <v>377382</v>
      </c>
      <c r="Q87" s="13" t="n">
        <f aca="false">IFERROR(P87/P86-1,"")</f>
        <v>0.156673256402005</v>
      </c>
      <c r="R87" s="12" t="n">
        <v>370237</v>
      </c>
      <c r="S87" s="13" t="n">
        <f aca="false">IFERROR(R87/R86-1,"")</f>
        <v>0.136431862340349</v>
      </c>
      <c r="T87" s="12" t="n">
        <v>294757</v>
      </c>
      <c r="U87" s="13" t="n">
        <f aca="false">IFERROR(T87/P87,"")</f>
        <v>0.781057390124595</v>
      </c>
      <c r="V87" s="14" t="n">
        <f aca="false">T87-AV87</f>
        <v>-1434121</v>
      </c>
      <c r="W87" s="14" t="n">
        <f aca="false">V87-AA87*0.1</f>
        <v>-1434121</v>
      </c>
      <c r="X87" s="12" t="n">
        <v>2808552</v>
      </c>
      <c r="Y87" s="12" t="n">
        <v>142880</v>
      </c>
      <c r="Z87" s="15" t="n">
        <f aca="false">IFERROR(X87/Y87,"")</f>
        <v>19.656718924972</v>
      </c>
      <c r="AA87" s="12" t="n">
        <v>0</v>
      </c>
      <c r="AB87" s="14" t="n">
        <f aca="false">W87-0.02*P87</f>
        <v>-1441668.64</v>
      </c>
      <c r="AC87" s="16" t="n">
        <v>12</v>
      </c>
      <c r="AD87" s="13" t="n">
        <f aca="false">IFERROR(AC87/AC86-1,"")</f>
        <v>0.0909090909090908</v>
      </c>
      <c r="AE87" s="17" t="n">
        <v>0.068</v>
      </c>
      <c r="AF87" s="17" t="n">
        <v>0.045</v>
      </c>
      <c r="AG87" s="13" t="n">
        <f aca="false">1-AF87</f>
        <v>0.955</v>
      </c>
      <c r="AH87" s="17" t="n">
        <v>1.123</v>
      </c>
      <c r="AI87" s="12" t="n">
        <v>53560</v>
      </c>
      <c r="AJ87" s="14" t="n">
        <f aca="false">IFERROR(AM87*U87*MIN(1/AE87,5),"")</f>
        <v>187219.456412866</v>
      </c>
      <c r="AK87" s="18" t="n">
        <f aca="false">IFERROR(AJ87/AI87,"")</f>
        <v>3.49550889493774</v>
      </c>
      <c r="AL87" s="15" t="n">
        <f aca="false">IFERROR(AI87/(AM87*U87/12),"")</f>
        <v>17.164882654681</v>
      </c>
      <c r="AM87" s="12" t="n">
        <v>47940</v>
      </c>
      <c r="AN87" s="12" t="n">
        <v>354461</v>
      </c>
      <c r="AO87" s="12" t="n">
        <v>864129</v>
      </c>
      <c r="AP87" s="17" t="n">
        <v>0.32</v>
      </c>
      <c r="AQ87" s="16" t="n">
        <v>73</v>
      </c>
      <c r="AR87" s="16" t="n">
        <v>8</v>
      </c>
      <c r="AS87" s="13" t="n">
        <f aca="false">IFERROR(AR87/AR86-1,"")</f>
        <v>0.142857142857143</v>
      </c>
      <c r="AT87" s="11" t="s">
        <v>137</v>
      </c>
      <c r="AU87" s="14" t="n">
        <f aca="false">IFERROR(P87/AR87,"")</f>
        <v>47172.75</v>
      </c>
      <c r="AV87" s="12" t="n">
        <v>1728878</v>
      </c>
      <c r="AW87" s="12" t="n">
        <v>625338</v>
      </c>
      <c r="AX87" s="12" t="n">
        <v>333539</v>
      </c>
      <c r="AY87" s="16" t="n">
        <v>4355</v>
      </c>
      <c r="AZ87" s="13" t="n">
        <f aca="false">IFERROR(AY87/AY86-1,"")</f>
        <v>0.176708997568225</v>
      </c>
      <c r="BA87" s="17" t="n">
        <v>0.946</v>
      </c>
      <c r="BB87" s="11" t="s">
        <v>101</v>
      </c>
      <c r="BC87" s="11" t="s">
        <v>179</v>
      </c>
      <c r="BD87" s="11" t="s">
        <v>83</v>
      </c>
      <c r="BE87" s="12" t="n">
        <v>469439</v>
      </c>
      <c r="BF87" s="13" t="n">
        <f aca="false">IFERROR(P87/BE87-1,"")</f>
        <v>-0.196100025775447</v>
      </c>
      <c r="BG87" s="17" t="n">
        <v>0.031</v>
      </c>
      <c r="BH87" s="17" t="n">
        <v>-0.065</v>
      </c>
      <c r="BI87" s="14" t="n">
        <f aca="false">P87*(1+IFERROR(Q87,0))^4</f>
        <v>675497.831277637</v>
      </c>
      <c r="BJ87" s="12" t="n">
        <v>-1357424</v>
      </c>
      <c r="BK87" s="11" t="s">
        <v>84</v>
      </c>
      <c r="BL87" s="11" t="s">
        <v>185</v>
      </c>
      <c r="BM87" s="14" t="n">
        <f aca="false">O87</f>
        <v>41996896</v>
      </c>
      <c r="BN87" s="11" t="s">
        <v>226</v>
      </c>
      <c r="BO87" s="13" t="n">
        <f aca="false">IFERROR(1-L87/M87,"")</f>
        <v>0.0706036613041505</v>
      </c>
      <c r="BP87" s="11" t="s">
        <v>106</v>
      </c>
      <c r="BQ87" s="12" t="n">
        <v>2038061</v>
      </c>
      <c r="BR87" s="11" t="s">
        <v>88</v>
      </c>
      <c r="BS87" s="11" t="s">
        <v>89</v>
      </c>
      <c r="BT87" s="19" t="str">
        <f aca="false">IF(OR(Z87&lt;6,AH87&lt;0.9,S87&lt;0.02,AK87&lt;1),"REVIEW",IF(AND(S87&gt;0.25,AH87&gt;1.2),"ACCELERATING","STABLE"))</f>
        <v>STABLE</v>
      </c>
    </row>
    <row r="88" customFormat="false" ht="15" hidden="false" customHeight="false" outlineLevel="0" collapsed="false">
      <c r="A88" s="11" t="s">
        <v>224</v>
      </c>
      <c r="B88" s="11" t="s">
        <v>92</v>
      </c>
      <c r="C88" s="11" t="s">
        <v>225</v>
      </c>
      <c r="D88" s="11" t="s">
        <v>75</v>
      </c>
      <c r="E88" s="11" t="s">
        <v>142</v>
      </c>
      <c r="F88" s="11" t="s">
        <v>77</v>
      </c>
      <c r="G88" s="11" t="s">
        <v>111</v>
      </c>
      <c r="H88" s="11" t="s">
        <v>79</v>
      </c>
      <c r="I88" s="11" t="s">
        <v>111</v>
      </c>
      <c r="J88" s="12" t="n">
        <v>1400000</v>
      </c>
      <c r="K88" s="13" t="n">
        <f aca="false">IFERROR(J88/M88,"")</f>
        <v>0.0706036613041505</v>
      </c>
      <c r="L88" s="12" t="n">
        <v>18429000</v>
      </c>
      <c r="M88" s="14" t="n">
        <f aca="false">L88+J88</f>
        <v>19829000</v>
      </c>
      <c r="N88" s="12" t="n">
        <v>4750000</v>
      </c>
      <c r="O88" s="12" t="n">
        <v>41996896</v>
      </c>
      <c r="P88" s="12" t="n">
        <v>430029</v>
      </c>
      <c r="Q88" s="13" t="n">
        <f aca="false">IFERROR(P88/P87-1,"")</f>
        <v>0.139505858784998</v>
      </c>
      <c r="R88" s="12" t="n">
        <v>454626</v>
      </c>
      <c r="S88" s="13" t="n">
        <f aca="false">IFERROR(R88/R87-1,"")</f>
        <v>0.22793237844948</v>
      </c>
      <c r="T88" s="12" t="n">
        <v>337232</v>
      </c>
      <c r="U88" s="13" t="n">
        <f aca="false">IFERROR(T88/P88,"")</f>
        <v>0.784207576698316</v>
      </c>
      <c r="V88" s="14" t="n">
        <f aca="false">T88-AV88</f>
        <v>-1818116</v>
      </c>
      <c r="W88" s="14" t="n">
        <f aca="false">V88-AA88*0.1</f>
        <v>-1818116</v>
      </c>
      <c r="X88" s="12" t="n">
        <v>2435088</v>
      </c>
      <c r="Y88" s="12" t="n">
        <v>147440</v>
      </c>
      <c r="Z88" s="15" t="n">
        <f aca="false">IFERROR(X88/Y88,"")</f>
        <v>16.5157894736842</v>
      </c>
      <c r="AA88" s="12" t="n">
        <v>0</v>
      </c>
      <c r="AB88" s="14" t="n">
        <f aca="false">W88-0.02*P88</f>
        <v>-1826716.58</v>
      </c>
      <c r="AC88" s="16" t="n">
        <v>14</v>
      </c>
      <c r="AD88" s="13" t="n">
        <f aca="false">IFERROR(AC88/AC87-1,"")</f>
        <v>0.166666666666667</v>
      </c>
      <c r="AE88" s="17" t="n">
        <v>0.066</v>
      </c>
      <c r="AF88" s="17" t="n">
        <v>0.046</v>
      </c>
      <c r="AG88" s="13" t="n">
        <f aca="false">1-AF88</f>
        <v>0.954</v>
      </c>
      <c r="AH88" s="17" t="n">
        <v>1.118</v>
      </c>
      <c r="AI88" s="12" t="n">
        <v>52530</v>
      </c>
      <c r="AJ88" s="14" t="n">
        <f aca="false">IFERROR(AM88*U88*MIN(1/AE88,5),"")</f>
        <v>191660.331745068</v>
      </c>
      <c r="AK88" s="18" t="n">
        <f aca="false">IFERROR(AJ88/AI88,"")</f>
        <v>3.64858807814712</v>
      </c>
      <c r="AL88" s="15" t="n">
        <f aca="false">IFERROR(AI88/(AM88*U88/12),"")</f>
        <v>16.4447174399775</v>
      </c>
      <c r="AM88" s="12" t="n">
        <v>48880</v>
      </c>
      <c r="AN88" s="12" t="n">
        <v>534589</v>
      </c>
      <c r="AO88" s="12" t="n">
        <v>1675979</v>
      </c>
      <c r="AP88" s="17" t="n">
        <v>0.32</v>
      </c>
      <c r="AQ88" s="16" t="n">
        <v>73</v>
      </c>
      <c r="AR88" s="16" t="n">
        <v>8</v>
      </c>
      <c r="AS88" s="13" t="n">
        <f aca="false">IFERROR(AR88/AR87-1,"")</f>
        <v>0</v>
      </c>
      <c r="AT88" s="11" t="s">
        <v>137</v>
      </c>
      <c r="AU88" s="14" t="n">
        <f aca="false">IFERROR(P88/AR88,"")</f>
        <v>53753.625</v>
      </c>
      <c r="AV88" s="12" t="n">
        <v>2155348</v>
      </c>
      <c r="AW88" s="12" t="n">
        <v>870488</v>
      </c>
      <c r="AX88" s="12" t="n">
        <v>598560</v>
      </c>
      <c r="AY88" s="16" t="n">
        <v>4767</v>
      </c>
      <c r="AZ88" s="13" t="n">
        <f aca="false">IFERROR(AY88/AY87-1,"")</f>
        <v>0.0946039035591275</v>
      </c>
      <c r="BA88" s="17" t="n">
        <v>0.928</v>
      </c>
      <c r="BB88" s="11" t="s">
        <v>101</v>
      </c>
      <c r="BC88" s="11" t="s">
        <v>179</v>
      </c>
      <c r="BD88" s="11" t="s">
        <v>83</v>
      </c>
      <c r="BE88" s="12" t="n">
        <v>409486</v>
      </c>
      <c r="BF88" s="13" t="n">
        <f aca="false">IFERROR(P88/BE88-1,"")</f>
        <v>0.0501677713035367</v>
      </c>
      <c r="BG88" s="17" t="n">
        <v>0.009</v>
      </c>
      <c r="BH88" s="17" t="n">
        <v>0.069</v>
      </c>
      <c r="BI88" s="14" t="n">
        <f aca="false">P88*(1+IFERROR(Q88,0))^4</f>
        <v>725043.384095536</v>
      </c>
      <c r="BJ88" s="12" t="n">
        <v>-1471607</v>
      </c>
      <c r="BK88" s="11" t="s">
        <v>84</v>
      </c>
      <c r="BL88" s="11" t="s">
        <v>185</v>
      </c>
      <c r="BM88" s="14" t="n">
        <f aca="false">O88</f>
        <v>41996896</v>
      </c>
      <c r="BN88" s="11" t="s">
        <v>226</v>
      </c>
      <c r="BO88" s="13" t="n">
        <f aca="false">IFERROR(1-L88/M88,"")</f>
        <v>0.0706036613041505</v>
      </c>
      <c r="BP88" s="11" t="s">
        <v>106</v>
      </c>
      <c r="BQ88" s="12" t="n">
        <v>2442020</v>
      </c>
      <c r="BR88" s="11" t="s">
        <v>88</v>
      </c>
      <c r="BS88" s="11" t="s">
        <v>89</v>
      </c>
      <c r="BT88" s="19" t="str">
        <f aca="false">IF(OR(Z88&lt;6,AH88&lt;0.9,S88&lt;0.02,AK88&lt;1),"REVIEW",IF(AND(S88&gt;0.25,AH88&gt;1.2),"ACCELERATING","STABLE"))</f>
        <v>STABLE</v>
      </c>
    </row>
    <row r="89" customFormat="false" ht="15" hidden="false" customHeight="false" outlineLevel="0" collapsed="false">
      <c r="A89" s="11" t="s">
        <v>224</v>
      </c>
      <c r="B89" s="11" t="s">
        <v>93</v>
      </c>
      <c r="C89" s="11" t="s">
        <v>225</v>
      </c>
      <c r="D89" s="11" t="s">
        <v>75</v>
      </c>
      <c r="E89" s="11" t="s">
        <v>142</v>
      </c>
      <c r="F89" s="11" t="s">
        <v>77</v>
      </c>
      <c r="G89" s="11" t="s">
        <v>111</v>
      </c>
      <c r="H89" s="11" t="s">
        <v>79</v>
      </c>
      <c r="I89" s="11" t="s">
        <v>111</v>
      </c>
      <c r="J89" s="12" t="n">
        <v>1400000</v>
      </c>
      <c r="K89" s="13" t="n">
        <f aca="false">IFERROR(J89/M89,"")</f>
        <v>0.0706036613041505</v>
      </c>
      <c r="L89" s="12" t="n">
        <v>18429000</v>
      </c>
      <c r="M89" s="14" t="n">
        <f aca="false">L89+J89</f>
        <v>19829000</v>
      </c>
      <c r="N89" s="12" t="n">
        <v>4750000</v>
      </c>
      <c r="O89" s="12" t="n">
        <v>41996896</v>
      </c>
      <c r="P89" s="12" t="n">
        <v>487886</v>
      </c>
      <c r="Q89" s="13" t="n">
        <f aca="false">IFERROR(P89/P88-1,"")</f>
        <v>0.134542089021903</v>
      </c>
      <c r="R89" s="12" t="n">
        <v>550250</v>
      </c>
      <c r="S89" s="13" t="n">
        <f aca="false">IFERROR(R89/R88-1,"")</f>
        <v>0.210335528544342</v>
      </c>
      <c r="T89" s="12" t="n">
        <v>384141</v>
      </c>
      <c r="U89" s="13" t="n">
        <f aca="false">IFERROR(T89/P89,"")</f>
        <v>0.787358112345917</v>
      </c>
      <c r="V89" s="14" t="n">
        <f aca="false">T89-AV89</f>
        <v>-1534018</v>
      </c>
      <c r="W89" s="14" t="n">
        <f aca="false">V89-AA89*0.1</f>
        <v>-1534018</v>
      </c>
      <c r="X89" s="12" t="n">
        <v>2037000</v>
      </c>
      <c r="Y89" s="12" t="n">
        <v>152000</v>
      </c>
      <c r="Z89" s="15" t="n">
        <f aca="false">IFERROR(X89/Y89,"")</f>
        <v>13.4013157894737</v>
      </c>
      <c r="AA89" s="12" t="n">
        <v>0</v>
      </c>
      <c r="AB89" s="14" t="n">
        <f aca="false">W89-0.02*P89</f>
        <v>-1543775.72</v>
      </c>
      <c r="AC89" s="16" t="n">
        <v>16</v>
      </c>
      <c r="AD89" s="13" t="n">
        <f aca="false">IFERROR(AC89/AC88-1,"")</f>
        <v>0.142857142857143</v>
      </c>
      <c r="AE89" s="17" t="n">
        <v>0.064</v>
      </c>
      <c r="AF89" s="17" t="n">
        <v>0.043</v>
      </c>
      <c r="AG89" s="13" t="n">
        <f aca="false">1-AF89</f>
        <v>0.957</v>
      </c>
      <c r="AH89" s="17" t="n">
        <v>1.113</v>
      </c>
      <c r="AI89" s="12" t="n">
        <v>51500</v>
      </c>
      <c r="AJ89" s="14" t="n">
        <f aca="false">IFERROR(AM89*U89*MIN(1/AE89,5),"")</f>
        <v>196130.905785368</v>
      </c>
      <c r="AK89" s="18" t="n">
        <f aca="false">IFERROR(AJ89/AI89,"")</f>
        <v>3.8083671026285</v>
      </c>
      <c r="AL89" s="15" t="n">
        <f aca="false">IFERROR(AI89/(AM89*U89/12),"")</f>
        <v>15.7547837125755</v>
      </c>
      <c r="AM89" s="12" t="n">
        <v>49820</v>
      </c>
      <c r="AN89" s="12" t="n">
        <v>793110</v>
      </c>
      <c r="AO89" s="12" t="n">
        <v>1364582</v>
      </c>
      <c r="AP89" s="17" t="n">
        <v>0.32</v>
      </c>
      <c r="AQ89" s="16" t="n">
        <v>73</v>
      </c>
      <c r="AR89" s="16" t="n">
        <v>9</v>
      </c>
      <c r="AS89" s="13" t="n">
        <f aca="false">IFERROR(AR89/AR88-1,"")</f>
        <v>0.125</v>
      </c>
      <c r="AT89" s="11" t="s">
        <v>137</v>
      </c>
      <c r="AU89" s="14" t="n">
        <f aca="false">IFERROR(P89/AR89,"")</f>
        <v>54209.5555555556</v>
      </c>
      <c r="AV89" s="12" t="n">
        <v>1918159</v>
      </c>
      <c r="AW89" s="12" t="n">
        <v>658486</v>
      </c>
      <c r="AX89" s="12" t="n">
        <v>620584</v>
      </c>
      <c r="AY89" s="16" t="n">
        <v>5777</v>
      </c>
      <c r="AZ89" s="13" t="n">
        <f aca="false">IFERROR(AY89/AY88-1,"")</f>
        <v>0.211873295573736</v>
      </c>
      <c r="BA89" s="17" t="n">
        <v>0.937</v>
      </c>
      <c r="BB89" s="11" t="s">
        <v>101</v>
      </c>
      <c r="BC89" s="11" t="s">
        <v>179</v>
      </c>
      <c r="BD89" s="11" t="s">
        <v>83</v>
      </c>
      <c r="BE89" s="12" t="n">
        <v>560130</v>
      </c>
      <c r="BF89" s="13" t="n">
        <f aca="false">IFERROR(P89/BE89-1,"")</f>
        <v>-0.128977201721029</v>
      </c>
      <c r="BG89" s="17" t="n">
        <v>0.079</v>
      </c>
      <c r="BH89" s="17" t="n">
        <v>-0.054</v>
      </c>
      <c r="BI89" s="14" t="n">
        <f aca="false">P89*(1+IFERROR(Q89,0))^4</f>
        <v>808352.533279127</v>
      </c>
      <c r="BJ89" s="12" t="n">
        <v>-995550</v>
      </c>
      <c r="BK89" s="11" t="s">
        <v>84</v>
      </c>
      <c r="BL89" s="11" t="s">
        <v>185</v>
      </c>
      <c r="BM89" s="14" t="n">
        <f aca="false">O89</f>
        <v>41996896</v>
      </c>
      <c r="BN89" s="11" t="s">
        <v>226</v>
      </c>
      <c r="BO89" s="13" t="n">
        <f aca="false">IFERROR(1-L89/M89,"")</f>
        <v>0.0706036613041505</v>
      </c>
      <c r="BP89" s="11" t="s">
        <v>106</v>
      </c>
      <c r="BQ89" s="12" t="n">
        <v>2684440</v>
      </c>
      <c r="BR89" s="11" t="s">
        <v>88</v>
      </c>
      <c r="BS89" s="11" t="s">
        <v>89</v>
      </c>
      <c r="BT89" s="19" t="str">
        <f aca="false">IF(OR(Z89&lt;6,AH89&lt;0.9,S89&lt;0.02,AK89&lt;1),"REVIEW",IF(AND(S89&gt;0.25,AH89&gt;1.2),"ACCELERATING","STABLE"))</f>
        <v>STABLE</v>
      </c>
    </row>
    <row r="90" customFormat="false" ht="15" hidden="false" customHeight="false" outlineLevel="0" collapsed="false">
      <c r="A90" s="3" t="s">
        <v>227</v>
      </c>
      <c r="B90" s="3" t="s">
        <v>73</v>
      </c>
      <c r="C90" s="3" t="s">
        <v>228</v>
      </c>
      <c r="D90" s="3" t="s">
        <v>75</v>
      </c>
      <c r="E90" s="3" t="s">
        <v>142</v>
      </c>
      <c r="F90" s="3" t="s">
        <v>229</v>
      </c>
      <c r="G90" s="3" t="s">
        <v>154</v>
      </c>
      <c r="H90" s="3" t="s">
        <v>230</v>
      </c>
      <c r="I90" s="3" t="s">
        <v>154</v>
      </c>
      <c r="J90" s="4" t="n">
        <v>1274000</v>
      </c>
      <c r="K90" s="5" t="n">
        <f aca="false">IFERROR(J90/M90,"")</f>
        <v>0.157692783760366</v>
      </c>
      <c r="L90" s="4" t="n">
        <v>6805000</v>
      </c>
      <c r="M90" s="6" t="n">
        <f aca="false">L90+J90</f>
        <v>8079000</v>
      </c>
      <c r="N90" s="4" t="n">
        <v>1274000</v>
      </c>
      <c r="O90" s="4" t="n">
        <v>16534091</v>
      </c>
      <c r="P90" s="4" t="n">
        <v>57858</v>
      </c>
      <c r="Q90" s="7"/>
      <c r="R90" s="4" t="n">
        <v>58287</v>
      </c>
      <c r="S90" s="7"/>
      <c r="T90" s="4" t="n">
        <v>45108</v>
      </c>
      <c r="U90" s="5" t="n">
        <f aca="false">IFERROR(T90/P90,"")</f>
        <v>0.779632894327492</v>
      </c>
      <c r="V90" s="6" t="n">
        <f aca="false">T90-AV90</f>
        <v>-593128</v>
      </c>
      <c r="W90" s="6" t="n">
        <f aca="false">V90-AA90*0.1</f>
        <v>-593128</v>
      </c>
      <c r="X90" s="4" t="n">
        <v>1215031</v>
      </c>
      <c r="Y90" s="4" t="n">
        <v>62790</v>
      </c>
      <c r="Z90" s="8" t="n">
        <f aca="false">IFERROR(X90/Y90,"")</f>
        <v>19.3507087115783</v>
      </c>
      <c r="AA90" s="4" t="n">
        <v>0</v>
      </c>
      <c r="AB90" s="6" t="n">
        <f aca="false">W90-0.02*P90</f>
        <v>-594285.16</v>
      </c>
      <c r="AC90" s="9" t="n">
        <v>8</v>
      </c>
      <c r="AD90" s="7"/>
      <c r="AE90" s="7" t="n">
        <v>0.106</v>
      </c>
      <c r="AF90" s="7" t="n">
        <v>0.094</v>
      </c>
      <c r="AG90" s="5" t="n">
        <f aca="false">1-AF90</f>
        <v>0.906</v>
      </c>
      <c r="AH90" s="7" t="n">
        <v>1.04</v>
      </c>
      <c r="AI90" s="4" t="n">
        <v>10388</v>
      </c>
      <c r="AJ90" s="6" t="n">
        <f aca="false">IFERROR(AM90*U90*MIN(1/AE90,5),"")</f>
        <v>19490.8223581873</v>
      </c>
      <c r="AK90" s="10" t="n">
        <f aca="false">IFERROR(AJ90/AI90,"")</f>
        <v>1.87628247575927</v>
      </c>
      <c r="AL90" s="8" t="n">
        <f aca="false">IFERROR(AI90/(AM90*U90/12),"")</f>
        <v>31.9781273743017</v>
      </c>
      <c r="AM90" s="4" t="n">
        <v>5000</v>
      </c>
      <c r="AN90" s="4" t="n">
        <v>76076</v>
      </c>
      <c r="AO90" s="4" t="n">
        <v>230108</v>
      </c>
      <c r="AP90" s="7" t="n">
        <v>0.302</v>
      </c>
      <c r="AQ90" s="9" t="n">
        <v>30</v>
      </c>
      <c r="AR90" s="9" t="n">
        <v>5</v>
      </c>
      <c r="AS90" s="7"/>
      <c r="AT90" s="3" t="s">
        <v>129</v>
      </c>
      <c r="AU90" s="6" t="n">
        <f aca="false">IFERROR(P90/AR90,"")</f>
        <v>11571.6</v>
      </c>
      <c r="AV90" s="4" t="n">
        <v>638236</v>
      </c>
      <c r="AW90" s="4" t="n">
        <v>269883</v>
      </c>
      <c r="AX90" s="4" t="n">
        <v>166962</v>
      </c>
      <c r="AY90" s="9" t="n">
        <v>256</v>
      </c>
      <c r="AZ90" s="7"/>
      <c r="BA90" s="7" t="n">
        <v>0.906</v>
      </c>
      <c r="BB90" s="3" t="s">
        <v>156</v>
      </c>
      <c r="BC90" s="3" t="s">
        <v>82</v>
      </c>
      <c r="BD90" s="3" t="s">
        <v>145</v>
      </c>
      <c r="BE90" s="4" t="n">
        <v>67801</v>
      </c>
      <c r="BF90" s="5" t="n">
        <f aca="false">IFERROR(P90/BE90-1,"")</f>
        <v>-0.146649754428401</v>
      </c>
      <c r="BG90" s="7" t="n">
        <v>0.001</v>
      </c>
      <c r="BH90" s="7" t="n">
        <v>-0.079</v>
      </c>
      <c r="BI90" s="6" t="n">
        <f aca="false">P90</f>
        <v>57858</v>
      </c>
      <c r="BJ90" s="4" t="n">
        <v>-581442</v>
      </c>
      <c r="BK90" s="3" t="s">
        <v>158</v>
      </c>
      <c r="BL90" s="3" t="s">
        <v>185</v>
      </c>
      <c r="BM90" s="6" t="n">
        <f aca="false">O90</f>
        <v>16534091</v>
      </c>
      <c r="BN90" s="3" t="s">
        <v>231</v>
      </c>
      <c r="BO90" s="5" t="n">
        <f aca="false">IFERROR(1-L90/M90,"")</f>
        <v>0.157692783760366</v>
      </c>
      <c r="BP90" s="3" t="s">
        <v>87</v>
      </c>
      <c r="BQ90" s="4" t="n">
        <v>1237319</v>
      </c>
      <c r="BR90" s="3" t="s">
        <v>88</v>
      </c>
      <c r="BS90" s="3" t="s">
        <v>232</v>
      </c>
      <c r="BT90" s="3" t="s">
        <v>90</v>
      </c>
    </row>
    <row r="91" customFormat="false" ht="15" hidden="false" customHeight="false" outlineLevel="0" collapsed="false">
      <c r="A91" s="11" t="s">
        <v>227</v>
      </c>
      <c r="B91" s="11" t="s">
        <v>91</v>
      </c>
      <c r="C91" s="11" t="s">
        <v>228</v>
      </c>
      <c r="D91" s="11" t="s">
        <v>75</v>
      </c>
      <c r="E91" s="11" t="s">
        <v>142</v>
      </c>
      <c r="F91" s="11" t="s">
        <v>229</v>
      </c>
      <c r="G91" s="11" t="s">
        <v>154</v>
      </c>
      <c r="H91" s="11" t="s">
        <v>230</v>
      </c>
      <c r="I91" s="11" t="s">
        <v>154</v>
      </c>
      <c r="J91" s="12" t="n">
        <v>1274000</v>
      </c>
      <c r="K91" s="13" t="n">
        <f aca="false">IFERROR(J91/M91,"")</f>
        <v>0.157692783760366</v>
      </c>
      <c r="L91" s="12" t="n">
        <v>6805000</v>
      </c>
      <c r="M91" s="14" t="n">
        <f aca="false">L91+J91</f>
        <v>8079000</v>
      </c>
      <c r="N91" s="12" t="n">
        <v>1274000</v>
      </c>
      <c r="O91" s="12" t="n">
        <v>16534091</v>
      </c>
      <c r="P91" s="12" t="n">
        <v>66390</v>
      </c>
      <c r="Q91" s="13" t="n">
        <f aca="false">IFERROR(P91/P90-1,"")</f>
        <v>0.147464482007674</v>
      </c>
      <c r="R91" s="12" t="n">
        <v>73660</v>
      </c>
      <c r="S91" s="13" t="n">
        <f aca="false">IFERROR(R91/R90-1,"")</f>
        <v>0.263746633039957</v>
      </c>
      <c r="T91" s="12" t="n">
        <v>51970</v>
      </c>
      <c r="U91" s="13" t="n">
        <f aca="false">IFERROR(T91/P91,"")</f>
        <v>0.782798614249134</v>
      </c>
      <c r="V91" s="14" t="n">
        <f aca="false">T91-AV91</f>
        <v>-815342</v>
      </c>
      <c r="W91" s="14" t="n">
        <f aca="false">V91-AA91*0.1</f>
        <v>-815342</v>
      </c>
      <c r="X91" s="12" t="n">
        <v>1056676</v>
      </c>
      <c r="Y91" s="12" t="n">
        <v>64859</v>
      </c>
      <c r="Z91" s="15" t="n">
        <f aca="false">IFERROR(X91/Y91,"")</f>
        <v>16.2918947254814</v>
      </c>
      <c r="AA91" s="12" t="n">
        <v>0</v>
      </c>
      <c r="AB91" s="14" t="n">
        <f aca="false">W91-0.02*P91</f>
        <v>-816669.8</v>
      </c>
      <c r="AC91" s="16" t="n">
        <v>9</v>
      </c>
      <c r="AD91" s="13" t="n">
        <f aca="false">IFERROR(AC91/AC90-1,"")</f>
        <v>0.125</v>
      </c>
      <c r="AE91" s="17" t="n">
        <v>0.103</v>
      </c>
      <c r="AF91" s="17" t="n">
        <v>0.091</v>
      </c>
      <c r="AG91" s="13" t="n">
        <f aca="false">1-AF91</f>
        <v>0.909</v>
      </c>
      <c r="AH91" s="17" t="n">
        <v>1.035</v>
      </c>
      <c r="AI91" s="12" t="n">
        <v>10192</v>
      </c>
      <c r="AJ91" s="14" t="n">
        <f aca="false">IFERROR(AM91*U91*MIN(1/AE91,5),"")</f>
        <v>19961.3646633529</v>
      </c>
      <c r="AK91" s="18" t="n">
        <f aca="false">IFERROR(AJ91/AI91,"")</f>
        <v>1.95853263965394</v>
      </c>
      <c r="AL91" s="15" t="n">
        <f aca="false">IFERROR(AI91/(AM91*U91/12),"")</f>
        <v>30.6351800246749</v>
      </c>
      <c r="AM91" s="12" t="n">
        <v>5100</v>
      </c>
      <c r="AN91" s="12" t="n">
        <v>95367</v>
      </c>
      <c r="AO91" s="12" t="n">
        <v>216977</v>
      </c>
      <c r="AP91" s="17" t="n">
        <v>0.302</v>
      </c>
      <c r="AQ91" s="16" t="n">
        <v>30</v>
      </c>
      <c r="AR91" s="16" t="n">
        <v>6</v>
      </c>
      <c r="AS91" s="13" t="n">
        <f aca="false">IFERROR(AR91/AR90-1,"")</f>
        <v>0.2</v>
      </c>
      <c r="AT91" s="11" t="s">
        <v>129</v>
      </c>
      <c r="AU91" s="14" t="n">
        <f aca="false">IFERROR(P91/AR91,"")</f>
        <v>11065</v>
      </c>
      <c r="AV91" s="12" t="n">
        <v>867312</v>
      </c>
      <c r="AW91" s="12" t="n">
        <v>267817</v>
      </c>
      <c r="AX91" s="12" t="n">
        <v>182953</v>
      </c>
      <c r="AY91" s="16" t="n">
        <v>299</v>
      </c>
      <c r="AZ91" s="13" t="n">
        <f aca="false">IFERROR(AY91/AY90-1,"")</f>
        <v>0.16796875</v>
      </c>
      <c r="BA91" s="17" t="n">
        <v>0.895</v>
      </c>
      <c r="BB91" s="11" t="s">
        <v>156</v>
      </c>
      <c r="BC91" s="11" t="s">
        <v>82</v>
      </c>
      <c r="BD91" s="11" t="s">
        <v>145</v>
      </c>
      <c r="BE91" s="12" t="n">
        <v>62780</v>
      </c>
      <c r="BF91" s="13" t="n">
        <f aca="false">IFERROR(P91/BE91-1,"")</f>
        <v>0.0575023892959541</v>
      </c>
      <c r="BG91" s="17" t="n">
        <v>0.032</v>
      </c>
      <c r="BH91" s="17" t="n">
        <v>0.054</v>
      </c>
      <c r="BI91" s="14" t="n">
        <f aca="false">P91*(1+IFERROR(Q91,0))^4</f>
        <v>115095.852665175</v>
      </c>
      <c r="BJ91" s="12" t="n">
        <v>-558942</v>
      </c>
      <c r="BK91" s="11" t="s">
        <v>158</v>
      </c>
      <c r="BL91" s="11" t="s">
        <v>185</v>
      </c>
      <c r="BM91" s="14" t="n">
        <f aca="false">O91</f>
        <v>16534091</v>
      </c>
      <c r="BN91" s="11" t="s">
        <v>231</v>
      </c>
      <c r="BO91" s="13" t="n">
        <f aca="false">IFERROR(1-L91/M91,"")</f>
        <v>0.157692783760366</v>
      </c>
      <c r="BP91" s="11" t="s">
        <v>87</v>
      </c>
      <c r="BQ91" s="12" t="n">
        <v>1003732</v>
      </c>
      <c r="BR91" s="11" t="s">
        <v>88</v>
      </c>
      <c r="BS91" s="11" t="s">
        <v>232</v>
      </c>
      <c r="BT91" s="19" t="str">
        <f aca="false">IF(OR(Z91&lt;6,AH91&lt;0.9,S91&lt;0.02,AK91&lt;1),"REVIEW",IF(AND(S91&gt;0.25,AH91&gt;1.2),"ACCELERATING","STABLE"))</f>
        <v>STABLE</v>
      </c>
    </row>
    <row r="92" customFormat="false" ht="15" hidden="false" customHeight="false" outlineLevel="0" collapsed="false">
      <c r="A92" s="11" t="s">
        <v>227</v>
      </c>
      <c r="B92" s="11" t="s">
        <v>92</v>
      </c>
      <c r="C92" s="11" t="s">
        <v>228</v>
      </c>
      <c r="D92" s="11" t="s">
        <v>75</v>
      </c>
      <c r="E92" s="11" t="s">
        <v>142</v>
      </c>
      <c r="F92" s="11" t="s">
        <v>229</v>
      </c>
      <c r="G92" s="11" t="s">
        <v>154</v>
      </c>
      <c r="H92" s="11" t="s">
        <v>230</v>
      </c>
      <c r="I92" s="11" t="s">
        <v>154</v>
      </c>
      <c r="J92" s="12" t="n">
        <v>1274000</v>
      </c>
      <c r="K92" s="13" t="n">
        <f aca="false">IFERROR(J92/M92,"")</f>
        <v>0.157692783760366</v>
      </c>
      <c r="L92" s="12" t="n">
        <v>6805000</v>
      </c>
      <c r="M92" s="14" t="n">
        <f aca="false">L92+J92</f>
        <v>8079000</v>
      </c>
      <c r="N92" s="12" t="n">
        <v>1274000</v>
      </c>
      <c r="O92" s="12" t="n">
        <v>16534091</v>
      </c>
      <c r="P92" s="12" t="n">
        <v>85839</v>
      </c>
      <c r="Q92" s="13" t="n">
        <f aca="false">IFERROR(P92/P91-1,"")</f>
        <v>0.292950745594216</v>
      </c>
      <c r="R92" s="12" t="n">
        <v>84871</v>
      </c>
      <c r="S92" s="13" t="n">
        <f aca="false">IFERROR(R92/R91-1,"")</f>
        <v>0.15219929405376</v>
      </c>
      <c r="T92" s="12" t="n">
        <v>67465</v>
      </c>
      <c r="U92" s="13" t="n">
        <f aca="false">IFERROR(T92/P92,"")</f>
        <v>0.785948112163469</v>
      </c>
      <c r="V92" s="14" t="n">
        <f aca="false">T92-AV92</f>
        <v>-684635</v>
      </c>
      <c r="W92" s="14" t="n">
        <f aca="false">V92-AA92*0.1</f>
        <v>-684635</v>
      </c>
      <c r="X92" s="12" t="n">
        <v>887143</v>
      </c>
      <c r="Y92" s="12" t="n">
        <v>66930</v>
      </c>
      <c r="Z92" s="15" t="n">
        <f aca="false">IFERROR(X92/Y92,"")</f>
        <v>13.2547885850889</v>
      </c>
      <c r="AA92" s="12" t="n">
        <v>0</v>
      </c>
      <c r="AB92" s="14" t="n">
        <f aca="false">W92-0.02*P92</f>
        <v>-686351.78</v>
      </c>
      <c r="AC92" s="16" t="n">
        <v>11</v>
      </c>
      <c r="AD92" s="13" t="n">
        <f aca="false">IFERROR(AC92/AC91-1,"")</f>
        <v>0.222222222222222</v>
      </c>
      <c r="AE92" s="17" t="n">
        <v>0.1</v>
      </c>
      <c r="AF92" s="17" t="n">
        <v>0.073</v>
      </c>
      <c r="AG92" s="13" t="n">
        <f aca="false">1-AF92</f>
        <v>0.927</v>
      </c>
      <c r="AH92" s="17" t="n">
        <v>1.03</v>
      </c>
      <c r="AI92" s="12" t="n">
        <v>9996</v>
      </c>
      <c r="AJ92" s="14" t="n">
        <f aca="false">IFERROR(AM92*U92*MIN(1/AE92,5),"")</f>
        <v>20434.6509162502</v>
      </c>
      <c r="AK92" s="18" t="n">
        <f aca="false">IFERROR(AJ92/AI92,"")</f>
        <v>2.04428280474692</v>
      </c>
      <c r="AL92" s="15" t="n">
        <f aca="false">IFERROR(AI92/(AM92*U92/12),"")</f>
        <v>29.3501465945305</v>
      </c>
      <c r="AM92" s="12" t="n">
        <v>5200</v>
      </c>
      <c r="AN92" s="12" t="n">
        <v>88541</v>
      </c>
      <c r="AO92" s="12" t="n">
        <v>319293</v>
      </c>
      <c r="AP92" s="17" t="n">
        <v>0.302</v>
      </c>
      <c r="AQ92" s="16" t="n">
        <v>30</v>
      </c>
      <c r="AR92" s="16" t="n">
        <v>6</v>
      </c>
      <c r="AS92" s="13" t="n">
        <f aca="false">IFERROR(AR92/AR91-1,"")</f>
        <v>0</v>
      </c>
      <c r="AT92" s="11" t="s">
        <v>129</v>
      </c>
      <c r="AU92" s="14" t="n">
        <f aca="false">IFERROR(P92/AR92,"")</f>
        <v>14306.5</v>
      </c>
      <c r="AV92" s="12" t="n">
        <v>752100</v>
      </c>
      <c r="AW92" s="12" t="n">
        <v>275189</v>
      </c>
      <c r="AX92" s="12" t="n">
        <v>226846</v>
      </c>
      <c r="AY92" s="16" t="n">
        <v>358</v>
      </c>
      <c r="AZ92" s="13" t="n">
        <f aca="false">IFERROR(AY92/AY91-1,"")</f>
        <v>0.197324414715719</v>
      </c>
      <c r="BA92" s="17" t="n">
        <v>0.914</v>
      </c>
      <c r="BB92" s="11" t="s">
        <v>156</v>
      </c>
      <c r="BC92" s="11" t="s">
        <v>82</v>
      </c>
      <c r="BD92" s="11" t="s">
        <v>145</v>
      </c>
      <c r="BE92" s="12" t="n">
        <v>106951</v>
      </c>
      <c r="BF92" s="13" t="n">
        <f aca="false">IFERROR(P92/BE92-1,"")</f>
        <v>-0.197398808800292</v>
      </c>
      <c r="BG92" s="17" t="n">
        <v>-0.051</v>
      </c>
      <c r="BH92" s="17" t="n">
        <v>0.036</v>
      </c>
      <c r="BI92" s="14" t="n">
        <f aca="false">P92*(1+IFERROR(Q92,0))^4</f>
        <v>239890.236892392</v>
      </c>
      <c r="BJ92" s="12" t="n">
        <v>-557999</v>
      </c>
      <c r="BK92" s="11" t="s">
        <v>158</v>
      </c>
      <c r="BL92" s="11" t="s">
        <v>185</v>
      </c>
      <c r="BM92" s="14" t="n">
        <f aca="false">O92</f>
        <v>16534091</v>
      </c>
      <c r="BN92" s="11" t="s">
        <v>231</v>
      </c>
      <c r="BO92" s="13" t="n">
        <f aca="false">IFERROR(1-L92/M92,"")</f>
        <v>0.157692783760366</v>
      </c>
      <c r="BP92" s="11" t="s">
        <v>87</v>
      </c>
      <c r="BQ92" s="12" t="n">
        <v>1312127</v>
      </c>
      <c r="BR92" s="11" t="s">
        <v>88</v>
      </c>
      <c r="BS92" s="11" t="s">
        <v>232</v>
      </c>
      <c r="BT92" s="19" t="str">
        <f aca="false">IF(OR(Z92&lt;6,AH92&lt;0.9,S92&lt;0.02,AK92&lt;1),"REVIEW",IF(AND(S92&gt;0.25,AH92&gt;1.2),"ACCELERATING","STABLE"))</f>
        <v>STABLE</v>
      </c>
    </row>
    <row r="93" customFormat="false" ht="15" hidden="false" customHeight="false" outlineLevel="0" collapsed="false">
      <c r="A93" s="11" t="s">
        <v>227</v>
      </c>
      <c r="B93" s="11" t="s">
        <v>93</v>
      </c>
      <c r="C93" s="11" t="s">
        <v>228</v>
      </c>
      <c r="D93" s="11" t="s">
        <v>75</v>
      </c>
      <c r="E93" s="11" t="s">
        <v>142</v>
      </c>
      <c r="F93" s="11" t="s">
        <v>229</v>
      </c>
      <c r="G93" s="11" t="s">
        <v>154</v>
      </c>
      <c r="H93" s="11" t="s">
        <v>230</v>
      </c>
      <c r="I93" s="11" t="s">
        <v>154</v>
      </c>
      <c r="J93" s="12" t="n">
        <v>1274000</v>
      </c>
      <c r="K93" s="13" t="n">
        <f aca="false">IFERROR(J93/M93,"")</f>
        <v>0.157692783760366</v>
      </c>
      <c r="L93" s="12" t="n">
        <v>6805000</v>
      </c>
      <c r="M93" s="14" t="n">
        <f aca="false">L93+J93</f>
        <v>8079000</v>
      </c>
      <c r="N93" s="12" t="n">
        <v>1274000</v>
      </c>
      <c r="O93" s="12" t="n">
        <v>16534091</v>
      </c>
      <c r="P93" s="12" t="n">
        <v>94233</v>
      </c>
      <c r="Q93" s="13" t="n">
        <f aca="false">IFERROR(P93/P92-1,"")</f>
        <v>0.0977877188690455</v>
      </c>
      <c r="R93" s="12" t="n">
        <v>101778</v>
      </c>
      <c r="S93" s="13" t="n">
        <f aca="false">IFERROR(R93/R92-1,"")</f>
        <v>0.199208210107104</v>
      </c>
      <c r="T93" s="12" t="n">
        <v>74360</v>
      </c>
      <c r="U93" s="13" t="n">
        <f aca="false">IFERROR(T93/P93,"")</f>
        <v>0.789107849691722</v>
      </c>
      <c r="V93" s="14" t="n">
        <f aca="false">T93-AV93</f>
        <v>-784479</v>
      </c>
      <c r="W93" s="14" t="n">
        <f aca="false">V93-AA93*0.1</f>
        <v>-784479</v>
      </c>
      <c r="X93" s="12" t="n">
        <v>706432</v>
      </c>
      <c r="Y93" s="12" t="n">
        <v>69000</v>
      </c>
      <c r="Z93" s="15" t="n">
        <f aca="false">IFERROR(X93/Y93,"")</f>
        <v>10.2381449275362</v>
      </c>
      <c r="AA93" s="12" t="n">
        <v>0</v>
      </c>
      <c r="AB93" s="14" t="n">
        <f aca="false">W93-0.02*P93</f>
        <v>-786363.66</v>
      </c>
      <c r="AC93" s="16" t="n">
        <v>12</v>
      </c>
      <c r="AD93" s="13" t="n">
        <f aca="false">IFERROR(AC93/AC92-1,"")</f>
        <v>0.0909090909090908</v>
      </c>
      <c r="AE93" s="17" t="n">
        <v>0.097</v>
      </c>
      <c r="AF93" s="17" t="n">
        <v>0.086</v>
      </c>
      <c r="AG93" s="13" t="n">
        <f aca="false">1-AF93</f>
        <v>0.914</v>
      </c>
      <c r="AH93" s="17" t="n">
        <v>1.025</v>
      </c>
      <c r="AI93" s="12" t="n">
        <v>9800</v>
      </c>
      <c r="AJ93" s="14" t="n">
        <f aca="false">IFERROR(AM93*U93*MIN(1/AE93,5),"")</f>
        <v>20911.3580168306</v>
      </c>
      <c r="AK93" s="18" t="n">
        <f aca="false">IFERROR(AJ93/AI93,"")</f>
        <v>2.13381204253374</v>
      </c>
      <c r="AL93" s="15" t="n">
        <f aca="false">IFERROR(AI93/(AM93*U93/12),"")</f>
        <v>28.1186903082404</v>
      </c>
      <c r="AM93" s="12" t="n">
        <v>5300</v>
      </c>
      <c r="AN93" s="12" t="n">
        <v>136185</v>
      </c>
      <c r="AO93" s="12" t="n">
        <v>283140</v>
      </c>
      <c r="AP93" s="17" t="n">
        <v>0.302</v>
      </c>
      <c r="AQ93" s="16" t="n">
        <v>30</v>
      </c>
      <c r="AR93" s="16" t="n">
        <v>7</v>
      </c>
      <c r="AS93" s="13" t="n">
        <f aca="false">IFERROR(AR93/AR92-1,"")</f>
        <v>0.166666666666667</v>
      </c>
      <c r="AT93" s="11" t="s">
        <v>129</v>
      </c>
      <c r="AU93" s="14" t="n">
        <f aca="false">IFERROR(P93/AR93,"")</f>
        <v>13461.8571428571</v>
      </c>
      <c r="AV93" s="12" t="n">
        <v>858839</v>
      </c>
      <c r="AW93" s="12" t="n">
        <v>406959</v>
      </c>
      <c r="AX93" s="12" t="n">
        <v>211208</v>
      </c>
      <c r="AY93" s="16" t="n">
        <v>422</v>
      </c>
      <c r="AZ93" s="13" t="n">
        <f aca="false">IFERROR(AY93/AY92-1,"")</f>
        <v>0.17877094972067</v>
      </c>
      <c r="BA93" s="17" t="n">
        <v>0.896</v>
      </c>
      <c r="BB93" s="11" t="s">
        <v>156</v>
      </c>
      <c r="BC93" s="11" t="s">
        <v>82</v>
      </c>
      <c r="BD93" s="11" t="s">
        <v>145</v>
      </c>
      <c r="BE93" s="12" t="n">
        <v>108444</v>
      </c>
      <c r="BF93" s="13" t="n">
        <f aca="false">IFERROR(P93/BE93-1,"")</f>
        <v>-0.131044594445059</v>
      </c>
      <c r="BG93" s="17" t="n">
        <v>0.077</v>
      </c>
      <c r="BH93" s="17" t="n">
        <v>0.069</v>
      </c>
      <c r="BI93" s="14" t="n">
        <f aca="false">P93*(1+IFERROR(Q93,0))^4</f>
        <v>136859.985398694</v>
      </c>
      <c r="BJ93" s="12" t="n">
        <v>-656236</v>
      </c>
      <c r="BK93" s="11" t="s">
        <v>158</v>
      </c>
      <c r="BL93" s="11" t="s">
        <v>185</v>
      </c>
      <c r="BM93" s="14" t="n">
        <f aca="false">O93</f>
        <v>16534091</v>
      </c>
      <c r="BN93" s="11" t="s">
        <v>231</v>
      </c>
      <c r="BO93" s="13" t="n">
        <f aca="false">IFERROR(1-L93/M93,"")</f>
        <v>0.157692783760366</v>
      </c>
      <c r="BP93" s="11" t="s">
        <v>87</v>
      </c>
      <c r="BQ93" s="12" t="n">
        <v>1185397</v>
      </c>
      <c r="BR93" s="11" t="s">
        <v>88</v>
      </c>
      <c r="BS93" s="11" t="s">
        <v>232</v>
      </c>
      <c r="BT93" s="19" t="str">
        <f aca="false">IF(OR(Z93&lt;6,AH93&lt;0.9,S93&lt;0.02,AK93&lt;1),"REVIEW",IF(AND(S93&gt;0.25,AH93&gt;1.2),"ACCELERATING","STABLE"))</f>
        <v>STABLE</v>
      </c>
    </row>
    <row r="94" customFormat="false" ht="15" hidden="false" customHeight="false" outlineLevel="0" collapsed="false">
      <c r="A94" s="3" t="s">
        <v>233</v>
      </c>
      <c r="B94" s="3" t="s">
        <v>73</v>
      </c>
      <c r="C94" s="3" t="s">
        <v>234</v>
      </c>
      <c r="D94" s="3" t="s">
        <v>75</v>
      </c>
      <c r="E94" s="3" t="s">
        <v>199</v>
      </c>
      <c r="F94" s="3" t="s">
        <v>235</v>
      </c>
      <c r="G94" s="3" t="s">
        <v>136</v>
      </c>
      <c r="H94" s="3" t="s">
        <v>230</v>
      </c>
      <c r="I94" s="3" t="s">
        <v>136</v>
      </c>
      <c r="J94" s="4" t="n">
        <v>2575000</v>
      </c>
      <c r="K94" s="5" t="n">
        <f aca="false">IFERROR(J94/M94,"")</f>
        <v>0.176140638894589</v>
      </c>
      <c r="L94" s="4" t="n">
        <v>12044000</v>
      </c>
      <c r="M94" s="6" t="n">
        <f aca="false">L94+J94</f>
        <v>14619000</v>
      </c>
      <c r="N94" s="4" t="n">
        <v>4366000</v>
      </c>
      <c r="O94" s="4" t="n">
        <v>31686743</v>
      </c>
      <c r="P94" s="4" t="n">
        <v>676433</v>
      </c>
      <c r="Q94" s="7"/>
      <c r="R94" s="4" t="n">
        <v>790998</v>
      </c>
      <c r="S94" s="7"/>
      <c r="T94" s="4" t="n">
        <v>469933</v>
      </c>
      <c r="U94" s="5" t="n">
        <f aca="false">IFERROR(T94/P94,"")</f>
        <v>0.694722167605661</v>
      </c>
      <c r="V94" s="6" t="n">
        <f aca="false">T94-AV94</f>
        <v>-1816284</v>
      </c>
      <c r="W94" s="6" t="n">
        <f aca="false">V94-AA94*0.1</f>
        <v>-1816284</v>
      </c>
      <c r="X94" s="4" t="n">
        <v>4547409</v>
      </c>
      <c r="Y94" s="4" t="n">
        <v>162890</v>
      </c>
      <c r="Z94" s="8" t="n">
        <f aca="false">IFERROR(X94/Y94,"")</f>
        <v>27.917054453926</v>
      </c>
      <c r="AA94" s="4" t="n">
        <v>0</v>
      </c>
      <c r="AB94" s="6" t="n">
        <f aca="false">W94-0.02*P94</f>
        <v>-1829812.66</v>
      </c>
      <c r="AC94" s="9" t="n">
        <v>24</v>
      </c>
      <c r="AD94" s="7"/>
      <c r="AE94" s="7" t="n">
        <v>0.062</v>
      </c>
      <c r="AF94" s="7" t="n">
        <v>0.045</v>
      </c>
      <c r="AG94" s="5" t="n">
        <f aca="false">1-AF94</f>
        <v>0.955</v>
      </c>
      <c r="AH94" s="7" t="n">
        <v>1.145</v>
      </c>
      <c r="AI94" s="4" t="n">
        <v>30316</v>
      </c>
      <c r="AJ94" s="6" t="n">
        <f aca="false">IFERROR(AM94*U94*MIN(1/AE94,5),"")</f>
        <v>86840.2709507076</v>
      </c>
      <c r="AK94" s="10" t="n">
        <f aca="false">IFERROR(AJ94/AI94,"")</f>
        <v>2.86450293411755</v>
      </c>
      <c r="AL94" s="8" t="n">
        <f aca="false">IFERROR(AI94/(AM94*U94/12),"")</f>
        <v>20.946042430389</v>
      </c>
      <c r="AM94" s="4" t="n">
        <v>25000</v>
      </c>
      <c r="AN94" s="4" t="n">
        <v>854238</v>
      </c>
      <c r="AO94" s="4" t="n">
        <v>2951190</v>
      </c>
      <c r="AP94" s="7" t="n">
        <v>0.197</v>
      </c>
      <c r="AQ94" s="9" t="n">
        <v>26</v>
      </c>
      <c r="AR94" s="9" t="n">
        <v>6</v>
      </c>
      <c r="AS94" s="7"/>
      <c r="AT94" s="3" t="s">
        <v>137</v>
      </c>
      <c r="AU94" s="6" t="n">
        <f aca="false">IFERROR(P94/AR94,"")</f>
        <v>112738.833333333</v>
      </c>
      <c r="AV94" s="4" t="n">
        <v>2286217</v>
      </c>
      <c r="AW94" s="4" t="n">
        <v>986513</v>
      </c>
      <c r="AX94" s="4" t="n">
        <v>445983</v>
      </c>
      <c r="AY94" s="9" t="n">
        <v>22496</v>
      </c>
      <c r="AZ94" s="7"/>
      <c r="BA94" s="7" t="n">
        <v>0.955</v>
      </c>
      <c r="BB94" s="3" t="s">
        <v>112</v>
      </c>
      <c r="BC94" s="3" t="s">
        <v>82</v>
      </c>
      <c r="BD94" s="3" t="s">
        <v>145</v>
      </c>
      <c r="BE94" s="4" t="n">
        <v>714910</v>
      </c>
      <c r="BF94" s="5" t="n">
        <f aca="false">IFERROR(P94/BE94-1,"")</f>
        <v>-0.0538207606551874</v>
      </c>
      <c r="BG94" s="7" t="n">
        <v>0.087</v>
      </c>
      <c r="BH94" s="7" t="n">
        <v>0.001</v>
      </c>
      <c r="BI94" s="6" t="n">
        <f aca="false">P94</f>
        <v>676433</v>
      </c>
      <c r="BJ94" s="4" t="n">
        <v>-1219518</v>
      </c>
      <c r="BK94" s="3" t="s">
        <v>158</v>
      </c>
      <c r="BL94" s="3" t="s">
        <v>132</v>
      </c>
      <c r="BM94" s="6" t="n">
        <f aca="false">O94</f>
        <v>31686743</v>
      </c>
      <c r="BN94" s="3" t="s">
        <v>236</v>
      </c>
      <c r="BO94" s="5" t="n">
        <f aca="false">IFERROR(1-L94/M94,"")</f>
        <v>0.176140638894589</v>
      </c>
      <c r="BP94" s="3" t="s">
        <v>106</v>
      </c>
      <c r="BQ94" s="4" t="n">
        <v>2588376</v>
      </c>
      <c r="BR94" s="3" t="s">
        <v>88</v>
      </c>
      <c r="BS94" s="3" t="s">
        <v>232</v>
      </c>
      <c r="BT94" s="3" t="s">
        <v>90</v>
      </c>
    </row>
    <row r="95" customFormat="false" ht="15" hidden="false" customHeight="false" outlineLevel="0" collapsed="false">
      <c r="A95" s="11" t="s">
        <v>233</v>
      </c>
      <c r="B95" s="11" t="s">
        <v>91</v>
      </c>
      <c r="C95" s="11" t="s">
        <v>234</v>
      </c>
      <c r="D95" s="11" t="s">
        <v>75</v>
      </c>
      <c r="E95" s="11" t="s">
        <v>199</v>
      </c>
      <c r="F95" s="11" t="s">
        <v>235</v>
      </c>
      <c r="G95" s="11" t="s">
        <v>136</v>
      </c>
      <c r="H95" s="11" t="s">
        <v>230</v>
      </c>
      <c r="I95" s="11" t="s">
        <v>136</v>
      </c>
      <c r="J95" s="12" t="n">
        <v>2575000</v>
      </c>
      <c r="K95" s="13" t="n">
        <f aca="false">IFERROR(J95/M95,"")</f>
        <v>0.176140638894589</v>
      </c>
      <c r="L95" s="12" t="n">
        <v>12044000</v>
      </c>
      <c r="M95" s="14" t="n">
        <f aca="false">L95+J95</f>
        <v>14619000</v>
      </c>
      <c r="N95" s="12" t="n">
        <v>4366000</v>
      </c>
      <c r="O95" s="12" t="n">
        <v>31686743</v>
      </c>
      <c r="P95" s="12" t="n">
        <v>816850</v>
      </c>
      <c r="Q95" s="13" t="n">
        <f aca="false">IFERROR(P95/P94-1,"")</f>
        <v>0.207584490999108</v>
      </c>
      <c r="R95" s="12" t="n">
        <v>969674</v>
      </c>
      <c r="S95" s="13" t="n">
        <f aca="false">IFERROR(R95/R94-1,"")</f>
        <v>0.225886791117045</v>
      </c>
      <c r="T95" s="12" t="n">
        <v>569781</v>
      </c>
      <c r="U95" s="13" t="n">
        <f aca="false">IFERROR(T95/P95,"")</f>
        <v>0.697534431046092</v>
      </c>
      <c r="V95" s="14" t="n">
        <f aca="false">T95-AV95</f>
        <v>-2029270</v>
      </c>
      <c r="W95" s="14" t="n">
        <f aca="false">V95-AA95*0.1</f>
        <v>-2029270</v>
      </c>
      <c r="X95" s="12" t="n">
        <v>4136604</v>
      </c>
      <c r="Y95" s="12" t="n">
        <v>168260</v>
      </c>
      <c r="Z95" s="15" t="n">
        <f aca="false">IFERROR(X95/Y95,"")</f>
        <v>24.5845952692262</v>
      </c>
      <c r="AA95" s="12" t="n">
        <v>0</v>
      </c>
      <c r="AB95" s="14" t="n">
        <f aca="false">W95-0.02*P95</f>
        <v>-2045607</v>
      </c>
      <c r="AC95" s="16" t="n">
        <v>29</v>
      </c>
      <c r="AD95" s="13" t="n">
        <f aca="false">IFERROR(AC95/AC94-1,"")</f>
        <v>0.208333333333333</v>
      </c>
      <c r="AE95" s="17" t="n">
        <v>0.06</v>
      </c>
      <c r="AF95" s="17" t="n">
        <v>0.065</v>
      </c>
      <c r="AG95" s="13" t="n">
        <f aca="false">1-AF95</f>
        <v>0.935</v>
      </c>
      <c r="AH95" s="17" t="n">
        <v>1.14</v>
      </c>
      <c r="AI95" s="12" t="n">
        <v>29744</v>
      </c>
      <c r="AJ95" s="14" t="n">
        <f aca="false">IFERROR(AM95*U95*MIN(1/AE95,5),"")</f>
        <v>88935.6399583767</v>
      </c>
      <c r="AK95" s="18" t="n">
        <f aca="false">IFERROR(AJ95/AI95,"")</f>
        <v>2.99003630844462</v>
      </c>
      <c r="AL95" s="15" t="n">
        <f aca="false">IFERROR(AI95/(AM95*U95/12),"")</f>
        <v>20.0666459569554</v>
      </c>
      <c r="AM95" s="12" t="n">
        <v>25500</v>
      </c>
      <c r="AN95" s="12" t="n">
        <v>1253558</v>
      </c>
      <c r="AO95" s="12" t="n">
        <v>2624886</v>
      </c>
      <c r="AP95" s="17" t="n">
        <v>0.197</v>
      </c>
      <c r="AQ95" s="16" t="n">
        <v>26</v>
      </c>
      <c r="AR95" s="16" t="n">
        <v>7</v>
      </c>
      <c r="AS95" s="13" t="n">
        <f aca="false">IFERROR(AR95/AR94-1,"")</f>
        <v>0.166666666666667</v>
      </c>
      <c r="AT95" s="11" t="s">
        <v>137</v>
      </c>
      <c r="AU95" s="14" t="n">
        <f aca="false">IFERROR(P95/AR95,"")</f>
        <v>116692.857142857</v>
      </c>
      <c r="AV95" s="12" t="n">
        <v>2599051</v>
      </c>
      <c r="AW95" s="12" t="n">
        <v>956763</v>
      </c>
      <c r="AX95" s="12" t="n">
        <v>499654</v>
      </c>
      <c r="AY95" s="16" t="n">
        <v>25556</v>
      </c>
      <c r="AZ95" s="13" t="n">
        <f aca="false">IFERROR(AY95/AY94-1,"")</f>
        <v>0.136024182076814</v>
      </c>
      <c r="BA95" s="17" t="n">
        <v>0.952</v>
      </c>
      <c r="BB95" s="11" t="s">
        <v>112</v>
      </c>
      <c r="BC95" s="11" t="s">
        <v>82</v>
      </c>
      <c r="BD95" s="11" t="s">
        <v>145</v>
      </c>
      <c r="BE95" s="12" t="n">
        <v>762782</v>
      </c>
      <c r="BF95" s="13" t="n">
        <f aca="false">IFERROR(P95/BE95-1,"")</f>
        <v>0.0708826375032448</v>
      </c>
      <c r="BG95" s="17" t="n">
        <v>0.039</v>
      </c>
      <c r="BH95" s="17" t="n">
        <v>-0.009</v>
      </c>
      <c r="BI95" s="14" t="n">
        <f aca="false">P95*(1+IFERROR(Q95,0))^4</f>
        <v>1737050.40323554</v>
      </c>
      <c r="BJ95" s="12" t="n">
        <v>-1790474</v>
      </c>
      <c r="BK95" s="11" t="s">
        <v>158</v>
      </c>
      <c r="BL95" s="11" t="s">
        <v>132</v>
      </c>
      <c r="BM95" s="14" t="n">
        <f aca="false">O95</f>
        <v>31686743</v>
      </c>
      <c r="BN95" s="11" t="s">
        <v>236</v>
      </c>
      <c r="BO95" s="13" t="n">
        <f aca="false">IFERROR(1-L95/M95,"")</f>
        <v>0.176140638894589</v>
      </c>
      <c r="BP95" s="11" t="s">
        <v>106</v>
      </c>
      <c r="BQ95" s="12" t="n">
        <v>3070181</v>
      </c>
      <c r="BR95" s="11" t="s">
        <v>88</v>
      </c>
      <c r="BS95" s="11" t="s">
        <v>232</v>
      </c>
      <c r="BT95" s="19" t="str">
        <f aca="false">IF(OR(Z95&lt;6,AH95&lt;0.9,S95&lt;0.02,AK95&lt;1),"REVIEW",IF(AND(S95&gt;0.25,AH95&gt;1.2),"ACCELERATING","STABLE"))</f>
        <v>STABLE</v>
      </c>
    </row>
    <row r="96" customFormat="false" ht="15" hidden="false" customHeight="false" outlineLevel="0" collapsed="false">
      <c r="A96" s="11" t="s">
        <v>233</v>
      </c>
      <c r="B96" s="11" t="s">
        <v>92</v>
      </c>
      <c r="C96" s="11" t="s">
        <v>234</v>
      </c>
      <c r="D96" s="11" t="s">
        <v>75</v>
      </c>
      <c r="E96" s="11" t="s">
        <v>199</v>
      </c>
      <c r="F96" s="11" t="s">
        <v>235</v>
      </c>
      <c r="G96" s="11" t="s">
        <v>136</v>
      </c>
      <c r="H96" s="11" t="s">
        <v>230</v>
      </c>
      <c r="I96" s="11" t="s">
        <v>136</v>
      </c>
      <c r="J96" s="12" t="n">
        <v>2575000</v>
      </c>
      <c r="K96" s="13" t="n">
        <f aca="false">IFERROR(J96/M96,"")</f>
        <v>0.176140638894589</v>
      </c>
      <c r="L96" s="12" t="n">
        <v>12044000</v>
      </c>
      <c r="M96" s="14" t="n">
        <f aca="false">L96+J96</f>
        <v>14619000</v>
      </c>
      <c r="N96" s="12" t="n">
        <v>4366000</v>
      </c>
      <c r="O96" s="12" t="n">
        <v>31686743</v>
      </c>
      <c r="P96" s="12" t="n">
        <v>1012224</v>
      </c>
      <c r="Q96" s="13" t="n">
        <f aca="false">IFERROR(P96/P95-1,"")</f>
        <v>0.23917977596866</v>
      </c>
      <c r="R96" s="12" t="n">
        <v>1153967</v>
      </c>
      <c r="S96" s="13" t="n">
        <f aca="false">IFERROR(R96/R95-1,"")</f>
        <v>0.190056658217092</v>
      </c>
      <c r="T96" s="12" t="n">
        <v>708908</v>
      </c>
      <c r="U96" s="13" t="n">
        <f aca="false">IFERROR(T96/P96,"")</f>
        <v>0.700346958775923</v>
      </c>
      <c r="V96" s="14" t="n">
        <f aca="false">T96-AV96</f>
        <v>-1792987</v>
      </c>
      <c r="W96" s="14" t="n">
        <f aca="false">V96-AA96*0.1</f>
        <v>-1792987</v>
      </c>
      <c r="X96" s="12" t="n">
        <v>3696801</v>
      </c>
      <c r="Y96" s="12" t="n">
        <v>173630</v>
      </c>
      <c r="Z96" s="15" t="n">
        <f aca="false">IFERROR(X96/Y96,"")</f>
        <v>21.2912572712089</v>
      </c>
      <c r="AA96" s="12" t="n">
        <v>0</v>
      </c>
      <c r="AB96" s="14" t="n">
        <f aca="false">W96-0.02*P96</f>
        <v>-1813231.48</v>
      </c>
      <c r="AC96" s="16" t="n">
        <v>32</v>
      </c>
      <c r="AD96" s="13" t="n">
        <f aca="false">IFERROR(AC96/AC95-1,"")</f>
        <v>0.103448275862069</v>
      </c>
      <c r="AE96" s="17" t="n">
        <v>0.059</v>
      </c>
      <c r="AF96" s="17" t="n">
        <v>0.061</v>
      </c>
      <c r="AG96" s="13" t="n">
        <f aca="false">1-AF96</f>
        <v>0.939</v>
      </c>
      <c r="AH96" s="17" t="n">
        <v>1.135</v>
      </c>
      <c r="AI96" s="12" t="n">
        <v>29172</v>
      </c>
      <c r="AJ96" s="14" t="n">
        <f aca="false">IFERROR(AM96*U96*MIN(1/AE96,5),"")</f>
        <v>91045.10464087</v>
      </c>
      <c r="AK96" s="18" t="n">
        <f aca="false">IFERROR(AJ96/AI96,"")</f>
        <v>3.12097575212087</v>
      </c>
      <c r="AL96" s="15" t="n">
        <f aca="false">IFERROR(AI96/(AM96*U96/12),"")</f>
        <v>19.2247568598464</v>
      </c>
      <c r="AM96" s="12" t="n">
        <v>26000</v>
      </c>
      <c r="AN96" s="12" t="n">
        <v>1622998</v>
      </c>
      <c r="AO96" s="12" t="n">
        <v>2968148</v>
      </c>
      <c r="AP96" s="17" t="n">
        <v>0.197</v>
      </c>
      <c r="AQ96" s="16" t="n">
        <v>26</v>
      </c>
      <c r="AR96" s="16" t="n">
        <v>7</v>
      </c>
      <c r="AS96" s="13" t="n">
        <f aca="false">IFERROR(AR96/AR95-1,"")</f>
        <v>0</v>
      </c>
      <c r="AT96" s="11" t="s">
        <v>137</v>
      </c>
      <c r="AU96" s="14" t="n">
        <f aca="false">IFERROR(P96/AR96,"")</f>
        <v>144603.428571429</v>
      </c>
      <c r="AV96" s="12" t="n">
        <v>2501895</v>
      </c>
      <c r="AW96" s="12" t="n">
        <v>919439</v>
      </c>
      <c r="AX96" s="12" t="n">
        <v>461343</v>
      </c>
      <c r="AY96" s="16" t="n">
        <v>31696</v>
      </c>
      <c r="AZ96" s="13" t="n">
        <f aca="false">IFERROR(AY96/AY95-1,"")</f>
        <v>0.240256691187979</v>
      </c>
      <c r="BA96" s="17" t="n">
        <v>0.947</v>
      </c>
      <c r="BB96" s="11" t="s">
        <v>112</v>
      </c>
      <c r="BC96" s="11" t="s">
        <v>82</v>
      </c>
      <c r="BD96" s="11" t="s">
        <v>145</v>
      </c>
      <c r="BE96" s="12" t="n">
        <v>1236683</v>
      </c>
      <c r="BF96" s="13" t="n">
        <f aca="false">IFERROR(P96/BE96-1,"")</f>
        <v>-0.181500837320477</v>
      </c>
      <c r="BG96" s="17" t="n">
        <v>0.028</v>
      </c>
      <c r="BH96" s="17" t="n">
        <v>-0.034</v>
      </c>
      <c r="BI96" s="14" t="n">
        <f aca="false">P96*(1+IFERROR(Q96,0))^4</f>
        <v>2386788.28705105</v>
      </c>
      <c r="BJ96" s="12" t="n">
        <v>-1098613</v>
      </c>
      <c r="BK96" s="11" t="s">
        <v>158</v>
      </c>
      <c r="BL96" s="11" t="s">
        <v>132</v>
      </c>
      <c r="BM96" s="14" t="n">
        <f aca="false">O96</f>
        <v>31686743</v>
      </c>
      <c r="BN96" s="11" t="s">
        <v>236</v>
      </c>
      <c r="BO96" s="13" t="n">
        <f aca="false">IFERROR(1-L96/M96,"")</f>
        <v>0.176140638894589</v>
      </c>
      <c r="BP96" s="11" t="s">
        <v>106</v>
      </c>
      <c r="BQ96" s="12" t="n">
        <v>2407951</v>
      </c>
      <c r="BR96" s="11" t="s">
        <v>88</v>
      </c>
      <c r="BS96" s="11" t="s">
        <v>232</v>
      </c>
      <c r="BT96" s="19" t="str">
        <f aca="false">IF(OR(Z96&lt;6,AH96&lt;0.9,S96&lt;0.02,AK96&lt;1),"REVIEW",IF(AND(S96&gt;0.25,AH96&gt;1.2),"ACCELERATING","STABLE"))</f>
        <v>STABLE</v>
      </c>
    </row>
    <row r="97" customFormat="false" ht="15" hidden="false" customHeight="false" outlineLevel="0" collapsed="false">
      <c r="A97" s="11" t="s">
        <v>233</v>
      </c>
      <c r="B97" s="11" t="s">
        <v>93</v>
      </c>
      <c r="C97" s="11" t="s">
        <v>234</v>
      </c>
      <c r="D97" s="11" t="s">
        <v>75</v>
      </c>
      <c r="E97" s="11" t="s">
        <v>199</v>
      </c>
      <c r="F97" s="11" t="s">
        <v>235</v>
      </c>
      <c r="G97" s="11" t="s">
        <v>136</v>
      </c>
      <c r="H97" s="11" t="s">
        <v>230</v>
      </c>
      <c r="I97" s="11" t="s">
        <v>136</v>
      </c>
      <c r="J97" s="12" t="n">
        <v>2575000</v>
      </c>
      <c r="K97" s="13" t="n">
        <f aca="false">IFERROR(J97/M97,"")</f>
        <v>0.176140638894589</v>
      </c>
      <c r="L97" s="12" t="n">
        <v>12044000</v>
      </c>
      <c r="M97" s="14" t="n">
        <f aca="false">L97+J97</f>
        <v>14619000</v>
      </c>
      <c r="N97" s="12" t="n">
        <v>4366000</v>
      </c>
      <c r="O97" s="12" t="n">
        <v>31686743</v>
      </c>
      <c r="P97" s="12" t="n">
        <v>1273796</v>
      </c>
      <c r="Q97" s="13" t="n">
        <f aca="false">IFERROR(P97/P96-1,"")</f>
        <v>0.258413157561963</v>
      </c>
      <c r="R97" s="12" t="n">
        <v>1437035</v>
      </c>
      <c r="S97" s="13" t="n">
        <f aca="false">IFERROR(R97/R96-1,"")</f>
        <v>0.245299908922872</v>
      </c>
      <c r="T97" s="12" t="n">
        <v>895682</v>
      </c>
      <c r="U97" s="13" t="n">
        <f aca="false">IFERROR(T97/P97,"")</f>
        <v>0.70315968962063</v>
      </c>
      <c r="V97" s="14" t="n">
        <f aca="false">T97-AV97</f>
        <v>-2137112</v>
      </c>
      <c r="W97" s="14" t="n">
        <f aca="false">V97-AA97*0.1</f>
        <v>-2137112</v>
      </c>
      <c r="X97" s="12" t="n">
        <v>3228000</v>
      </c>
      <c r="Y97" s="12" t="n">
        <v>179000</v>
      </c>
      <c r="Z97" s="15" t="n">
        <f aca="false">IFERROR(X97/Y97,"")</f>
        <v>18.0335195530726</v>
      </c>
      <c r="AA97" s="12" t="n">
        <v>0</v>
      </c>
      <c r="AB97" s="14" t="n">
        <f aca="false">W97-0.02*P97</f>
        <v>-2162587.92</v>
      </c>
      <c r="AC97" s="16" t="n">
        <v>41</v>
      </c>
      <c r="AD97" s="13" t="n">
        <f aca="false">IFERROR(AC97/AC96-1,"")</f>
        <v>0.28125</v>
      </c>
      <c r="AE97" s="17" t="n">
        <v>0.057</v>
      </c>
      <c r="AF97" s="17" t="n">
        <v>0.06</v>
      </c>
      <c r="AG97" s="13" t="n">
        <f aca="false">1-AF97</f>
        <v>0.94</v>
      </c>
      <c r="AH97" s="17" t="n">
        <v>1.13</v>
      </c>
      <c r="AI97" s="12" t="n">
        <v>28600</v>
      </c>
      <c r="AJ97" s="14" t="n">
        <f aca="false">IFERROR(AM97*U97*MIN(1/AE97,5),"")</f>
        <v>93168.6588747335</v>
      </c>
      <c r="AK97" s="18" t="n">
        <f aca="false">IFERROR(AJ97/AI97,"")</f>
        <v>3.25764541520047</v>
      </c>
      <c r="AL97" s="15" t="n">
        <f aca="false">IFERROR(AI97/(AM97*U97/12),"")</f>
        <v>18.4182108095726</v>
      </c>
      <c r="AM97" s="12" t="n">
        <v>26500</v>
      </c>
      <c r="AN97" s="12" t="n">
        <v>1915331</v>
      </c>
      <c r="AO97" s="12" t="n">
        <v>5745819</v>
      </c>
      <c r="AP97" s="17" t="n">
        <v>0.197</v>
      </c>
      <c r="AQ97" s="16" t="n">
        <v>26</v>
      </c>
      <c r="AR97" s="16" t="n">
        <v>8</v>
      </c>
      <c r="AS97" s="13" t="n">
        <f aca="false">IFERROR(AR97/AR96-1,"")</f>
        <v>0.142857142857143</v>
      </c>
      <c r="AT97" s="11" t="s">
        <v>137</v>
      </c>
      <c r="AU97" s="14" t="n">
        <f aca="false">IFERROR(P97/AR97,"")</f>
        <v>159224.5</v>
      </c>
      <c r="AV97" s="12" t="n">
        <v>3032794</v>
      </c>
      <c r="AW97" s="12" t="n">
        <v>1021195</v>
      </c>
      <c r="AX97" s="12" t="n">
        <v>864350</v>
      </c>
      <c r="AY97" s="16" t="n">
        <v>40036</v>
      </c>
      <c r="AZ97" s="13" t="n">
        <f aca="false">IFERROR(AY97/AY96-1,"")</f>
        <v>0.263124684502776</v>
      </c>
      <c r="BA97" s="17" t="n">
        <v>0.939</v>
      </c>
      <c r="BB97" s="11" t="s">
        <v>112</v>
      </c>
      <c r="BC97" s="11" t="s">
        <v>82</v>
      </c>
      <c r="BD97" s="11" t="s">
        <v>145</v>
      </c>
      <c r="BE97" s="12" t="n">
        <v>1222529</v>
      </c>
      <c r="BF97" s="13" t="n">
        <f aca="false">IFERROR(P97/BE97-1,"")</f>
        <v>0.0419352015371415</v>
      </c>
      <c r="BG97" s="17" t="n">
        <v>-0.019</v>
      </c>
      <c r="BH97" s="17" t="n">
        <v>0.067</v>
      </c>
      <c r="BI97" s="14" t="n">
        <f aca="false">P97*(1+IFERROR(Q97,0))^4</f>
        <v>3194426.37291153</v>
      </c>
      <c r="BJ97" s="12" t="n">
        <v>-1187294</v>
      </c>
      <c r="BK97" s="11" t="s">
        <v>158</v>
      </c>
      <c r="BL97" s="11" t="s">
        <v>132</v>
      </c>
      <c r="BM97" s="14" t="n">
        <f aca="false">O97</f>
        <v>31686743</v>
      </c>
      <c r="BN97" s="11" t="s">
        <v>236</v>
      </c>
      <c r="BO97" s="13" t="n">
        <f aca="false">IFERROR(1-L97/M97,"")</f>
        <v>0.176140638894589</v>
      </c>
      <c r="BP97" s="11" t="s">
        <v>106</v>
      </c>
      <c r="BQ97" s="12" t="n">
        <v>2148026</v>
      </c>
      <c r="BR97" s="11" t="s">
        <v>88</v>
      </c>
      <c r="BS97" s="11" t="s">
        <v>232</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237</v>
      </c>
      <c r="D1" s="1" t="s">
        <v>238</v>
      </c>
      <c r="E1" s="1" t="s">
        <v>239</v>
      </c>
      <c r="F1" s="1" t="s">
        <v>240</v>
      </c>
      <c r="G1" s="1" t="s">
        <v>43</v>
      </c>
      <c r="H1" s="1" t="s">
        <v>241</v>
      </c>
      <c r="I1" s="1" t="s">
        <v>242</v>
      </c>
      <c r="J1" s="1" t="s">
        <v>243</v>
      </c>
      <c r="K1" s="1" t="s">
        <v>244</v>
      </c>
      <c r="L1" s="1" t="s">
        <v>70</v>
      </c>
    </row>
    <row r="2" customFormat="false" ht="15" hidden="false" customHeight="false" outlineLevel="0" collapsed="false">
      <c r="A2" s="20" t="s">
        <v>245</v>
      </c>
      <c r="B2" s="20" t="s">
        <v>151</v>
      </c>
      <c r="C2" s="20" t="s">
        <v>246</v>
      </c>
      <c r="D2" s="20" t="s">
        <v>247</v>
      </c>
      <c r="E2" s="20" t="s">
        <v>248</v>
      </c>
      <c r="F2" s="20"/>
      <c r="G2" s="20"/>
      <c r="H2" s="20"/>
      <c r="I2" s="20"/>
      <c r="J2" s="20" t="s">
        <v>249</v>
      </c>
      <c r="K2" s="20" t="s">
        <v>250</v>
      </c>
      <c r="L2" s="20" t="s">
        <v>251</v>
      </c>
    </row>
    <row r="3" customFormat="false" ht="15" hidden="false" customHeight="false" outlineLevel="0" collapsed="false">
      <c r="A3" s="20" t="s">
        <v>252</v>
      </c>
      <c r="B3" s="20" t="s">
        <v>182</v>
      </c>
      <c r="C3" s="20" t="s">
        <v>253</v>
      </c>
      <c r="D3" s="20" t="s">
        <v>254</v>
      </c>
      <c r="E3" s="20" t="s">
        <v>78</v>
      </c>
      <c r="F3" s="20" t="s">
        <v>255</v>
      </c>
      <c r="G3" s="20"/>
      <c r="H3" s="20"/>
      <c r="I3" s="20"/>
      <c r="J3" s="20" t="s">
        <v>249</v>
      </c>
      <c r="K3" s="20" t="s">
        <v>256</v>
      </c>
      <c r="L3" s="20" t="s">
        <v>251</v>
      </c>
    </row>
    <row r="4" customFormat="false" ht="15" hidden="false" customHeight="false" outlineLevel="0" collapsed="false">
      <c r="A4" s="20" t="s">
        <v>257</v>
      </c>
      <c r="B4" s="20" t="s">
        <v>213</v>
      </c>
      <c r="C4" s="20" t="s">
        <v>258</v>
      </c>
      <c r="D4" s="20" t="s">
        <v>259</v>
      </c>
      <c r="E4" s="20" t="s">
        <v>260</v>
      </c>
      <c r="F4" s="20" t="s">
        <v>261</v>
      </c>
      <c r="G4" s="20"/>
      <c r="H4" s="20"/>
      <c r="I4" s="20"/>
      <c r="J4" s="20" t="s">
        <v>249</v>
      </c>
      <c r="K4" s="20" t="s">
        <v>262</v>
      </c>
      <c r="L4" s="20" t="s">
        <v>251</v>
      </c>
    </row>
    <row r="5" customFormat="false" ht="15" hidden="false" customHeight="false" outlineLevel="0" collapsed="false">
      <c r="A5" s="20" t="s">
        <v>263</v>
      </c>
      <c r="B5" s="20" t="s">
        <v>151</v>
      </c>
      <c r="C5" s="20" t="s">
        <v>264</v>
      </c>
      <c r="D5" s="20" t="s">
        <v>265</v>
      </c>
      <c r="E5" s="20" t="s">
        <v>111</v>
      </c>
      <c r="F5" s="20" t="s">
        <v>266</v>
      </c>
      <c r="G5" s="20"/>
      <c r="H5" s="20"/>
      <c r="I5" s="20"/>
      <c r="J5" s="20" t="s">
        <v>249</v>
      </c>
      <c r="K5" s="20" t="s">
        <v>267</v>
      </c>
      <c r="L5" s="20" t="s">
        <v>251</v>
      </c>
    </row>
    <row r="6" customFormat="false" ht="15" hidden="false" customHeight="false" outlineLevel="0" collapsed="false">
      <c r="A6" s="20" t="s">
        <v>268</v>
      </c>
      <c r="B6" s="20" t="s">
        <v>269</v>
      </c>
      <c r="C6" s="20" t="s">
        <v>270</v>
      </c>
      <c r="D6" s="20" t="s">
        <v>271</v>
      </c>
      <c r="E6" s="20" t="s">
        <v>111</v>
      </c>
      <c r="F6" s="20"/>
      <c r="G6" s="20"/>
      <c r="H6" s="20"/>
      <c r="I6" s="20"/>
      <c r="J6" s="20" t="s">
        <v>249</v>
      </c>
      <c r="K6" s="20" t="s">
        <v>272</v>
      </c>
      <c r="L6" s="20" t="s">
        <v>251</v>
      </c>
    </row>
    <row r="7" customFormat="false" ht="15" hidden="false" customHeight="false" outlineLevel="0" collapsed="false">
      <c r="A7" s="20" t="s">
        <v>273</v>
      </c>
      <c r="B7" s="20" t="s">
        <v>274</v>
      </c>
      <c r="C7" s="20" t="s">
        <v>275</v>
      </c>
      <c r="D7" s="20" t="s">
        <v>254</v>
      </c>
      <c r="E7" s="20" t="s">
        <v>111</v>
      </c>
      <c r="F7" s="20" t="s">
        <v>276</v>
      </c>
      <c r="G7" s="20"/>
      <c r="H7" s="20"/>
      <c r="I7" s="20"/>
      <c r="J7" s="20" t="s">
        <v>249</v>
      </c>
      <c r="K7" s="20" t="s">
        <v>277</v>
      </c>
      <c r="L7" s="20" t="s">
        <v>251</v>
      </c>
    </row>
    <row r="8" customFormat="false" ht="15" hidden="false" customHeight="false" outlineLevel="0" collapsed="false">
      <c r="A8" s="20" t="s">
        <v>278</v>
      </c>
      <c r="B8" s="20" t="s">
        <v>279</v>
      </c>
      <c r="C8" s="20" t="s">
        <v>280</v>
      </c>
      <c r="D8" s="20" t="s">
        <v>254</v>
      </c>
      <c r="E8" s="20" t="s">
        <v>98</v>
      </c>
      <c r="F8" s="20" t="s">
        <v>281</v>
      </c>
      <c r="G8" s="20"/>
      <c r="H8" s="20"/>
      <c r="I8" s="20"/>
      <c r="J8" s="20" t="s">
        <v>249</v>
      </c>
      <c r="K8" s="20" t="s">
        <v>282</v>
      </c>
      <c r="L8" s="20" t="s">
        <v>251</v>
      </c>
    </row>
    <row r="9" customFormat="false" ht="15" hidden="false" customHeight="false" outlineLevel="0" collapsed="false">
      <c r="A9" s="20" t="s">
        <v>283</v>
      </c>
      <c r="B9" s="20" t="s">
        <v>284</v>
      </c>
      <c r="C9" s="20" t="s">
        <v>285</v>
      </c>
      <c r="D9" s="20" t="s">
        <v>286</v>
      </c>
      <c r="E9" s="20" t="s">
        <v>287</v>
      </c>
      <c r="F9" s="20" t="s">
        <v>288</v>
      </c>
      <c r="G9" s="20"/>
      <c r="H9" s="20"/>
      <c r="I9" s="20"/>
      <c r="J9" s="20" t="s">
        <v>249</v>
      </c>
      <c r="K9" s="20" t="s">
        <v>289</v>
      </c>
      <c r="L9" s="20" t="s">
        <v>251</v>
      </c>
    </row>
    <row r="10" customFormat="false" ht="15" hidden="false" customHeight="false" outlineLevel="0" collapsed="false">
      <c r="A10" s="20" t="s">
        <v>290</v>
      </c>
      <c r="B10" s="20" t="s">
        <v>291</v>
      </c>
      <c r="C10" s="20" t="s">
        <v>292</v>
      </c>
      <c r="D10" s="20" t="s">
        <v>293</v>
      </c>
      <c r="E10" s="20" t="s">
        <v>260</v>
      </c>
      <c r="F10" s="20" t="s">
        <v>294</v>
      </c>
      <c r="G10" s="20"/>
      <c r="H10" s="20"/>
      <c r="I10" s="20"/>
      <c r="J10" s="20" t="s">
        <v>249</v>
      </c>
      <c r="K10" s="20" t="s">
        <v>295</v>
      </c>
      <c r="L10" s="20" t="s">
        <v>251</v>
      </c>
    </row>
    <row r="11" customFormat="false" ht="15" hidden="false" customHeight="false" outlineLevel="0" collapsed="false">
      <c r="A11" s="20" t="s">
        <v>296</v>
      </c>
      <c r="B11" s="20" t="s">
        <v>297</v>
      </c>
      <c r="C11" s="20" t="s">
        <v>298</v>
      </c>
      <c r="D11" s="20" t="s">
        <v>299</v>
      </c>
      <c r="E11" s="20" t="s">
        <v>78</v>
      </c>
      <c r="F11" s="20" t="s">
        <v>300</v>
      </c>
      <c r="G11" s="20"/>
      <c r="H11" s="20"/>
      <c r="I11" s="20"/>
      <c r="J11" s="20" t="s">
        <v>249</v>
      </c>
      <c r="K11" s="20" t="s">
        <v>301</v>
      </c>
      <c r="L11" s="20" t="s">
        <v>251</v>
      </c>
    </row>
    <row r="12" customFormat="false" ht="15" hidden="false" customHeight="false" outlineLevel="0" collapsed="false">
      <c r="A12" s="20" t="s">
        <v>302</v>
      </c>
      <c r="B12" s="20" t="s">
        <v>151</v>
      </c>
      <c r="C12" s="20" t="s">
        <v>303</v>
      </c>
      <c r="D12" s="20" t="s">
        <v>254</v>
      </c>
      <c r="E12" s="20" t="s">
        <v>111</v>
      </c>
      <c r="F12" s="20"/>
      <c r="G12" s="20"/>
      <c r="H12" s="20"/>
      <c r="I12" s="20"/>
      <c r="J12" s="20" t="s">
        <v>249</v>
      </c>
      <c r="K12" s="20" t="s">
        <v>304</v>
      </c>
      <c r="L12" s="20" t="s">
        <v>251</v>
      </c>
    </row>
    <row r="13" customFormat="false" ht="15" hidden="false" customHeight="false" outlineLevel="0" collapsed="false">
      <c r="A13" s="20" t="s">
        <v>305</v>
      </c>
      <c r="B13" s="20" t="s">
        <v>306</v>
      </c>
      <c r="C13" s="20" t="s">
        <v>307</v>
      </c>
      <c r="D13" s="20" t="s">
        <v>308</v>
      </c>
      <c r="E13" s="20" t="s">
        <v>111</v>
      </c>
      <c r="F13" s="20"/>
      <c r="G13" s="20"/>
      <c r="H13" s="20"/>
      <c r="I13" s="20"/>
      <c r="J13" s="20" t="s">
        <v>249</v>
      </c>
      <c r="K13" s="20" t="s">
        <v>309</v>
      </c>
      <c r="L13" s="20" t="s">
        <v>251</v>
      </c>
    </row>
    <row r="14" customFormat="false" ht="15" hidden="false" customHeight="false" outlineLevel="0" collapsed="false">
      <c r="A14" s="20" t="s">
        <v>310</v>
      </c>
      <c r="B14" s="20" t="s">
        <v>311</v>
      </c>
      <c r="C14" s="20" t="s">
        <v>312</v>
      </c>
      <c r="D14" s="20" t="s">
        <v>313</v>
      </c>
      <c r="E14" s="20" t="s">
        <v>78</v>
      </c>
      <c r="F14" s="20" t="s">
        <v>314</v>
      </c>
      <c r="G14" s="20"/>
      <c r="H14" s="20"/>
      <c r="I14" s="20"/>
      <c r="J14" s="20" t="s">
        <v>249</v>
      </c>
      <c r="K14" s="20" t="s">
        <v>315</v>
      </c>
      <c r="L14" s="20" t="s">
        <v>251</v>
      </c>
    </row>
    <row r="15" customFormat="false" ht="15" hidden="false" customHeight="false" outlineLevel="0" collapsed="false">
      <c r="A15" s="20" t="s">
        <v>316</v>
      </c>
      <c r="B15" s="20" t="s">
        <v>317</v>
      </c>
      <c r="C15" s="20" t="s">
        <v>318</v>
      </c>
      <c r="D15" s="20" t="s">
        <v>319</v>
      </c>
      <c r="E15" s="20" t="s">
        <v>136</v>
      </c>
      <c r="F15" s="20" t="s">
        <v>320</v>
      </c>
      <c r="G15" s="20"/>
      <c r="H15" s="20"/>
      <c r="I15" s="20"/>
      <c r="J15" s="20" t="s">
        <v>249</v>
      </c>
      <c r="K15" s="20" t="s">
        <v>321</v>
      </c>
      <c r="L15" s="20" t="s">
        <v>251</v>
      </c>
    </row>
    <row r="16" customFormat="false" ht="15" hidden="false" customHeight="false" outlineLevel="0" collapsed="false">
      <c r="A16" s="20" t="s">
        <v>322</v>
      </c>
      <c r="B16" s="20" t="s">
        <v>182</v>
      </c>
      <c r="C16" s="20" t="s">
        <v>323</v>
      </c>
      <c r="D16" s="20" t="s">
        <v>324</v>
      </c>
      <c r="E16" s="20" t="s">
        <v>111</v>
      </c>
      <c r="F16" s="20"/>
      <c r="G16" s="20"/>
      <c r="H16" s="20"/>
      <c r="I16" s="20"/>
      <c r="J16" s="20" t="s">
        <v>249</v>
      </c>
      <c r="K16" s="20" t="s">
        <v>325</v>
      </c>
      <c r="L16" s="20" t="s">
        <v>251</v>
      </c>
    </row>
    <row r="17" customFormat="false" ht="15" hidden="false" customHeight="false" outlineLevel="0" collapsed="false">
      <c r="A17" s="20" t="s">
        <v>326</v>
      </c>
      <c r="B17" s="20" t="s">
        <v>126</v>
      </c>
      <c r="C17" s="20" t="s">
        <v>327</v>
      </c>
      <c r="D17" s="20" t="s">
        <v>324</v>
      </c>
      <c r="E17" s="20" t="s">
        <v>154</v>
      </c>
      <c r="F17" s="20" t="s">
        <v>328</v>
      </c>
      <c r="G17" s="20"/>
      <c r="H17" s="20"/>
      <c r="I17" s="20"/>
      <c r="J17" s="20" t="s">
        <v>249</v>
      </c>
      <c r="K17" s="20" t="s">
        <v>329</v>
      </c>
      <c r="L17" s="20" t="s">
        <v>251</v>
      </c>
    </row>
    <row r="18" customFormat="false" ht="15" hidden="false" customHeight="false" outlineLevel="0" collapsed="false">
      <c r="A18" s="20" t="s">
        <v>330</v>
      </c>
      <c r="B18" s="20" t="s">
        <v>331</v>
      </c>
      <c r="C18" s="20" t="s">
        <v>332</v>
      </c>
      <c r="D18" s="20" t="s">
        <v>254</v>
      </c>
      <c r="E18" s="20" t="s">
        <v>260</v>
      </c>
      <c r="F18" s="20" t="s">
        <v>333</v>
      </c>
      <c r="G18" s="20"/>
      <c r="H18" s="20"/>
      <c r="I18" s="20"/>
      <c r="J18" s="20" t="s">
        <v>249</v>
      </c>
      <c r="K18" s="20" t="s">
        <v>334</v>
      </c>
      <c r="L18" s="20" t="s">
        <v>251</v>
      </c>
    </row>
    <row r="19" customFormat="false" ht="15" hidden="false" customHeight="false" outlineLevel="0" collapsed="false">
      <c r="A19" s="20" t="s">
        <v>335</v>
      </c>
      <c r="B19" s="20" t="s">
        <v>291</v>
      </c>
      <c r="C19" s="20" t="s">
        <v>336</v>
      </c>
      <c r="D19" s="20" t="s">
        <v>337</v>
      </c>
      <c r="E19" s="20" t="s">
        <v>78</v>
      </c>
      <c r="F19" s="20" t="s">
        <v>338</v>
      </c>
      <c r="G19" s="20"/>
      <c r="H19" s="20"/>
      <c r="I19" s="20"/>
      <c r="J19" s="20" t="s">
        <v>249</v>
      </c>
      <c r="K19" s="20" t="s">
        <v>339</v>
      </c>
      <c r="L19" s="20" t="s">
        <v>251</v>
      </c>
    </row>
    <row r="20" customFormat="false" ht="15" hidden="false" customHeight="false" outlineLevel="0" collapsed="false">
      <c r="A20" s="20" t="s">
        <v>340</v>
      </c>
      <c r="B20" s="20" t="s">
        <v>341</v>
      </c>
      <c r="C20" s="20" t="s">
        <v>342</v>
      </c>
      <c r="D20" s="20" t="s">
        <v>299</v>
      </c>
      <c r="E20" s="20" t="s">
        <v>343</v>
      </c>
      <c r="F20" s="20"/>
      <c r="G20" s="20"/>
      <c r="H20" s="20"/>
      <c r="I20" s="20"/>
      <c r="J20" s="20" t="s">
        <v>249</v>
      </c>
      <c r="K20" s="20" t="s">
        <v>344</v>
      </c>
      <c r="L20" s="20" t="s">
        <v>251</v>
      </c>
    </row>
    <row r="21" customFormat="false" ht="15" hidden="false" customHeight="false" outlineLevel="0" collapsed="false">
      <c r="A21" s="20" t="s">
        <v>345</v>
      </c>
      <c r="B21" s="20" t="s">
        <v>151</v>
      </c>
      <c r="C21" s="20" t="s">
        <v>346</v>
      </c>
      <c r="D21" s="20" t="s">
        <v>247</v>
      </c>
      <c r="E21" s="20" t="s">
        <v>136</v>
      </c>
      <c r="F21" s="20"/>
      <c r="G21" s="20"/>
      <c r="H21" s="20"/>
      <c r="I21" s="20"/>
      <c r="J21" s="20" t="s">
        <v>249</v>
      </c>
      <c r="K21" s="20" t="s">
        <v>347</v>
      </c>
      <c r="L21" s="20" t="s">
        <v>251</v>
      </c>
    </row>
    <row r="22" customFormat="false" ht="15" hidden="false" customHeight="false" outlineLevel="0" collapsed="false">
      <c r="A22" s="20" t="s">
        <v>348</v>
      </c>
      <c r="B22" s="20" t="s">
        <v>109</v>
      </c>
      <c r="C22" s="20" t="s">
        <v>349</v>
      </c>
      <c r="D22" s="20" t="s">
        <v>254</v>
      </c>
      <c r="E22" s="20" t="s">
        <v>260</v>
      </c>
      <c r="F22" s="20" t="s">
        <v>350</v>
      </c>
      <c r="G22" s="20"/>
      <c r="H22" s="20"/>
      <c r="I22" s="20"/>
      <c r="J22" s="20" t="s">
        <v>249</v>
      </c>
      <c r="K22" s="20" t="s">
        <v>351</v>
      </c>
      <c r="L22" s="20" t="s">
        <v>251</v>
      </c>
    </row>
    <row r="23" customFormat="false" ht="15" hidden="false" customHeight="false" outlineLevel="0" collapsed="false">
      <c r="A23" s="20" t="s">
        <v>352</v>
      </c>
      <c r="B23" s="20" t="s">
        <v>109</v>
      </c>
      <c r="C23" s="20" t="s">
        <v>353</v>
      </c>
      <c r="D23" s="20" t="s">
        <v>354</v>
      </c>
      <c r="E23" s="20" t="s">
        <v>260</v>
      </c>
      <c r="F23" s="20" t="s">
        <v>355</v>
      </c>
      <c r="G23" s="20"/>
      <c r="H23" s="20"/>
      <c r="I23" s="20"/>
      <c r="J23" s="20" t="s">
        <v>249</v>
      </c>
      <c r="K23" s="20" t="s">
        <v>356</v>
      </c>
      <c r="L23" s="20" t="s">
        <v>251</v>
      </c>
    </row>
    <row r="24" customFormat="false" ht="15" hidden="false" customHeight="false" outlineLevel="0" collapsed="false">
      <c r="A24" s="20" t="s">
        <v>357</v>
      </c>
      <c r="B24" s="20" t="s">
        <v>358</v>
      </c>
      <c r="C24" s="20" t="s">
        <v>359</v>
      </c>
      <c r="D24" s="20" t="s">
        <v>337</v>
      </c>
      <c r="E24" s="20" t="s">
        <v>136</v>
      </c>
      <c r="F24" s="20" t="s">
        <v>360</v>
      </c>
      <c r="G24" s="20"/>
      <c r="H24" s="20"/>
      <c r="I24" s="20"/>
      <c r="J24" s="20" t="s">
        <v>249</v>
      </c>
      <c r="K24" s="20" t="s">
        <v>361</v>
      </c>
      <c r="L24" s="20" t="s">
        <v>251</v>
      </c>
    </row>
    <row r="25" customFormat="false" ht="15" hidden="false" customHeight="false" outlineLevel="0" collapsed="false">
      <c r="A25" s="20" t="s">
        <v>362</v>
      </c>
      <c r="B25" s="20" t="s">
        <v>151</v>
      </c>
      <c r="C25" s="20" t="s">
        <v>363</v>
      </c>
      <c r="D25" s="20" t="s">
        <v>254</v>
      </c>
      <c r="E25" s="20" t="s">
        <v>98</v>
      </c>
      <c r="F25" s="20"/>
      <c r="G25" s="20"/>
      <c r="H25" s="20"/>
      <c r="I25" s="20"/>
      <c r="J25" s="20" t="s">
        <v>249</v>
      </c>
      <c r="K25" s="20" t="s">
        <v>364</v>
      </c>
      <c r="L25" s="20" t="s">
        <v>251</v>
      </c>
    </row>
    <row r="26" customFormat="false" ht="15" hidden="false" customHeight="false" outlineLevel="0" collapsed="false">
      <c r="A26" s="20" t="s">
        <v>365</v>
      </c>
      <c r="B26" s="20" t="s">
        <v>366</v>
      </c>
      <c r="C26" s="20" t="s">
        <v>367</v>
      </c>
      <c r="D26" s="20" t="s">
        <v>254</v>
      </c>
      <c r="E26" s="20" t="s">
        <v>111</v>
      </c>
      <c r="F26" s="20" t="s">
        <v>368</v>
      </c>
      <c r="G26" s="20"/>
      <c r="H26" s="20"/>
      <c r="I26" s="20"/>
      <c r="J26" s="20" t="s">
        <v>369</v>
      </c>
      <c r="K26" s="20" t="s">
        <v>370</v>
      </c>
      <c r="L26" s="20" t="s">
        <v>251</v>
      </c>
    </row>
    <row r="27" customFormat="false" ht="15" hidden="false" customHeight="false" outlineLevel="0" collapsed="false">
      <c r="A27" s="20" t="s">
        <v>371</v>
      </c>
      <c r="B27" s="20" t="s">
        <v>372</v>
      </c>
      <c r="C27" s="20" t="s">
        <v>373</v>
      </c>
      <c r="D27" s="20" t="s">
        <v>254</v>
      </c>
      <c r="E27" s="20" t="s">
        <v>374</v>
      </c>
      <c r="F27" s="20"/>
      <c r="G27" s="20"/>
      <c r="H27" s="20"/>
      <c r="I27" s="20"/>
      <c r="J27" s="20" t="s">
        <v>369</v>
      </c>
      <c r="K27" s="20" t="s">
        <v>375</v>
      </c>
      <c r="L27" s="20" t="s">
        <v>251</v>
      </c>
    </row>
    <row r="28" customFormat="false" ht="15" hidden="false" customHeight="false" outlineLevel="0" collapsed="false">
      <c r="A28" s="20" t="s">
        <v>257</v>
      </c>
      <c r="B28" s="20" t="s">
        <v>213</v>
      </c>
      <c r="C28" s="20" t="s">
        <v>258</v>
      </c>
      <c r="D28" s="20" t="s">
        <v>259</v>
      </c>
      <c r="E28" s="20" t="s">
        <v>260</v>
      </c>
      <c r="F28" s="20" t="s">
        <v>261</v>
      </c>
      <c r="G28" s="20"/>
      <c r="H28" s="20"/>
      <c r="I28" s="20"/>
      <c r="J28" s="20" t="s">
        <v>369</v>
      </c>
      <c r="K28" s="20" t="s">
        <v>262</v>
      </c>
      <c r="L28" s="20" t="s">
        <v>251</v>
      </c>
    </row>
    <row r="29" customFormat="false" ht="15" hidden="false" customHeight="false" outlineLevel="0" collapsed="false">
      <c r="A29" s="20" t="s">
        <v>376</v>
      </c>
      <c r="B29" s="20" t="s">
        <v>377</v>
      </c>
      <c r="C29" s="20" t="s">
        <v>378</v>
      </c>
      <c r="D29" s="20" t="s">
        <v>379</v>
      </c>
      <c r="E29" s="20" t="s">
        <v>260</v>
      </c>
      <c r="F29" s="20" t="s">
        <v>380</v>
      </c>
      <c r="G29" s="20"/>
      <c r="H29" s="20"/>
      <c r="I29" s="20"/>
      <c r="J29" s="20" t="s">
        <v>369</v>
      </c>
      <c r="K29" s="20" t="s">
        <v>381</v>
      </c>
      <c r="L29" s="20" t="s">
        <v>251</v>
      </c>
    </row>
    <row r="30" customFormat="false" ht="15" hidden="false" customHeight="false" outlineLevel="0" collapsed="false">
      <c r="A30" s="20" t="s">
        <v>382</v>
      </c>
      <c r="B30" s="20" t="s">
        <v>341</v>
      </c>
      <c r="C30" s="20" t="s">
        <v>383</v>
      </c>
      <c r="D30" s="20" t="s">
        <v>384</v>
      </c>
      <c r="E30" s="20" t="s">
        <v>136</v>
      </c>
      <c r="F30" s="20"/>
      <c r="G30" s="20"/>
      <c r="H30" s="20"/>
      <c r="I30" s="20"/>
      <c r="J30" s="20" t="s">
        <v>369</v>
      </c>
      <c r="K30" s="20" t="s">
        <v>385</v>
      </c>
      <c r="L30" s="20" t="s">
        <v>251</v>
      </c>
    </row>
    <row r="31" customFormat="false" ht="15" hidden="false" customHeight="false" outlineLevel="0" collapsed="false">
      <c r="A31" s="20" t="s">
        <v>386</v>
      </c>
      <c r="B31" s="20" t="s">
        <v>387</v>
      </c>
      <c r="C31" s="20" t="s">
        <v>388</v>
      </c>
      <c r="D31" s="20" t="s">
        <v>313</v>
      </c>
      <c r="E31" s="20" t="s">
        <v>111</v>
      </c>
      <c r="F31" s="20" t="s">
        <v>389</v>
      </c>
      <c r="G31" s="20"/>
      <c r="H31" s="20"/>
      <c r="I31" s="20"/>
      <c r="J31" s="20" t="s">
        <v>369</v>
      </c>
      <c r="K31" s="20" t="s">
        <v>390</v>
      </c>
      <c r="L31" s="20" t="s">
        <v>251</v>
      </c>
    </row>
    <row r="32" customFormat="false" ht="15" hidden="false" customHeight="false" outlineLevel="0" collapsed="false">
      <c r="A32" s="20" t="s">
        <v>391</v>
      </c>
      <c r="B32" s="20" t="s">
        <v>291</v>
      </c>
      <c r="C32" s="20" t="s">
        <v>392</v>
      </c>
      <c r="D32" s="20" t="s">
        <v>254</v>
      </c>
      <c r="E32" s="20" t="s">
        <v>393</v>
      </c>
      <c r="F32" s="20" t="s">
        <v>394</v>
      </c>
      <c r="G32" s="20"/>
      <c r="H32" s="20"/>
      <c r="I32" s="20"/>
      <c r="J32" s="20" t="s">
        <v>369</v>
      </c>
      <c r="K32" s="20" t="s">
        <v>395</v>
      </c>
      <c r="L32" s="20" t="s">
        <v>251</v>
      </c>
    </row>
    <row r="33" customFormat="false" ht="15" hidden="false" customHeight="false" outlineLevel="0" collapsed="false">
      <c r="A33" s="20" t="s">
        <v>396</v>
      </c>
      <c r="B33" s="20" t="s">
        <v>397</v>
      </c>
      <c r="C33" s="20" t="s">
        <v>398</v>
      </c>
      <c r="D33" s="20" t="s">
        <v>399</v>
      </c>
      <c r="E33" s="20" t="s">
        <v>154</v>
      </c>
      <c r="F33" s="20"/>
      <c r="G33" s="20"/>
      <c r="H33" s="20"/>
      <c r="I33" s="20"/>
      <c r="J33" s="20" t="s">
        <v>369</v>
      </c>
      <c r="K33" s="20" t="s">
        <v>400</v>
      </c>
      <c r="L33" s="20" t="s">
        <v>251</v>
      </c>
    </row>
    <row r="34" customFormat="false" ht="15" hidden="false" customHeight="false" outlineLevel="0" collapsed="false">
      <c r="A34" s="20" t="s">
        <v>401</v>
      </c>
      <c r="B34" s="20" t="s">
        <v>402</v>
      </c>
      <c r="C34" s="20" t="s">
        <v>403</v>
      </c>
      <c r="D34" s="20" t="s">
        <v>404</v>
      </c>
      <c r="E34" s="20" t="s">
        <v>260</v>
      </c>
      <c r="F34" s="20" t="s">
        <v>405</v>
      </c>
      <c r="G34" s="20"/>
      <c r="H34" s="20"/>
      <c r="I34" s="20"/>
      <c r="J34" s="20" t="s">
        <v>369</v>
      </c>
      <c r="K34" s="20" t="s">
        <v>406</v>
      </c>
      <c r="L34" s="20" t="s">
        <v>251</v>
      </c>
    </row>
    <row r="35" customFormat="false" ht="15" hidden="false" customHeight="false" outlineLevel="0" collapsed="false">
      <c r="A35" s="20" t="s">
        <v>407</v>
      </c>
      <c r="B35" s="20" t="s">
        <v>408</v>
      </c>
      <c r="C35" s="20" t="s">
        <v>409</v>
      </c>
      <c r="D35" s="20" t="s">
        <v>254</v>
      </c>
      <c r="E35" s="20" t="s">
        <v>260</v>
      </c>
      <c r="F35" s="20"/>
      <c r="G35" s="20"/>
      <c r="H35" s="20"/>
      <c r="I35" s="20"/>
      <c r="J35" s="20" t="s">
        <v>369</v>
      </c>
      <c r="K35" s="20" t="s">
        <v>410</v>
      </c>
      <c r="L35" s="20" t="s">
        <v>251</v>
      </c>
    </row>
    <row r="36" customFormat="false" ht="15" hidden="false" customHeight="false" outlineLevel="0" collapsed="false">
      <c r="A36" s="20" t="s">
        <v>411</v>
      </c>
      <c r="B36" s="20" t="s">
        <v>412</v>
      </c>
      <c r="C36" s="20" t="s">
        <v>413</v>
      </c>
      <c r="D36" s="20" t="s">
        <v>254</v>
      </c>
      <c r="E36" s="20" t="s">
        <v>111</v>
      </c>
      <c r="F36" s="20" t="s">
        <v>414</v>
      </c>
      <c r="G36" s="20"/>
      <c r="H36" s="20"/>
      <c r="I36" s="20"/>
      <c r="J36" s="20" t="s">
        <v>369</v>
      </c>
      <c r="K36" s="20" t="s">
        <v>415</v>
      </c>
      <c r="L36" s="20" t="s">
        <v>251</v>
      </c>
    </row>
    <row r="37" customFormat="false" ht="15" hidden="false" customHeight="false" outlineLevel="0" collapsed="false">
      <c r="A37" s="20" t="s">
        <v>416</v>
      </c>
      <c r="B37" s="20" t="s">
        <v>213</v>
      </c>
      <c r="C37" s="20" t="s">
        <v>417</v>
      </c>
      <c r="D37" s="20" t="s">
        <v>418</v>
      </c>
      <c r="E37" s="20" t="s">
        <v>136</v>
      </c>
      <c r="F37" s="20" t="s">
        <v>419</v>
      </c>
      <c r="G37" s="20"/>
      <c r="H37" s="20"/>
      <c r="I37" s="20"/>
      <c r="J37" s="20" t="s">
        <v>369</v>
      </c>
      <c r="K37" s="20" t="s">
        <v>420</v>
      </c>
      <c r="L37" s="20" t="s">
        <v>251</v>
      </c>
    </row>
    <row r="38" customFormat="false" ht="15" hidden="false" customHeight="false" outlineLevel="0" collapsed="false">
      <c r="A38" s="20" t="s">
        <v>421</v>
      </c>
      <c r="B38" s="20" t="s">
        <v>422</v>
      </c>
      <c r="C38" s="20" t="s">
        <v>423</v>
      </c>
      <c r="D38" s="20" t="s">
        <v>399</v>
      </c>
      <c r="E38" s="20" t="s">
        <v>111</v>
      </c>
      <c r="F38" s="20" t="s">
        <v>414</v>
      </c>
      <c r="G38" s="20"/>
      <c r="H38" s="20"/>
      <c r="I38" s="20"/>
      <c r="J38" s="20" t="s">
        <v>369</v>
      </c>
      <c r="K38" s="20" t="s">
        <v>424</v>
      </c>
      <c r="L38" s="20" t="s">
        <v>251</v>
      </c>
    </row>
    <row r="39" customFormat="false" ht="15" hidden="false" customHeight="false" outlineLevel="0" collapsed="false">
      <c r="A39" s="20" t="s">
        <v>425</v>
      </c>
      <c r="B39" s="20" t="s">
        <v>109</v>
      </c>
      <c r="C39" s="20" t="s">
        <v>426</v>
      </c>
      <c r="D39" s="20" t="s">
        <v>254</v>
      </c>
      <c r="E39" s="20" t="s">
        <v>287</v>
      </c>
      <c r="F39" s="20" t="s">
        <v>427</v>
      </c>
      <c r="G39" s="20"/>
      <c r="H39" s="20"/>
      <c r="I39" s="20"/>
      <c r="J39" s="20" t="s">
        <v>369</v>
      </c>
      <c r="K39" s="20" t="s">
        <v>428</v>
      </c>
      <c r="L39" s="20" t="s">
        <v>251</v>
      </c>
    </row>
    <row r="40" customFormat="false" ht="15" hidden="false" customHeight="false" outlineLevel="0" collapsed="false">
      <c r="A40" s="20" t="s">
        <v>429</v>
      </c>
      <c r="B40" s="20" t="s">
        <v>430</v>
      </c>
      <c r="C40" s="20" t="s">
        <v>431</v>
      </c>
      <c r="D40" s="20" t="s">
        <v>432</v>
      </c>
      <c r="E40" s="20" t="s">
        <v>433</v>
      </c>
      <c r="F40" s="20" t="s">
        <v>434</v>
      </c>
      <c r="G40" s="20"/>
      <c r="H40" s="20"/>
      <c r="I40" s="20"/>
      <c r="J40" s="20" t="s">
        <v>369</v>
      </c>
      <c r="K40" s="20" t="s">
        <v>435</v>
      </c>
      <c r="L40" s="20" t="s">
        <v>251</v>
      </c>
    </row>
    <row r="41" customFormat="false" ht="15" hidden="false" customHeight="false" outlineLevel="0" collapsed="false">
      <c r="A41" s="20" t="s">
        <v>436</v>
      </c>
      <c r="B41" s="20" t="s">
        <v>437</v>
      </c>
      <c r="C41" s="20" t="s">
        <v>438</v>
      </c>
      <c r="D41" s="20" t="s">
        <v>313</v>
      </c>
      <c r="E41" s="20" t="s">
        <v>98</v>
      </c>
      <c r="F41" s="20" t="s">
        <v>439</v>
      </c>
      <c r="G41" s="20"/>
      <c r="H41" s="20"/>
      <c r="I41" s="20"/>
      <c r="J41" s="20" t="s">
        <v>369</v>
      </c>
      <c r="K41" s="20" t="s">
        <v>440</v>
      </c>
      <c r="L41" s="20" t="s">
        <v>251</v>
      </c>
    </row>
    <row r="42" customFormat="false" ht="15" hidden="false" customHeight="false" outlineLevel="0" collapsed="false">
      <c r="A42" s="20" t="s">
        <v>441</v>
      </c>
      <c r="B42" s="20" t="s">
        <v>442</v>
      </c>
      <c r="C42" s="20" t="s">
        <v>443</v>
      </c>
      <c r="D42" s="20" t="s">
        <v>444</v>
      </c>
      <c r="E42" s="20" t="s">
        <v>260</v>
      </c>
      <c r="F42" s="20" t="s">
        <v>350</v>
      </c>
      <c r="G42" s="20"/>
      <c r="H42" s="20"/>
      <c r="I42" s="20"/>
      <c r="J42" s="20" t="s">
        <v>369</v>
      </c>
      <c r="K42" s="20" t="s">
        <v>445</v>
      </c>
      <c r="L42" s="20" t="s">
        <v>251</v>
      </c>
    </row>
    <row r="43" customFormat="false" ht="15" hidden="false" customHeight="false" outlineLevel="0" collapsed="false">
      <c r="A43" s="20" t="s">
        <v>446</v>
      </c>
      <c r="B43" s="20" t="s">
        <v>447</v>
      </c>
      <c r="C43" s="20" t="s">
        <v>448</v>
      </c>
      <c r="D43" s="20" t="s">
        <v>449</v>
      </c>
      <c r="E43" s="20" t="s">
        <v>343</v>
      </c>
      <c r="F43" s="20"/>
      <c r="G43" s="20"/>
      <c r="H43" s="20"/>
      <c r="I43" s="20"/>
      <c r="J43" s="20" t="s">
        <v>369</v>
      </c>
      <c r="K43" s="20" t="s">
        <v>450</v>
      </c>
      <c r="L43" s="20" t="s">
        <v>251</v>
      </c>
    </row>
    <row r="44" customFormat="false" ht="15" hidden="false" customHeight="false" outlineLevel="0" collapsed="false">
      <c r="A44" s="20" t="s">
        <v>451</v>
      </c>
      <c r="B44" s="20" t="s">
        <v>213</v>
      </c>
      <c r="C44" s="20" t="s">
        <v>452</v>
      </c>
      <c r="D44" s="20" t="s">
        <v>453</v>
      </c>
      <c r="E44" s="20" t="s">
        <v>111</v>
      </c>
      <c r="F44" s="20" t="s">
        <v>454</v>
      </c>
      <c r="G44" s="20"/>
      <c r="H44" s="20"/>
      <c r="I44" s="20"/>
      <c r="J44" s="20" t="s">
        <v>369</v>
      </c>
      <c r="K44" s="20" t="s">
        <v>455</v>
      </c>
      <c r="L44" s="20" t="s">
        <v>251</v>
      </c>
    </row>
    <row r="45" customFormat="false" ht="15" hidden="false" customHeight="false" outlineLevel="0" collapsed="false">
      <c r="A45" s="20" t="s">
        <v>456</v>
      </c>
      <c r="B45" s="20" t="s">
        <v>457</v>
      </c>
      <c r="C45" s="20" t="s">
        <v>458</v>
      </c>
      <c r="D45" s="20" t="s">
        <v>254</v>
      </c>
      <c r="E45" s="20" t="s">
        <v>111</v>
      </c>
      <c r="F45" s="20" t="s">
        <v>459</v>
      </c>
      <c r="G45" s="20"/>
      <c r="H45" s="20"/>
      <c r="I45" s="20"/>
      <c r="J45" s="20" t="s">
        <v>369</v>
      </c>
      <c r="K45" s="20" t="s">
        <v>460</v>
      </c>
      <c r="L45" s="20" t="s">
        <v>251</v>
      </c>
    </row>
    <row r="46" customFormat="false" ht="15" hidden="false" customHeight="false" outlineLevel="0" collapsed="false">
      <c r="A46" s="20" t="s">
        <v>461</v>
      </c>
      <c r="B46" s="20" t="s">
        <v>151</v>
      </c>
      <c r="C46" s="20" t="s">
        <v>462</v>
      </c>
      <c r="D46" s="20" t="s">
        <v>463</v>
      </c>
      <c r="E46" s="20" t="s">
        <v>111</v>
      </c>
      <c r="F46" s="20" t="s">
        <v>368</v>
      </c>
      <c r="G46" s="20"/>
      <c r="H46" s="20"/>
      <c r="I46" s="20"/>
      <c r="J46" s="20" t="s">
        <v>369</v>
      </c>
      <c r="K46" s="20" t="s">
        <v>464</v>
      </c>
      <c r="L46" s="20" t="s">
        <v>251</v>
      </c>
    </row>
    <row r="47" customFormat="false" ht="15" hidden="false" customHeight="false" outlineLevel="0" collapsed="false">
      <c r="A47" s="20" t="s">
        <v>465</v>
      </c>
      <c r="B47" s="20" t="s">
        <v>466</v>
      </c>
      <c r="C47" s="20" t="s">
        <v>467</v>
      </c>
      <c r="D47" s="20" t="s">
        <v>247</v>
      </c>
      <c r="E47" s="20" t="s">
        <v>78</v>
      </c>
      <c r="F47" s="20" t="s">
        <v>468</v>
      </c>
      <c r="G47" s="20"/>
      <c r="H47" s="20"/>
      <c r="I47" s="20"/>
      <c r="J47" s="20" t="s">
        <v>369</v>
      </c>
      <c r="K47" s="20" t="s">
        <v>469</v>
      </c>
      <c r="L47" s="20" t="s">
        <v>251</v>
      </c>
    </row>
    <row r="48" customFormat="false" ht="15" hidden="false" customHeight="false" outlineLevel="0" collapsed="false">
      <c r="A48" s="20" t="s">
        <v>470</v>
      </c>
      <c r="B48" s="20" t="s">
        <v>471</v>
      </c>
      <c r="C48" s="20" t="s">
        <v>472</v>
      </c>
      <c r="D48" s="20" t="s">
        <v>254</v>
      </c>
      <c r="E48" s="20" t="s">
        <v>111</v>
      </c>
      <c r="F48" s="20" t="s">
        <v>414</v>
      </c>
      <c r="G48" s="20"/>
      <c r="H48" s="20"/>
      <c r="I48" s="20"/>
      <c r="J48" s="20" t="s">
        <v>369</v>
      </c>
      <c r="K48" s="20" t="s">
        <v>473</v>
      </c>
      <c r="L48" s="20" t="s">
        <v>251</v>
      </c>
    </row>
    <row r="49" customFormat="false" ht="15" hidden="false" customHeight="false" outlineLevel="0" collapsed="false">
      <c r="A49" s="20" t="s">
        <v>474</v>
      </c>
      <c r="B49" s="20" t="s">
        <v>151</v>
      </c>
      <c r="C49" s="20" t="s">
        <v>475</v>
      </c>
      <c r="D49" s="20" t="s">
        <v>476</v>
      </c>
      <c r="E49" s="20" t="s">
        <v>111</v>
      </c>
      <c r="F49" s="20" t="s">
        <v>477</v>
      </c>
      <c r="G49" s="20"/>
      <c r="H49" s="20"/>
      <c r="I49" s="20"/>
      <c r="J49" s="20" t="s">
        <v>369</v>
      </c>
      <c r="K49" s="20" t="s">
        <v>478</v>
      </c>
      <c r="L49" s="20" t="s">
        <v>251</v>
      </c>
    </row>
    <row r="50" customFormat="false" ht="15" hidden="false" customHeight="false" outlineLevel="0" collapsed="false">
      <c r="A50" s="20" t="s">
        <v>479</v>
      </c>
      <c r="B50" s="20" t="s">
        <v>480</v>
      </c>
      <c r="C50" s="20" t="s">
        <v>481</v>
      </c>
      <c r="D50" s="20" t="s">
        <v>286</v>
      </c>
      <c r="E50" s="20" t="s">
        <v>67</v>
      </c>
      <c r="F50" s="20"/>
      <c r="G50" s="20"/>
      <c r="H50" s="20"/>
      <c r="I50" s="20"/>
      <c r="J50" s="20" t="s">
        <v>482</v>
      </c>
      <c r="K50" s="20" t="s">
        <v>483</v>
      </c>
      <c r="L50" s="20" t="s">
        <v>251</v>
      </c>
    </row>
    <row r="51" customFormat="false" ht="15" hidden="false" customHeight="false" outlineLevel="0" collapsed="false">
      <c r="A51" s="20" t="s">
        <v>283</v>
      </c>
      <c r="B51" s="20" t="s">
        <v>284</v>
      </c>
      <c r="C51" s="20" t="s">
        <v>285</v>
      </c>
      <c r="D51" s="20" t="s">
        <v>286</v>
      </c>
      <c r="E51" s="20" t="s">
        <v>287</v>
      </c>
      <c r="F51" s="20" t="s">
        <v>288</v>
      </c>
      <c r="G51" s="20"/>
      <c r="H51" s="20"/>
      <c r="I51" s="20"/>
      <c r="J51" s="20" t="s">
        <v>482</v>
      </c>
      <c r="K51" s="20" t="s">
        <v>289</v>
      </c>
      <c r="L51" s="20" t="s">
        <v>251</v>
      </c>
    </row>
    <row r="52" customFormat="false" ht="15" hidden="false" customHeight="false" outlineLevel="0" collapsed="false">
      <c r="A52" s="20" t="s">
        <v>484</v>
      </c>
      <c r="B52" s="20" t="s">
        <v>485</v>
      </c>
      <c r="C52" s="20" t="s">
        <v>486</v>
      </c>
      <c r="D52" s="20" t="s">
        <v>487</v>
      </c>
      <c r="E52" s="20" t="s">
        <v>111</v>
      </c>
      <c r="F52" s="20"/>
      <c r="G52" s="20"/>
      <c r="H52" s="20"/>
      <c r="I52" s="20"/>
      <c r="J52" s="20" t="s">
        <v>482</v>
      </c>
      <c r="K52" s="20" t="s">
        <v>488</v>
      </c>
      <c r="L52" s="20" t="s">
        <v>251</v>
      </c>
    </row>
    <row r="53" customFormat="false" ht="15" hidden="false" customHeight="false" outlineLevel="0" collapsed="false">
      <c r="A53" s="20" t="s">
        <v>489</v>
      </c>
      <c r="B53" s="20" t="s">
        <v>490</v>
      </c>
      <c r="C53" s="20" t="s">
        <v>491</v>
      </c>
      <c r="D53" s="20" t="s">
        <v>254</v>
      </c>
      <c r="E53" s="20" t="s">
        <v>136</v>
      </c>
      <c r="F53" s="20" t="s">
        <v>492</v>
      </c>
      <c r="G53" s="20"/>
      <c r="H53" s="20"/>
      <c r="I53" s="20"/>
      <c r="J53" s="20" t="s">
        <v>482</v>
      </c>
      <c r="K53" s="20" t="s">
        <v>493</v>
      </c>
      <c r="L53" s="20" t="s">
        <v>251</v>
      </c>
    </row>
    <row r="54" customFormat="false" ht="15" hidden="false" customHeight="false" outlineLevel="0" collapsed="false">
      <c r="A54" s="20" t="s">
        <v>494</v>
      </c>
      <c r="B54" s="20" t="s">
        <v>109</v>
      </c>
      <c r="C54" s="20" t="s">
        <v>495</v>
      </c>
      <c r="D54" s="20" t="s">
        <v>496</v>
      </c>
      <c r="E54" s="20" t="s">
        <v>136</v>
      </c>
      <c r="F54" s="20" t="s">
        <v>497</v>
      </c>
      <c r="G54" s="20"/>
      <c r="H54" s="20"/>
      <c r="I54" s="20"/>
      <c r="J54" s="20" t="s">
        <v>482</v>
      </c>
      <c r="K54" s="20" t="s">
        <v>498</v>
      </c>
      <c r="L54" s="20" t="s">
        <v>251</v>
      </c>
    </row>
    <row r="55" customFormat="false" ht="15" hidden="false" customHeight="false" outlineLevel="0" collapsed="false">
      <c r="A55" s="20" t="s">
        <v>316</v>
      </c>
      <c r="B55" s="20" t="s">
        <v>317</v>
      </c>
      <c r="C55" s="20" t="s">
        <v>318</v>
      </c>
      <c r="D55" s="20" t="s">
        <v>319</v>
      </c>
      <c r="E55" s="20" t="s">
        <v>136</v>
      </c>
      <c r="F55" s="20" t="s">
        <v>320</v>
      </c>
      <c r="G55" s="20"/>
      <c r="H55" s="20"/>
      <c r="I55" s="20"/>
      <c r="J55" s="20" t="s">
        <v>482</v>
      </c>
      <c r="K55" s="20" t="s">
        <v>321</v>
      </c>
      <c r="L55" s="20" t="s">
        <v>251</v>
      </c>
    </row>
    <row r="56" customFormat="false" ht="15" hidden="false" customHeight="false" outlineLevel="0" collapsed="false">
      <c r="A56" s="20" t="s">
        <v>499</v>
      </c>
      <c r="B56" s="20" t="s">
        <v>208</v>
      </c>
      <c r="C56" s="20" t="s">
        <v>500</v>
      </c>
      <c r="D56" s="20" t="s">
        <v>313</v>
      </c>
      <c r="E56" s="20" t="s">
        <v>111</v>
      </c>
      <c r="F56" s="20" t="s">
        <v>501</v>
      </c>
      <c r="G56" s="20"/>
      <c r="H56" s="20"/>
      <c r="I56" s="20"/>
      <c r="J56" s="20" t="s">
        <v>482</v>
      </c>
      <c r="K56" s="20" t="s">
        <v>502</v>
      </c>
      <c r="L56" s="20" t="s">
        <v>251</v>
      </c>
    </row>
    <row r="57" customFormat="false" ht="15" hidden="false" customHeight="false" outlineLevel="0" collapsed="false">
      <c r="A57" s="20" t="s">
        <v>326</v>
      </c>
      <c r="B57" s="20" t="s">
        <v>126</v>
      </c>
      <c r="C57" s="20" t="s">
        <v>327</v>
      </c>
      <c r="D57" s="20" t="s">
        <v>324</v>
      </c>
      <c r="E57" s="20" t="s">
        <v>154</v>
      </c>
      <c r="F57" s="20" t="s">
        <v>328</v>
      </c>
      <c r="G57" s="20"/>
      <c r="H57" s="20"/>
      <c r="I57" s="20"/>
      <c r="J57" s="20" t="s">
        <v>482</v>
      </c>
      <c r="K57" s="20" t="s">
        <v>329</v>
      </c>
      <c r="L57" s="20" t="s">
        <v>251</v>
      </c>
    </row>
    <row r="58" customFormat="false" ht="15" hidden="false" customHeight="false" outlineLevel="0" collapsed="false">
      <c r="A58" s="20" t="s">
        <v>503</v>
      </c>
      <c r="B58" s="20" t="s">
        <v>140</v>
      </c>
      <c r="C58" s="20" t="s">
        <v>504</v>
      </c>
      <c r="D58" s="20" t="s">
        <v>444</v>
      </c>
      <c r="E58" s="20" t="s">
        <v>111</v>
      </c>
      <c r="F58" s="20" t="s">
        <v>414</v>
      </c>
      <c r="G58" s="20"/>
      <c r="H58" s="20"/>
      <c r="I58" s="20"/>
      <c r="J58" s="20" t="s">
        <v>482</v>
      </c>
      <c r="K58" s="20" t="s">
        <v>505</v>
      </c>
      <c r="L58" s="20" t="s">
        <v>251</v>
      </c>
    </row>
    <row r="59" customFormat="false" ht="15" hidden="false" customHeight="false" outlineLevel="0" collapsed="false">
      <c r="A59" s="20" t="s">
        <v>506</v>
      </c>
      <c r="B59" s="20" t="s">
        <v>507</v>
      </c>
      <c r="C59" s="20" t="s">
        <v>508</v>
      </c>
      <c r="D59" s="20" t="s">
        <v>313</v>
      </c>
      <c r="E59" s="20" t="s">
        <v>111</v>
      </c>
      <c r="F59" s="20" t="s">
        <v>509</v>
      </c>
      <c r="G59" s="20"/>
      <c r="H59" s="20"/>
      <c r="I59" s="20"/>
      <c r="J59" s="20" t="s">
        <v>482</v>
      </c>
      <c r="K59" s="20" t="s">
        <v>510</v>
      </c>
      <c r="L59" s="20" t="s">
        <v>251</v>
      </c>
    </row>
    <row r="60" customFormat="false" ht="15" hidden="false" customHeight="false" outlineLevel="0" collapsed="false">
      <c r="A60" s="20" t="s">
        <v>511</v>
      </c>
      <c r="B60" s="20" t="s">
        <v>151</v>
      </c>
      <c r="C60" s="20" t="s">
        <v>512</v>
      </c>
      <c r="D60" s="20" t="s">
        <v>313</v>
      </c>
      <c r="E60" s="20" t="s">
        <v>260</v>
      </c>
      <c r="F60" s="20"/>
      <c r="G60" s="20"/>
      <c r="H60" s="20"/>
      <c r="I60" s="20"/>
      <c r="J60" s="20" t="s">
        <v>482</v>
      </c>
      <c r="K60" s="20" t="s">
        <v>513</v>
      </c>
      <c r="L60" s="20" t="s">
        <v>251</v>
      </c>
    </row>
    <row r="61" customFormat="false" ht="15" hidden="false" customHeight="false" outlineLevel="0" collapsed="false">
      <c r="A61" s="20" t="s">
        <v>514</v>
      </c>
      <c r="B61" s="20" t="s">
        <v>151</v>
      </c>
      <c r="C61" s="20" t="s">
        <v>515</v>
      </c>
      <c r="D61" s="20" t="s">
        <v>254</v>
      </c>
      <c r="E61" s="20" t="s">
        <v>67</v>
      </c>
      <c r="F61" s="20" t="s">
        <v>350</v>
      </c>
      <c r="G61" s="20"/>
      <c r="H61" s="20"/>
      <c r="I61" s="20"/>
      <c r="J61" s="20" t="s">
        <v>482</v>
      </c>
      <c r="K61" s="20" t="s">
        <v>516</v>
      </c>
      <c r="L61" s="20" t="s">
        <v>251</v>
      </c>
    </row>
    <row r="62" customFormat="false" ht="15" hidden="false" customHeight="false" outlineLevel="0" collapsed="false">
      <c r="A62" s="20" t="s">
        <v>517</v>
      </c>
      <c r="B62" s="20" t="s">
        <v>422</v>
      </c>
      <c r="C62" s="20" t="s">
        <v>518</v>
      </c>
      <c r="D62" s="20" t="s">
        <v>519</v>
      </c>
      <c r="E62" s="20" t="s">
        <v>78</v>
      </c>
      <c r="F62" s="20" t="s">
        <v>520</v>
      </c>
      <c r="G62" s="20"/>
      <c r="H62" s="20"/>
      <c r="I62" s="20"/>
      <c r="J62" s="20" t="s">
        <v>482</v>
      </c>
      <c r="K62" s="20" t="s">
        <v>521</v>
      </c>
      <c r="L62" s="20" t="s">
        <v>251</v>
      </c>
    </row>
    <row r="63" customFormat="false" ht="15" hidden="false" customHeight="false" outlineLevel="0" collapsed="false">
      <c r="A63" s="20" t="s">
        <v>348</v>
      </c>
      <c r="B63" s="20" t="s">
        <v>109</v>
      </c>
      <c r="C63" s="20" t="s">
        <v>349</v>
      </c>
      <c r="D63" s="20" t="s">
        <v>254</v>
      </c>
      <c r="E63" s="20" t="s">
        <v>260</v>
      </c>
      <c r="F63" s="20" t="s">
        <v>350</v>
      </c>
      <c r="G63" s="20"/>
      <c r="H63" s="20"/>
      <c r="I63" s="20"/>
      <c r="J63" s="20" t="s">
        <v>482</v>
      </c>
      <c r="K63" s="20" t="s">
        <v>351</v>
      </c>
      <c r="L63" s="20" t="s">
        <v>251</v>
      </c>
    </row>
    <row r="64" customFormat="false" ht="15" hidden="false" customHeight="false" outlineLevel="0" collapsed="false">
      <c r="A64" s="20" t="s">
        <v>522</v>
      </c>
      <c r="B64" s="20" t="s">
        <v>291</v>
      </c>
      <c r="C64" s="20" t="s">
        <v>523</v>
      </c>
      <c r="D64" s="20" t="s">
        <v>384</v>
      </c>
      <c r="E64" s="20" t="s">
        <v>154</v>
      </c>
      <c r="F64" s="20"/>
      <c r="G64" s="20"/>
      <c r="H64" s="20"/>
      <c r="I64" s="20"/>
      <c r="J64" s="20" t="s">
        <v>482</v>
      </c>
      <c r="K64" s="20" t="s">
        <v>524</v>
      </c>
      <c r="L64" s="20" t="s">
        <v>251</v>
      </c>
    </row>
    <row r="65" customFormat="false" ht="15" hidden="false" customHeight="false" outlineLevel="0" collapsed="false">
      <c r="A65" s="20" t="s">
        <v>525</v>
      </c>
      <c r="B65" s="20" t="s">
        <v>151</v>
      </c>
      <c r="C65" s="20" t="s">
        <v>526</v>
      </c>
      <c r="D65" s="20" t="s">
        <v>444</v>
      </c>
      <c r="E65" s="20" t="s">
        <v>78</v>
      </c>
      <c r="F65" s="20" t="s">
        <v>389</v>
      </c>
      <c r="G65" s="20"/>
      <c r="H65" s="20"/>
      <c r="I65" s="20"/>
      <c r="J65" s="20" t="s">
        <v>482</v>
      </c>
      <c r="K65" s="20" t="s">
        <v>527</v>
      </c>
      <c r="L65" s="20" t="s">
        <v>251</v>
      </c>
    </row>
    <row r="66" customFormat="false" ht="15" hidden="false" customHeight="false" outlineLevel="0" collapsed="false">
      <c r="A66" s="20" t="s">
        <v>528</v>
      </c>
      <c r="B66" s="20" t="s">
        <v>151</v>
      </c>
      <c r="C66" s="20" t="s">
        <v>529</v>
      </c>
      <c r="D66" s="20" t="s">
        <v>313</v>
      </c>
      <c r="E66" s="20" t="s">
        <v>136</v>
      </c>
      <c r="F66" s="20" t="s">
        <v>530</v>
      </c>
      <c r="G66" s="20"/>
      <c r="H66" s="20"/>
      <c r="I66" s="20"/>
      <c r="J66" s="20" t="s">
        <v>482</v>
      </c>
      <c r="K66" s="20" t="s">
        <v>531</v>
      </c>
      <c r="L66" s="20" t="s">
        <v>251</v>
      </c>
    </row>
    <row r="67" customFormat="false" ht="15" hidden="false" customHeight="false" outlineLevel="0" collapsed="false">
      <c r="A67" s="20" t="s">
        <v>532</v>
      </c>
      <c r="B67" s="20" t="s">
        <v>533</v>
      </c>
      <c r="C67" s="20" t="s">
        <v>534</v>
      </c>
      <c r="D67" s="20" t="s">
        <v>535</v>
      </c>
      <c r="E67" s="20" t="s">
        <v>536</v>
      </c>
      <c r="F67" s="20" t="s">
        <v>537</v>
      </c>
      <c r="G67" s="20"/>
      <c r="H67" s="20"/>
      <c r="I67" s="20"/>
      <c r="J67" s="20" t="s">
        <v>482</v>
      </c>
      <c r="K67" s="20" t="s">
        <v>538</v>
      </c>
      <c r="L67" s="20" t="s">
        <v>251</v>
      </c>
    </row>
    <row r="68" customFormat="false" ht="15" hidden="false" customHeight="false" outlineLevel="0" collapsed="false">
      <c r="A68" s="20" t="s">
        <v>539</v>
      </c>
      <c r="B68" s="20" t="s">
        <v>540</v>
      </c>
      <c r="C68" s="20" t="s">
        <v>541</v>
      </c>
      <c r="D68" s="20" t="s">
        <v>542</v>
      </c>
      <c r="E68" s="20" t="s">
        <v>136</v>
      </c>
      <c r="F68" s="20"/>
      <c r="G68" s="20"/>
      <c r="H68" s="20"/>
      <c r="I68" s="20"/>
      <c r="J68" s="20" t="s">
        <v>482</v>
      </c>
      <c r="K68" s="20" t="s">
        <v>543</v>
      </c>
      <c r="L68" s="20" t="s">
        <v>251</v>
      </c>
    </row>
    <row r="69" customFormat="false" ht="15" hidden="false" customHeight="false" outlineLevel="0" collapsed="false">
      <c r="A69" s="20" t="s">
        <v>544</v>
      </c>
      <c r="B69" s="20" t="s">
        <v>485</v>
      </c>
      <c r="C69" s="20" t="s">
        <v>545</v>
      </c>
      <c r="D69" s="20" t="s">
        <v>313</v>
      </c>
      <c r="E69" s="20" t="s">
        <v>136</v>
      </c>
      <c r="F69" s="20" t="s">
        <v>546</v>
      </c>
      <c r="G69" s="20"/>
      <c r="H69" s="20"/>
      <c r="I69" s="20"/>
      <c r="J69" s="20" t="s">
        <v>482</v>
      </c>
      <c r="K69" s="20" t="s">
        <v>547</v>
      </c>
      <c r="L69" s="20" t="s">
        <v>251</v>
      </c>
    </row>
    <row r="70" customFormat="false" ht="15" hidden="false" customHeight="false" outlineLevel="0" collapsed="false">
      <c r="A70" s="20" t="s">
        <v>548</v>
      </c>
      <c r="B70" s="20" t="s">
        <v>366</v>
      </c>
      <c r="C70" s="20" t="s">
        <v>549</v>
      </c>
      <c r="D70" s="20" t="s">
        <v>313</v>
      </c>
      <c r="E70" s="20" t="s">
        <v>136</v>
      </c>
      <c r="F70" s="20" t="s">
        <v>520</v>
      </c>
      <c r="G70" s="20"/>
      <c r="H70" s="20"/>
      <c r="I70" s="20"/>
      <c r="J70" s="20" t="s">
        <v>482</v>
      </c>
      <c r="K70" s="20" t="s">
        <v>550</v>
      </c>
      <c r="L70" s="20" t="s">
        <v>251</v>
      </c>
    </row>
    <row r="71" customFormat="false" ht="15" hidden="false" customHeight="false" outlineLevel="0" collapsed="false">
      <c r="A71" s="20" t="s">
        <v>551</v>
      </c>
      <c r="B71" s="20" t="s">
        <v>291</v>
      </c>
      <c r="C71" s="20" t="s">
        <v>552</v>
      </c>
      <c r="D71" s="20" t="s">
        <v>553</v>
      </c>
      <c r="E71" s="20" t="s">
        <v>111</v>
      </c>
      <c r="F71" s="20" t="s">
        <v>554</v>
      </c>
      <c r="G71" s="20"/>
      <c r="H71" s="20"/>
      <c r="I71" s="20"/>
      <c r="J71" s="20" t="s">
        <v>482</v>
      </c>
      <c r="K71" s="20" t="s">
        <v>555</v>
      </c>
      <c r="L71" s="20" t="s">
        <v>251</v>
      </c>
    </row>
    <row r="72" customFormat="false" ht="15" hidden="false" customHeight="false" outlineLevel="0" collapsed="false">
      <c r="A72" s="20" t="s">
        <v>556</v>
      </c>
      <c r="B72" s="20" t="s">
        <v>116</v>
      </c>
      <c r="C72" s="20" t="s">
        <v>557</v>
      </c>
      <c r="D72" s="20" t="s">
        <v>444</v>
      </c>
      <c r="E72" s="20" t="s">
        <v>536</v>
      </c>
      <c r="F72" s="20" t="s">
        <v>558</v>
      </c>
      <c r="G72" s="20"/>
      <c r="H72" s="20"/>
      <c r="I72" s="20"/>
      <c r="J72" s="20" t="s">
        <v>482</v>
      </c>
      <c r="K72" s="20" t="s">
        <v>559</v>
      </c>
      <c r="L72" s="20" t="s">
        <v>251</v>
      </c>
    </row>
    <row r="73" customFormat="false" ht="15" hidden="false" customHeight="false" outlineLevel="0" collapsed="false">
      <c r="A73" s="20" t="s">
        <v>560</v>
      </c>
      <c r="B73" s="20" t="s">
        <v>561</v>
      </c>
      <c r="C73" s="20" t="s">
        <v>562</v>
      </c>
      <c r="D73" s="20" t="s">
        <v>444</v>
      </c>
      <c r="E73" s="20" t="s">
        <v>78</v>
      </c>
      <c r="F73" s="20" t="s">
        <v>563</v>
      </c>
      <c r="G73" s="20"/>
      <c r="H73" s="20"/>
      <c r="I73" s="20"/>
      <c r="J73" s="20" t="s">
        <v>482</v>
      </c>
      <c r="K73" s="20" t="s">
        <v>564</v>
      </c>
      <c r="L73" s="20" t="s">
        <v>251</v>
      </c>
    </row>
    <row r="74" customFormat="false" ht="15" hidden="false" customHeight="false" outlineLevel="0" collapsed="false">
      <c r="A74" s="20" t="s">
        <v>565</v>
      </c>
      <c r="B74" s="20" t="s">
        <v>311</v>
      </c>
      <c r="C74" s="20" t="s">
        <v>566</v>
      </c>
      <c r="D74" s="20" t="s">
        <v>293</v>
      </c>
      <c r="E74" s="20" t="s">
        <v>260</v>
      </c>
      <c r="F74" s="20" t="s">
        <v>567</v>
      </c>
      <c r="G74" s="20"/>
      <c r="H74" s="20"/>
      <c r="I74" s="20"/>
      <c r="J74" s="20" t="s">
        <v>568</v>
      </c>
      <c r="K74" s="20" t="s">
        <v>569</v>
      </c>
      <c r="L74" s="20" t="s">
        <v>251</v>
      </c>
    </row>
    <row r="75" customFormat="false" ht="15" hidden="false" customHeight="false" outlineLevel="0" collapsed="false">
      <c r="A75" s="20" t="s">
        <v>570</v>
      </c>
      <c r="B75" s="20" t="s">
        <v>291</v>
      </c>
      <c r="C75" s="20" t="s">
        <v>571</v>
      </c>
      <c r="D75" s="20" t="s">
        <v>286</v>
      </c>
      <c r="E75" s="20" t="s">
        <v>111</v>
      </c>
      <c r="F75" s="20" t="s">
        <v>572</v>
      </c>
      <c r="G75" s="20"/>
      <c r="H75" s="20"/>
      <c r="I75" s="20"/>
      <c r="J75" s="20" t="s">
        <v>568</v>
      </c>
      <c r="K75" s="20" t="s">
        <v>573</v>
      </c>
      <c r="L75" s="20" t="s">
        <v>251</v>
      </c>
    </row>
    <row r="76" customFormat="false" ht="15" hidden="false" customHeight="false" outlineLevel="0" collapsed="false">
      <c r="A76" s="20" t="s">
        <v>278</v>
      </c>
      <c r="B76" s="20" t="s">
        <v>279</v>
      </c>
      <c r="C76" s="20" t="s">
        <v>280</v>
      </c>
      <c r="D76" s="20" t="s">
        <v>254</v>
      </c>
      <c r="E76" s="20" t="s">
        <v>98</v>
      </c>
      <c r="F76" s="20" t="s">
        <v>281</v>
      </c>
      <c r="G76" s="20"/>
      <c r="H76" s="20"/>
      <c r="I76" s="20"/>
      <c r="J76" s="20" t="s">
        <v>568</v>
      </c>
      <c r="K76" s="20" t="s">
        <v>282</v>
      </c>
      <c r="L76" s="20" t="s">
        <v>251</v>
      </c>
    </row>
    <row r="77" customFormat="false" ht="15" hidden="false" customHeight="false" outlineLevel="0" collapsed="false">
      <c r="A77" s="20" t="s">
        <v>574</v>
      </c>
      <c r="B77" s="20" t="s">
        <v>575</v>
      </c>
      <c r="C77" s="20" t="s">
        <v>576</v>
      </c>
      <c r="D77" s="20" t="s">
        <v>577</v>
      </c>
      <c r="E77" s="20" t="s">
        <v>260</v>
      </c>
      <c r="F77" s="20" t="s">
        <v>578</v>
      </c>
      <c r="G77" s="20"/>
      <c r="H77" s="20"/>
      <c r="I77" s="20"/>
      <c r="J77" s="20" t="s">
        <v>568</v>
      </c>
      <c r="K77" s="20" t="s">
        <v>579</v>
      </c>
      <c r="L77" s="20" t="s">
        <v>251</v>
      </c>
    </row>
    <row r="78" customFormat="false" ht="15" hidden="false" customHeight="false" outlineLevel="0" collapsed="false">
      <c r="A78" s="20" t="s">
        <v>580</v>
      </c>
      <c r="B78" s="20" t="s">
        <v>581</v>
      </c>
      <c r="C78" s="20" t="s">
        <v>582</v>
      </c>
      <c r="D78" s="20" t="s">
        <v>583</v>
      </c>
      <c r="E78" s="20" t="s">
        <v>111</v>
      </c>
      <c r="F78" s="20" t="s">
        <v>584</v>
      </c>
      <c r="G78" s="20"/>
      <c r="H78" s="20"/>
      <c r="I78" s="20"/>
      <c r="J78" s="20" t="s">
        <v>568</v>
      </c>
      <c r="K78" s="20" t="s">
        <v>585</v>
      </c>
      <c r="L78" s="20" t="s">
        <v>251</v>
      </c>
    </row>
    <row r="79" customFormat="false" ht="15" hidden="false" customHeight="false" outlineLevel="0" collapsed="false">
      <c r="A79" s="20" t="s">
        <v>586</v>
      </c>
      <c r="B79" s="20" t="s">
        <v>151</v>
      </c>
      <c r="C79" s="20" t="s">
        <v>587</v>
      </c>
      <c r="D79" s="20" t="s">
        <v>265</v>
      </c>
      <c r="E79" s="20" t="s">
        <v>111</v>
      </c>
      <c r="F79" s="20" t="s">
        <v>588</v>
      </c>
      <c r="G79" s="20"/>
      <c r="H79" s="20"/>
      <c r="I79" s="20"/>
      <c r="J79" s="20" t="s">
        <v>568</v>
      </c>
      <c r="K79" s="20" t="s">
        <v>589</v>
      </c>
      <c r="L79" s="20" t="s">
        <v>251</v>
      </c>
    </row>
    <row r="80" customFormat="false" ht="15" hidden="false" customHeight="false" outlineLevel="0" collapsed="false">
      <c r="A80" s="20" t="s">
        <v>590</v>
      </c>
      <c r="B80" s="20"/>
      <c r="C80" s="20" t="s">
        <v>591</v>
      </c>
      <c r="D80" s="20"/>
      <c r="E80" s="20" t="s">
        <v>111</v>
      </c>
      <c r="F80" s="20" t="s">
        <v>414</v>
      </c>
      <c r="G80" s="20"/>
      <c r="H80" s="20"/>
      <c r="I80" s="20"/>
      <c r="J80" s="20" t="s">
        <v>568</v>
      </c>
      <c r="K80" s="20" t="s">
        <v>592</v>
      </c>
      <c r="L80" s="20" t="s">
        <v>251</v>
      </c>
    </row>
    <row r="81" customFormat="false" ht="15" hidden="false" customHeight="false" outlineLevel="0" collapsed="false">
      <c r="A81" s="20" t="s">
        <v>593</v>
      </c>
      <c r="B81" s="20" t="s">
        <v>140</v>
      </c>
      <c r="C81" s="20" t="s">
        <v>594</v>
      </c>
      <c r="D81" s="20" t="s">
        <v>293</v>
      </c>
      <c r="E81" s="20" t="s">
        <v>595</v>
      </c>
      <c r="F81" s="20"/>
      <c r="G81" s="20"/>
      <c r="H81" s="20"/>
      <c r="I81" s="20"/>
      <c r="J81" s="20" t="s">
        <v>568</v>
      </c>
      <c r="K81" s="20" t="s">
        <v>596</v>
      </c>
      <c r="L81" s="20" t="s">
        <v>251</v>
      </c>
    </row>
    <row r="82" customFormat="false" ht="15" hidden="false" customHeight="false" outlineLevel="0" collapsed="false">
      <c r="A82" s="20" t="s">
        <v>597</v>
      </c>
      <c r="B82" s="20" t="s">
        <v>598</v>
      </c>
      <c r="C82" s="20" t="s">
        <v>599</v>
      </c>
      <c r="D82" s="20" t="s">
        <v>313</v>
      </c>
      <c r="E82" s="20" t="s">
        <v>111</v>
      </c>
      <c r="F82" s="20" t="s">
        <v>414</v>
      </c>
      <c r="G82" s="20"/>
      <c r="H82" s="20"/>
      <c r="I82" s="20"/>
      <c r="J82" s="20" t="s">
        <v>568</v>
      </c>
      <c r="K82" s="20" t="s">
        <v>600</v>
      </c>
      <c r="L82" s="20" t="s">
        <v>251</v>
      </c>
    </row>
    <row r="83" customFormat="false" ht="15" hidden="false" customHeight="false" outlineLevel="0" collapsed="false">
      <c r="A83" s="20" t="s">
        <v>601</v>
      </c>
      <c r="B83" s="20" t="s">
        <v>203</v>
      </c>
      <c r="C83" s="20" t="s">
        <v>602</v>
      </c>
      <c r="D83" s="20" t="s">
        <v>603</v>
      </c>
      <c r="E83" s="20" t="s">
        <v>604</v>
      </c>
      <c r="F83" s="20" t="s">
        <v>567</v>
      </c>
      <c r="G83" s="20"/>
      <c r="H83" s="20"/>
      <c r="I83" s="20"/>
      <c r="J83" s="20" t="s">
        <v>568</v>
      </c>
      <c r="K83" s="20" t="s">
        <v>605</v>
      </c>
      <c r="L83" s="20" t="s">
        <v>251</v>
      </c>
    </row>
    <row r="84" customFormat="false" ht="15" hidden="false" customHeight="false" outlineLevel="0" collapsed="false">
      <c r="A84" s="20" t="s">
        <v>606</v>
      </c>
      <c r="B84" s="20" t="s">
        <v>213</v>
      </c>
      <c r="C84" s="20" t="s">
        <v>607</v>
      </c>
      <c r="D84" s="20" t="s">
        <v>313</v>
      </c>
      <c r="E84" s="20" t="s">
        <v>111</v>
      </c>
      <c r="F84" s="20" t="s">
        <v>608</v>
      </c>
      <c r="G84" s="20"/>
      <c r="H84" s="20"/>
      <c r="I84" s="20"/>
      <c r="J84" s="20" t="s">
        <v>568</v>
      </c>
      <c r="K84" s="20" t="s">
        <v>609</v>
      </c>
      <c r="L84" s="20" t="s">
        <v>251</v>
      </c>
    </row>
    <row r="85" customFormat="false" ht="15" hidden="false" customHeight="false" outlineLevel="0" collapsed="false">
      <c r="A85" s="20" t="s">
        <v>610</v>
      </c>
      <c r="B85" s="20" t="s">
        <v>611</v>
      </c>
      <c r="C85" s="20" t="s">
        <v>612</v>
      </c>
      <c r="D85" s="20" t="s">
        <v>265</v>
      </c>
      <c r="E85" s="20" t="s">
        <v>111</v>
      </c>
      <c r="F85" s="20" t="s">
        <v>414</v>
      </c>
      <c r="G85" s="20"/>
      <c r="H85" s="20"/>
      <c r="I85" s="20"/>
      <c r="J85" s="20" t="s">
        <v>568</v>
      </c>
      <c r="K85" s="20" t="s">
        <v>613</v>
      </c>
      <c r="L85" s="20" t="s">
        <v>251</v>
      </c>
    </row>
    <row r="86" customFormat="false" ht="15" hidden="false" customHeight="false" outlineLevel="0" collapsed="false">
      <c r="A86" s="20" t="s">
        <v>614</v>
      </c>
      <c r="B86" s="20" t="s">
        <v>387</v>
      </c>
      <c r="C86" s="20" t="s">
        <v>615</v>
      </c>
      <c r="D86" s="20" t="s">
        <v>487</v>
      </c>
      <c r="E86" s="20" t="s">
        <v>111</v>
      </c>
      <c r="F86" s="20" t="s">
        <v>616</v>
      </c>
      <c r="G86" s="20"/>
      <c r="H86" s="20"/>
      <c r="I86" s="20"/>
      <c r="J86" s="20" t="s">
        <v>568</v>
      </c>
      <c r="K86" s="20" t="s">
        <v>617</v>
      </c>
      <c r="L86" s="20" t="s">
        <v>251</v>
      </c>
    </row>
    <row r="87" customFormat="false" ht="15" hidden="false" customHeight="false" outlineLevel="0" collapsed="false">
      <c r="A87" s="20" t="s">
        <v>618</v>
      </c>
      <c r="B87" s="20" t="s">
        <v>126</v>
      </c>
      <c r="C87" s="20" t="s">
        <v>619</v>
      </c>
      <c r="D87" s="20" t="s">
        <v>620</v>
      </c>
      <c r="E87" s="20" t="s">
        <v>433</v>
      </c>
      <c r="F87" s="20" t="s">
        <v>621</v>
      </c>
      <c r="G87" s="20"/>
      <c r="H87" s="20"/>
      <c r="I87" s="20"/>
      <c r="J87" s="20" t="s">
        <v>568</v>
      </c>
      <c r="K87" s="20" t="s">
        <v>622</v>
      </c>
      <c r="L87" s="20" t="s">
        <v>251</v>
      </c>
    </row>
    <row r="88" customFormat="false" ht="15" hidden="false" customHeight="false" outlineLevel="0" collapsed="false">
      <c r="A88" s="20" t="s">
        <v>623</v>
      </c>
      <c r="B88" s="20" t="s">
        <v>126</v>
      </c>
      <c r="C88" s="20" t="s">
        <v>624</v>
      </c>
      <c r="D88" s="20" t="s">
        <v>625</v>
      </c>
      <c r="E88" s="20" t="s">
        <v>136</v>
      </c>
      <c r="F88" s="20" t="s">
        <v>626</v>
      </c>
      <c r="G88" s="20"/>
      <c r="H88" s="20"/>
      <c r="I88" s="20"/>
      <c r="J88" s="20" t="s">
        <v>568</v>
      </c>
      <c r="K88" s="20" t="s">
        <v>627</v>
      </c>
      <c r="L88" s="20" t="s">
        <v>251</v>
      </c>
    </row>
    <row r="89" customFormat="false" ht="15" hidden="false" customHeight="false" outlineLevel="0" collapsed="false">
      <c r="A89" s="20" t="s">
        <v>628</v>
      </c>
      <c r="B89" s="20" t="s">
        <v>387</v>
      </c>
      <c r="C89" s="20" t="s">
        <v>629</v>
      </c>
      <c r="D89" s="20" t="s">
        <v>444</v>
      </c>
      <c r="E89" s="20" t="s">
        <v>111</v>
      </c>
      <c r="F89" s="20"/>
      <c r="G89" s="20"/>
      <c r="H89" s="20"/>
      <c r="I89" s="20"/>
      <c r="J89" s="20" t="s">
        <v>568</v>
      </c>
      <c r="K89" s="20" t="s">
        <v>630</v>
      </c>
      <c r="L89" s="20" t="s">
        <v>251</v>
      </c>
    </row>
    <row r="90" customFormat="false" ht="15" hidden="false" customHeight="false" outlineLevel="0" collapsed="false">
      <c r="A90" s="20" t="s">
        <v>631</v>
      </c>
      <c r="B90" s="20" t="s">
        <v>182</v>
      </c>
      <c r="C90" s="20" t="s">
        <v>632</v>
      </c>
      <c r="D90" s="20" t="s">
        <v>313</v>
      </c>
      <c r="E90" s="20" t="s">
        <v>595</v>
      </c>
      <c r="F90" s="20" t="s">
        <v>633</v>
      </c>
      <c r="G90" s="20"/>
      <c r="H90" s="20"/>
      <c r="I90" s="20"/>
      <c r="J90" s="20" t="s">
        <v>568</v>
      </c>
      <c r="K90" s="20" t="s">
        <v>634</v>
      </c>
      <c r="L90" s="20" t="s">
        <v>251</v>
      </c>
    </row>
    <row r="91" customFormat="false" ht="15" hidden="false" customHeight="false" outlineLevel="0" collapsed="false">
      <c r="A91" s="20" t="s">
        <v>635</v>
      </c>
      <c r="B91" s="20" t="s">
        <v>636</v>
      </c>
      <c r="C91" s="20" t="s">
        <v>637</v>
      </c>
      <c r="D91" s="20" t="s">
        <v>638</v>
      </c>
      <c r="E91" s="20" t="s">
        <v>260</v>
      </c>
      <c r="F91" s="20" t="s">
        <v>639</v>
      </c>
      <c r="G91" s="20"/>
      <c r="H91" s="20"/>
      <c r="I91" s="20"/>
      <c r="J91" s="20" t="s">
        <v>568</v>
      </c>
      <c r="K91" s="20" t="s">
        <v>640</v>
      </c>
      <c r="L91" s="20" t="s">
        <v>251</v>
      </c>
    </row>
    <row r="92" customFormat="false" ht="15" hidden="false" customHeight="false" outlineLevel="0" collapsed="false">
      <c r="A92" s="20" t="s">
        <v>641</v>
      </c>
      <c r="B92" s="20" t="s">
        <v>642</v>
      </c>
      <c r="C92" s="20" t="s">
        <v>643</v>
      </c>
      <c r="D92" s="20" t="s">
        <v>254</v>
      </c>
      <c r="E92" s="20" t="s">
        <v>78</v>
      </c>
      <c r="F92" s="20" t="s">
        <v>644</v>
      </c>
      <c r="G92" s="20"/>
      <c r="H92" s="20"/>
      <c r="I92" s="20"/>
      <c r="J92" s="20" t="s">
        <v>568</v>
      </c>
      <c r="K92" s="20" t="s">
        <v>645</v>
      </c>
      <c r="L92" s="20" t="s">
        <v>251</v>
      </c>
    </row>
    <row r="93" customFormat="false" ht="15" hidden="false" customHeight="false" outlineLevel="0" collapsed="false">
      <c r="A93" s="20" t="s">
        <v>646</v>
      </c>
      <c r="B93" s="20" t="s">
        <v>151</v>
      </c>
      <c r="C93" s="20" t="s">
        <v>647</v>
      </c>
      <c r="D93" s="20" t="s">
        <v>648</v>
      </c>
      <c r="E93" s="20" t="s">
        <v>136</v>
      </c>
      <c r="F93" s="20"/>
      <c r="G93" s="20"/>
      <c r="H93" s="20"/>
      <c r="I93" s="20"/>
      <c r="J93" s="20" t="s">
        <v>568</v>
      </c>
      <c r="K93" s="20" t="s">
        <v>649</v>
      </c>
      <c r="L93" s="20" t="s">
        <v>251</v>
      </c>
    </row>
    <row r="94" customFormat="false" ht="15" hidden="false" customHeight="false" outlineLevel="0" collapsed="false">
      <c r="A94" s="20" t="s">
        <v>650</v>
      </c>
      <c r="B94" s="20" t="s">
        <v>151</v>
      </c>
      <c r="C94" s="20" t="s">
        <v>651</v>
      </c>
      <c r="D94" s="20" t="s">
        <v>313</v>
      </c>
      <c r="E94" s="20" t="s">
        <v>98</v>
      </c>
      <c r="F94" s="20"/>
      <c r="G94" s="20"/>
      <c r="H94" s="20"/>
      <c r="I94" s="20"/>
      <c r="J94" s="20" t="s">
        <v>568</v>
      </c>
      <c r="K94" s="20" t="s">
        <v>652</v>
      </c>
      <c r="L94" s="20" t="s">
        <v>251</v>
      </c>
    </row>
    <row r="95" customFormat="false" ht="15" hidden="false" customHeight="false" outlineLevel="0" collapsed="false">
      <c r="A95" s="20" t="s">
        <v>446</v>
      </c>
      <c r="B95" s="20" t="s">
        <v>447</v>
      </c>
      <c r="C95" s="20" t="s">
        <v>448</v>
      </c>
      <c r="D95" s="20" t="s">
        <v>449</v>
      </c>
      <c r="E95" s="20" t="s">
        <v>343</v>
      </c>
      <c r="F95" s="20"/>
      <c r="G95" s="20"/>
      <c r="H95" s="20"/>
      <c r="I95" s="20"/>
      <c r="J95" s="20" t="s">
        <v>568</v>
      </c>
      <c r="K95" s="20" t="s">
        <v>450</v>
      </c>
      <c r="L95" s="20" t="s">
        <v>251</v>
      </c>
    </row>
    <row r="96" customFormat="false" ht="15" hidden="false" customHeight="false" outlineLevel="0" collapsed="false">
      <c r="A96" s="20" t="s">
        <v>653</v>
      </c>
      <c r="B96" s="20" t="s">
        <v>182</v>
      </c>
      <c r="C96" s="20" t="s">
        <v>654</v>
      </c>
      <c r="D96" s="20" t="s">
        <v>313</v>
      </c>
      <c r="E96" s="20" t="s">
        <v>287</v>
      </c>
      <c r="F96" s="20"/>
      <c r="G96" s="20"/>
      <c r="H96" s="20"/>
      <c r="I96" s="20"/>
      <c r="J96" s="20" t="s">
        <v>568</v>
      </c>
      <c r="K96" s="20" t="s">
        <v>655</v>
      </c>
      <c r="L96" s="20" t="s">
        <v>251</v>
      </c>
    </row>
    <row r="97" customFormat="false" ht="15" hidden="false" customHeight="false" outlineLevel="0" collapsed="false">
      <c r="A97" s="20" t="s">
        <v>656</v>
      </c>
      <c r="B97" s="20" t="s">
        <v>657</v>
      </c>
      <c r="C97" s="20" t="s">
        <v>658</v>
      </c>
      <c r="D97" s="20" t="s">
        <v>293</v>
      </c>
      <c r="E97" s="20" t="s">
        <v>393</v>
      </c>
      <c r="F97" s="20" t="s">
        <v>454</v>
      </c>
      <c r="G97" s="20"/>
      <c r="H97" s="20"/>
      <c r="I97" s="20"/>
      <c r="J97" s="20" t="s">
        <v>568</v>
      </c>
      <c r="K97" s="20" t="s">
        <v>659</v>
      </c>
      <c r="L97" s="20" t="s">
        <v>251</v>
      </c>
    </row>
    <row r="98" customFormat="false" ht="15" hidden="false" customHeight="false" outlineLevel="0" collapsed="false">
      <c r="A98" s="20" t="s">
        <v>660</v>
      </c>
      <c r="B98" s="20" t="s">
        <v>291</v>
      </c>
      <c r="C98" s="20" t="s">
        <v>661</v>
      </c>
      <c r="D98" s="20" t="s">
        <v>662</v>
      </c>
      <c r="E98" s="20" t="s">
        <v>287</v>
      </c>
      <c r="F98" s="20" t="s">
        <v>663</v>
      </c>
      <c r="G98" s="20"/>
      <c r="H98" s="20"/>
      <c r="I98" s="20"/>
      <c r="J98" s="20" t="s">
        <v>664</v>
      </c>
      <c r="K98" s="20" t="s">
        <v>665</v>
      </c>
      <c r="L98" s="20" t="s">
        <v>251</v>
      </c>
    </row>
    <row r="99" customFormat="false" ht="15" hidden="false" customHeight="false" outlineLevel="0" collapsed="false">
      <c r="A99" s="20" t="s">
        <v>666</v>
      </c>
      <c r="B99" s="20" t="s">
        <v>667</v>
      </c>
      <c r="C99" s="20" t="s">
        <v>668</v>
      </c>
      <c r="D99" s="20" t="s">
        <v>313</v>
      </c>
      <c r="E99" s="20" t="s">
        <v>343</v>
      </c>
      <c r="F99" s="20" t="s">
        <v>501</v>
      </c>
      <c r="G99" s="20"/>
      <c r="H99" s="20"/>
      <c r="I99" s="20"/>
      <c r="J99" s="20" t="s">
        <v>664</v>
      </c>
      <c r="K99" s="20" t="s">
        <v>669</v>
      </c>
      <c r="L99" s="20" t="s">
        <v>251</v>
      </c>
    </row>
    <row r="100" customFormat="false" ht="15" hidden="false" customHeight="false" outlineLevel="0" collapsed="false">
      <c r="A100" s="20" t="s">
        <v>670</v>
      </c>
      <c r="B100" s="20" t="s">
        <v>109</v>
      </c>
      <c r="C100" s="20" t="s">
        <v>671</v>
      </c>
      <c r="D100" s="20" t="s">
        <v>286</v>
      </c>
      <c r="E100" s="20" t="s">
        <v>343</v>
      </c>
      <c r="F100" s="20" t="s">
        <v>501</v>
      </c>
      <c r="G100" s="20"/>
      <c r="H100" s="20"/>
      <c r="I100" s="20"/>
      <c r="J100" s="20" t="s">
        <v>664</v>
      </c>
      <c r="K100" s="20" t="s">
        <v>672</v>
      </c>
      <c r="L100" s="20" t="s">
        <v>251</v>
      </c>
    </row>
    <row r="101" customFormat="false" ht="15" hidden="false" customHeight="false" outlineLevel="0" collapsed="false">
      <c r="A101" s="20" t="s">
        <v>673</v>
      </c>
      <c r="B101" s="20" t="s">
        <v>291</v>
      </c>
      <c r="C101" s="20" t="s">
        <v>674</v>
      </c>
      <c r="D101" s="20" t="s">
        <v>675</v>
      </c>
      <c r="E101" s="20" t="s">
        <v>343</v>
      </c>
      <c r="F101" s="20" t="s">
        <v>501</v>
      </c>
      <c r="G101" s="20"/>
      <c r="H101" s="20"/>
      <c r="I101" s="20"/>
      <c r="J101" s="20" t="s">
        <v>664</v>
      </c>
      <c r="K101" s="20" t="s">
        <v>676</v>
      </c>
      <c r="L101" s="20" t="s">
        <v>251</v>
      </c>
    </row>
    <row r="102" customFormat="false" ht="15" hidden="false" customHeight="false" outlineLevel="0" collapsed="false">
      <c r="A102" s="20" t="s">
        <v>677</v>
      </c>
      <c r="B102" s="20" t="s">
        <v>678</v>
      </c>
      <c r="C102" s="20" t="s">
        <v>679</v>
      </c>
      <c r="D102" s="20" t="s">
        <v>680</v>
      </c>
      <c r="E102" s="20" t="s">
        <v>111</v>
      </c>
      <c r="F102" s="20" t="s">
        <v>681</v>
      </c>
      <c r="G102" s="20"/>
      <c r="H102" s="20"/>
      <c r="I102" s="20"/>
      <c r="J102" s="20" t="s">
        <v>664</v>
      </c>
      <c r="K102" s="20" t="s">
        <v>682</v>
      </c>
      <c r="L102" s="20" t="s">
        <v>251</v>
      </c>
    </row>
    <row r="103" customFormat="false" ht="15" hidden="false" customHeight="false" outlineLevel="0" collapsed="false">
      <c r="A103" s="20" t="s">
        <v>683</v>
      </c>
      <c r="B103" s="20" t="s">
        <v>402</v>
      </c>
      <c r="C103" s="20" t="s">
        <v>684</v>
      </c>
      <c r="D103" s="20" t="s">
        <v>254</v>
      </c>
      <c r="E103" s="20" t="s">
        <v>343</v>
      </c>
      <c r="F103" s="20"/>
      <c r="G103" s="20"/>
      <c r="H103" s="20"/>
      <c r="I103" s="20"/>
      <c r="J103" s="20" t="s">
        <v>664</v>
      </c>
      <c r="K103" s="20" t="s">
        <v>685</v>
      </c>
      <c r="L103" s="20" t="s">
        <v>251</v>
      </c>
    </row>
    <row r="104" customFormat="false" ht="15" hidden="false" customHeight="false" outlineLevel="0" collapsed="false">
      <c r="A104" s="20" t="s">
        <v>686</v>
      </c>
      <c r="B104" s="20" t="s">
        <v>687</v>
      </c>
      <c r="C104" s="20" t="s">
        <v>688</v>
      </c>
      <c r="D104" s="20" t="s">
        <v>293</v>
      </c>
      <c r="E104" s="20" t="s">
        <v>111</v>
      </c>
      <c r="F104" s="20" t="s">
        <v>689</v>
      </c>
      <c r="G104" s="20"/>
      <c r="H104" s="20"/>
      <c r="I104" s="20"/>
      <c r="J104" s="20" t="s">
        <v>664</v>
      </c>
      <c r="K104" s="20" t="s">
        <v>690</v>
      </c>
      <c r="L104" s="20" t="s">
        <v>251</v>
      </c>
    </row>
    <row r="105" customFormat="false" ht="15" hidden="false" customHeight="false" outlineLevel="0" collapsed="false">
      <c r="A105" s="20" t="s">
        <v>691</v>
      </c>
      <c r="B105" s="20" t="s">
        <v>692</v>
      </c>
      <c r="C105" s="20" t="s">
        <v>693</v>
      </c>
      <c r="D105" s="20" t="s">
        <v>694</v>
      </c>
      <c r="E105" s="20" t="s">
        <v>343</v>
      </c>
      <c r="F105" s="20"/>
      <c r="G105" s="20"/>
      <c r="H105" s="20"/>
      <c r="I105" s="20"/>
      <c r="J105" s="20" t="s">
        <v>664</v>
      </c>
      <c r="K105" s="20" t="s">
        <v>695</v>
      </c>
      <c r="L105" s="20" t="s">
        <v>251</v>
      </c>
    </row>
    <row r="106" customFormat="false" ht="15" hidden="false" customHeight="false" outlineLevel="0" collapsed="false">
      <c r="A106" s="20" t="s">
        <v>696</v>
      </c>
      <c r="B106" s="20" t="s">
        <v>697</v>
      </c>
      <c r="C106" s="20" t="s">
        <v>698</v>
      </c>
      <c r="D106" s="20" t="s">
        <v>662</v>
      </c>
      <c r="E106" s="20" t="s">
        <v>343</v>
      </c>
      <c r="F106" s="20"/>
      <c r="G106" s="20"/>
      <c r="H106" s="20"/>
      <c r="I106" s="20"/>
      <c r="J106" s="20" t="s">
        <v>664</v>
      </c>
      <c r="K106" s="20" t="s">
        <v>699</v>
      </c>
      <c r="L106" s="20" t="s">
        <v>251</v>
      </c>
    </row>
    <row r="107" customFormat="false" ht="15" hidden="false" customHeight="false" outlineLevel="0" collapsed="false">
      <c r="A107" s="20" t="s">
        <v>700</v>
      </c>
      <c r="B107" s="20" t="s">
        <v>701</v>
      </c>
      <c r="C107" s="20" t="s">
        <v>702</v>
      </c>
      <c r="D107" s="20" t="s">
        <v>703</v>
      </c>
      <c r="E107" s="20" t="s">
        <v>343</v>
      </c>
      <c r="F107" s="20"/>
      <c r="G107" s="20"/>
      <c r="H107" s="20"/>
      <c r="I107" s="20"/>
      <c r="J107" s="20" t="s">
        <v>664</v>
      </c>
      <c r="K107" s="20" t="s">
        <v>704</v>
      </c>
      <c r="L107" s="20" t="s">
        <v>251</v>
      </c>
    </row>
    <row r="108" customFormat="false" ht="15" hidden="false" customHeight="false" outlineLevel="0" collapsed="false">
      <c r="A108" s="20" t="s">
        <v>705</v>
      </c>
      <c r="B108" s="20" t="s">
        <v>697</v>
      </c>
      <c r="C108" s="20" t="s">
        <v>706</v>
      </c>
      <c r="D108" s="20" t="s">
        <v>662</v>
      </c>
      <c r="E108" s="20" t="s">
        <v>343</v>
      </c>
      <c r="F108" s="20"/>
      <c r="G108" s="20"/>
      <c r="H108" s="20"/>
      <c r="I108" s="20"/>
      <c r="J108" s="20" t="s">
        <v>664</v>
      </c>
      <c r="K108" s="20" t="s">
        <v>707</v>
      </c>
      <c r="L108" s="20" t="s">
        <v>251</v>
      </c>
    </row>
    <row r="109" customFormat="false" ht="15" hidden="false" customHeight="false" outlineLevel="0" collapsed="false">
      <c r="A109" s="20" t="s">
        <v>708</v>
      </c>
      <c r="B109" s="20" t="s">
        <v>408</v>
      </c>
      <c r="C109" s="20" t="s">
        <v>709</v>
      </c>
      <c r="D109" s="20" t="s">
        <v>710</v>
      </c>
      <c r="E109" s="20" t="s">
        <v>343</v>
      </c>
      <c r="F109" s="20"/>
      <c r="G109" s="20"/>
      <c r="H109" s="20"/>
      <c r="I109" s="20"/>
      <c r="J109" s="20" t="s">
        <v>664</v>
      </c>
      <c r="K109" s="20" t="s">
        <v>711</v>
      </c>
      <c r="L109" s="20" t="s">
        <v>251</v>
      </c>
    </row>
    <row r="110" customFormat="false" ht="15" hidden="false" customHeight="false" outlineLevel="0" collapsed="false">
      <c r="A110" s="20" t="s">
        <v>712</v>
      </c>
      <c r="B110" s="20" t="s">
        <v>151</v>
      </c>
      <c r="C110" s="20" t="s">
        <v>713</v>
      </c>
      <c r="D110" s="20" t="s">
        <v>77</v>
      </c>
      <c r="E110" s="20" t="s">
        <v>260</v>
      </c>
      <c r="F110" s="20" t="s">
        <v>714</v>
      </c>
      <c r="G110" s="20"/>
      <c r="H110" s="20"/>
      <c r="I110" s="20"/>
      <c r="J110" s="20" t="s">
        <v>664</v>
      </c>
      <c r="K110" s="20" t="s">
        <v>715</v>
      </c>
      <c r="L110" s="20" t="s">
        <v>251</v>
      </c>
    </row>
    <row r="111" customFormat="false" ht="15" hidden="false" customHeight="false" outlineLevel="0" collapsed="false">
      <c r="A111" s="20" t="s">
        <v>716</v>
      </c>
      <c r="B111" s="20" t="s">
        <v>717</v>
      </c>
      <c r="C111" s="20" t="s">
        <v>718</v>
      </c>
      <c r="D111" s="20" t="s">
        <v>286</v>
      </c>
      <c r="E111" s="20" t="s">
        <v>67</v>
      </c>
      <c r="F111" s="20" t="s">
        <v>719</v>
      </c>
      <c r="G111" s="20"/>
      <c r="H111" s="20"/>
      <c r="I111" s="20"/>
      <c r="J111" s="20" t="s">
        <v>664</v>
      </c>
      <c r="K111" s="20" t="s">
        <v>720</v>
      </c>
      <c r="L111" s="20" t="s">
        <v>251</v>
      </c>
    </row>
    <row r="112" customFormat="false" ht="15" hidden="false" customHeight="false" outlineLevel="0" collapsed="false">
      <c r="A112" s="20" t="s">
        <v>721</v>
      </c>
      <c r="B112" s="20" t="s">
        <v>317</v>
      </c>
      <c r="C112" s="20" t="s">
        <v>722</v>
      </c>
      <c r="D112" s="20" t="s">
        <v>723</v>
      </c>
      <c r="E112" s="20" t="s">
        <v>98</v>
      </c>
      <c r="F112" s="20" t="s">
        <v>724</v>
      </c>
      <c r="G112" s="20"/>
      <c r="H112" s="20"/>
      <c r="I112" s="20"/>
      <c r="J112" s="20" t="s">
        <v>664</v>
      </c>
      <c r="K112" s="20" t="s">
        <v>725</v>
      </c>
      <c r="L112" s="20" t="s">
        <v>251</v>
      </c>
    </row>
    <row r="113" customFormat="false" ht="15" hidden="false" customHeight="false" outlineLevel="0" collapsed="false">
      <c r="A113" s="20" t="s">
        <v>726</v>
      </c>
      <c r="B113" s="20" t="s">
        <v>151</v>
      </c>
      <c r="C113" s="20" t="s">
        <v>727</v>
      </c>
      <c r="D113" s="20" t="s">
        <v>728</v>
      </c>
      <c r="E113" s="20" t="s">
        <v>78</v>
      </c>
      <c r="F113" s="20"/>
      <c r="G113" s="20"/>
      <c r="H113" s="20"/>
      <c r="I113" s="20"/>
      <c r="J113" s="20" t="s">
        <v>664</v>
      </c>
      <c r="K113" s="20" t="s">
        <v>729</v>
      </c>
      <c r="L113" s="20" t="s">
        <v>251</v>
      </c>
    </row>
    <row r="114" customFormat="false" ht="15" hidden="false" customHeight="false" outlineLevel="0" collapsed="false">
      <c r="A114" s="20" t="s">
        <v>499</v>
      </c>
      <c r="B114" s="20" t="s">
        <v>208</v>
      </c>
      <c r="C114" s="20" t="s">
        <v>500</v>
      </c>
      <c r="D114" s="20" t="s">
        <v>313</v>
      </c>
      <c r="E114" s="20" t="s">
        <v>111</v>
      </c>
      <c r="F114" s="20" t="s">
        <v>501</v>
      </c>
      <c r="G114" s="20"/>
      <c r="H114" s="20"/>
      <c r="I114" s="20"/>
      <c r="J114" s="20" t="s">
        <v>664</v>
      </c>
      <c r="K114" s="20" t="s">
        <v>502</v>
      </c>
      <c r="L114" s="20" t="s">
        <v>251</v>
      </c>
    </row>
    <row r="115" customFormat="false" ht="15" hidden="false" customHeight="false" outlineLevel="0" collapsed="false">
      <c r="A115" s="20" t="s">
        <v>730</v>
      </c>
      <c r="B115" s="20" t="s">
        <v>731</v>
      </c>
      <c r="C115" s="20" t="s">
        <v>732</v>
      </c>
      <c r="D115" s="20" t="s">
        <v>324</v>
      </c>
      <c r="E115" s="20" t="s">
        <v>154</v>
      </c>
      <c r="F115" s="20" t="s">
        <v>733</v>
      </c>
      <c r="G115" s="20"/>
      <c r="H115" s="20"/>
      <c r="I115" s="20"/>
      <c r="J115" s="20" t="s">
        <v>664</v>
      </c>
      <c r="K115" s="20" t="s">
        <v>734</v>
      </c>
      <c r="L115" s="20" t="s">
        <v>251</v>
      </c>
    </row>
    <row r="116" customFormat="false" ht="15" hidden="false" customHeight="false" outlineLevel="0" collapsed="false">
      <c r="A116" s="20" t="s">
        <v>735</v>
      </c>
      <c r="B116" s="20" t="s">
        <v>736</v>
      </c>
      <c r="C116" s="20" t="s">
        <v>737</v>
      </c>
      <c r="D116" s="20" t="s">
        <v>738</v>
      </c>
      <c r="E116" s="20" t="s">
        <v>136</v>
      </c>
      <c r="F116" s="20" t="s">
        <v>739</v>
      </c>
      <c r="G116" s="20"/>
      <c r="H116" s="20"/>
      <c r="I116" s="20"/>
      <c r="J116" s="20" t="s">
        <v>664</v>
      </c>
      <c r="K116" s="20" t="s">
        <v>740</v>
      </c>
      <c r="L116" s="20" t="s">
        <v>251</v>
      </c>
    </row>
    <row r="117" customFormat="false" ht="15" hidden="false" customHeight="false" outlineLevel="0" collapsed="false">
      <c r="A117" s="20" t="s">
        <v>741</v>
      </c>
      <c r="B117" s="20" t="s">
        <v>182</v>
      </c>
      <c r="C117" s="20" t="s">
        <v>742</v>
      </c>
      <c r="D117" s="20" t="s">
        <v>743</v>
      </c>
      <c r="E117" s="20" t="s">
        <v>154</v>
      </c>
      <c r="F117" s="20" t="s">
        <v>744</v>
      </c>
      <c r="G117" s="20"/>
      <c r="H117" s="20"/>
      <c r="I117" s="20"/>
      <c r="J117" s="20" t="s">
        <v>664</v>
      </c>
      <c r="K117" s="20" t="s">
        <v>745</v>
      </c>
      <c r="L117" s="20" t="s">
        <v>251</v>
      </c>
    </row>
    <row r="118" customFormat="false" ht="15" hidden="false" customHeight="false" outlineLevel="0" collapsed="false">
      <c r="A118" s="20" t="s">
        <v>746</v>
      </c>
      <c r="B118" s="20" t="s">
        <v>341</v>
      </c>
      <c r="C118" s="20" t="s">
        <v>747</v>
      </c>
      <c r="D118" s="20" t="s">
        <v>286</v>
      </c>
      <c r="E118" s="20" t="s">
        <v>111</v>
      </c>
      <c r="F118" s="20"/>
      <c r="G118" s="20"/>
      <c r="H118" s="20"/>
      <c r="I118" s="20"/>
      <c r="J118" s="20" t="s">
        <v>664</v>
      </c>
      <c r="K118" s="20" t="s">
        <v>748</v>
      </c>
      <c r="L118" s="20" t="s">
        <v>251</v>
      </c>
    </row>
    <row r="119" customFormat="false" ht="15" hidden="false" customHeight="false" outlineLevel="0" collapsed="false">
      <c r="A119" s="20" t="s">
        <v>749</v>
      </c>
      <c r="B119" s="20" t="s">
        <v>750</v>
      </c>
      <c r="C119" s="20" t="s">
        <v>751</v>
      </c>
      <c r="D119" s="20" t="s">
        <v>752</v>
      </c>
      <c r="E119" s="20" t="s">
        <v>67</v>
      </c>
      <c r="F119" s="20" t="s">
        <v>753</v>
      </c>
      <c r="G119" s="20"/>
      <c r="H119" s="20"/>
      <c r="I119" s="20"/>
      <c r="J119" s="20" t="s">
        <v>664</v>
      </c>
      <c r="K119" s="20" t="s">
        <v>754</v>
      </c>
      <c r="L119" s="20" t="s">
        <v>251</v>
      </c>
    </row>
    <row r="120" customFormat="false" ht="15" hidden="false" customHeight="false" outlineLevel="0" collapsed="false">
      <c r="A120" s="20" t="s">
        <v>755</v>
      </c>
      <c r="B120" s="20" t="s">
        <v>756</v>
      </c>
      <c r="C120" s="20" t="s">
        <v>757</v>
      </c>
      <c r="D120" s="20" t="s">
        <v>259</v>
      </c>
      <c r="E120" s="20" t="s">
        <v>248</v>
      </c>
      <c r="F120" s="20"/>
      <c r="G120" s="20"/>
      <c r="H120" s="20"/>
      <c r="I120" s="20"/>
      <c r="J120" s="20" t="s">
        <v>664</v>
      </c>
      <c r="K120" s="20" t="s">
        <v>758</v>
      </c>
      <c r="L120" s="20" t="s">
        <v>251</v>
      </c>
    </row>
    <row r="121" customFormat="false" ht="15" hidden="false" customHeight="false" outlineLevel="0" collapsed="false">
      <c r="A121" s="20" t="s">
        <v>759</v>
      </c>
      <c r="B121" s="20" t="s">
        <v>140</v>
      </c>
      <c r="C121" s="20" t="s">
        <v>760</v>
      </c>
      <c r="D121" s="20" t="s">
        <v>761</v>
      </c>
      <c r="E121" s="20" t="s">
        <v>343</v>
      </c>
      <c r="F121" s="20" t="s">
        <v>762</v>
      </c>
      <c r="G121" s="20"/>
      <c r="H121" s="20"/>
      <c r="I121" s="20"/>
      <c r="J121" s="20" t="s">
        <v>664</v>
      </c>
      <c r="K121" s="20" t="s">
        <v>763</v>
      </c>
      <c r="L121" s="20" t="s">
        <v>251</v>
      </c>
    </row>
    <row r="122" customFormat="false" ht="15" hidden="false" customHeight="false" outlineLevel="0" collapsed="false">
      <c r="A122" s="20" t="s">
        <v>764</v>
      </c>
      <c r="B122" s="20" t="s">
        <v>203</v>
      </c>
      <c r="C122" s="20" t="s">
        <v>765</v>
      </c>
      <c r="D122" s="20" t="s">
        <v>766</v>
      </c>
      <c r="E122" s="20" t="s">
        <v>111</v>
      </c>
      <c r="F122" s="20"/>
      <c r="G122" s="20"/>
      <c r="H122" s="20"/>
      <c r="I122" s="20"/>
      <c r="J122" s="20" t="s">
        <v>767</v>
      </c>
      <c r="K122" s="20" t="s">
        <v>768</v>
      </c>
      <c r="L122" s="20" t="s">
        <v>251</v>
      </c>
    </row>
    <row r="123" customFormat="false" ht="15" hidden="false" customHeight="false" outlineLevel="0" collapsed="false">
      <c r="A123" s="20" t="s">
        <v>769</v>
      </c>
      <c r="B123" s="20" t="s">
        <v>770</v>
      </c>
      <c r="C123" s="20" t="s">
        <v>771</v>
      </c>
      <c r="D123" s="20" t="s">
        <v>638</v>
      </c>
      <c r="E123" s="20" t="s">
        <v>67</v>
      </c>
      <c r="F123" s="20" t="s">
        <v>772</v>
      </c>
      <c r="G123" s="20"/>
      <c r="H123" s="20"/>
      <c r="I123" s="20"/>
      <c r="J123" s="20" t="s">
        <v>767</v>
      </c>
      <c r="K123" s="20" t="s">
        <v>773</v>
      </c>
      <c r="L123" s="20" t="s">
        <v>251</v>
      </c>
    </row>
    <row r="124" customFormat="false" ht="15" hidden="false" customHeight="false" outlineLevel="0" collapsed="false">
      <c r="A124" s="20" t="s">
        <v>774</v>
      </c>
      <c r="B124" s="20" t="s">
        <v>471</v>
      </c>
      <c r="C124" s="20" t="s">
        <v>775</v>
      </c>
      <c r="D124" s="20" t="s">
        <v>313</v>
      </c>
      <c r="E124" s="20" t="s">
        <v>78</v>
      </c>
      <c r="F124" s="20" t="s">
        <v>776</v>
      </c>
      <c r="G124" s="20"/>
      <c r="H124" s="20"/>
      <c r="I124" s="20"/>
      <c r="J124" s="20" t="s">
        <v>767</v>
      </c>
      <c r="K124" s="20" t="s">
        <v>777</v>
      </c>
      <c r="L124" s="20" t="s">
        <v>251</v>
      </c>
    </row>
    <row r="125" customFormat="false" ht="15" hidden="false" customHeight="false" outlineLevel="0" collapsed="false">
      <c r="A125" s="20" t="s">
        <v>778</v>
      </c>
      <c r="B125" s="20" t="s">
        <v>366</v>
      </c>
      <c r="C125" s="20" t="s">
        <v>779</v>
      </c>
      <c r="D125" s="20" t="s">
        <v>780</v>
      </c>
      <c r="E125" s="20" t="s">
        <v>98</v>
      </c>
      <c r="F125" s="20" t="s">
        <v>781</v>
      </c>
      <c r="G125" s="20"/>
      <c r="H125" s="20"/>
      <c r="I125" s="20"/>
      <c r="J125" s="20" t="s">
        <v>767</v>
      </c>
      <c r="K125" s="20" t="s">
        <v>782</v>
      </c>
      <c r="L125" s="20" t="s">
        <v>251</v>
      </c>
    </row>
    <row r="126" customFormat="false" ht="15" hidden="false" customHeight="false" outlineLevel="0" collapsed="false">
      <c r="A126" s="20" t="s">
        <v>783</v>
      </c>
      <c r="B126" s="20" t="s">
        <v>140</v>
      </c>
      <c r="C126" s="20" t="s">
        <v>784</v>
      </c>
      <c r="D126" s="20" t="s">
        <v>77</v>
      </c>
      <c r="E126" s="20" t="s">
        <v>111</v>
      </c>
      <c r="F126" s="20" t="s">
        <v>459</v>
      </c>
      <c r="G126" s="20"/>
      <c r="H126" s="20"/>
      <c r="I126" s="20"/>
      <c r="J126" s="20" t="s">
        <v>767</v>
      </c>
      <c r="K126" s="20" t="s">
        <v>785</v>
      </c>
      <c r="L126" s="20" t="s">
        <v>251</v>
      </c>
    </row>
    <row r="127" customFormat="false" ht="15" hidden="false" customHeight="false" outlineLevel="0" collapsed="false">
      <c r="A127" s="20" t="s">
        <v>786</v>
      </c>
      <c r="B127" s="20" t="s">
        <v>151</v>
      </c>
      <c r="C127" s="20" t="s">
        <v>787</v>
      </c>
      <c r="D127" s="20" t="s">
        <v>788</v>
      </c>
      <c r="E127" s="20" t="s">
        <v>374</v>
      </c>
      <c r="F127" s="20"/>
      <c r="G127" s="20"/>
      <c r="H127" s="20"/>
      <c r="I127" s="20"/>
      <c r="J127" s="20" t="s">
        <v>767</v>
      </c>
      <c r="K127" s="20" t="s">
        <v>789</v>
      </c>
      <c r="L127" s="20" t="s">
        <v>251</v>
      </c>
    </row>
    <row r="128" customFormat="false" ht="15" hidden="false" customHeight="false" outlineLevel="0" collapsed="false">
      <c r="A128" s="20" t="s">
        <v>790</v>
      </c>
      <c r="B128" s="20" t="s">
        <v>387</v>
      </c>
      <c r="C128" s="20" t="s">
        <v>791</v>
      </c>
      <c r="D128" s="20" t="s">
        <v>625</v>
      </c>
      <c r="E128" s="20" t="s">
        <v>67</v>
      </c>
      <c r="F128" s="20" t="s">
        <v>792</v>
      </c>
      <c r="G128" s="20"/>
      <c r="H128" s="20"/>
      <c r="I128" s="20"/>
      <c r="J128" s="20" t="s">
        <v>767</v>
      </c>
      <c r="K128" s="20" t="s">
        <v>793</v>
      </c>
      <c r="L128" s="20" t="s">
        <v>251</v>
      </c>
    </row>
    <row r="129" customFormat="false" ht="15" hidden="false" customHeight="false" outlineLevel="0" collapsed="false">
      <c r="A129" s="20" t="s">
        <v>794</v>
      </c>
      <c r="B129" s="20" t="s">
        <v>795</v>
      </c>
      <c r="C129" s="20" t="s">
        <v>796</v>
      </c>
      <c r="D129" s="20" t="s">
        <v>577</v>
      </c>
      <c r="E129" s="20" t="s">
        <v>154</v>
      </c>
      <c r="F129" s="20"/>
      <c r="G129" s="20"/>
      <c r="H129" s="20"/>
      <c r="I129" s="20"/>
      <c r="J129" s="20" t="s">
        <v>767</v>
      </c>
      <c r="K129" s="20" t="s">
        <v>797</v>
      </c>
      <c r="L129" s="20" t="s">
        <v>251</v>
      </c>
    </row>
    <row r="130" customFormat="false" ht="15" hidden="false" customHeight="false" outlineLevel="0" collapsed="false">
      <c r="A130" s="20" t="s">
        <v>798</v>
      </c>
      <c r="B130" s="20" t="s">
        <v>126</v>
      </c>
      <c r="C130" s="20" t="s">
        <v>799</v>
      </c>
      <c r="D130" s="20" t="s">
        <v>800</v>
      </c>
      <c r="E130" s="20" t="s">
        <v>248</v>
      </c>
      <c r="F130" s="20"/>
      <c r="G130" s="20"/>
      <c r="H130" s="20"/>
      <c r="I130" s="20"/>
      <c r="J130" s="20" t="s">
        <v>767</v>
      </c>
      <c r="K130" s="20" t="s">
        <v>801</v>
      </c>
      <c r="L130" s="20" t="s">
        <v>251</v>
      </c>
    </row>
    <row r="131" customFormat="false" ht="15" hidden="false" customHeight="false" outlineLevel="0" collapsed="false">
      <c r="A131" s="20" t="s">
        <v>802</v>
      </c>
      <c r="B131" s="20" t="s">
        <v>182</v>
      </c>
      <c r="C131" s="20" t="s">
        <v>803</v>
      </c>
      <c r="D131" s="20" t="s">
        <v>804</v>
      </c>
      <c r="E131" s="20" t="s">
        <v>111</v>
      </c>
      <c r="F131" s="20" t="s">
        <v>724</v>
      </c>
      <c r="G131" s="20"/>
      <c r="H131" s="20"/>
      <c r="I131" s="20"/>
      <c r="J131" s="20" t="s">
        <v>767</v>
      </c>
      <c r="K131" s="20" t="s">
        <v>805</v>
      </c>
      <c r="L131" s="20" t="s">
        <v>251</v>
      </c>
    </row>
    <row r="132" customFormat="false" ht="15" hidden="false" customHeight="false" outlineLevel="0" collapsed="false">
      <c r="A132" s="20" t="s">
        <v>806</v>
      </c>
      <c r="B132" s="20" t="s">
        <v>807</v>
      </c>
      <c r="C132" s="20" t="s">
        <v>808</v>
      </c>
      <c r="D132" s="20" t="s">
        <v>293</v>
      </c>
      <c r="E132" s="20" t="s">
        <v>111</v>
      </c>
      <c r="F132" s="20" t="s">
        <v>809</v>
      </c>
      <c r="G132" s="20"/>
      <c r="H132" s="20"/>
      <c r="I132" s="20"/>
      <c r="J132" s="20" t="s">
        <v>767</v>
      </c>
      <c r="K132" s="20" t="s">
        <v>810</v>
      </c>
      <c r="L132" s="20" t="s">
        <v>251</v>
      </c>
    </row>
    <row r="133" customFormat="false" ht="15" hidden="false" customHeight="false" outlineLevel="0" collapsed="false">
      <c r="A133" s="20" t="s">
        <v>811</v>
      </c>
      <c r="B133" s="20" t="s">
        <v>317</v>
      </c>
      <c r="C133" s="20" t="s">
        <v>812</v>
      </c>
      <c r="D133" s="20" t="s">
        <v>813</v>
      </c>
      <c r="E133" s="20" t="s">
        <v>111</v>
      </c>
      <c r="F133" s="20" t="s">
        <v>616</v>
      </c>
      <c r="G133" s="20"/>
      <c r="H133" s="20"/>
      <c r="I133" s="20"/>
      <c r="J133" s="20" t="s">
        <v>767</v>
      </c>
      <c r="K133" s="20" t="s">
        <v>814</v>
      </c>
      <c r="L133" s="20" t="s">
        <v>251</v>
      </c>
    </row>
    <row r="134" customFormat="false" ht="15" hidden="false" customHeight="false" outlineLevel="0" collapsed="false">
      <c r="A134" s="20" t="s">
        <v>815</v>
      </c>
      <c r="B134" s="20" t="s">
        <v>126</v>
      </c>
      <c r="C134" s="20" t="s">
        <v>816</v>
      </c>
      <c r="D134" s="20" t="s">
        <v>259</v>
      </c>
      <c r="E134" s="20" t="s">
        <v>169</v>
      </c>
      <c r="F134" s="20"/>
      <c r="G134" s="20"/>
      <c r="H134" s="20"/>
      <c r="I134" s="20"/>
      <c r="J134" s="20" t="s">
        <v>767</v>
      </c>
      <c r="K134" s="20" t="s">
        <v>817</v>
      </c>
      <c r="L134" s="20" t="s">
        <v>251</v>
      </c>
    </row>
    <row r="135" customFormat="false" ht="15" hidden="false" customHeight="false" outlineLevel="0" collapsed="false">
      <c r="A135" s="20" t="s">
        <v>818</v>
      </c>
      <c r="B135" s="20" t="s">
        <v>819</v>
      </c>
      <c r="C135" s="20" t="s">
        <v>820</v>
      </c>
      <c r="D135" s="20" t="s">
        <v>821</v>
      </c>
      <c r="E135" s="20" t="s">
        <v>98</v>
      </c>
      <c r="F135" s="20" t="s">
        <v>822</v>
      </c>
      <c r="G135" s="20"/>
      <c r="H135" s="20"/>
      <c r="I135" s="20"/>
      <c r="J135" s="20" t="s">
        <v>767</v>
      </c>
      <c r="K135" s="20" t="s">
        <v>823</v>
      </c>
      <c r="L135" s="20" t="s">
        <v>251</v>
      </c>
    </row>
    <row r="136" customFormat="false" ht="15" hidden="false" customHeight="false" outlineLevel="0" collapsed="false">
      <c r="A136" s="20" t="s">
        <v>824</v>
      </c>
      <c r="B136" s="20" t="s">
        <v>825</v>
      </c>
      <c r="C136" s="20" t="s">
        <v>826</v>
      </c>
      <c r="D136" s="20" t="s">
        <v>625</v>
      </c>
      <c r="E136" s="20" t="s">
        <v>111</v>
      </c>
      <c r="F136" s="20"/>
      <c r="G136" s="20"/>
      <c r="H136" s="20"/>
      <c r="I136" s="20"/>
      <c r="J136" s="20" t="s">
        <v>767</v>
      </c>
      <c r="K136" s="20" t="s">
        <v>827</v>
      </c>
      <c r="L136" s="20" t="s">
        <v>251</v>
      </c>
    </row>
    <row r="137" customFormat="false" ht="15" hidden="false" customHeight="false" outlineLevel="0" collapsed="false">
      <c r="A137" s="20" t="s">
        <v>828</v>
      </c>
      <c r="B137" s="20" t="s">
        <v>829</v>
      </c>
      <c r="C137" s="20" t="s">
        <v>830</v>
      </c>
      <c r="D137" s="20" t="s">
        <v>293</v>
      </c>
      <c r="E137" s="20" t="s">
        <v>154</v>
      </c>
      <c r="F137" s="20"/>
      <c r="G137" s="20"/>
      <c r="H137" s="20"/>
      <c r="I137" s="20"/>
      <c r="J137" s="20" t="s">
        <v>767</v>
      </c>
      <c r="K137" s="20" t="s">
        <v>831</v>
      </c>
      <c r="L137" s="20" t="s">
        <v>251</v>
      </c>
    </row>
    <row r="138" customFormat="false" ht="15" hidden="false" customHeight="false" outlineLevel="0" collapsed="false">
      <c r="A138" s="20" t="s">
        <v>832</v>
      </c>
      <c r="B138" s="20" t="s">
        <v>151</v>
      </c>
      <c r="C138" s="20" t="s">
        <v>833</v>
      </c>
      <c r="D138" s="20" t="s">
        <v>254</v>
      </c>
      <c r="E138" s="20" t="s">
        <v>111</v>
      </c>
      <c r="F138" s="20"/>
      <c r="G138" s="20"/>
      <c r="H138" s="20"/>
      <c r="I138" s="20"/>
      <c r="J138" s="20" t="s">
        <v>767</v>
      </c>
      <c r="K138" s="20" t="s">
        <v>834</v>
      </c>
      <c r="L138" s="20" t="s">
        <v>251</v>
      </c>
    </row>
    <row r="139" customFormat="false" ht="15" hidden="false" customHeight="false" outlineLevel="0" collapsed="false">
      <c r="A139" s="20" t="s">
        <v>835</v>
      </c>
      <c r="B139" s="20" t="s">
        <v>836</v>
      </c>
      <c r="C139" s="20" t="s">
        <v>837</v>
      </c>
      <c r="D139" s="20" t="s">
        <v>838</v>
      </c>
      <c r="E139" s="20" t="s">
        <v>111</v>
      </c>
      <c r="F139" s="20" t="s">
        <v>839</v>
      </c>
      <c r="G139" s="20"/>
      <c r="H139" s="20"/>
      <c r="I139" s="20"/>
      <c r="J139" s="20" t="s">
        <v>767</v>
      </c>
      <c r="K139" s="20" t="s">
        <v>840</v>
      </c>
      <c r="L139" s="20" t="s">
        <v>251</v>
      </c>
    </row>
    <row r="140" customFormat="false" ht="15" hidden="false" customHeight="false" outlineLevel="0" collapsed="false">
      <c r="A140" s="20" t="s">
        <v>841</v>
      </c>
      <c r="B140" s="20" t="s">
        <v>842</v>
      </c>
      <c r="C140" s="20" t="s">
        <v>843</v>
      </c>
      <c r="D140" s="20" t="s">
        <v>444</v>
      </c>
      <c r="E140" s="20" t="s">
        <v>136</v>
      </c>
      <c r="F140" s="20"/>
      <c r="G140" s="20"/>
      <c r="H140" s="20"/>
      <c r="I140" s="20"/>
      <c r="J140" s="20" t="s">
        <v>767</v>
      </c>
      <c r="K140" s="20" t="s">
        <v>844</v>
      </c>
      <c r="L140" s="20" t="s">
        <v>251</v>
      </c>
    </row>
    <row r="141" customFormat="false" ht="15" hidden="false" customHeight="false" outlineLevel="0" collapsed="false">
      <c r="A141" s="20" t="s">
        <v>845</v>
      </c>
      <c r="B141" s="20" t="s">
        <v>846</v>
      </c>
      <c r="C141" s="20" t="s">
        <v>847</v>
      </c>
      <c r="D141" s="20" t="s">
        <v>476</v>
      </c>
      <c r="E141" s="20" t="s">
        <v>287</v>
      </c>
      <c r="F141" s="20" t="s">
        <v>848</v>
      </c>
      <c r="G141" s="20"/>
      <c r="H141" s="20"/>
      <c r="I141" s="20"/>
      <c r="J141" s="20" t="s">
        <v>767</v>
      </c>
      <c r="K141" s="20" t="s">
        <v>849</v>
      </c>
      <c r="L141" s="20" t="s">
        <v>251</v>
      </c>
    </row>
    <row r="142" customFormat="false" ht="15" hidden="false" customHeight="false" outlineLevel="0" collapsed="false">
      <c r="A142" s="20" t="s">
        <v>850</v>
      </c>
      <c r="B142" s="20" t="s">
        <v>208</v>
      </c>
      <c r="C142" s="20" t="s">
        <v>851</v>
      </c>
      <c r="D142" s="20" t="s">
        <v>444</v>
      </c>
      <c r="E142" s="20" t="s">
        <v>111</v>
      </c>
      <c r="F142" s="20"/>
      <c r="G142" s="20"/>
      <c r="H142" s="20"/>
      <c r="I142" s="20"/>
      <c r="J142" s="20" t="s">
        <v>767</v>
      </c>
      <c r="K142" s="20" t="s">
        <v>852</v>
      </c>
      <c r="L142" s="20" t="s">
        <v>251</v>
      </c>
    </row>
    <row r="143" customFormat="false" ht="15" hidden="false" customHeight="false" outlineLevel="0" collapsed="false">
      <c r="A143" s="20" t="s">
        <v>853</v>
      </c>
      <c r="B143" s="20" t="s">
        <v>151</v>
      </c>
      <c r="C143" s="20" t="s">
        <v>854</v>
      </c>
      <c r="D143" s="20" t="s">
        <v>293</v>
      </c>
      <c r="E143" s="20" t="s">
        <v>343</v>
      </c>
      <c r="F143" s="20"/>
      <c r="G143" s="20"/>
      <c r="H143" s="20"/>
      <c r="I143" s="20"/>
      <c r="J143" s="20" t="s">
        <v>767</v>
      </c>
      <c r="K143" s="20" t="s">
        <v>855</v>
      </c>
      <c r="L143" s="20" t="s">
        <v>251</v>
      </c>
    </row>
    <row r="144" customFormat="false" ht="15" hidden="false" customHeight="false" outlineLevel="0" collapsed="false">
      <c r="A144" s="20" t="s">
        <v>856</v>
      </c>
      <c r="B144" s="20" t="s">
        <v>846</v>
      </c>
      <c r="C144" s="20" t="s">
        <v>857</v>
      </c>
      <c r="D144" s="20" t="s">
        <v>710</v>
      </c>
      <c r="E144" s="20" t="s">
        <v>111</v>
      </c>
      <c r="F144" s="20"/>
      <c r="G144" s="20"/>
      <c r="H144" s="20"/>
      <c r="I144" s="20"/>
      <c r="J144" s="20" t="s">
        <v>767</v>
      </c>
      <c r="K144" s="20" t="s">
        <v>858</v>
      </c>
      <c r="L144" s="20" t="s">
        <v>251</v>
      </c>
    </row>
    <row r="145" customFormat="false" ht="15" hidden="false" customHeight="false" outlineLevel="0" collapsed="false">
      <c r="A145" s="20" t="s">
        <v>859</v>
      </c>
      <c r="B145" s="20" t="s">
        <v>860</v>
      </c>
      <c r="C145" s="20" t="s">
        <v>861</v>
      </c>
      <c r="D145" s="20" t="s">
        <v>862</v>
      </c>
      <c r="E145" s="20" t="s">
        <v>78</v>
      </c>
      <c r="F145" s="20" t="s">
        <v>477</v>
      </c>
      <c r="G145" s="20"/>
      <c r="H145" s="20"/>
      <c r="I145" s="20"/>
      <c r="J145" s="20" t="s">
        <v>767</v>
      </c>
      <c r="K145" s="20" t="s">
        <v>863</v>
      </c>
      <c r="L145" s="20" t="s">
        <v>251</v>
      </c>
    </row>
    <row r="146" customFormat="false" ht="15" hidden="false" customHeight="false" outlineLevel="0" collapsed="false">
      <c r="A146" s="20" t="s">
        <v>864</v>
      </c>
      <c r="B146" s="20" t="s">
        <v>358</v>
      </c>
      <c r="C146" s="20" t="s">
        <v>865</v>
      </c>
      <c r="D146" s="20" t="s">
        <v>286</v>
      </c>
      <c r="E146" s="20" t="s">
        <v>111</v>
      </c>
      <c r="F146" s="20" t="s">
        <v>572</v>
      </c>
      <c r="G146" s="20"/>
      <c r="H146" s="20"/>
      <c r="I146" s="20"/>
      <c r="J146" s="20" t="s">
        <v>866</v>
      </c>
      <c r="K146" s="20" t="s">
        <v>867</v>
      </c>
      <c r="L146" s="20" t="s">
        <v>251</v>
      </c>
    </row>
    <row r="147" customFormat="false" ht="15" hidden="false" customHeight="false" outlineLevel="0" collapsed="false">
      <c r="A147" s="20" t="s">
        <v>868</v>
      </c>
      <c r="B147" s="20" t="s">
        <v>182</v>
      </c>
      <c r="C147" s="20" t="s">
        <v>869</v>
      </c>
      <c r="D147" s="20" t="s">
        <v>870</v>
      </c>
      <c r="E147" s="20" t="s">
        <v>98</v>
      </c>
      <c r="F147" s="20" t="s">
        <v>871</v>
      </c>
      <c r="G147" s="20"/>
      <c r="H147" s="20"/>
      <c r="I147" s="20"/>
      <c r="J147" s="20" t="s">
        <v>866</v>
      </c>
      <c r="K147" s="20" t="s">
        <v>872</v>
      </c>
      <c r="L147" s="20" t="s">
        <v>251</v>
      </c>
    </row>
    <row r="148" customFormat="false" ht="15" hidden="false" customHeight="false" outlineLevel="0" collapsed="false">
      <c r="A148" s="20" t="s">
        <v>873</v>
      </c>
      <c r="B148" s="20" t="s">
        <v>874</v>
      </c>
      <c r="C148" s="20" t="s">
        <v>875</v>
      </c>
      <c r="D148" s="20" t="s">
        <v>444</v>
      </c>
      <c r="E148" s="20" t="s">
        <v>343</v>
      </c>
      <c r="F148" s="20"/>
      <c r="G148" s="20"/>
      <c r="H148" s="20"/>
      <c r="I148" s="20"/>
      <c r="J148" s="20" t="s">
        <v>866</v>
      </c>
      <c r="K148" s="20" t="s">
        <v>876</v>
      </c>
      <c r="L148" s="20" t="s">
        <v>251</v>
      </c>
    </row>
    <row r="149" customFormat="false" ht="15" hidden="false" customHeight="false" outlineLevel="0" collapsed="false">
      <c r="A149" s="20" t="s">
        <v>245</v>
      </c>
      <c r="B149" s="20" t="s">
        <v>151</v>
      </c>
      <c r="C149" s="20" t="s">
        <v>246</v>
      </c>
      <c r="D149" s="20" t="s">
        <v>247</v>
      </c>
      <c r="E149" s="20" t="s">
        <v>248</v>
      </c>
      <c r="F149" s="20"/>
      <c r="G149" s="20"/>
      <c r="H149" s="20"/>
      <c r="I149" s="20"/>
      <c r="J149" s="20" t="s">
        <v>866</v>
      </c>
      <c r="K149" s="20" t="s">
        <v>250</v>
      </c>
      <c r="L149" s="20" t="s">
        <v>251</v>
      </c>
    </row>
    <row r="150" customFormat="false" ht="15" hidden="false" customHeight="false" outlineLevel="0" collapsed="false">
      <c r="A150" s="20" t="s">
        <v>877</v>
      </c>
      <c r="B150" s="20" t="s">
        <v>457</v>
      </c>
      <c r="C150" s="20" t="s">
        <v>878</v>
      </c>
      <c r="D150" s="20" t="s">
        <v>879</v>
      </c>
      <c r="E150" s="20" t="s">
        <v>98</v>
      </c>
      <c r="F150" s="20" t="s">
        <v>880</v>
      </c>
      <c r="G150" s="20"/>
      <c r="H150" s="20"/>
      <c r="I150" s="20"/>
      <c r="J150" s="20" t="s">
        <v>866</v>
      </c>
      <c r="K150" s="20" t="s">
        <v>881</v>
      </c>
      <c r="L150" s="20" t="s">
        <v>251</v>
      </c>
    </row>
    <row r="151" customFormat="false" ht="15" hidden="false" customHeight="false" outlineLevel="0" collapsed="false">
      <c r="A151" s="20" t="s">
        <v>882</v>
      </c>
      <c r="B151" s="20" t="s">
        <v>140</v>
      </c>
      <c r="C151" s="20" t="s">
        <v>883</v>
      </c>
      <c r="D151" s="20" t="s">
        <v>884</v>
      </c>
      <c r="E151" s="20" t="s">
        <v>111</v>
      </c>
      <c r="F151" s="20" t="s">
        <v>871</v>
      </c>
      <c r="G151" s="20"/>
      <c r="H151" s="20"/>
      <c r="I151" s="20"/>
      <c r="J151" s="20" t="s">
        <v>866</v>
      </c>
      <c r="K151" s="20" t="s">
        <v>885</v>
      </c>
      <c r="L151" s="20" t="s">
        <v>251</v>
      </c>
    </row>
    <row r="152" customFormat="false" ht="15" hidden="false" customHeight="false" outlineLevel="0" collapsed="false">
      <c r="A152" s="20" t="s">
        <v>886</v>
      </c>
      <c r="B152" s="20" t="s">
        <v>887</v>
      </c>
      <c r="C152" s="20" t="s">
        <v>888</v>
      </c>
      <c r="D152" s="20" t="s">
        <v>313</v>
      </c>
      <c r="E152" s="20" t="s">
        <v>98</v>
      </c>
      <c r="F152" s="20" t="s">
        <v>889</v>
      </c>
      <c r="G152" s="20"/>
      <c r="H152" s="20"/>
      <c r="I152" s="20"/>
      <c r="J152" s="20" t="s">
        <v>866</v>
      </c>
      <c r="K152" s="20" t="s">
        <v>890</v>
      </c>
      <c r="L152" s="20" t="s">
        <v>251</v>
      </c>
    </row>
    <row r="153" customFormat="false" ht="15" hidden="false" customHeight="false" outlineLevel="0" collapsed="false">
      <c r="A153" s="20" t="s">
        <v>891</v>
      </c>
      <c r="B153" s="20" t="s">
        <v>151</v>
      </c>
      <c r="C153" s="20" t="s">
        <v>892</v>
      </c>
      <c r="D153" s="20" t="s">
        <v>553</v>
      </c>
      <c r="E153" s="20" t="s">
        <v>98</v>
      </c>
      <c r="F153" s="20" t="s">
        <v>880</v>
      </c>
      <c r="G153" s="20"/>
      <c r="H153" s="20"/>
      <c r="I153" s="20"/>
      <c r="J153" s="20" t="s">
        <v>866</v>
      </c>
      <c r="K153" s="20" t="s">
        <v>893</v>
      </c>
      <c r="L153" s="20" t="s">
        <v>251</v>
      </c>
    </row>
    <row r="154" customFormat="false" ht="15" hidden="false" customHeight="false" outlineLevel="0" collapsed="false">
      <c r="A154" s="20" t="s">
        <v>894</v>
      </c>
      <c r="B154" s="20" t="s">
        <v>895</v>
      </c>
      <c r="C154" s="20" t="s">
        <v>896</v>
      </c>
      <c r="D154" s="20" t="s">
        <v>638</v>
      </c>
      <c r="E154" s="20" t="s">
        <v>98</v>
      </c>
      <c r="F154" s="20" t="s">
        <v>880</v>
      </c>
      <c r="G154" s="20"/>
      <c r="H154" s="20"/>
      <c r="I154" s="20"/>
      <c r="J154" s="20" t="s">
        <v>866</v>
      </c>
      <c r="K154" s="20" t="s">
        <v>897</v>
      </c>
      <c r="L154" s="20" t="s">
        <v>251</v>
      </c>
    </row>
    <row r="155" customFormat="false" ht="15" hidden="false" customHeight="false" outlineLevel="0" collapsed="false">
      <c r="A155" s="20" t="s">
        <v>898</v>
      </c>
      <c r="B155" s="20"/>
      <c r="C155" s="20" t="s">
        <v>899</v>
      </c>
      <c r="D155" s="20"/>
      <c r="E155" s="20" t="s">
        <v>78</v>
      </c>
      <c r="F155" s="20" t="s">
        <v>900</v>
      </c>
      <c r="G155" s="20"/>
      <c r="H155" s="20"/>
      <c r="I155" s="20"/>
      <c r="J155" s="20" t="s">
        <v>866</v>
      </c>
      <c r="K155" s="20" t="s">
        <v>901</v>
      </c>
      <c r="L155" s="20" t="s">
        <v>251</v>
      </c>
    </row>
    <row r="156" customFormat="false" ht="15" hidden="false" customHeight="false" outlineLevel="0" collapsed="false">
      <c r="A156" s="20" t="s">
        <v>902</v>
      </c>
      <c r="B156" s="20" t="s">
        <v>903</v>
      </c>
      <c r="C156" s="20" t="s">
        <v>904</v>
      </c>
      <c r="D156" s="20" t="s">
        <v>905</v>
      </c>
      <c r="E156" s="20" t="s">
        <v>111</v>
      </c>
      <c r="F156" s="20" t="s">
        <v>781</v>
      </c>
      <c r="G156" s="20"/>
      <c r="H156" s="20"/>
      <c r="I156" s="20"/>
      <c r="J156" s="20" t="s">
        <v>866</v>
      </c>
      <c r="K156" s="20" t="s">
        <v>906</v>
      </c>
      <c r="L156" s="20" t="s">
        <v>251</v>
      </c>
    </row>
    <row r="157" customFormat="false" ht="15" hidden="false" customHeight="false" outlineLevel="0" collapsed="false">
      <c r="A157" s="20" t="s">
        <v>907</v>
      </c>
      <c r="B157" s="20" t="s">
        <v>908</v>
      </c>
      <c r="C157" s="20" t="s">
        <v>909</v>
      </c>
      <c r="D157" s="20" t="s">
        <v>293</v>
      </c>
      <c r="E157" s="20" t="s">
        <v>111</v>
      </c>
      <c r="F157" s="20" t="s">
        <v>910</v>
      </c>
      <c r="G157" s="20"/>
      <c r="H157" s="20"/>
      <c r="I157" s="20"/>
      <c r="J157" s="20" t="s">
        <v>866</v>
      </c>
      <c r="K157" s="20" t="s">
        <v>911</v>
      </c>
      <c r="L157" s="20" t="s">
        <v>251</v>
      </c>
    </row>
    <row r="158" customFormat="false" ht="15" hidden="false" customHeight="false" outlineLevel="0" collapsed="false">
      <c r="A158" s="20" t="s">
        <v>912</v>
      </c>
      <c r="B158" s="20" t="s">
        <v>151</v>
      </c>
      <c r="C158" s="20" t="s">
        <v>913</v>
      </c>
      <c r="D158" s="20" t="s">
        <v>583</v>
      </c>
      <c r="E158" s="20" t="s">
        <v>111</v>
      </c>
      <c r="F158" s="20" t="s">
        <v>914</v>
      </c>
      <c r="G158" s="20"/>
      <c r="H158" s="20"/>
      <c r="I158" s="20"/>
      <c r="J158" s="20" t="s">
        <v>866</v>
      </c>
      <c r="K158" s="20" t="s">
        <v>915</v>
      </c>
      <c r="L158" s="20" t="s">
        <v>251</v>
      </c>
    </row>
    <row r="159" customFormat="false" ht="15" hidden="false" customHeight="false" outlineLevel="0" collapsed="false">
      <c r="A159" s="20" t="s">
        <v>916</v>
      </c>
      <c r="B159" s="20" t="s">
        <v>917</v>
      </c>
      <c r="C159" s="20" t="s">
        <v>918</v>
      </c>
      <c r="D159" s="20" t="s">
        <v>625</v>
      </c>
      <c r="E159" s="20" t="s">
        <v>136</v>
      </c>
      <c r="F159" s="20"/>
      <c r="G159" s="20"/>
      <c r="H159" s="20"/>
      <c r="I159" s="20"/>
      <c r="J159" s="20" t="s">
        <v>866</v>
      </c>
      <c r="K159" s="20" t="s">
        <v>919</v>
      </c>
      <c r="L159" s="20" t="s">
        <v>251</v>
      </c>
    </row>
    <row r="160" customFormat="false" ht="15" hidden="false" customHeight="false" outlineLevel="0" collapsed="false">
      <c r="A160" s="20" t="s">
        <v>920</v>
      </c>
      <c r="B160" s="20" t="s">
        <v>921</v>
      </c>
      <c r="C160" s="20" t="s">
        <v>922</v>
      </c>
      <c r="D160" s="20" t="s">
        <v>923</v>
      </c>
      <c r="E160" s="20" t="s">
        <v>111</v>
      </c>
      <c r="F160" s="20" t="s">
        <v>924</v>
      </c>
      <c r="G160" s="20"/>
      <c r="H160" s="20"/>
      <c r="I160" s="20"/>
      <c r="J160" s="20" t="s">
        <v>866</v>
      </c>
      <c r="K160" s="20" t="s">
        <v>925</v>
      </c>
      <c r="L160" s="20" t="s">
        <v>251</v>
      </c>
    </row>
    <row r="161" customFormat="false" ht="15" hidden="false" customHeight="false" outlineLevel="0" collapsed="false">
      <c r="A161" s="20" t="s">
        <v>926</v>
      </c>
      <c r="B161" s="20" t="s">
        <v>182</v>
      </c>
      <c r="C161" s="20" t="s">
        <v>927</v>
      </c>
      <c r="D161" s="20" t="s">
        <v>354</v>
      </c>
      <c r="E161" s="20" t="s">
        <v>111</v>
      </c>
      <c r="F161" s="20" t="s">
        <v>880</v>
      </c>
      <c r="G161" s="20"/>
      <c r="H161" s="20"/>
      <c r="I161" s="20"/>
      <c r="J161" s="20" t="s">
        <v>866</v>
      </c>
      <c r="K161" s="20" t="s">
        <v>928</v>
      </c>
      <c r="L161" s="20" t="s">
        <v>251</v>
      </c>
    </row>
    <row r="162" customFormat="false" ht="15" hidden="false" customHeight="false" outlineLevel="0" collapsed="false">
      <c r="A162" s="20" t="s">
        <v>929</v>
      </c>
      <c r="B162" s="20"/>
      <c r="C162" s="20" t="s">
        <v>930</v>
      </c>
      <c r="D162" s="20"/>
      <c r="E162" s="20" t="s">
        <v>78</v>
      </c>
      <c r="F162" s="20" t="s">
        <v>900</v>
      </c>
      <c r="G162" s="20"/>
      <c r="H162" s="20"/>
      <c r="I162" s="20"/>
      <c r="J162" s="20" t="s">
        <v>866</v>
      </c>
      <c r="K162" s="20" t="s">
        <v>931</v>
      </c>
      <c r="L162" s="20" t="s">
        <v>251</v>
      </c>
    </row>
    <row r="163" customFormat="false" ht="15" hidden="false" customHeight="false" outlineLevel="0" collapsed="false">
      <c r="A163" s="20" t="s">
        <v>932</v>
      </c>
      <c r="B163" s="20" t="s">
        <v>933</v>
      </c>
      <c r="C163" s="20" t="s">
        <v>934</v>
      </c>
      <c r="D163" s="20" t="s">
        <v>313</v>
      </c>
      <c r="E163" s="20" t="s">
        <v>78</v>
      </c>
      <c r="F163" s="20" t="s">
        <v>781</v>
      </c>
      <c r="G163" s="20"/>
      <c r="H163" s="20"/>
      <c r="I163" s="20"/>
      <c r="J163" s="20" t="s">
        <v>866</v>
      </c>
      <c r="K163" s="20" t="s">
        <v>935</v>
      </c>
      <c r="L163" s="20" t="s">
        <v>251</v>
      </c>
    </row>
    <row r="164" customFormat="false" ht="15" hidden="false" customHeight="false" outlineLevel="0" collapsed="false">
      <c r="A164" s="20" t="s">
        <v>677</v>
      </c>
      <c r="B164" s="20" t="s">
        <v>678</v>
      </c>
      <c r="C164" s="20" t="s">
        <v>679</v>
      </c>
      <c r="D164" s="20" t="s">
        <v>680</v>
      </c>
      <c r="E164" s="20" t="s">
        <v>111</v>
      </c>
      <c r="F164" s="20" t="s">
        <v>681</v>
      </c>
      <c r="G164" s="20"/>
      <c r="H164" s="20"/>
      <c r="I164" s="20"/>
      <c r="J164" s="20" t="s">
        <v>866</v>
      </c>
      <c r="K164" s="20" t="s">
        <v>682</v>
      </c>
      <c r="L164" s="20" t="s">
        <v>251</v>
      </c>
    </row>
    <row r="165" customFormat="false" ht="15" hidden="false" customHeight="false" outlineLevel="0" collapsed="false">
      <c r="A165" s="20" t="s">
        <v>936</v>
      </c>
      <c r="B165" s="20" t="s">
        <v>575</v>
      </c>
      <c r="C165" s="20" t="s">
        <v>937</v>
      </c>
      <c r="D165" s="20" t="s">
        <v>938</v>
      </c>
      <c r="E165" s="20" t="s">
        <v>111</v>
      </c>
      <c r="F165" s="20"/>
      <c r="G165" s="20"/>
      <c r="H165" s="20"/>
      <c r="I165" s="20"/>
      <c r="J165" s="20" t="s">
        <v>866</v>
      </c>
      <c r="K165" s="20" t="s">
        <v>939</v>
      </c>
      <c r="L165" s="20" t="s">
        <v>251</v>
      </c>
    </row>
    <row r="166" customFormat="false" ht="15" hidden="false" customHeight="false" outlineLevel="0" collapsed="false">
      <c r="A166" s="20" t="s">
        <v>302</v>
      </c>
      <c r="B166" s="20" t="s">
        <v>151</v>
      </c>
      <c r="C166" s="20" t="s">
        <v>303</v>
      </c>
      <c r="D166" s="20" t="s">
        <v>254</v>
      </c>
      <c r="E166" s="20" t="s">
        <v>111</v>
      </c>
      <c r="F166" s="20"/>
      <c r="G166" s="20"/>
      <c r="H166" s="20"/>
      <c r="I166" s="20"/>
      <c r="J166" s="20" t="s">
        <v>866</v>
      </c>
      <c r="K166" s="20" t="s">
        <v>304</v>
      </c>
      <c r="L166" s="20" t="s">
        <v>251</v>
      </c>
    </row>
    <row r="167" customFormat="false" ht="15" hidden="false" customHeight="false" outlineLevel="0" collapsed="false">
      <c r="A167" s="20" t="s">
        <v>940</v>
      </c>
      <c r="B167" s="20" t="s">
        <v>213</v>
      </c>
      <c r="C167" s="20" t="s">
        <v>941</v>
      </c>
      <c r="D167" s="20" t="s">
        <v>884</v>
      </c>
      <c r="E167" s="20" t="s">
        <v>98</v>
      </c>
      <c r="F167" s="20" t="s">
        <v>942</v>
      </c>
      <c r="G167" s="20"/>
      <c r="H167" s="20"/>
      <c r="I167" s="20"/>
      <c r="J167" s="20" t="s">
        <v>866</v>
      </c>
      <c r="K167" s="20" t="s">
        <v>943</v>
      </c>
      <c r="L167" s="20" t="s">
        <v>251</v>
      </c>
    </row>
    <row r="168" customFormat="false" ht="15" hidden="false" customHeight="false" outlineLevel="0" collapsed="false">
      <c r="A168" s="20" t="s">
        <v>944</v>
      </c>
      <c r="B168" s="20" t="s">
        <v>151</v>
      </c>
      <c r="C168" s="20" t="s">
        <v>945</v>
      </c>
      <c r="D168" s="20" t="s">
        <v>444</v>
      </c>
      <c r="E168" s="20" t="s">
        <v>78</v>
      </c>
      <c r="F168" s="20" t="s">
        <v>946</v>
      </c>
      <c r="G168" s="20"/>
      <c r="H168" s="20"/>
      <c r="I168" s="20"/>
      <c r="J168" s="20" t="s">
        <v>866</v>
      </c>
      <c r="K168" s="20" t="s">
        <v>947</v>
      </c>
      <c r="L168" s="20" t="s">
        <v>251</v>
      </c>
    </row>
    <row r="169" customFormat="false" ht="15" hidden="false" customHeight="false" outlineLevel="0" collapsed="false">
      <c r="A169" s="20" t="s">
        <v>948</v>
      </c>
      <c r="B169" s="20" t="s">
        <v>575</v>
      </c>
      <c r="C169" s="20" t="s">
        <v>949</v>
      </c>
      <c r="D169" s="20" t="s">
        <v>444</v>
      </c>
      <c r="E169" s="20" t="s">
        <v>78</v>
      </c>
      <c r="F169" s="20" t="s">
        <v>950</v>
      </c>
      <c r="G169" s="20"/>
      <c r="H169" s="20"/>
      <c r="I169" s="20"/>
      <c r="J169" s="20" t="s">
        <v>866</v>
      </c>
      <c r="K169" s="20" t="s">
        <v>951</v>
      </c>
      <c r="L169" s="20" t="s">
        <v>251</v>
      </c>
    </row>
    <row r="170" customFormat="false" ht="15" hidden="false" customHeight="false" outlineLevel="0" collapsed="false">
      <c r="A170" s="20" t="s">
        <v>952</v>
      </c>
      <c r="B170" s="20"/>
      <c r="C170" s="20" t="s">
        <v>953</v>
      </c>
      <c r="D170" s="20" t="s">
        <v>954</v>
      </c>
      <c r="E170" s="20" t="s">
        <v>955</v>
      </c>
      <c r="F170" s="20"/>
      <c r="G170" s="20" t="n">
        <v>19</v>
      </c>
      <c r="H170" s="20" t="s">
        <v>956</v>
      </c>
      <c r="I170" s="20" t="s">
        <v>88</v>
      </c>
      <c r="J170" s="20" t="s">
        <v>957</v>
      </c>
      <c r="K170" s="20"/>
      <c r="L170" s="20" t="s">
        <v>251</v>
      </c>
    </row>
    <row r="171" customFormat="false" ht="15" hidden="false" customHeight="false" outlineLevel="0" collapsed="false">
      <c r="A171" s="20" t="s">
        <v>958</v>
      </c>
      <c r="B171" s="20"/>
      <c r="C171" s="20" t="s">
        <v>959</v>
      </c>
      <c r="D171" s="20" t="s">
        <v>960</v>
      </c>
      <c r="E171" s="20" t="s">
        <v>955</v>
      </c>
      <c r="F171" s="20"/>
      <c r="G171" s="20" t="n">
        <v>2</v>
      </c>
      <c r="H171" s="20" t="s">
        <v>961</v>
      </c>
      <c r="I171" s="20" t="s">
        <v>88</v>
      </c>
      <c r="J171" s="20" t="s">
        <v>957</v>
      </c>
      <c r="K171" s="20"/>
      <c r="L171" s="20" t="s">
        <v>251</v>
      </c>
    </row>
    <row r="172" customFormat="false" ht="15" hidden="false" customHeight="false" outlineLevel="0" collapsed="false">
      <c r="A172" s="20" t="s">
        <v>962</v>
      </c>
      <c r="B172" s="20"/>
      <c r="C172" s="20" t="s">
        <v>963</v>
      </c>
      <c r="D172" s="20" t="s">
        <v>964</v>
      </c>
      <c r="E172" s="20" t="s">
        <v>955</v>
      </c>
      <c r="F172" s="20"/>
      <c r="G172" s="20" t="n">
        <v>4</v>
      </c>
      <c r="H172" s="20" t="s">
        <v>965</v>
      </c>
      <c r="I172" s="20" t="s">
        <v>88</v>
      </c>
      <c r="J172" s="20" t="s">
        <v>957</v>
      </c>
      <c r="K172" s="20"/>
      <c r="L172" s="20" t="s">
        <v>251</v>
      </c>
    </row>
    <row r="173" customFormat="false" ht="15" hidden="false" customHeight="false" outlineLevel="0" collapsed="false">
      <c r="A173" s="20" t="s">
        <v>966</v>
      </c>
      <c r="B173" s="20"/>
      <c r="C173" s="20" t="s">
        <v>967</v>
      </c>
      <c r="D173" s="20" t="s">
        <v>968</v>
      </c>
      <c r="E173" s="20" t="s">
        <v>955</v>
      </c>
      <c r="F173" s="20"/>
      <c r="G173" s="20" t="n">
        <v>3</v>
      </c>
      <c r="H173" s="20" t="s">
        <v>969</v>
      </c>
      <c r="I173" s="20" t="s">
        <v>88</v>
      </c>
      <c r="J173" s="20" t="s">
        <v>957</v>
      </c>
      <c r="K173" s="20"/>
      <c r="L173" s="20" t="s">
        <v>251</v>
      </c>
    </row>
    <row r="174" customFormat="false" ht="15" hidden="false" customHeight="false" outlineLevel="0" collapsed="false">
      <c r="A174" s="20" t="s">
        <v>970</v>
      </c>
      <c r="B174" s="20"/>
      <c r="C174" s="20" t="s">
        <v>971</v>
      </c>
      <c r="D174" s="20" t="s">
        <v>964</v>
      </c>
      <c r="E174" s="20" t="s">
        <v>955</v>
      </c>
      <c r="F174" s="20"/>
      <c r="G174" s="20" t="n">
        <v>2</v>
      </c>
      <c r="H174" s="20" t="s">
        <v>972</v>
      </c>
      <c r="I174" s="20" t="s">
        <v>88</v>
      </c>
      <c r="J174" s="20" t="s">
        <v>957</v>
      </c>
      <c r="K174" s="20"/>
      <c r="L174" s="20" t="s">
        <v>251</v>
      </c>
    </row>
    <row r="175" customFormat="false" ht="15" hidden="false" customHeight="false" outlineLevel="0" collapsed="false">
      <c r="A175" s="20" t="s">
        <v>973</v>
      </c>
      <c r="B175" s="20"/>
      <c r="C175" s="20" t="s">
        <v>974</v>
      </c>
      <c r="D175" s="20" t="s">
        <v>964</v>
      </c>
      <c r="E175" s="20" t="s">
        <v>955</v>
      </c>
      <c r="F175" s="20"/>
      <c r="G175" s="20" t="n">
        <v>2</v>
      </c>
      <c r="H175" s="20" t="s">
        <v>975</v>
      </c>
      <c r="I175" s="20" t="s">
        <v>88</v>
      </c>
      <c r="J175" s="20" t="s">
        <v>957</v>
      </c>
      <c r="K175" s="20"/>
      <c r="L175" s="20" t="s">
        <v>251</v>
      </c>
    </row>
    <row r="176" customFormat="false" ht="15" hidden="false" customHeight="false" outlineLevel="0" collapsed="false">
      <c r="A176" s="20" t="s">
        <v>976</v>
      </c>
      <c r="B176" s="20"/>
      <c r="C176" s="20" t="s">
        <v>977</v>
      </c>
      <c r="D176" s="20" t="s">
        <v>964</v>
      </c>
      <c r="E176" s="20" t="s">
        <v>955</v>
      </c>
      <c r="F176" s="20"/>
      <c r="G176" s="20" t="n">
        <v>5</v>
      </c>
      <c r="H176" s="20" t="s">
        <v>978</v>
      </c>
      <c r="I176" s="20" t="s">
        <v>88</v>
      </c>
      <c r="J176" s="20" t="s">
        <v>957</v>
      </c>
      <c r="K176" s="20"/>
      <c r="L176" s="20" t="s">
        <v>251</v>
      </c>
    </row>
    <row r="177" customFormat="false" ht="15" hidden="false" customHeight="false" outlineLevel="0" collapsed="false">
      <c r="A177" s="20" t="s">
        <v>979</v>
      </c>
      <c r="B177" s="20"/>
      <c r="C177" s="20" t="s">
        <v>980</v>
      </c>
      <c r="D177" s="20" t="s">
        <v>964</v>
      </c>
      <c r="E177" s="20" t="s">
        <v>955</v>
      </c>
      <c r="F177" s="20"/>
      <c r="G177" s="20" t="n">
        <v>2</v>
      </c>
      <c r="H177" s="20" t="s">
        <v>981</v>
      </c>
      <c r="I177" s="20" t="s">
        <v>88</v>
      </c>
      <c r="J177" s="20" t="s">
        <v>957</v>
      </c>
      <c r="K177" s="20"/>
      <c r="L177" s="20" t="s">
        <v>251</v>
      </c>
    </row>
    <row r="178" customFormat="false" ht="15" hidden="false" customHeight="false" outlineLevel="0" collapsed="false">
      <c r="A178" s="20" t="s">
        <v>982</v>
      </c>
      <c r="B178" s="20"/>
      <c r="C178" s="20" t="s">
        <v>983</v>
      </c>
      <c r="D178" s="20" t="s">
        <v>964</v>
      </c>
      <c r="E178" s="20" t="s">
        <v>955</v>
      </c>
      <c r="F178" s="20"/>
      <c r="G178" s="20" t="n">
        <v>1</v>
      </c>
      <c r="H178" s="20" t="s">
        <v>984</v>
      </c>
      <c r="I178" s="20" t="s">
        <v>88</v>
      </c>
      <c r="J178" s="20" t="s">
        <v>957</v>
      </c>
      <c r="K178" s="20"/>
      <c r="L178" s="20" t="s">
        <v>251</v>
      </c>
    </row>
    <row r="179" customFormat="false" ht="15" hidden="false" customHeight="false" outlineLevel="0" collapsed="false">
      <c r="A179" s="20" t="s">
        <v>985</v>
      </c>
      <c r="B179" s="20"/>
      <c r="C179" s="20" t="s">
        <v>986</v>
      </c>
      <c r="D179" s="20" t="s">
        <v>964</v>
      </c>
      <c r="E179" s="20" t="s">
        <v>955</v>
      </c>
      <c r="F179" s="20"/>
      <c r="G179" s="20" t="n">
        <v>3</v>
      </c>
      <c r="H179" s="20" t="s">
        <v>987</v>
      </c>
      <c r="I179" s="20" t="s">
        <v>88</v>
      </c>
      <c r="J179" s="20" t="s">
        <v>957</v>
      </c>
      <c r="K179" s="20"/>
      <c r="L179" s="20" t="s">
        <v>251</v>
      </c>
    </row>
    <row r="180" customFormat="false" ht="15" hidden="false" customHeight="false" outlineLevel="0" collapsed="false">
      <c r="A180" s="20" t="s">
        <v>988</v>
      </c>
      <c r="B180" s="20"/>
      <c r="C180" s="20" t="s">
        <v>989</v>
      </c>
      <c r="D180" s="20" t="s">
        <v>964</v>
      </c>
      <c r="E180" s="20" t="s">
        <v>955</v>
      </c>
      <c r="F180" s="20"/>
      <c r="G180" s="20" t="n">
        <v>3</v>
      </c>
      <c r="H180" s="20" t="s">
        <v>990</v>
      </c>
      <c r="I180" s="20" t="s">
        <v>88</v>
      </c>
      <c r="J180" s="20" t="s">
        <v>957</v>
      </c>
      <c r="K180" s="20"/>
      <c r="L180" s="20" t="s">
        <v>251</v>
      </c>
    </row>
    <row r="181" customFormat="false" ht="15" hidden="false" customHeight="false" outlineLevel="0" collapsed="false">
      <c r="A181" s="20" t="s">
        <v>991</v>
      </c>
      <c r="B181" s="20"/>
      <c r="C181" s="20" t="s">
        <v>992</v>
      </c>
      <c r="D181" s="20" t="s">
        <v>964</v>
      </c>
      <c r="E181" s="20" t="s">
        <v>955</v>
      </c>
      <c r="F181" s="20"/>
      <c r="G181" s="20" t="n">
        <v>2</v>
      </c>
      <c r="H181" s="20" t="s">
        <v>993</v>
      </c>
      <c r="I181" s="20" t="s">
        <v>88</v>
      </c>
      <c r="J181" s="20" t="s">
        <v>957</v>
      </c>
      <c r="K181" s="20"/>
      <c r="L181" s="20" t="s">
        <v>251</v>
      </c>
    </row>
    <row r="182" customFormat="false" ht="15" hidden="false" customHeight="false" outlineLevel="0" collapsed="false">
      <c r="A182" s="20" t="s">
        <v>994</v>
      </c>
      <c r="B182" s="20"/>
      <c r="C182" s="20" t="s">
        <v>995</v>
      </c>
      <c r="D182" s="20" t="s">
        <v>964</v>
      </c>
      <c r="E182" s="20" t="s">
        <v>955</v>
      </c>
      <c r="F182" s="20"/>
      <c r="G182" s="20" t="n">
        <v>5</v>
      </c>
      <c r="H182" s="20" t="s">
        <v>996</v>
      </c>
      <c r="I182" s="20" t="s">
        <v>88</v>
      </c>
      <c r="J182" s="20" t="s">
        <v>957</v>
      </c>
      <c r="K182" s="20"/>
      <c r="L182" s="20" t="s">
        <v>251</v>
      </c>
    </row>
    <row r="183" customFormat="false" ht="15" hidden="false" customHeight="false" outlineLevel="0" collapsed="false">
      <c r="A183" s="20" t="s">
        <v>997</v>
      </c>
      <c r="B183" s="20"/>
      <c r="C183" s="20" t="s">
        <v>998</v>
      </c>
      <c r="D183" s="20" t="s">
        <v>960</v>
      </c>
      <c r="E183" s="20" t="s">
        <v>955</v>
      </c>
      <c r="F183" s="20"/>
      <c r="G183" s="20"/>
      <c r="H183" s="20" t="s">
        <v>999</v>
      </c>
      <c r="I183" s="20" t="s">
        <v>88</v>
      </c>
      <c r="J183" s="20" t="s">
        <v>957</v>
      </c>
      <c r="K183" s="20"/>
      <c r="L183" s="20" t="s">
        <v>251</v>
      </c>
    </row>
    <row r="184" customFormat="false" ht="15" hidden="false" customHeight="false" outlineLevel="0" collapsed="false">
      <c r="A184" s="20" t="s">
        <v>1000</v>
      </c>
      <c r="B184" s="20"/>
      <c r="C184" s="20" t="s">
        <v>1001</v>
      </c>
      <c r="D184" s="20" t="s">
        <v>964</v>
      </c>
      <c r="E184" s="20" t="s">
        <v>955</v>
      </c>
      <c r="F184" s="20"/>
      <c r="G184" s="20" t="n">
        <v>3</v>
      </c>
      <c r="H184" s="20" t="s">
        <v>1002</v>
      </c>
      <c r="I184" s="20" t="s">
        <v>88</v>
      </c>
      <c r="J184" s="20" t="s">
        <v>957</v>
      </c>
      <c r="K184" s="20"/>
      <c r="L184" s="20" t="s">
        <v>251</v>
      </c>
    </row>
    <row r="185" customFormat="false" ht="15" hidden="false" customHeight="false" outlineLevel="0" collapsed="false">
      <c r="A185" s="20" t="s">
        <v>1003</v>
      </c>
      <c r="B185" s="20"/>
      <c r="C185" s="20" t="s">
        <v>1004</v>
      </c>
      <c r="D185" s="20" t="s">
        <v>964</v>
      </c>
      <c r="E185" s="20" t="s">
        <v>955</v>
      </c>
      <c r="F185" s="20"/>
      <c r="G185" s="20" t="n">
        <v>2</v>
      </c>
      <c r="H185" s="20" t="s">
        <v>1005</v>
      </c>
      <c r="I185" s="20" t="s">
        <v>88</v>
      </c>
      <c r="J185" s="20" t="s">
        <v>957</v>
      </c>
      <c r="K185" s="20"/>
      <c r="L185" s="20" t="s">
        <v>251</v>
      </c>
    </row>
    <row r="186" customFormat="false" ht="15" hidden="false" customHeight="false" outlineLevel="0" collapsed="false">
      <c r="A186" s="20" t="s">
        <v>1006</v>
      </c>
      <c r="B186" s="20"/>
      <c r="C186" s="20" t="s">
        <v>1007</v>
      </c>
      <c r="D186" s="20" t="s">
        <v>964</v>
      </c>
      <c r="E186" s="20" t="s">
        <v>955</v>
      </c>
      <c r="F186" s="20"/>
      <c r="G186" s="20" t="n">
        <v>4</v>
      </c>
      <c r="H186" s="20" t="s">
        <v>1008</v>
      </c>
      <c r="I186" s="20" t="s">
        <v>88</v>
      </c>
      <c r="J186" s="20" t="s">
        <v>957</v>
      </c>
      <c r="K186" s="20"/>
      <c r="L186" s="20" t="s">
        <v>251</v>
      </c>
    </row>
    <row r="187" customFormat="false" ht="15" hidden="false" customHeight="false" outlineLevel="0" collapsed="false">
      <c r="A187" s="20" t="s">
        <v>1009</v>
      </c>
      <c r="B187" s="20"/>
      <c r="C187" s="20" t="s">
        <v>1010</v>
      </c>
      <c r="D187" s="20" t="s">
        <v>1011</v>
      </c>
      <c r="E187" s="20" t="s">
        <v>955</v>
      </c>
      <c r="F187" s="20"/>
      <c r="G187" s="20" t="n">
        <v>4</v>
      </c>
      <c r="H187" s="20" t="s">
        <v>1012</v>
      </c>
      <c r="I187" s="20" t="s">
        <v>88</v>
      </c>
      <c r="J187" s="20" t="s">
        <v>957</v>
      </c>
      <c r="K187" s="20"/>
      <c r="L187" s="20" t="s">
        <v>251</v>
      </c>
    </row>
    <row r="188" customFormat="false" ht="15" hidden="false" customHeight="false" outlineLevel="0" collapsed="false">
      <c r="A188" s="20" t="s">
        <v>1013</v>
      </c>
      <c r="B188" s="20"/>
      <c r="C188" s="20" t="s">
        <v>1014</v>
      </c>
      <c r="D188" s="20" t="s">
        <v>964</v>
      </c>
      <c r="E188" s="20" t="s">
        <v>955</v>
      </c>
      <c r="F188" s="20"/>
      <c r="G188" s="20" t="n">
        <v>2</v>
      </c>
      <c r="H188" s="20" t="s">
        <v>1015</v>
      </c>
      <c r="I188" s="20" t="s">
        <v>88</v>
      </c>
      <c r="J188" s="20" t="s">
        <v>957</v>
      </c>
      <c r="K188" s="20"/>
      <c r="L188" s="20" t="s">
        <v>251</v>
      </c>
    </row>
    <row r="189" customFormat="false" ht="15" hidden="false" customHeight="false" outlineLevel="0" collapsed="false">
      <c r="A189" s="20" t="s">
        <v>1016</v>
      </c>
      <c r="B189" s="20"/>
      <c r="C189" s="20" t="s">
        <v>1017</v>
      </c>
      <c r="D189" s="20" t="s">
        <v>964</v>
      </c>
      <c r="E189" s="20" t="s">
        <v>955</v>
      </c>
      <c r="F189" s="20"/>
      <c r="G189" s="20" t="n">
        <v>4</v>
      </c>
      <c r="H189" s="20" t="s">
        <v>1018</v>
      </c>
      <c r="I189" s="20" t="s">
        <v>88</v>
      </c>
      <c r="J189" s="20" t="s">
        <v>957</v>
      </c>
      <c r="K189" s="20"/>
      <c r="L189" s="20" t="s">
        <v>251</v>
      </c>
    </row>
    <row r="190" customFormat="false" ht="15" hidden="false" customHeight="false" outlineLevel="0" collapsed="false">
      <c r="A190" s="20" t="s">
        <v>1019</v>
      </c>
      <c r="B190" s="20"/>
      <c r="C190" s="20" t="s">
        <v>1020</v>
      </c>
      <c r="D190" s="20" t="s">
        <v>964</v>
      </c>
      <c r="E190" s="20" t="s">
        <v>955</v>
      </c>
      <c r="F190" s="20"/>
      <c r="G190" s="20" t="n">
        <v>3</v>
      </c>
      <c r="H190" s="20" t="s">
        <v>1021</v>
      </c>
      <c r="I190" s="20" t="s">
        <v>88</v>
      </c>
      <c r="J190" s="20" t="s">
        <v>957</v>
      </c>
      <c r="K190" s="20"/>
      <c r="L190" s="20" t="s">
        <v>251</v>
      </c>
    </row>
    <row r="191" customFormat="false" ht="15" hidden="false" customHeight="false" outlineLevel="0" collapsed="false">
      <c r="A191" s="20" t="s">
        <v>1022</v>
      </c>
      <c r="B191" s="20"/>
      <c r="C191" s="20" t="s">
        <v>1023</v>
      </c>
      <c r="D191" s="20" t="s">
        <v>964</v>
      </c>
      <c r="E191" s="20" t="s">
        <v>955</v>
      </c>
      <c r="F191" s="20"/>
      <c r="G191" s="20" t="n">
        <v>3</v>
      </c>
      <c r="H191" s="20" t="s">
        <v>1024</v>
      </c>
      <c r="I191" s="20" t="s">
        <v>88</v>
      </c>
      <c r="J191" s="20" t="s">
        <v>957</v>
      </c>
      <c r="K191" s="20"/>
      <c r="L191" s="20" t="s">
        <v>251</v>
      </c>
    </row>
    <row r="192" customFormat="false" ht="15" hidden="false" customHeight="false" outlineLevel="0" collapsed="false">
      <c r="A192" s="20" t="s">
        <v>1025</v>
      </c>
      <c r="B192" s="20"/>
      <c r="C192" s="20" t="s">
        <v>1026</v>
      </c>
      <c r="D192" s="20" t="s">
        <v>1011</v>
      </c>
      <c r="E192" s="20" t="s">
        <v>955</v>
      </c>
      <c r="F192" s="20"/>
      <c r="G192" s="20" t="n">
        <v>6</v>
      </c>
      <c r="H192" s="20" t="s">
        <v>1027</v>
      </c>
      <c r="I192" s="20" t="s">
        <v>88</v>
      </c>
      <c r="J192" s="20" t="s">
        <v>957</v>
      </c>
      <c r="K192" s="20"/>
      <c r="L192" s="20" t="s">
        <v>251</v>
      </c>
    </row>
    <row r="193" customFormat="false" ht="15" hidden="false" customHeight="false" outlineLevel="0" collapsed="false">
      <c r="A193" s="20" t="s">
        <v>1028</v>
      </c>
      <c r="B193" s="20"/>
      <c r="C193" s="20" t="s">
        <v>1029</v>
      </c>
      <c r="D193" s="20" t="s">
        <v>964</v>
      </c>
      <c r="E193" s="20" t="s">
        <v>955</v>
      </c>
      <c r="F193" s="20"/>
      <c r="G193" s="20" t="n">
        <v>3</v>
      </c>
      <c r="H193" s="20" t="s">
        <v>1030</v>
      </c>
      <c r="I193" s="20" t="s">
        <v>88</v>
      </c>
      <c r="J193" s="20" t="s">
        <v>957</v>
      </c>
      <c r="K193" s="20"/>
      <c r="L193" s="20" t="s">
        <v>251</v>
      </c>
    </row>
    <row r="194" customFormat="false" ht="15" hidden="false" customHeight="false" outlineLevel="0" collapsed="false">
      <c r="A194" s="20" t="s">
        <v>1031</v>
      </c>
      <c r="B194" s="20"/>
      <c r="C194" s="20" t="s">
        <v>1032</v>
      </c>
      <c r="D194" s="20" t="s">
        <v>964</v>
      </c>
      <c r="E194" s="20" t="s">
        <v>955</v>
      </c>
      <c r="F194" s="20"/>
      <c r="G194" s="20" t="n">
        <v>5</v>
      </c>
      <c r="H194" s="20" t="s">
        <v>1033</v>
      </c>
      <c r="I194" s="20" t="s">
        <v>88</v>
      </c>
      <c r="J194" s="20" t="s">
        <v>957</v>
      </c>
      <c r="K194" s="20"/>
      <c r="L194" s="20" t="s">
        <v>251</v>
      </c>
    </row>
    <row r="195" customFormat="false" ht="15" hidden="false" customHeight="false" outlineLevel="0" collapsed="false">
      <c r="A195" s="20" t="s">
        <v>1034</v>
      </c>
      <c r="B195" s="20"/>
      <c r="C195" s="20" t="s">
        <v>1035</v>
      </c>
      <c r="D195" s="20" t="s">
        <v>964</v>
      </c>
      <c r="E195" s="20" t="s">
        <v>955</v>
      </c>
      <c r="F195" s="20"/>
      <c r="G195" s="20" t="n">
        <v>2</v>
      </c>
      <c r="H195" s="20" t="s">
        <v>1036</v>
      </c>
      <c r="I195" s="20" t="s">
        <v>88</v>
      </c>
      <c r="J195" s="20" t="s">
        <v>957</v>
      </c>
      <c r="K195" s="20"/>
      <c r="L195" s="20" t="s">
        <v>251</v>
      </c>
    </row>
    <row r="196" customFormat="false" ht="15" hidden="false" customHeight="false" outlineLevel="0" collapsed="false">
      <c r="A196" s="20" t="s">
        <v>1037</v>
      </c>
      <c r="B196" s="20"/>
      <c r="C196" s="20" t="s">
        <v>1038</v>
      </c>
      <c r="D196" s="20" t="s">
        <v>964</v>
      </c>
      <c r="E196" s="20" t="s">
        <v>955</v>
      </c>
      <c r="F196" s="20"/>
      <c r="G196" s="20" t="n">
        <v>2</v>
      </c>
      <c r="H196" s="20" t="s">
        <v>1039</v>
      </c>
      <c r="I196" s="20" t="s">
        <v>88</v>
      </c>
      <c r="J196" s="20" t="s">
        <v>957</v>
      </c>
      <c r="K196" s="20"/>
      <c r="L196" s="20" t="s">
        <v>251</v>
      </c>
    </row>
    <row r="197" customFormat="false" ht="15" hidden="false" customHeight="false" outlineLevel="0" collapsed="false">
      <c r="A197" s="20" t="s">
        <v>1040</v>
      </c>
      <c r="B197" s="20"/>
      <c r="C197" s="20" t="s">
        <v>1041</v>
      </c>
      <c r="D197" s="20" t="s">
        <v>964</v>
      </c>
      <c r="E197" s="20" t="s">
        <v>955</v>
      </c>
      <c r="F197" s="20"/>
      <c r="G197" s="20" t="n">
        <v>3</v>
      </c>
      <c r="H197" s="20" t="s">
        <v>1042</v>
      </c>
      <c r="I197" s="20" t="s">
        <v>88</v>
      </c>
      <c r="J197" s="20" t="s">
        <v>957</v>
      </c>
      <c r="K197" s="20"/>
      <c r="L197" s="20" t="s">
        <v>251</v>
      </c>
    </row>
    <row r="198" customFormat="false" ht="15" hidden="false" customHeight="false" outlineLevel="0" collapsed="false">
      <c r="A198" s="20" t="s">
        <v>1043</v>
      </c>
      <c r="B198" s="20"/>
      <c r="C198" s="20" t="s">
        <v>1044</v>
      </c>
      <c r="D198" s="20" t="s">
        <v>964</v>
      </c>
      <c r="E198" s="20" t="s">
        <v>955</v>
      </c>
      <c r="F198" s="20"/>
      <c r="G198" s="20" t="n">
        <v>1</v>
      </c>
      <c r="H198" s="20" t="s">
        <v>1045</v>
      </c>
      <c r="I198" s="20" t="s">
        <v>88</v>
      </c>
      <c r="J198" s="20" t="s">
        <v>957</v>
      </c>
      <c r="K198" s="20"/>
      <c r="L198" s="20" t="s">
        <v>251</v>
      </c>
    </row>
    <row r="199" customFormat="false" ht="15" hidden="false" customHeight="false" outlineLevel="0" collapsed="false">
      <c r="A199" s="20" t="s">
        <v>1046</v>
      </c>
      <c r="B199" s="20"/>
      <c r="C199" s="20" t="s">
        <v>1047</v>
      </c>
      <c r="D199" s="20" t="s">
        <v>964</v>
      </c>
      <c r="E199" s="20" t="s">
        <v>955</v>
      </c>
      <c r="F199" s="20"/>
      <c r="G199" s="20" t="n">
        <v>5</v>
      </c>
      <c r="H199" s="20" t="s">
        <v>1048</v>
      </c>
      <c r="I199" s="20" t="s">
        <v>88</v>
      </c>
      <c r="J199" s="20" t="s">
        <v>957</v>
      </c>
      <c r="K199" s="20"/>
      <c r="L199" s="20" t="s">
        <v>251</v>
      </c>
    </row>
    <row r="200" customFormat="false" ht="15" hidden="false" customHeight="false" outlineLevel="0" collapsed="false">
      <c r="A200" s="20" t="s">
        <v>1049</v>
      </c>
      <c r="B200" s="20"/>
      <c r="C200" s="20" t="s">
        <v>1050</v>
      </c>
      <c r="D200" s="20" t="s">
        <v>964</v>
      </c>
      <c r="E200" s="20" t="s">
        <v>955</v>
      </c>
      <c r="F200" s="20"/>
      <c r="G200" s="20" t="n">
        <v>7</v>
      </c>
      <c r="H200" s="20" t="s">
        <v>1051</v>
      </c>
      <c r="I200" s="20" t="s">
        <v>88</v>
      </c>
      <c r="J200" s="20" t="s">
        <v>957</v>
      </c>
      <c r="K200" s="20"/>
      <c r="L200" s="20" t="s">
        <v>251</v>
      </c>
    </row>
    <row r="201" customFormat="false" ht="15" hidden="false" customHeight="false" outlineLevel="0" collapsed="false">
      <c r="A201" s="20" t="s">
        <v>1052</v>
      </c>
      <c r="B201" s="20"/>
      <c r="C201" s="20" t="s">
        <v>1053</v>
      </c>
      <c r="D201" s="20" t="s">
        <v>964</v>
      </c>
      <c r="E201" s="20" t="s">
        <v>955</v>
      </c>
      <c r="F201" s="20"/>
      <c r="G201" s="20" t="n">
        <v>3</v>
      </c>
      <c r="H201" s="20" t="s">
        <v>1054</v>
      </c>
      <c r="I201" s="20" t="s">
        <v>88</v>
      </c>
      <c r="J201" s="20" t="s">
        <v>957</v>
      </c>
      <c r="K201" s="20"/>
      <c r="L201" s="20" t="s">
        <v>251</v>
      </c>
    </row>
    <row r="202" customFormat="false" ht="15" hidden="false" customHeight="false" outlineLevel="0" collapsed="false">
      <c r="A202" s="20" t="s">
        <v>1055</v>
      </c>
      <c r="B202" s="20"/>
      <c r="C202" s="20" t="s">
        <v>1056</v>
      </c>
      <c r="D202" s="20" t="s">
        <v>964</v>
      </c>
      <c r="E202" s="20" t="s">
        <v>955</v>
      </c>
      <c r="F202" s="20"/>
      <c r="G202" s="20" t="n">
        <v>7</v>
      </c>
      <c r="H202" s="20" t="s">
        <v>1057</v>
      </c>
      <c r="I202" s="20" t="s">
        <v>88</v>
      </c>
      <c r="J202" s="20" t="s">
        <v>957</v>
      </c>
      <c r="K202" s="20"/>
      <c r="L202" s="20" t="s">
        <v>251</v>
      </c>
    </row>
    <row r="203" customFormat="false" ht="15" hidden="false" customHeight="false" outlineLevel="0" collapsed="false">
      <c r="A203" s="20" t="s">
        <v>1058</v>
      </c>
      <c r="B203" s="20"/>
      <c r="C203" s="20" t="s">
        <v>1059</v>
      </c>
      <c r="D203" s="20" t="s">
        <v>964</v>
      </c>
      <c r="E203" s="20" t="s">
        <v>955</v>
      </c>
      <c r="F203" s="20"/>
      <c r="G203" s="20" t="n">
        <v>4</v>
      </c>
      <c r="H203" s="20" t="s">
        <v>1060</v>
      </c>
      <c r="I203" s="20" t="s">
        <v>88</v>
      </c>
      <c r="J203" s="20" t="s">
        <v>957</v>
      </c>
      <c r="K203" s="20"/>
      <c r="L203" s="20" t="s">
        <v>251</v>
      </c>
    </row>
    <row r="204" customFormat="false" ht="15" hidden="false" customHeight="false" outlineLevel="0" collapsed="false">
      <c r="A204" s="20" t="s">
        <v>1061</v>
      </c>
      <c r="B204" s="20"/>
      <c r="C204" s="20" t="s">
        <v>1062</v>
      </c>
      <c r="D204" s="20" t="s">
        <v>1011</v>
      </c>
      <c r="E204" s="20" t="s">
        <v>955</v>
      </c>
      <c r="F204" s="20"/>
      <c r="G204" s="20" t="n">
        <v>2</v>
      </c>
      <c r="H204" s="20" t="s">
        <v>1063</v>
      </c>
      <c r="I204" s="20" t="s">
        <v>88</v>
      </c>
      <c r="J204" s="20" t="s">
        <v>957</v>
      </c>
      <c r="K204" s="20"/>
      <c r="L204" s="20" t="s">
        <v>251</v>
      </c>
    </row>
    <row r="205" customFormat="false" ht="15" hidden="false" customHeight="false" outlineLevel="0" collapsed="false">
      <c r="A205" s="20" t="s">
        <v>1064</v>
      </c>
      <c r="B205" s="20"/>
      <c r="C205" s="20" t="s">
        <v>1065</v>
      </c>
      <c r="D205" s="20" t="s">
        <v>964</v>
      </c>
      <c r="E205" s="20" t="s">
        <v>955</v>
      </c>
      <c r="F205" s="20"/>
      <c r="G205" s="20" t="n">
        <v>2</v>
      </c>
      <c r="H205" s="20" t="s">
        <v>1066</v>
      </c>
      <c r="I205" s="20" t="s">
        <v>88</v>
      </c>
      <c r="J205" s="20" t="s">
        <v>957</v>
      </c>
      <c r="K205" s="20"/>
      <c r="L205" s="20" t="s">
        <v>251</v>
      </c>
    </row>
    <row r="206" customFormat="false" ht="15" hidden="false" customHeight="false" outlineLevel="0" collapsed="false">
      <c r="A206" s="20" t="s">
        <v>1067</v>
      </c>
      <c r="B206" s="20"/>
      <c r="C206" s="20" t="s">
        <v>1068</v>
      </c>
      <c r="D206" s="20" t="s">
        <v>964</v>
      </c>
      <c r="E206" s="20" t="s">
        <v>955</v>
      </c>
      <c r="F206" s="20"/>
      <c r="G206" s="20" t="n">
        <v>4</v>
      </c>
      <c r="H206" s="20" t="s">
        <v>1069</v>
      </c>
      <c r="I206" s="20" t="s">
        <v>88</v>
      </c>
      <c r="J206" s="20" t="s">
        <v>957</v>
      </c>
      <c r="K206" s="20"/>
      <c r="L206" s="20" t="s">
        <v>251</v>
      </c>
    </row>
    <row r="207" customFormat="false" ht="15" hidden="false" customHeight="false" outlineLevel="0" collapsed="false">
      <c r="A207" s="20" t="s">
        <v>1070</v>
      </c>
      <c r="B207" s="20"/>
      <c r="C207" s="20" t="s">
        <v>1071</v>
      </c>
      <c r="D207" s="20" t="s">
        <v>964</v>
      </c>
      <c r="E207" s="20" t="s">
        <v>955</v>
      </c>
      <c r="F207" s="20"/>
      <c r="G207" s="20" t="n">
        <v>9</v>
      </c>
      <c r="H207" s="20" t="s">
        <v>1072</v>
      </c>
      <c r="I207" s="20" t="s">
        <v>88</v>
      </c>
      <c r="J207" s="20" t="s">
        <v>957</v>
      </c>
      <c r="K207" s="20"/>
      <c r="L207" s="20" t="s">
        <v>251</v>
      </c>
    </row>
    <row r="208" customFormat="false" ht="15" hidden="false" customHeight="false" outlineLevel="0" collapsed="false">
      <c r="A208" s="20" t="s">
        <v>1073</v>
      </c>
      <c r="B208" s="20"/>
      <c r="C208" s="20" t="s">
        <v>1074</v>
      </c>
      <c r="D208" s="20" t="s">
        <v>1011</v>
      </c>
      <c r="E208" s="20" t="s">
        <v>955</v>
      </c>
      <c r="F208" s="20"/>
      <c r="G208" s="20" t="n">
        <v>3</v>
      </c>
      <c r="H208" s="20" t="s">
        <v>1075</v>
      </c>
      <c r="I208" s="20" t="s">
        <v>88</v>
      </c>
      <c r="J208" s="20" t="s">
        <v>957</v>
      </c>
      <c r="K208" s="20"/>
      <c r="L208" s="20" t="s">
        <v>251</v>
      </c>
    </row>
    <row r="209" customFormat="false" ht="15" hidden="false" customHeight="false" outlineLevel="0" collapsed="false">
      <c r="A209" s="20" t="s">
        <v>1076</v>
      </c>
      <c r="B209" s="20"/>
      <c r="C209" s="20" t="s">
        <v>1077</v>
      </c>
      <c r="D209" s="20" t="s">
        <v>1078</v>
      </c>
      <c r="E209" s="20" t="s">
        <v>955</v>
      </c>
      <c r="F209" s="20"/>
      <c r="G209" s="20" t="n">
        <v>13</v>
      </c>
      <c r="H209" s="20" t="s">
        <v>1079</v>
      </c>
      <c r="I209" s="20" t="s">
        <v>88</v>
      </c>
      <c r="J209" s="20" t="s">
        <v>957</v>
      </c>
      <c r="K209" s="20"/>
      <c r="L209" s="20" t="s">
        <v>251</v>
      </c>
    </row>
    <row r="210" customFormat="false" ht="15" hidden="false" customHeight="false" outlineLevel="0" collapsed="false">
      <c r="A210" s="20" t="s">
        <v>1080</v>
      </c>
      <c r="B210" s="20"/>
      <c r="C210" s="20" t="s">
        <v>1081</v>
      </c>
      <c r="D210" s="20" t="s">
        <v>964</v>
      </c>
      <c r="E210" s="20" t="s">
        <v>955</v>
      </c>
      <c r="F210" s="20"/>
      <c r="G210" s="20" t="n">
        <v>4</v>
      </c>
      <c r="H210" s="20" t="s">
        <v>1082</v>
      </c>
      <c r="I210" s="20" t="s">
        <v>88</v>
      </c>
      <c r="J210" s="20" t="s">
        <v>957</v>
      </c>
      <c r="K210" s="20"/>
      <c r="L210" s="20" t="s">
        <v>251</v>
      </c>
    </row>
    <row r="211" customFormat="false" ht="15" hidden="false" customHeight="false" outlineLevel="0" collapsed="false">
      <c r="A211" s="20" t="s">
        <v>1083</v>
      </c>
      <c r="B211" s="20"/>
      <c r="C211" s="20" t="s">
        <v>1084</v>
      </c>
      <c r="D211" s="20" t="s">
        <v>964</v>
      </c>
      <c r="E211" s="20" t="s">
        <v>955</v>
      </c>
      <c r="F211" s="20"/>
      <c r="G211" s="20" t="n">
        <v>2</v>
      </c>
      <c r="H211" s="20" t="s">
        <v>1085</v>
      </c>
      <c r="I211" s="20" t="s">
        <v>88</v>
      </c>
      <c r="J211" s="20" t="s">
        <v>957</v>
      </c>
      <c r="K211" s="20"/>
      <c r="L211" s="20" t="s">
        <v>251</v>
      </c>
    </row>
    <row r="212" customFormat="false" ht="15" hidden="false" customHeight="false" outlineLevel="0" collapsed="false">
      <c r="A212" s="20" t="s">
        <v>1086</v>
      </c>
      <c r="B212" s="20"/>
      <c r="C212" s="20" t="s">
        <v>1087</v>
      </c>
      <c r="D212" s="20" t="s">
        <v>964</v>
      </c>
      <c r="E212" s="20" t="s">
        <v>955</v>
      </c>
      <c r="F212" s="20"/>
      <c r="G212" s="20" t="n">
        <v>2</v>
      </c>
      <c r="H212" s="20" t="s">
        <v>1088</v>
      </c>
      <c r="I212" s="20" t="s">
        <v>88</v>
      </c>
      <c r="J212" s="20" t="s">
        <v>957</v>
      </c>
      <c r="K212" s="20"/>
      <c r="L212" s="20" t="s">
        <v>251</v>
      </c>
    </row>
    <row r="213" customFormat="false" ht="15" hidden="false" customHeight="false" outlineLevel="0" collapsed="false">
      <c r="A213" s="20" t="s">
        <v>1089</v>
      </c>
      <c r="B213" s="20"/>
      <c r="C213" s="20" t="s">
        <v>1090</v>
      </c>
      <c r="D213" s="20" t="s">
        <v>964</v>
      </c>
      <c r="E213" s="20" t="s">
        <v>955</v>
      </c>
      <c r="F213" s="20"/>
      <c r="G213" s="20" t="n">
        <v>9</v>
      </c>
      <c r="H213" s="20" t="s">
        <v>1091</v>
      </c>
      <c r="I213" s="20" t="s">
        <v>88</v>
      </c>
      <c r="J213" s="20" t="s">
        <v>957</v>
      </c>
      <c r="K213" s="20"/>
      <c r="L213" s="20" t="s">
        <v>251</v>
      </c>
    </row>
    <row r="214" customFormat="false" ht="15" hidden="false" customHeight="false" outlineLevel="0" collapsed="false">
      <c r="A214" s="20" t="s">
        <v>1092</v>
      </c>
      <c r="B214" s="20"/>
      <c r="C214" s="20" t="s">
        <v>1093</v>
      </c>
      <c r="D214" s="20" t="s">
        <v>964</v>
      </c>
      <c r="E214" s="20" t="s">
        <v>955</v>
      </c>
      <c r="F214" s="20"/>
      <c r="G214" s="20" t="n">
        <v>4</v>
      </c>
      <c r="H214" s="20" t="s">
        <v>1094</v>
      </c>
      <c r="I214" s="20" t="s">
        <v>88</v>
      </c>
      <c r="J214" s="20" t="s">
        <v>957</v>
      </c>
      <c r="K214" s="20"/>
      <c r="L214" s="20" t="s">
        <v>251</v>
      </c>
    </row>
    <row r="215" customFormat="false" ht="15" hidden="false" customHeight="false" outlineLevel="0" collapsed="false">
      <c r="A215" s="20" t="s">
        <v>1095</v>
      </c>
      <c r="B215" s="20"/>
      <c r="C215" s="20" t="s">
        <v>1096</v>
      </c>
      <c r="D215" s="20" t="s">
        <v>1097</v>
      </c>
      <c r="E215" s="20" t="s">
        <v>955</v>
      </c>
      <c r="F215" s="20"/>
      <c r="G215" s="20" t="n">
        <v>5</v>
      </c>
      <c r="H215" s="20" t="s">
        <v>1098</v>
      </c>
      <c r="I215" s="20" t="s">
        <v>88</v>
      </c>
      <c r="J215" s="20" t="s">
        <v>957</v>
      </c>
      <c r="K215" s="20"/>
      <c r="L215" s="20" t="s">
        <v>251</v>
      </c>
    </row>
    <row r="216" customFormat="false" ht="15" hidden="false" customHeight="false" outlineLevel="0" collapsed="false">
      <c r="A216" s="20" t="s">
        <v>1099</v>
      </c>
      <c r="B216" s="20"/>
      <c r="C216" s="20" t="s">
        <v>1100</v>
      </c>
      <c r="D216" s="20" t="s">
        <v>964</v>
      </c>
      <c r="E216" s="20" t="s">
        <v>955</v>
      </c>
      <c r="F216" s="20"/>
      <c r="G216" s="20" t="n">
        <v>2</v>
      </c>
      <c r="H216" s="20" t="s">
        <v>1101</v>
      </c>
      <c r="I216" s="20" t="s">
        <v>88</v>
      </c>
      <c r="J216" s="20" t="s">
        <v>957</v>
      </c>
      <c r="K216" s="20"/>
      <c r="L216" s="20" t="s">
        <v>251</v>
      </c>
    </row>
    <row r="217" customFormat="false" ht="15" hidden="false" customHeight="false" outlineLevel="0" collapsed="false">
      <c r="A217" s="20" t="s">
        <v>1102</v>
      </c>
      <c r="B217" s="20"/>
      <c r="C217" s="20" t="s">
        <v>1103</v>
      </c>
      <c r="D217" s="20" t="s">
        <v>964</v>
      </c>
      <c r="E217" s="20" t="s">
        <v>955</v>
      </c>
      <c r="F217" s="20"/>
      <c r="G217" s="20" t="n">
        <v>4</v>
      </c>
      <c r="H217" s="20" t="s">
        <v>1104</v>
      </c>
      <c r="I217" s="20" t="s">
        <v>88</v>
      </c>
      <c r="J217" s="20" t="s">
        <v>957</v>
      </c>
      <c r="K217" s="20"/>
      <c r="L217" s="20" t="s">
        <v>251</v>
      </c>
    </row>
    <row r="218" customFormat="false" ht="15" hidden="false" customHeight="false" outlineLevel="0" collapsed="false">
      <c r="A218" s="20" t="s">
        <v>1105</v>
      </c>
      <c r="B218" s="20"/>
      <c r="C218" s="20" t="s">
        <v>1106</v>
      </c>
      <c r="D218" s="20" t="s">
        <v>1107</v>
      </c>
      <c r="E218" s="20" t="s">
        <v>955</v>
      </c>
      <c r="F218" s="20"/>
      <c r="G218" s="20" t="n">
        <v>5</v>
      </c>
      <c r="H218" s="20" t="s">
        <v>1108</v>
      </c>
      <c r="I218" s="20" t="s">
        <v>88</v>
      </c>
      <c r="J218" s="20" t="s">
        <v>957</v>
      </c>
      <c r="K218" s="20"/>
      <c r="L218" s="20" t="s">
        <v>251</v>
      </c>
    </row>
    <row r="219" customFormat="false" ht="15" hidden="false" customHeight="false" outlineLevel="0" collapsed="false">
      <c r="A219" s="20" t="s">
        <v>1109</v>
      </c>
      <c r="B219" s="20"/>
      <c r="C219" s="20" t="s">
        <v>1110</v>
      </c>
      <c r="D219" s="20" t="s">
        <v>964</v>
      </c>
      <c r="E219" s="20" t="s">
        <v>955</v>
      </c>
      <c r="F219" s="20"/>
      <c r="G219" s="20" t="n">
        <v>2</v>
      </c>
      <c r="H219" s="20" t="s">
        <v>1111</v>
      </c>
      <c r="I219" s="20" t="s">
        <v>88</v>
      </c>
      <c r="J219" s="20" t="s">
        <v>957</v>
      </c>
      <c r="K219" s="20"/>
      <c r="L219" s="20" t="s">
        <v>251</v>
      </c>
    </row>
    <row r="220" customFormat="false" ht="15" hidden="false" customHeight="false" outlineLevel="0" collapsed="false">
      <c r="A220" s="20" t="s">
        <v>1112</v>
      </c>
      <c r="B220" s="20"/>
      <c r="C220" s="20" t="s">
        <v>1113</v>
      </c>
      <c r="D220" s="20" t="s">
        <v>964</v>
      </c>
      <c r="E220" s="20" t="s">
        <v>955</v>
      </c>
      <c r="F220" s="20"/>
      <c r="G220" s="20" t="n">
        <v>2</v>
      </c>
      <c r="H220" s="20" t="s">
        <v>1114</v>
      </c>
      <c r="I220" s="20" t="s">
        <v>88</v>
      </c>
      <c r="J220" s="20" t="s">
        <v>957</v>
      </c>
      <c r="K220" s="20"/>
      <c r="L220" s="20" t="s">
        <v>251</v>
      </c>
    </row>
    <row r="221" customFormat="false" ht="15" hidden="false" customHeight="false" outlineLevel="0" collapsed="false">
      <c r="A221" s="20" t="s">
        <v>1115</v>
      </c>
      <c r="B221" s="20"/>
      <c r="C221" s="20" t="s">
        <v>1116</v>
      </c>
      <c r="D221" s="20" t="s">
        <v>1011</v>
      </c>
      <c r="E221" s="20" t="s">
        <v>955</v>
      </c>
      <c r="F221" s="20"/>
      <c r="G221" s="20" t="n">
        <v>2</v>
      </c>
      <c r="H221" s="20" t="s">
        <v>1117</v>
      </c>
      <c r="I221" s="20" t="s">
        <v>88</v>
      </c>
      <c r="J221" s="20" t="s">
        <v>957</v>
      </c>
      <c r="K221" s="20"/>
      <c r="L221" s="20" t="s">
        <v>251</v>
      </c>
    </row>
    <row r="222" customFormat="false" ht="15" hidden="false" customHeight="false" outlineLevel="0" collapsed="false">
      <c r="A222" s="20" t="s">
        <v>1118</v>
      </c>
      <c r="B222" s="20"/>
      <c r="C222" s="20" t="s">
        <v>1119</v>
      </c>
      <c r="D222" s="20" t="s">
        <v>964</v>
      </c>
      <c r="E222" s="20" t="s">
        <v>955</v>
      </c>
      <c r="F222" s="20"/>
      <c r="G222" s="20" t="n">
        <v>2</v>
      </c>
      <c r="H222" s="20" t="s">
        <v>1120</v>
      </c>
      <c r="I222" s="20" t="s">
        <v>88</v>
      </c>
      <c r="J222" s="20" t="s">
        <v>957</v>
      </c>
      <c r="K222" s="20"/>
      <c r="L222" s="20" t="s">
        <v>251</v>
      </c>
    </row>
    <row r="223" customFormat="false" ht="15" hidden="false" customHeight="false" outlineLevel="0" collapsed="false">
      <c r="A223" s="20" t="s">
        <v>1121</v>
      </c>
      <c r="B223" s="20"/>
      <c r="C223" s="20" t="s">
        <v>1122</v>
      </c>
      <c r="D223" s="20" t="s">
        <v>964</v>
      </c>
      <c r="E223" s="20" t="s">
        <v>955</v>
      </c>
      <c r="F223" s="20"/>
      <c r="G223" s="20" t="n">
        <v>3</v>
      </c>
      <c r="H223" s="20" t="s">
        <v>1123</v>
      </c>
      <c r="I223" s="20" t="s">
        <v>88</v>
      </c>
      <c r="J223" s="20" t="s">
        <v>957</v>
      </c>
      <c r="K223" s="20"/>
      <c r="L223" s="20" t="s">
        <v>251</v>
      </c>
    </row>
    <row r="224" customFormat="false" ht="15" hidden="false" customHeight="false" outlineLevel="0" collapsed="false">
      <c r="A224" s="20" t="s">
        <v>1124</v>
      </c>
      <c r="B224" s="20"/>
      <c r="C224" s="20" t="s">
        <v>1125</v>
      </c>
      <c r="D224" s="20" t="s">
        <v>964</v>
      </c>
      <c r="E224" s="20" t="s">
        <v>955</v>
      </c>
      <c r="F224" s="20"/>
      <c r="G224" s="20"/>
      <c r="H224" s="20" t="s">
        <v>1126</v>
      </c>
      <c r="I224" s="20" t="s">
        <v>88</v>
      </c>
      <c r="J224" s="20" t="s">
        <v>957</v>
      </c>
      <c r="K224" s="20"/>
      <c r="L224" s="20" t="s">
        <v>251</v>
      </c>
    </row>
    <row r="225" customFormat="false" ht="15" hidden="false" customHeight="false" outlineLevel="0" collapsed="false">
      <c r="A225" s="20" t="s">
        <v>1127</v>
      </c>
      <c r="B225" s="20"/>
      <c r="C225" s="20" t="s">
        <v>1128</v>
      </c>
      <c r="D225" s="20" t="s">
        <v>964</v>
      </c>
      <c r="E225" s="20" t="s">
        <v>955</v>
      </c>
      <c r="F225" s="20"/>
      <c r="G225" s="20" t="n">
        <v>2</v>
      </c>
      <c r="H225" s="20" t="s">
        <v>1129</v>
      </c>
      <c r="I225" s="20" t="s">
        <v>88</v>
      </c>
      <c r="J225" s="20" t="s">
        <v>957</v>
      </c>
      <c r="K225" s="20"/>
      <c r="L225" s="20" t="s">
        <v>251</v>
      </c>
    </row>
    <row r="226" customFormat="false" ht="15" hidden="false" customHeight="false" outlineLevel="0" collapsed="false">
      <c r="A226" s="20" t="s">
        <v>1130</v>
      </c>
      <c r="B226" s="20"/>
      <c r="C226" s="20" t="s">
        <v>1131</v>
      </c>
      <c r="D226" s="20" t="s">
        <v>964</v>
      </c>
      <c r="E226" s="20" t="s">
        <v>955</v>
      </c>
      <c r="F226" s="20"/>
      <c r="G226" s="20" t="n">
        <v>3</v>
      </c>
      <c r="H226" s="20" t="s">
        <v>1132</v>
      </c>
      <c r="I226" s="20" t="s">
        <v>88</v>
      </c>
      <c r="J226" s="20" t="s">
        <v>957</v>
      </c>
      <c r="K226" s="20"/>
      <c r="L226" s="20" t="s">
        <v>251</v>
      </c>
    </row>
    <row r="227" customFormat="false" ht="15" hidden="false" customHeight="false" outlineLevel="0" collapsed="false">
      <c r="A227" s="20" t="s">
        <v>1133</v>
      </c>
      <c r="B227" s="20"/>
      <c r="C227" s="20" t="s">
        <v>1134</v>
      </c>
      <c r="D227" s="20" t="s">
        <v>964</v>
      </c>
      <c r="E227" s="20" t="s">
        <v>955</v>
      </c>
      <c r="F227" s="20"/>
      <c r="G227" s="20"/>
      <c r="H227" s="20" t="s">
        <v>1135</v>
      </c>
      <c r="I227" s="20" t="s">
        <v>88</v>
      </c>
      <c r="J227" s="20" t="s">
        <v>957</v>
      </c>
      <c r="K227" s="20"/>
      <c r="L227" s="20" t="s">
        <v>251</v>
      </c>
    </row>
    <row r="228" customFormat="false" ht="15" hidden="false" customHeight="false" outlineLevel="0" collapsed="false">
      <c r="A228" s="20" t="s">
        <v>1136</v>
      </c>
      <c r="B228" s="20"/>
      <c r="C228" s="20" t="s">
        <v>1137</v>
      </c>
      <c r="D228" s="20" t="s">
        <v>964</v>
      </c>
      <c r="E228" s="20" t="s">
        <v>955</v>
      </c>
      <c r="F228" s="20"/>
      <c r="G228" s="20" t="n">
        <v>2</v>
      </c>
      <c r="H228" s="20" t="s">
        <v>1138</v>
      </c>
      <c r="I228" s="20" t="s">
        <v>88</v>
      </c>
      <c r="J228" s="20" t="s">
        <v>957</v>
      </c>
      <c r="K228" s="20"/>
      <c r="L228" s="20" t="s">
        <v>251</v>
      </c>
    </row>
    <row r="229" customFormat="false" ht="15" hidden="false" customHeight="false" outlineLevel="0" collapsed="false">
      <c r="A229" s="20" t="s">
        <v>1139</v>
      </c>
      <c r="B229" s="20"/>
      <c r="C229" s="20" t="s">
        <v>1140</v>
      </c>
      <c r="D229" s="20" t="s">
        <v>964</v>
      </c>
      <c r="E229" s="20" t="s">
        <v>955</v>
      </c>
      <c r="F229" s="20"/>
      <c r="G229" s="20" t="n">
        <v>3</v>
      </c>
      <c r="H229" s="20" t="s">
        <v>1141</v>
      </c>
      <c r="I229" s="20" t="s">
        <v>88</v>
      </c>
      <c r="J229" s="20" t="s">
        <v>957</v>
      </c>
      <c r="K229" s="20"/>
      <c r="L229" s="20" t="s">
        <v>251</v>
      </c>
    </row>
    <row r="230" customFormat="false" ht="15" hidden="false" customHeight="false" outlineLevel="0" collapsed="false">
      <c r="A230" s="20" t="s">
        <v>1142</v>
      </c>
      <c r="B230" s="20"/>
      <c r="C230" s="20" t="s">
        <v>1143</v>
      </c>
      <c r="D230" s="20" t="s">
        <v>964</v>
      </c>
      <c r="E230" s="20" t="s">
        <v>955</v>
      </c>
      <c r="F230" s="20"/>
      <c r="G230" s="20" t="n">
        <v>2</v>
      </c>
      <c r="H230" s="20" t="s">
        <v>1144</v>
      </c>
      <c r="I230" s="20" t="s">
        <v>88</v>
      </c>
      <c r="J230" s="20" t="s">
        <v>957</v>
      </c>
      <c r="K230" s="20"/>
      <c r="L230" s="20" t="s">
        <v>251</v>
      </c>
    </row>
    <row r="231" customFormat="false" ht="15" hidden="false" customHeight="false" outlineLevel="0" collapsed="false">
      <c r="A231" s="20" t="s">
        <v>1145</v>
      </c>
      <c r="B231" s="20"/>
      <c r="C231" s="20" t="s">
        <v>1146</v>
      </c>
      <c r="D231" s="20" t="s">
        <v>964</v>
      </c>
      <c r="E231" s="20" t="s">
        <v>955</v>
      </c>
      <c r="F231" s="20"/>
      <c r="G231" s="20" t="n">
        <v>3</v>
      </c>
      <c r="H231" s="20" t="s">
        <v>1147</v>
      </c>
      <c r="I231" s="20" t="s">
        <v>88</v>
      </c>
      <c r="J231" s="20" t="s">
        <v>957</v>
      </c>
      <c r="K231" s="20"/>
      <c r="L231" s="20" t="s">
        <v>251</v>
      </c>
    </row>
    <row r="232" customFormat="false" ht="15" hidden="false" customHeight="false" outlineLevel="0" collapsed="false">
      <c r="A232" s="20" t="s">
        <v>1148</v>
      </c>
      <c r="B232" s="20"/>
      <c r="C232" s="20" t="s">
        <v>1149</v>
      </c>
      <c r="D232" s="20" t="s">
        <v>964</v>
      </c>
      <c r="E232" s="20" t="s">
        <v>955</v>
      </c>
      <c r="F232" s="20"/>
      <c r="G232" s="20"/>
      <c r="H232" s="20" t="s">
        <v>1150</v>
      </c>
      <c r="I232" s="20" t="s">
        <v>88</v>
      </c>
      <c r="J232" s="20" t="s">
        <v>957</v>
      </c>
      <c r="K232" s="20"/>
      <c r="L232" s="20" t="s">
        <v>251</v>
      </c>
    </row>
    <row r="233" customFormat="false" ht="15" hidden="false" customHeight="false" outlineLevel="0" collapsed="false">
      <c r="A233" s="20" t="s">
        <v>1151</v>
      </c>
      <c r="B233" s="20"/>
      <c r="C233" s="20" t="s">
        <v>1152</v>
      </c>
      <c r="D233" s="20" t="s">
        <v>964</v>
      </c>
      <c r="E233" s="20" t="s">
        <v>955</v>
      </c>
      <c r="F233" s="20"/>
      <c r="G233" s="20" t="n">
        <v>10</v>
      </c>
      <c r="H233" s="20" t="s">
        <v>1153</v>
      </c>
      <c r="I233" s="20" t="s">
        <v>88</v>
      </c>
      <c r="J233" s="20" t="s">
        <v>957</v>
      </c>
      <c r="K233" s="20"/>
      <c r="L233" s="20" t="s">
        <v>251</v>
      </c>
    </row>
    <row r="234" customFormat="false" ht="15" hidden="false" customHeight="false" outlineLevel="0" collapsed="false">
      <c r="A234" s="20" t="s">
        <v>1154</v>
      </c>
      <c r="B234" s="20"/>
      <c r="C234" s="20" t="s">
        <v>1155</v>
      </c>
      <c r="D234" s="20" t="s">
        <v>964</v>
      </c>
      <c r="E234" s="20" t="s">
        <v>955</v>
      </c>
      <c r="F234" s="20"/>
      <c r="G234" s="20" t="n">
        <v>2</v>
      </c>
      <c r="H234" s="20" t="s">
        <v>1156</v>
      </c>
      <c r="I234" s="20" t="s">
        <v>88</v>
      </c>
      <c r="J234" s="20" t="s">
        <v>957</v>
      </c>
      <c r="K234" s="20"/>
      <c r="L234" s="20" t="s">
        <v>251</v>
      </c>
    </row>
    <row r="235" customFormat="false" ht="15" hidden="false" customHeight="false" outlineLevel="0" collapsed="false">
      <c r="A235" s="20" t="s">
        <v>1157</v>
      </c>
      <c r="B235" s="20"/>
      <c r="C235" s="20" t="s">
        <v>1158</v>
      </c>
      <c r="D235" s="20" t="s">
        <v>964</v>
      </c>
      <c r="E235" s="20" t="s">
        <v>955</v>
      </c>
      <c r="F235" s="20"/>
      <c r="G235" s="20" t="n">
        <v>2</v>
      </c>
      <c r="H235" s="20" t="s">
        <v>1159</v>
      </c>
      <c r="I235" s="20" t="s">
        <v>88</v>
      </c>
      <c r="J235" s="20" t="s">
        <v>957</v>
      </c>
      <c r="K235" s="20"/>
      <c r="L235" s="20" t="s">
        <v>251</v>
      </c>
    </row>
    <row r="236" customFormat="false" ht="15" hidden="false" customHeight="false" outlineLevel="0" collapsed="false">
      <c r="A236" s="20" t="s">
        <v>1160</v>
      </c>
      <c r="B236" s="20"/>
      <c r="C236" s="20" t="s">
        <v>1161</v>
      </c>
      <c r="D236" s="20" t="s">
        <v>964</v>
      </c>
      <c r="E236" s="20" t="s">
        <v>955</v>
      </c>
      <c r="F236" s="20"/>
      <c r="G236" s="20" t="n">
        <v>2</v>
      </c>
      <c r="H236" s="20" t="s">
        <v>1162</v>
      </c>
      <c r="I236" s="20" t="s">
        <v>88</v>
      </c>
      <c r="J236" s="20" t="s">
        <v>957</v>
      </c>
      <c r="K236" s="20"/>
      <c r="L236" s="20" t="s">
        <v>251</v>
      </c>
    </row>
    <row r="237" customFormat="false" ht="15" hidden="false" customHeight="false" outlineLevel="0" collapsed="false">
      <c r="A237" s="20" t="s">
        <v>1163</v>
      </c>
      <c r="B237" s="20"/>
      <c r="C237" s="20" t="s">
        <v>1164</v>
      </c>
      <c r="D237" s="20" t="s">
        <v>964</v>
      </c>
      <c r="E237" s="20" t="s">
        <v>955</v>
      </c>
      <c r="F237" s="20"/>
      <c r="G237" s="20" t="n">
        <v>4</v>
      </c>
      <c r="H237" s="20" t="s">
        <v>1165</v>
      </c>
      <c r="I237" s="20" t="s">
        <v>88</v>
      </c>
      <c r="J237" s="20" t="s">
        <v>957</v>
      </c>
      <c r="K237" s="20"/>
      <c r="L237" s="20" t="s">
        <v>251</v>
      </c>
    </row>
    <row r="238" customFormat="false" ht="15" hidden="false" customHeight="false" outlineLevel="0" collapsed="false">
      <c r="A238" s="20" t="s">
        <v>1166</v>
      </c>
      <c r="B238" s="20"/>
      <c r="C238" s="20" t="s">
        <v>1167</v>
      </c>
      <c r="D238" s="20" t="s">
        <v>964</v>
      </c>
      <c r="E238" s="20" t="s">
        <v>955</v>
      </c>
      <c r="F238" s="20"/>
      <c r="G238" s="20" t="n">
        <v>6</v>
      </c>
      <c r="H238" s="20" t="s">
        <v>1168</v>
      </c>
      <c r="I238" s="20" t="s">
        <v>88</v>
      </c>
      <c r="J238" s="20" t="s">
        <v>957</v>
      </c>
      <c r="K238" s="20"/>
      <c r="L238" s="20" t="s">
        <v>251</v>
      </c>
    </row>
    <row r="239" customFormat="false" ht="15" hidden="false" customHeight="false" outlineLevel="0" collapsed="false">
      <c r="A239" s="20" t="s">
        <v>1169</v>
      </c>
      <c r="B239" s="20"/>
      <c r="C239" s="20" t="s">
        <v>1170</v>
      </c>
      <c r="D239" s="20" t="s">
        <v>964</v>
      </c>
      <c r="E239" s="20" t="s">
        <v>955</v>
      </c>
      <c r="F239" s="20"/>
      <c r="G239" s="20" t="n">
        <v>10</v>
      </c>
      <c r="H239" s="20" t="s">
        <v>1171</v>
      </c>
      <c r="I239" s="20" t="s">
        <v>88</v>
      </c>
      <c r="J239" s="20" t="s">
        <v>957</v>
      </c>
      <c r="K239" s="20"/>
      <c r="L239" s="20" t="s">
        <v>251</v>
      </c>
    </row>
    <row r="240" customFormat="false" ht="15" hidden="false" customHeight="false" outlineLevel="0" collapsed="false">
      <c r="A240" s="20" t="s">
        <v>1172</v>
      </c>
      <c r="B240" s="20"/>
      <c r="C240" s="20" t="s">
        <v>1173</v>
      </c>
      <c r="D240" s="20" t="s">
        <v>1011</v>
      </c>
      <c r="E240" s="20" t="s">
        <v>955</v>
      </c>
      <c r="F240" s="20"/>
      <c r="G240" s="20" t="n">
        <v>10</v>
      </c>
      <c r="H240" s="20" t="s">
        <v>1174</v>
      </c>
      <c r="I240" s="20" t="s">
        <v>88</v>
      </c>
      <c r="J240" s="20" t="s">
        <v>957</v>
      </c>
      <c r="K240" s="20"/>
      <c r="L240" s="20" t="s">
        <v>251</v>
      </c>
    </row>
    <row r="241" customFormat="false" ht="15" hidden="false" customHeight="false" outlineLevel="0" collapsed="false">
      <c r="A241" s="20" t="s">
        <v>1175</v>
      </c>
      <c r="B241" s="20"/>
      <c r="C241" s="20" t="s">
        <v>1176</v>
      </c>
      <c r="D241" s="20" t="s">
        <v>964</v>
      </c>
      <c r="E241" s="20" t="s">
        <v>955</v>
      </c>
      <c r="F241" s="20"/>
      <c r="G241" s="20" t="n">
        <v>5</v>
      </c>
      <c r="H241" s="20" t="s">
        <v>1177</v>
      </c>
      <c r="I241" s="20" t="s">
        <v>88</v>
      </c>
      <c r="J241" s="20" t="s">
        <v>957</v>
      </c>
      <c r="K241" s="20"/>
      <c r="L241" s="20" t="s">
        <v>251</v>
      </c>
    </row>
    <row r="242" customFormat="false" ht="15" hidden="false" customHeight="false" outlineLevel="0" collapsed="false">
      <c r="A242" s="20" t="s">
        <v>1178</v>
      </c>
      <c r="B242" s="20"/>
      <c r="C242" s="20" t="s">
        <v>1179</v>
      </c>
      <c r="D242" s="20" t="s">
        <v>1107</v>
      </c>
      <c r="E242" s="20" t="s">
        <v>955</v>
      </c>
      <c r="F242" s="20"/>
      <c r="G242" s="20" t="n">
        <v>3</v>
      </c>
      <c r="H242" s="20" t="s">
        <v>1180</v>
      </c>
      <c r="I242" s="20" t="s">
        <v>88</v>
      </c>
      <c r="J242" s="20" t="s">
        <v>957</v>
      </c>
      <c r="K242" s="20"/>
      <c r="L242" s="20" t="s">
        <v>251</v>
      </c>
    </row>
    <row r="243" customFormat="false" ht="15" hidden="false" customHeight="false" outlineLevel="0" collapsed="false">
      <c r="A243" s="20" t="s">
        <v>1181</v>
      </c>
      <c r="B243" s="20"/>
      <c r="C243" s="20" t="s">
        <v>1182</v>
      </c>
      <c r="D243" s="20" t="s">
        <v>1183</v>
      </c>
      <c r="E243" s="20" t="s">
        <v>955</v>
      </c>
      <c r="F243" s="20"/>
      <c r="G243" s="20" t="n">
        <v>2</v>
      </c>
      <c r="H243" s="20" t="s">
        <v>1184</v>
      </c>
      <c r="I243" s="20" t="s">
        <v>88</v>
      </c>
      <c r="J243" s="20" t="s">
        <v>957</v>
      </c>
      <c r="K243" s="20"/>
      <c r="L243" s="20" t="s">
        <v>251</v>
      </c>
    </row>
    <row r="244" customFormat="false" ht="15" hidden="false" customHeight="false" outlineLevel="0" collapsed="false">
      <c r="A244" s="20" t="s">
        <v>1185</v>
      </c>
      <c r="B244" s="20"/>
      <c r="C244" s="20" t="s">
        <v>1186</v>
      </c>
      <c r="D244" s="20" t="s">
        <v>964</v>
      </c>
      <c r="E244" s="20" t="s">
        <v>955</v>
      </c>
      <c r="F244" s="20"/>
      <c r="G244" s="20" t="n">
        <v>2</v>
      </c>
      <c r="H244" s="20" t="s">
        <v>1187</v>
      </c>
      <c r="I244" s="20" t="s">
        <v>88</v>
      </c>
      <c r="J244" s="20" t="s">
        <v>957</v>
      </c>
      <c r="K244" s="20"/>
      <c r="L244" s="20" t="s">
        <v>251</v>
      </c>
    </row>
    <row r="245" customFormat="false" ht="15" hidden="false" customHeight="false" outlineLevel="0" collapsed="false">
      <c r="A245" s="20" t="s">
        <v>1188</v>
      </c>
      <c r="B245" s="20"/>
      <c r="C245" s="20" t="s">
        <v>1189</v>
      </c>
      <c r="D245" s="20" t="s">
        <v>964</v>
      </c>
      <c r="E245" s="20" t="s">
        <v>955</v>
      </c>
      <c r="F245" s="20"/>
      <c r="G245" s="20" t="n">
        <v>2</v>
      </c>
      <c r="H245" s="20" t="s">
        <v>1190</v>
      </c>
      <c r="I245" s="20" t="s">
        <v>88</v>
      </c>
      <c r="J245" s="20" t="s">
        <v>957</v>
      </c>
      <c r="K245" s="20"/>
      <c r="L245" s="20" t="s">
        <v>251</v>
      </c>
    </row>
    <row r="246" customFormat="false" ht="15" hidden="false" customHeight="false" outlineLevel="0" collapsed="false">
      <c r="A246" s="20" t="s">
        <v>1191</v>
      </c>
      <c r="B246" s="20"/>
      <c r="C246" s="20" t="s">
        <v>1192</v>
      </c>
      <c r="D246" s="20" t="s">
        <v>1183</v>
      </c>
      <c r="E246" s="20" t="s">
        <v>955</v>
      </c>
      <c r="F246" s="20"/>
      <c r="G246" s="20" t="n">
        <v>5</v>
      </c>
      <c r="H246" s="20" t="s">
        <v>1193</v>
      </c>
      <c r="I246" s="20" t="s">
        <v>88</v>
      </c>
      <c r="J246" s="20" t="s">
        <v>957</v>
      </c>
      <c r="K246" s="20"/>
      <c r="L246" s="20" t="s">
        <v>251</v>
      </c>
    </row>
    <row r="247" customFormat="false" ht="15" hidden="false" customHeight="false" outlineLevel="0" collapsed="false">
      <c r="A247" s="20" t="s">
        <v>1194</v>
      </c>
      <c r="B247" s="20"/>
      <c r="C247" s="20" t="s">
        <v>1195</v>
      </c>
      <c r="D247" s="20" t="s">
        <v>964</v>
      </c>
      <c r="E247" s="20" t="s">
        <v>955</v>
      </c>
      <c r="F247" s="20"/>
      <c r="G247" s="20" t="n">
        <v>2</v>
      </c>
      <c r="H247" s="20" t="s">
        <v>1196</v>
      </c>
      <c r="I247" s="20" t="s">
        <v>88</v>
      </c>
      <c r="J247" s="20" t="s">
        <v>957</v>
      </c>
      <c r="K247" s="20"/>
      <c r="L247" s="20" t="s">
        <v>251</v>
      </c>
    </row>
    <row r="248" customFormat="false" ht="15" hidden="false" customHeight="false" outlineLevel="0" collapsed="false">
      <c r="A248" s="20" t="s">
        <v>1197</v>
      </c>
      <c r="B248" s="20"/>
      <c r="C248" s="20" t="s">
        <v>1198</v>
      </c>
      <c r="D248" s="20" t="s">
        <v>964</v>
      </c>
      <c r="E248" s="20" t="s">
        <v>955</v>
      </c>
      <c r="F248" s="20"/>
      <c r="G248" s="20" t="n">
        <v>2</v>
      </c>
      <c r="H248" s="20" t="s">
        <v>1199</v>
      </c>
      <c r="I248" s="20" t="s">
        <v>88</v>
      </c>
      <c r="J248" s="20" t="s">
        <v>957</v>
      </c>
      <c r="K248" s="20"/>
      <c r="L248" s="20" t="s">
        <v>251</v>
      </c>
    </row>
    <row r="249" customFormat="false" ht="15" hidden="false" customHeight="false" outlineLevel="0" collapsed="false">
      <c r="A249" s="20" t="s">
        <v>1200</v>
      </c>
      <c r="B249" s="20"/>
      <c r="C249" s="20" t="s">
        <v>1201</v>
      </c>
      <c r="D249" s="20" t="s">
        <v>964</v>
      </c>
      <c r="E249" s="20" t="s">
        <v>955</v>
      </c>
      <c r="F249" s="20"/>
      <c r="G249" s="20" t="n">
        <v>4</v>
      </c>
      <c r="H249" s="20" t="s">
        <v>1202</v>
      </c>
      <c r="I249" s="20" t="s">
        <v>88</v>
      </c>
      <c r="J249" s="20" t="s">
        <v>957</v>
      </c>
      <c r="K249" s="20"/>
      <c r="L249" s="20" t="s">
        <v>251</v>
      </c>
    </row>
    <row r="250" customFormat="false" ht="15" hidden="false" customHeight="false" outlineLevel="0" collapsed="false">
      <c r="A250" s="20" t="s">
        <v>1203</v>
      </c>
      <c r="B250" s="20"/>
      <c r="C250" s="20" t="s">
        <v>1204</v>
      </c>
      <c r="D250" s="20" t="s">
        <v>1205</v>
      </c>
      <c r="E250" s="20" t="s">
        <v>955</v>
      </c>
      <c r="F250" s="20"/>
      <c r="G250" s="20" t="n">
        <v>3</v>
      </c>
      <c r="H250" s="20" t="s">
        <v>1206</v>
      </c>
      <c r="I250" s="20" t="s">
        <v>88</v>
      </c>
      <c r="J250" s="20" t="s">
        <v>957</v>
      </c>
      <c r="K250" s="20"/>
      <c r="L250" s="20" t="s">
        <v>251</v>
      </c>
    </row>
    <row r="251" customFormat="false" ht="15" hidden="false" customHeight="false" outlineLevel="0" collapsed="false">
      <c r="A251" s="20" t="s">
        <v>1207</v>
      </c>
      <c r="B251" s="20"/>
      <c r="C251" s="20" t="s">
        <v>1208</v>
      </c>
      <c r="D251" s="20" t="s">
        <v>1209</v>
      </c>
      <c r="E251" s="20" t="s">
        <v>955</v>
      </c>
      <c r="F251" s="20"/>
      <c r="G251" s="20" t="n">
        <v>4</v>
      </c>
      <c r="H251" s="20" t="s">
        <v>1210</v>
      </c>
      <c r="I251" s="20" t="s">
        <v>88</v>
      </c>
      <c r="J251" s="20" t="s">
        <v>957</v>
      </c>
      <c r="K251" s="20"/>
      <c r="L251" s="20" t="s">
        <v>251</v>
      </c>
    </row>
    <row r="252" customFormat="false" ht="15" hidden="false" customHeight="false" outlineLevel="0" collapsed="false">
      <c r="A252" s="20" t="s">
        <v>1211</v>
      </c>
      <c r="B252" s="20"/>
      <c r="C252" s="20" t="s">
        <v>1212</v>
      </c>
      <c r="D252" s="20" t="s">
        <v>964</v>
      </c>
      <c r="E252" s="20" t="s">
        <v>955</v>
      </c>
      <c r="F252" s="20"/>
      <c r="G252" s="20" t="n">
        <v>1</v>
      </c>
      <c r="H252" s="20" t="s">
        <v>1213</v>
      </c>
      <c r="I252" s="20" t="s">
        <v>88</v>
      </c>
      <c r="J252" s="20" t="s">
        <v>957</v>
      </c>
      <c r="K252" s="20"/>
      <c r="L252" s="20" t="s">
        <v>251</v>
      </c>
    </row>
    <row r="253" customFormat="false" ht="15" hidden="false" customHeight="false" outlineLevel="0" collapsed="false">
      <c r="A253" s="20" t="s">
        <v>1214</v>
      </c>
      <c r="B253" s="20"/>
      <c r="C253" s="20" t="s">
        <v>1215</v>
      </c>
      <c r="D253" s="20" t="s">
        <v>964</v>
      </c>
      <c r="E253" s="20" t="s">
        <v>955</v>
      </c>
      <c r="F253" s="20"/>
      <c r="G253" s="20" t="n">
        <v>3</v>
      </c>
      <c r="H253" s="20" t="s">
        <v>1216</v>
      </c>
      <c r="I253" s="20" t="s">
        <v>88</v>
      </c>
      <c r="J253" s="20" t="s">
        <v>957</v>
      </c>
      <c r="K253" s="20"/>
      <c r="L253" s="20" t="s">
        <v>251</v>
      </c>
    </row>
    <row r="254" customFormat="false" ht="15" hidden="false" customHeight="false" outlineLevel="0" collapsed="false">
      <c r="A254" s="20" t="s">
        <v>1217</v>
      </c>
      <c r="B254" s="20"/>
      <c r="C254" s="20" t="s">
        <v>1218</v>
      </c>
      <c r="D254" s="20" t="s">
        <v>964</v>
      </c>
      <c r="E254" s="20" t="s">
        <v>955</v>
      </c>
      <c r="F254" s="20"/>
      <c r="G254" s="20" t="n">
        <v>1</v>
      </c>
      <c r="H254" s="20" t="s">
        <v>1219</v>
      </c>
      <c r="I254" s="20" t="s">
        <v>88</v>
      </c>
      <c r="J254" s="20" t="s">
        <v>957</v>
      </c>
      <c r="K254" s="20"/>
      <c r="L254" s="20" t="s">
        <v>251</v>
      </c>
    </row>
    <row r="255" customFormat="false" ht="15" hidden="false" customHeight="false" outlineLevel="0" collapsed="false">
      <c r="A255" s="20" t="s">
        <v>1220</v>
      </c>
      <c r="B255" s="20"/>
      <c r="C255" s="20" t="s">
        <v>1221</v>
      </c>
      <c r="D255" s="20" t="s">
        <v>1222</v>
      </c>
      <c r="E255" s="20" t="s">
        <v>955</v>
      </c>
      <c r="F255" s="20"/>
      <c r="G255" s="20" t="n">
        <v>2</v>
      </c>
      <c r="H255" s="20" t="s">
        <v>1223</v>
      </c>
      <c r="I255" s="20" t="s">
        <v>88</v>
      </c>
      <c r="J255" s="20" t="s">
        <v>957</v>
      </c>
      <c r="K255" s="20"/>
      <c r="L255" s="20" t="s">
        <v>251</v>
      </c>
    </row>
    <row r="256" customFormat="false" ht="15" hidden="false" customHeight="false" outlineLevel="0" collapsed="false">
      <c r="A256" s="20" t="s">
        <v>1224</v>
      </c>
      <c r="B256" s="20"/>
      <c r="C256" s="20" t="s">
        <v>1225</v>
      </c>
      <c r="D256" s="20" t="s">
        <v>964</v>
      </c>
      <c r="E256" s="20" t="s">
        <v>955</v>
      </c>
      <c r="F256" s="20"/>
      <c r="G256" s="20" t="n">
        <v>3</v>
      </c>
      <c r="H256" s="20" t="s">
        <v>1226</v>
      </c>
      <c r="I256" s="20" t="s">
        <v>88</v>
      </c>
      <c r="J256" s="20" t="s">
        <v>957</v>
      </c>
      <c r="K256" s="20"/>
      <c r="L256" s="20" t="s">
        <v>251</v>
      </c>
    </row>
    <row r="257" customFormat="false" ht="15" hidden="false" customHeight="false" outlineLevel="0" collapsed="false">
      <c r="A257" s="20" t="s">
        <v>1227</v>
      </c>
      <c r="B257" s="20"/>
      <c r="C257" s="20" t="s">
        <v>1228</v>
      </c>
      <c r="D257" s="20" t="s">
        <v>964</v>
      </c>
      <c r="E257" s="20" t="s">
        <v>955</v>
      </c>
      <c r="F257" s="20"/>
      <c r="G257" s="20" t="n">
        <v>3</v>
      </c>
      <c r="H257" s="20" t="s">
        <v>1229</v>
      </c>
      <c r="I257" s="20" t="s">
        <v>88</v>
      </c>
      <c r="J257" s="20" t="s">
        <v>957</v>
      </c>
      <c r="K257" s="20"/>
      <c r="L257" s="20" t="s">
        <v>251</v>
      </c>
    </row>
    <row r="258" customFormat="false" ht="15" hidden="false" customHeight="false" outlineLevel="0" collapsed="false">
      <c r="A258" s="20" t="s">
        <v>1230</v>
      </c>
      <c r="B258" s="20"/>
      <c r="C258" s="20" t="s">
        <v>1231</v>
      </c>
      <c r="D258" s="20" t="s">
        <v>1232</v>
      </c>
      <c r="E258" s="20" t="s">
        <v>955</v>
      </c>
      <c r="F258" s="20"/>
      <c r="G258" s="20" t="n">
        <v>4</v>
      </c>
      <c r="H258" s="20" t="s">
        <v>1233</v>
      </c>
      <c r="I258" s="20" t="s">
        <v>88</v>
      </c>
      <c r="J258" s="20" t="s">
        <v>957</v>
      </c>
      <c r="K258" s="20"/>
      <c r="L258" s="20" t="s">
        <v>251</v>
      </c>
    </row>
    <row r="259" customFormat="false" ht="15" hidden="false" customHeight="false" outlineLevel="0" collapsed="false">
      <c r="A259" s="20" t="s">
        <v>1234</v>
      </c>
      <c r="B259" s="20"/>
      <c r="C259" s="20" t="s">
        <v>1235</v>
      </c>
      <c r="D259" s="20" t="s">
        <v>964</v>
      </c>
      <c r="E259" s="20" t="s">
        <v>955</v>
      </c>
      <c r="F259" s="20"/>
      <c r="G259" s="20" t="n">
        <v>2</v>
      </c>
      <c r="H259" s="20" t="s">
        <v>1236</v>
      </c>
      <c r="I259" s="20" t="s">
        <v>88</v>
      </c>
      <c r="J259" s="20" t="s">
        <v>957</v>
      </c>
      <c r="K259" s="20"/>
      <c r="L259" s="20" t="s">
        <v>251</v>
      </c>
    </row>
    <row r="260" customFormat="false" ht="15" hidden="false" customHeight="false" outlineLevel="0" collapsed="false">
      <c r="A260" s="20" t="s">
        <v>1237</v>
      </c>
      <c r="B260" s="20"/>
      <c r="C260" s="20" t="s">
        <v>1238</v>
      </c>
      <c r="D260" s="20" t="s">
        <v>964</v>
      </c>
      <c r="E260" s="20" t="s">
        <v>955</v>
      </c>
      <c r="F260" s="20"/>
      <c r="G260" s="20" t="n">
        <v>5</v>
      </c>
      <c r="H260" s="20" t="s">
        <v>1239</v>
      </c>
      <c r="I260" s="20" t="s">
        <v>88</v>
      </c>
      <c r="J260" s="20" t="s">
        <v>957</v>
      </c>
      <c r="K260" s="20"/>
      <c r="L260" s="20" t="s">
        <v>251</v>
      </c>
    </row>
    <row r="261" customFormat="false" ht="15" hidden="false" customHeight="false" outlineLevel="0" collapsed="false">
      <c r="A261" s="20" t="s">
        <v>1240</v>
      </c>
      <c r="B261" s="20"/>
      <c r="C261" s="20" t="s">
        <v>1241</v>
      </c>
      <c r="D261" s="20" t="s">
        <v>964</v>
      </c>
      <c r="E261" s="20" t="s">
        <v>955</v>
      </c>
      <c r="F261" s="20"/>
      <c r="G261" s="20" t="n">
        <v>4</v>
      </c>
      <c r="H261" s="20" t="s">
        <v>1242</v>
      </c>
      <c r="I261" s="20" t="s">
        <v>88</v>
      </c>
      <c r="J261" s="20" t="s">
        <v>957</v>
      </c>
      <c r="K261" s="20"/>
      <c r="L261" s="20" t="s">
        <v>251</v>
      </c>
    </row>
    <row r="262" customFormat="false" ht="15" hidden="false" customHeight="false" outlineLevel="0" collapsed="false">
      <c r="A262" s="20" t="s">
        <v>1243</v>
      </c>
      <c r="B262" s="20"/>
      <c r="C262" s="20" t="s">
        <v>1244</v>
      </c>
      <c r="D262" s="20" t="s">
        <v>964</v>
      </c>
      <c r="E262" s="20" t="s">
        <v>955</v>
      </c>
      <c r="F262" s="20"/>
      <c r="G262" s="20" t="n">
        <v>7</v>
      </c>
      <c r="H262" s="20" t="s">
        <v>1245</v>
      </c>
      <c r="I262" s="20" t="s">
        <v>88</v>
      </c>
      <c r="J262" s="20" t="s">
        <v>957</v>
      </c>
      <c r="K262" s="20"/>
      <c r="L262" s="20" t="s">
        <v>251</v>
      </c>
    </row>
    <row r="263" customFormat="false" ht="15" hidden="false" customHeight="false" outlineLevel="0" collapsed="false">
      <c r="A263" s="20" t="s">
        <v>1246</v>
      </c>
      <c r="B263" s="20"/>
      <c r="C263" s="20" t="s">
        <v>1247</v>
      </c>
      <c r="D263" s="20" t="s">
        <v>964</v>
      </c>
      <c r="E263" s="20" t="s">
        <v>955</v>
      </c>
      <c r="F263" s="20"/>
      <c r="G263" s="20" t="n">
        <v>2</v>
      </c>
      <c r="H263" s="20" t="s">
        <v>1248</v>
      </c>
      <c r="I263" s="20" t="s">
        <v>88</v>
      </c>
      <c r="J263" s="20" t="s">
        <v>957</v>
      </c>
      <c r="K263" s="20"/>
      <c r="L263" s="20" t="s">
        <v>251</v>
      </c>
    </row>
    <row r="264" customFormat="false" ht="15" hidden="false" customHeight="false" outlineLevel="0" collapsed="false">
      <c r="A264" s="20" t="s">
        <v>1249</v>
      </c>
      <c r="B264" s="20"/>
      <c r="C264" s="20" t="s">
        <v>1250</v>
      </c>
      <c r="D264" s="20" t="s">
        <v>964</v>
      </c>
      <c r="E264" s="20" t="s">
        <v>955</v>
      </c>
      <c r="F264" s="20"/>
      <c r="G264" s="20" t="n">
        <v>2</v>
      </c>
      <c r="H264" s="20" t="s">
        <v>1251</v>
      </c>
      <c r="I264" s="20" t="s">
        <v>88</v>
      </c>
      <c r="J264" s="20" t="s">
        <v>957</v>
      </c>
      <c r="K264" s="20"/>
      <c r="L264" s="20" t="s">
        <v>251</v>
      </c>
    </row>
    <row r="265" customFormat="false" ht="15" hidden="false" customHeight="false" outlineLevel="0" collapsed="false">
      <c r="A265" s="20" t="s">
        <v>1252</v>
      </c>
      <c r="B265" s="20"/>
      <c r="C265" s="20" t="s">
        <v>1253</v>
      </c>
      <c r="D265" s="20" t="s">
        <v>964</v>
      </c>
      <c r="E265" s="20" t="s">
        <v>955</v>
      </c>
      <c r="F265" s="20"/>
      <c r="G265" s="20" t="n">
        <v>2</v>
      </c>
      <c r="H265" s="20" t="s">
        <v>1254</v>
      </c>
      <c r="I265" s="20" t="s">
        <v>88</v>
      </c>
      <c r="J265" s="20" t="s">
        <v>957</v>
      </c>
      <c r="K265" s="20"/>
      <c r="L265" s="20" t="s">
        <v>251</v>
      </c>
    </row>
    <row r="266" customFormat="false" ht="15" hidden="false" customHeight="false" outlineLevel="0" collapsed="false">
      <c r="A266" s="20" t="s">
        <v>1255</v>
      </c>
      <c r="B266" s="20"/>
      <c r="C266" s="20" t="s">
        <v>1256</v>
      </c>
      <c r="D266" s="20" t="s">
        <v>1011</v>
      </c>
      <c r="E266" s="20" t="s">
        <v>955</v>
      </c>
      <c r="F266" s="20"/>
      <c r="G266" s="20" t="n">
        <v>3</v>
      </c>
      <c r="H266" s="20" t="s">
        <v>1257</v>
      </c>
      <c r="I266" s="20" t="s">
        <v>88</v>
      </c>
      <c r="J266" s="20" t="s">
        <v>957</v>
      </c>
      <c r="K266" s="20"/>
      <c r="L266" s="20" t="s">
        <v>251</v>
      </c>
    </row>
    <row r="267" customFormat="false" ht="15" hidden="false" customHeight="false" outlineLevel="0" collapsed="false">
      <c r="A267" s="20" t="s">
        <v>1258</v>
      </c>
      <c r="B267" s="20"/>
      <c r="C267" s="20" t="s">
        <v>1259</v>
      </c>
      <c r="D267" s="20" t="s">
        <v>964</v>
      </c>
      <c r="E267" s="20" t="s">
        <v>955</v>
      </c>
      <c r="F267" s="20"/>
      <c r="G267" s="20" t="n">
        <v>3</v>
      </c>
      <c r="H267" s="20" t="s">
        <v>1260</v>
      </c>
      <c r="I267" s="20" t="s">
        <v>88</v>
      </c>
      <c r="J267" s="20" t="s">
        <v>957</v>
      </c>
      <c r="K267" s="20"/>
      <c r="L267" s="20" t="s">
        <v>251</v>
      </c>
    </row>
    <row r="268" customFormat="false" ht="15" hidden="false" customHeight="false" outlineLevel="0" collapsed="false">
      <c r="A268" s="20" t="s">
        <v>1261</v>
      </c>
      <c r="B268" s="20"/>
      <c r="C268" s="20" t="s">
        <v>1262</v>
      </c>
      <c r="D268" s="20" t="s">
        <v>964</v>
      </c>
      <c r="E268" s="20" t="s">
        <v>955</v>
      </c>
      <c r="F268" s="20"/>
      <c r="G268" s="20" t="n">
        <v>2</v>
      </c>
      <c r="H268" s="20" t="s">
        <v>1263</v>
      </c>
      <c r="I268" s="20" t="s">
        <v>88</v>
      </c>
      <c r="J268" s="20" t="s">
        <v>957</v>
      </c>
      <c r="K268" s="20"/>
      <c r="L268" s="20" t="s">
        <v>251</v>
      </c>
    </row>
    <row r="269" customFormat="false" ht="15" hidden="false" customHeight="false" outlineLevel="0" collapsed="false">
      <c r="A269" s="20" t="s">
        <v>1264</v>
      </c>
      <c r="B269" s="20"/>
      <c r="C269" s="20" t="s">
        <v>1265</v>
      </c>
      <c r="D269" s="20" t="s">
        <v>964</v>
      </c>
      <c r="E269" s="20" t="s">
        <v>955</v>
      </c>
      <c r="F269" s="20"/>
      <c r="G269" s="20" t="n">
        <v>2</v>
      </c>
      <c r="H269" s="20" t="s">
        <v>1266</v>
      </c>
      <c r="I269" s="20" t="s">
        <v>88</v>
      </c>
      <c r="J269" s="20" t="s">
        <v>957</v>
      </c>
      <c r="K269" s="20"/>
      <c r="L269" s="20" t="s">
        <v>251</v>
      </c>
    </row>
    <row r="270" customFormat="false" ht="15" hidden="false" customHeight="false" outlineLevel="0" collapsed="false">
      <c r="A270" s="20" t="s">
        <v>1267</v>
      </c>
      <c r="B270" s="20"/>
      <c r="C270" s="20" t="s">
        <v>1268</v>
      </c>
      <c r="D270" s="20" t="s">
        <v>1183</v>
      </c>
      <c r="E270" s="20" t="s">
        <v>955</v>
      </c>
      <c r="F270" s="20"/>
      <c r="G270" s="20" t="n">
        <v>3</v>
      </c>
      <c r="H270" s="20" t="s">
        <v>1269</v>
      </c>
      <c r="I270" s="20" t="s">
        <v>88</v>
      </c>
      <c r="J270" s="20" t="s">
        <v>957</v>
      </c>
      <c r="K270" s="20"/>
      <c r="L270" s="20" t="s">
        <v>251</v>
      </c>
    </row>
    <row r="271" customFormat="false" ht="15" hidden="false" customHeight="false" outlineLevel="0" collapsed="false">
      <c r="A271" s="20" t="s">
        <v>1270</v>
      </c>
      <c r="B271" s="20"/>
      <c r="C271" s="20" t="s">
        <v>1271</v>
      </c>
      <c r="D271" s="20" t="s">
        <v>964</v>
      </c>
      <c r="E271" s="20" t="s">
        <v>955</v>
      </c>
      <c r="F271" s="20"/>
      <c r="G271" s="20" t="n">
        <v>4</v>
      </c>
      <c r="H271" s="20" t="s">
        <v>1272</v>
      </c>
      <c r="I271" s="20" t="s">
        <v>88</v>
      </c>
      <c r="J271" s="20" t="s">
        <v>957</v>
      </c>
      <c r="K271" s="20"/>
      <c r="L271" s="20" t="s">
        <v>251</v>
      </c>
    </row>
    <row r="272" customFormat="false" ht="15" hidden="false" customHeight="false" outlineLevel="0" collapsed="false">
      <c r="A272" s="20" t="s">
        <v>1273</v>
      </c>
      <c r="B272" s="20"/>
      <c r="C272" s="20" t="s">
        <v>1274</v>
      </c>
      <c r="D272" s="20" t="s">
        <v>968</v>
      </c>
      <c r="E272" s="20" t="s">
        <v>955</v>
      </c>
      <c r="F272" s="20"/>
      <c r="G272" s="20" t="n">
        <v>4</v>
      </c>
      <c r="H272" s="20" t="s">
        <v>1275</v>
      </c>
      <c r="I272" s="20" t="s">
        <v>88</v>
      </c>
      <c r="J272" s="20" t="s">
        <v>957</v>
      </c>
      <c r="K272" s="20"/>
      <c r="L272" s="20" t="s">
        <v>251</v>
      </c>
    </row>
    <row r="273" customFormat="false" ht="15" hidden="false" customHeight="false" outlineLevel="0" collapsed="false">
      <c r="A273" s="20" t="s">
        <v>1276</v>
      </c>
      <c r="B273" s="20"/>
      <c r="C273" s="20" t="s">
        <v>1277</v>
      </c>
      <c r="D273" s="20" t="s">
        <v>1278</v>
      </c>
      <c r="E273" s="20" t="s">
        <v>955</v>
      </c>
      <c r="F273" s="20"/>
      <c r="G273" s="20" t="n">
        <v>3</v>
      </c>
      <c r="H273" s="20" t="s">
        <v>1279</v>
      </c>
      <c r="I273" s="20" t="s">
        <v>88</v>
      </c>
      <c r="J273" s="20" t="s">
        <v>957</v>
      </c>
      <c r="K273" s="20"/>
      <c r="L273" s="20" t="s">
        <v>251</v>
      </c>
    </row>
    <row r="274" customFormat="false" ht="15" hidden="false" customHeight="false" outlineLevel="0" collapsed="false">
      <c r="A274" s="20" t="s">
        <v>1280</v>
      </c>
      <c r="B274" s="20"/>
      <c r="C274" s="20" t="s">
        <v>1281</v>
      </c>
      <c r="D274" s="20" t="s">
        <v>964</v>
      </c>
      <c r="E274" s="20" t="s">
        <v>955</v>
      </c>
      <c r="F274" s="20"/>
      <c r="G274" s="20" t="n">
        <v>3</v>
      </c>
      <c r="H274" s="20" t="s">
        <v>1282</v>
      </c>
      <c r="I274" s="20" t="s">
        <v>88</v>
      </c>
      <c r="J274" s="20" t="s">
        <v>957</v>
      </c>
      <c r="K274" s="20"/>
      <c r="L274" s="20" t="s">
        <v>251</v>
      </c>
    </row>
    <row r="275" customFormat="false" ht="15" hidden="false" customHeight="false" outlineLevel="0" collapsed="false">
      <c r="A275" s="20" t="s">
        <v>1283</v>
      </c>
      <c r="B275" s="20"/>
      <c r="C275" s="20" t="s">
        <v>1284</v>
      </c>
      <c r="D275" s="20" t="s">
        <v>964</v>
      </c>
      <c r="E275" s="20" t="s">
        <v>955</v>
      </c>
      <c r="F275" s="20"/>
      <c r="G275" s="20"/>
      <c r="H275" s="20" t="s">
        <v>1285</v>
      </c>
      <c r="I275" s="20" t="s">
        <v>88</v>
      </c>
      <c r="J275" s="20" t="s">
        <v>957</v>
      </c>
      <c r="K275" s="20"/>
      <c r="L275" s="20" t="s">
        <v>251</v>
      </c>
    </row>
    <row r="276" customFormat="false" ht="15" hidden="false" customHeight="false" outlineLevel="0" collapsed="false">
      <c r="A276" s="20" t="s">
        <v>1286</v>
      </c>
      <c r="B276" s="20"/>
      <c r="C276" s="20" t="s">
        <v>1287</v>
      </c>
      <c r="D276" s="20" t="s">
        <v>1288</v>
      </c>
      <c r="E276" s="20" t="s">
        <v>955</v>
      </c>
      <c r="F276" s="20"/>
      <c r="G276" s="20" t="n">
        <v>1</v>
      </c>
      <c r="H276" s="20" t="s">
        <v>1289</v>
      </c>
      <c r="I276" s="20" t="s">
        <v>88</v>
      </c>
      <c r="J276" s="20" t="s">
        <v>957</v>
      </c>
      <c r="K276" s="20"/>
      <c r="L276" s="20" t="s">
        <v>251</v>
      </c>
    </row>
    <row r="277" customFormat="false" ht="15" hidden="false" customHeight="false" outlineLevel="0" collapsed="false">
      <c r="A277" s="20" t="s">
        <v>1290</v>
      </c>
      <c r="B277" s="20"/>
      <c r="C277" s="20" t="s">
        <v>1291</v>
      </c>
      <c r="D277" s="20" t="s">
        <v>964</v>
      </c>
      <c r="E277" s="20" t="s">
        <v>955</v>
      </c>
      <c r="F277" s="20"/>
      <c r="G277" s="20" t="n">
        <v>2</v>
      </c>
      <c r="H277" s="20" t="s">
        <v>1292</v>
      </c>
      <c r="I277" s="20" t="s">
        <v>88</v>
      </c>
      <c r="J277" s="20" t="s">
        <v>957</v>
      </c>
      <c r="K277" s="20"/>
      <c r="L277" s="20" t="s">
        <v>251</v>
      </c>
    </row>
    <row r="278" customFormat="false" ht="15" hidden="false" customHeight="false" outlineLevel="0" collapsed="false">
      <c r="A278" s="20" t="s">
        <v>1293</v>
      </c>
      <c r="B278" s="20"/>
      <c r="C278" s="20" t="s">
        <v>1294</v>
      </c>
      <c r="D278" s="20" t="s">
        <v>1295</v>
      </c>
      <c r="E278" s="20" t="s">
        <v>955</v>
      </c>
      <c r="F278" s="20"/>
      <c r="G278" s="20" t="n">
        <v>4</v>
      </c>
      <c r="H278" s="20" t="s">
        <v>1296</v>
      </c>
      <c r="I278" s="20" t="s">
        <v>88</v>
      </c>
      <c r="J278" s="20" t="s">
        <v>957</v>
      </c>
      <c r="K278" s="20"/>
      <c r="L278" s="20" t="s">
        <v>251</v>
      </c>
    </row>
    <row r="279" customFormat="false" ht="15" hidden="false" customHeight="false" outlineLevel="0" collapsed="false">
      <c r="A279" s="20" t="s">
        <v>1297</v>
      </c>
      <c r="B279" s="20"/>
      <c r="C279" s="20" t="s">
        <v>1298</v>
      </c>
      <c r="D279" s="20" t="s">
        <v>964</v>
      </c>
      <c r="E279" s="20" t="s">
        <v>955</v>
      </c>
      <c r="F279" s="20"/>
      <c r="G279" s="20" t="n">
        <v>10</v>
      </c>
      <c r="H279" s="20" t="s">
        <v>1299</v>
      </c>
      <c r="I279" s="20" t="s">
        <v>88</v>
      </c>
      <c r="J279" s="20" t="s">
        <v>957</v>
      </c>
      <c r="K279" s="20"/>
      <c r="L279" s="20" t="s">
        <v>251</v>
      </c>
    </row>
    <row r="280" customFormat="false" ht="15" hidden="false" customHeight="false" outlineLevel="0" collapsed="false">
      <c r="A280" s="20" t="s">
        <v>1300</v>
      </c>
      <c r="B280" s="20"/>
      <c r="C280" s="20" t="s">
        <v>1301</v>
      </c>
      <c r="D280" s="20" t="s">
        <v>964</v>
      </c>
      <c r="E280" s="20" t="s">
        <v>955</v>
      </c>
      <c r="F280" s="20"/>
      <c r="G280" s="20"/>
      <c r="H280" s="20" t="s">
        <v>1302</v>
      </c>
      <c r="I280" s="20" t="s">
        <v>88</v>
      </c>
      <c r="J280" s="20" t="s">
        <v>957</v>
      </c>
      <c r="K280" s="20"/>
      <c r="L280" s="20" t="s">
        <v>251</v>
      </c>
    </row>
    <row r="281" customFormat="false" ht="15" hidden="false" customHeight="false" outlineLevel="0" collapsed="false">
      <c r="A281" s="20" t="s">
        <v>1303</v>
      </c>
      <c r="B281" s="20"/>
      <c r="C281" s="20" t="s">
        <v>1304</v>
      </c>
      <c r="D281" s="20" t="s">
        <v>964</v>
      </c>
      <c r="E281" s="20" t="s">
        <v>955</v>
      </c>
      <c r="F281" s="20"/>
      <c r="G281" s="20" t="n">
        <v>14</v>
      </c>
      <c r="H281" s="20" t="s">
        <v>1305</v>
      </c>
      <c r="I281" s="20" t="s">
        <v>88</v>
      </c>
      <c r="J281" s="20" t="s">
        <v>957</v>
      </c>
      <c r="K281" s="20"/>
      <c r="L281" s="20" t="s">
        <v>251</v>
      </c>
    </row>
    <row r="282" customFormat="false" ht="15" hidden="false" customHeight="false" outlineLevel="0" collapsed="false">
      <c r="A282" s="20" t="s">
        <v>1306</v>
      </c>
      <c r="B282" s="20"/>
      <c r="C282" s="20" t="s">
        <v>1307</v>
      </c>
      <c r="D282" s="20" t="s">
        <v>1011</v>
      </c>
      <c r="E282" s="20" t="s">
        <v>955</v>
      </c>
      <c r="F282" s="20"/>
      <c r="G282" s="20" t="n">
        <v>1</v>
      </c>
      <c r="H282" s="20" t="s">
        <v>1308</v>
      </c>
      <c r="I282" s="20" t="s">
        <v>88</v>
      </c>
      <c r="J282" s="20" t="s">
        <v>957</v>
      </c>
      <c r="K282" s="20"/>
      <c r="L282" s="20" t="s">
        <v>251</v>
      </c>
    </row>
    <row r="283" customFormat="false" ht="15" hidden="false" customHeight="false" outlineLevel="0" collapsed="false">
      <c r="A283" s="20" t="s">
        <v>1309</v>
      </c>
      <c r="B283" s="20"/>
      <c r="C283" s="20" t="s">
        <v>1310</v>
      </c>
      <c r="D283" s="20" t="s">
        <v>964</v>
      </c>
      <c r="E283" s="20" t="s">
        <v>955</v>
      </c>
      <c r="F283" s="20"/>
      <c r="G283" s="20" t="n">
        <v>8</v>
      </c>
      <c r="H283" s="20" t="s">
        <v>1311</v>
      </c>
      <c r="I283" s="20" t="s">
        <v>88</v>
      </c>
      <c r="J283" s="20" t="s">
        <v>957</v>
      </c>
      <c r="K283" s="20"/>
      <c r="L283" s="20" t="s">
        <v>251</v>
      </c>
    </row>
    <row r="284" customFormat="false" ht="15" hidden="false" customHeight="false" outlineLevel="0" collapsed="false">
      <c r="A284" s="20" t="s">
        <v>1312</v>
      </c>
      <c r="B284" s="20"/>
      <c r="C284" s="20" t="s">
        <v>1313</v>
      </c>
      <c r="D284" s="20" t="s">
        <v>964</v>
      </c>
      <c r="E284" s="20" t="s">
        <v>955</v>
      </c>
      <c r="F284" s="20"/>
      <c r="G284" s="20" t="n">
        <v>2</v>
      </c>
      <c r="H284" s="20" t="s">
        <v>1314</v>
      </c>
      <c r="I284" s="20" t="s">
        <v>88</v>
      </c>
      <c r="J284" s="20" t="s">
        <v>957</v>
      </c>
      <c r="K284" s="20"/>
      <c r="L284" s="20" t="s">
        <v>251</v>
      </c>
    </row>
    <row r="285" customFormat="false" ht="15" hidden="false" customHeight="false" outlineLevel="0" collapsed="false">
      <c r="A285" s="20" t="s">
        <v>1315</v>
      </c>
      <c r="B285" s="20"/>
      <c r="C285" s="20" t="s">
        <v>1316</v>
      </c>
      <c r="D285" s="20" t="s">
        <v>964</v>
      </c>
      <c r="E285" s="20" t="s">
        <v>955</v>
      </c>
      <c r="F285" s="20"/>
      <c r="G285" s="20" t="n">
        <v>7</v>
      </c>
      <c r="H285" s="20" t="s">
        <v>1317</v>
      </c>
      <c r="I285" s="20" t="s">
        <v>88</v>
      </c>
      <c r="J285" s="20" t="s">
        <v>957</v>
      </c>
      <c r="K285" s="20"/>
      <c r="L285" s="20" t="s">
        <v>251</v>
      </c>
    </row>
    <row r="286" customFormat="false" ht="15" hidden="false" customHeight="false" outlineLevel="0" collapsed="false">
      <c r="A286" s="20" t="s">
        <v>1318</v>
      </c>
      <c r="B286" s="20"/>
      <c r="C286" s="20" t="s">
        <v>1319</v>
      </c>
      <c r="D286" s="20" t="s">
        <v>964</v>
      </c>
      <c r="E286" s="20" t="s">
        <v>955</v>
      </c>
      <c r="F286" s="20"/>
      <c r="G286" s="20" t="n">
        <v>2</v>
      </c>
      <c r="H286" s="20" t="s">
        <v>1320</v>
      </c>
      <c r="I286" s="20" t="s">
        <v>88</v>
      </c>
      <c r="J286" s="20" t="s">
        <v>957</v>
      </c>
      <c r="K286" s="20"/>
      <c r="L286" s="20" t="s">
        <v>251</v>
      </c>
    </row>
    <row r="287" customFormat="false" ht="15" hidden="false" customHeight="false" outlineLevel="0" collapsed="false">
      <c r="A287" s="20" t="s">
        <v>1321</v>
      </c>
      <c r="B287" s="20"/>
      <c r="C287" s="20" t="s">
        <v>1322</v>
      </c>
      <c r="D287" s="20" t="s">
        <v>1011</v>
      </c>
      <c r="E287" s="20" t="s">
        <v>955</v>
      </c>
      <c r="F287" s="20"/>
      <c r="G287" s="20" t="n">
        <v>3</v>
      </c>
      <c r="H287" s="20" t="s">
        <v>1323</v>
      </c>
      <c r="I287" s="20" t="s">
        <v>88</v>
      </c>
      <c r="J287" s="20" t="s">
        <v>957</v>
      </c>
      <c r="K287" s="20"/>
      <c r="L287" s="20" t="s">
        <v>251</v>
      </c>
    </row>
    <row r="288" customFormat="false" ht="15" hidden="false" customHeight="false" outlineLevel="0" collapsed="false">
      <c r="A288" s="20" t="s">
        <v>1324</v>
      </c>
      <c r="B288" s="20"/>
      <c r="C288" s="20" t="s">
        <v>1325</v>
      </c>
      <c r="D288" s="20" t="s">
        <v>964</v>
      </c>
      <c r="E288" s="20" t="s">
        <v>955</v>
      </c>
      <c r="F288" s="20"/>
      <c r="G288" s="20" t="n">
        <v>3</v>
      </c>
      <c r="H288" s="20" t="s">
        <v>1326</v>
      </c>
      <c r="I288" s="20" t="s">
        <v>88</v>
      </c>
      <c r="J288" s="20" t="s">
        <v>957</v>
      </c>
      <c r="K288" s="20"/>
      <c r="L288" s="20" t="s">
        <v>251</v>
      </c>
    </row>
    <row r="289" customFormat="false" ht="15" hidden="false" customHeight="false" outlineLevel="0" collapsed="false">
      <c r="A289" s="20" t="s">
        <v>1327</v>
      </c>
      <c r="B289" s="20"/>
      <c r="C289" s="20" t="s">
        <v>1328</v>
      </c>
      <c r="D289" s="20" t="s">
        <v>964</v>
      </c>
      <c r="E289" s="20" t="s">
        <v>955</v>
      </c>
      <c r="F289" s="20"/>
      <c r="G289" s="20" t="n">
        <v>2</v>
      </c>
      <c r="H289" s="20" t="s">
        <v>1329</v>
      </c>
      <c r="I289" s="20" t="s">
        <v>88</v>
      </c>
      <c r="J289" s="20" t="s">
        <v>957</v>
      </c>
      <c r="K289" s="20"/>
      <c r="L289" s="20" t="s">
        <v>251</v>
      </c>
    </row>
    <row r="290" customFormat="false" ht="15" hidden="false" customHeight="false" outlineLevel="0" collapsed="false">
      <c r="A290" s="20" t="s">
        <v>1330</v>
      </c>
      <c r="B290" s="20"/>
      <c r="C290" s="20" t="s">
        <v>1331</v>
      </c>
      <c r="D290" s="20" t="s">
        <v>1295</v>
      </c>
      <c r="E290" s="20" t="s">
        <v>955</v>
      </c>
      <c r="F290" s="20"/>
      <c r="G290" s="20" t="n">
        <v>2</v>
      </c>
      <c r="H290" s="20" t="s">
        <v>1332</v>
      </c>
      <c r="I290" s="20" t="s">
        <v>88</v>
      </c>
      <c r="J290" s="20" t="s">
        <v>957</v>
      </c>
      <c r="K290" s="20"/>
      <c r="L290" s="20" t="s">
        <v>251</v>
      </c>
    </row>
    <row r="291" customFormat="false" ht="15" hidden="false" customHeight="false" outlineLevel="0" collapsed="false">
      <c r="A291" s="20" t="s">
        <v>1333</v>
      </c>
      <c r="B291" s="20"/>
      <c r="C291" s="20" t="s">
        <v>1334</v>
      </c>
      <c r="D291" s="20" t="s">
        <v>1335</v>
      </c>
      <c r="E291" s="20" t="s">
        <v>955</v>
      </c>
      <c r="F291" s="20"/>
      <c r="G291" s="20" t="n">
        <v>2</v>
      </c>
      <c r="H291" s="20" t="s">
        <v>1336</v>
      </c>
      <c r="I291" s="20" t="s">
        <v>88</v>
      </c>
      <c r="J291" s="20" t="s">
        <v>957</v>
      </c>
      <c r="K291" s="20"/>
      <c r="L291" s="20" t="s">
        <v>251</v>
      </c>
    </row>
    <row r="292" customFormat="false" ht="15" hidden="false" customHeight="false" outlineLevel="0" collapsed="false">
      <c r="A292" s="20" t="s">
        <v>1337</v>
      </c>
      <c r="B292" s="20"/>
      <c r="C292" s="20" t="s">
        <v>1338</v>
      </c>
      <c r="D292" s="20" t="s">
        <v>964</v>
      </c>
      <c r="E292" s="20" t="s">
        <v>955</v>
      </c>
      <c r="F292" s="20"/>
      <c r="G292" s="20" t="n">
        <v>2</v>
      </c>
      <c r="H292" s="20" t="s">
        <v>1339</v>
      </c>
      <c r="I292" s="20" t="s">
        <v>88</v>
      </c>
      <c r="J292" s="20" t="s">
        <v>957</v>
      </c>
      <c r="K292" s="20"/>
      <c r="L292" s="20" t="s">
        <v>251</v>
      </c>
    </row>
    <row r="293" customFormat="false" ht="15" hidden="false" customHeight="false" outlineLevel="0" collapsed="false">
      <c r="A293" s="20" t="s">
        <v>1340</v>
      </c>
      <c r="B293" s="20"/>
      <c r="C293" s="20" t="s">
        <v>1341</v>
      </c>
      <c r="D293" s="20" t="s">
        <v>964</v>
      </c>
      <c r="E293" s="20" t="s">
        <v>955</v>
      </c>
      <c r="F293" s="20"/>
      <c r="G293" s="20" t="n">
        <v>2</v>
      </c>
      <c r="H293" s="20" t="s">
        <v>1342</v>
      </c>
      <c r="I293" s="20" t="s">
        <v>88</v>
      </c>
      <c r="J293" s="20" t="s">
        <v>957</v>
      </c>
      <c r="K293" s="20"/>
      <c r="L293" s="20" t="s">
        <v>251</v>
      </c>
    </row>
    <row r="294" customFormat="false" ht="15" hidden="false" customHeight="false" outlineLevel="0" collapsed="false">
      <c r="A294" s="20" t="s">
        <v>1343</v>
      </c>
      <c r="B294" s="20"/>
      <c r="C294" s="20" t="s">
        <v>1344</v>
      </c>
      <c r="D294" s="20" t="s">
        <v>964</v>
      </c>
      <c r="E294" s="20" t="s">
        <v>955</v>
      </c>
      <c r="F294" s="20"/>
      <c r="G294" s="20" t="n">
        <v>3</v>
      </c>
      <c r="H294" s="20" t="s">
        <v>1345</v>
      </c>
      <c r="I294" s="20" t="s">
        <v>88</v>
      </c>
      <c r="J294" s="20" t="s">
        <v>957</v>
      </c>
      <c r="K294" s="20"/>
      <c r="L294" s="20" t="s">
        <v>251</v>
      </c>
    </row>
    <row r="295" customFormat="false" ht="15" hidden="false" customHeight="false" outlineLevel="0" collapsed="false">
      <c r="A295" s="20" t="s">
        <v>1346</v>
      </c>
      <c r="B295" s="20"/>
      <c r="C295" s="20" t="s">
        <v>1347</v>
      </c>
      <c r="D295" s="20" t="s">
        <v>964</v>
      </c>
      <c r="E295" s="20" t="s">
        <v>955</v>
      </c>
      <c r="F295" s="20"/>
      <c r="G295" s="20" t="n">
        <v>3</v>
      </c>
      <c r="H295" s="20" t="s">
        <v>1348</v>
      </c>
      <c r="I295" s="20" t="s">
        <v>88</v>
      </c>
      <c r="J295" s="20" t="s">
        <v>957</v>
      </c>
      <c r="K295" s="20"/>
      <c r="L295" s="20" t="s">
        <v>251</v>
      </c>
    </row>
    <row r="296" customFormat="false" ht="15" hidden="false" customHeight="false" outlineLevel="0" collapsed="false">
      <c r="A296" s="20" t="s">
        <v>1349</v>
      </c>
      <c r="B296" s="20"/>
      <c r="C296" s="20" t="s">
        <v>1350</v>
      </c>
      <c r="D296" s="20" t="s">
        <v>964</v>
      </c>
      <c r="E296" s="20" t="s">
        <v>955</v>
      </c>
      <c r="F296" s="20"/>
      <c r="G296" s="20" t="n">
        <v>2</v>
      </c>
      <c r="H296" s="20" t="s">
        <v>1351</v>
      </c>
      <c r="I296" s="20" t="s">
        <v>88</v>
      </c>
      <c r="J296" s="20" t="s">
        <v>957</v>
      </c>
      <c r="K296" s="20"/>
      <c r="L296" s="20" t="s">
        <v>251</v>
      </c>
    </row>
    <row r="297" customFormat="false" ht="15" hidden="false" customHeight="false" outlineLevel="0" collapsed="false">
      <c r="A297" s="20" t="s">
        <v>1352</v>
      </c>
      <c r="B297" s="20"/>
      <c r="C297" s="20" t="s">
        <v>1353</v>
      </c>
      <c r="D297" s="20" t="s">
        <v>964</v>
      </c>
      <c r="E297" s="20" t="s">
        <v>955</v>
      </c>
      <c r="F297" s="20"/>
      <c r="G297" s="20" t="n">
        <v>2</v>
      </c>
      <c r="H297" s="20" t="s">
        <v>1354</v>
      </c>
      <c r="I297" s="20" t="s">
        <v>88</v>
      </c>
      <c r="J297" s="20" t="s">
        <v>957</v>
      </c>
      <c r="K297" s="20"/>
      <c r="L297" s="20" t="s">
        <v>251</v>
      </c>
    </row>
    <row r="298" customFormat="false" ht="15" hidden="false" customHeight="false" outlineLevel="0" collapsed="false">
      <c r="A298" s="20" t="s">
        <v>1355</v>
      </c>
      <c r="B298" s="20"/>
      <c r="C298" s="20" t="s">
        <v>1356</v>
      </c>
      <c r="D298" s="20" t="s">
        <v>964</v>
      </c>
      <c r="E298" s="20" t="s">
        <v>955</v>
      </c>
      <c r="F298" s="20"/>
      <c r="G298" s="20" t="n">
        <v>2</v>
      </c>
      <c r="H298" s="20" t="s">
        <v>1357</v>
      </c>
      <c r="I298" s="20" t="s">
        <v>88</v>
      </c>
      <c r="J298" s="20" t="s">
        <v>957</v>
      </c>
      <c r="K298" s="20"/>
      <c r="L298" s="20" t="s">
        <v>251</v>
      </c>
    </row>
    <row r="299" customFormat="false" ht="15" hidden="false" customHeight="false" outlineLevel="0" collapsed="false">
      <c r="A299" s="20" t="s">
        <v>1358</v>
      </c>
      <c r="B299" s="20"/>
      <c r="C299" s="20" t="s">
        <v>1359</v>
      </c>
      <c r="D299" s="20" t="s">
        <v>964</v>
      </c>
      <c r="E299" s="20" t="s">
        <v>955</v>
      </c>
      <c r="F299" s="20"/>
      <c r="G299" s="20" t="n">
        <v>10</v>
      </c>
      <c r="H299" s="20" t="s">
        <v>1360</v>
      </c>
      <c r="I299" s="20" t="s">
        <v>88</v>
      </c>
      <c r="J299" s="20" t="s">
        <v>957</v>
      </c>
      <c r="K299" s="20"/>
      <c r="L299" s="20" t="s">
        <v>251</v>
      </c>
    </row>
    <row r="300" customFormat="false" ht="15" hidden="false" customHeight="false" outlineLevel="0" collapsed="false">
      <c r="A300" s="20" t="s">
        <v>1361</v>
      </c>
      <c r="B300" s="20"/>
      <c r="C300" s="20" t="s">
        <v>1362</v>
      </c>
      <c r="D300" s="20" t="s">
        <v>964</v>
      </c>
      <c r="E300" s="20" t="s">
        <v>955</v>
      </c>
      <c r="F300" s="20"/>
      <c r="G300" s="20" t="n">
        <v>2</v>
      </c>
      <c r="H300" s="20" t="s">
        <v>1363</v>
      </c>
      <c r="I300" s="20" t="s">
        <v>88</v>
      </c>
      <c r="J300" s="20" t="s">
        <v>957</v>
      </c>
      <c r="K300" s="20"/>
      <c r="L300" s="20" t="s">
        <v>251</v>
      </c>
    </row>
    <row r="301" customFormat="false" ht="15" hidden="false" customHeight="false" outlineLevel="0" collapsed="false">
      <c r="A301" s="20" t="s">
        <v>1364</v>
      </c>
      <c r="B301" s="20"/>
      <c r="C301" s="20" t="s">
        <v>1365</v>
      </c>
      <c r="D301" s="20" t="s">
        <v>964</v>
      </c>
      <c r="E301" s="20" t="s">
        <v>955</v>
      </c>
      <c r="F301" s="20"/>
      <c r="G301" s="20" t="n">
        <v>2</v>
      </c>
      <c r="H301" s="20" t="s">
        <v>1366</v>
      </c>
      <c r="I301" s="20" t="s">
        <v>88</v>
      </c>
      <c r="J301" s="20" t="s">
        <v>957</v>
      </c>
      <c r="K301" s="20"/>
      <c r="L301" s="20" t="s">
        <v>251</v>
      </c>
    </row>
    <row r="302" customFormat="false" ht="15" hidden="false" customHeight="false" outlineLevel="0" collapsed="false">
      <c r="A302" s="20" t="s">
        <v>1367</v>
      </c>
      <c r="B302" s="20"/>
      <c r="C302" s="20" t="s">
        <v>1368</v>
      </c>
      <c r="D302" s="20" t="s">
        <v>964</v>
      </c>
      <c r="E302" s="20" t="s">
        <v>955</v>
      </c>
      <c r="F302" s="20"/>
      <c r="G302" s="20" t="n">
        <v>4</v>
      </c>
      <c r="H302" s="20" t="s">
        <v>1369</v>
      </c>
      <c r="I302" s="20" t="s">
        <v>88</v>
      </c>
      <c r="J302" s="20" t="s">
        <v>957</v>
      </c>
      <c r="K302" s="20"/>
      <c r="L302" s="20" t="s">
        <v>251</v>
      </c>
    </row>
    <row r="303" customFormat="false" ht="15" hidden="false" customHeight="false" outlineLevel="0" collapsed="false">
      <c r="A303" s="20" t="s">
        <v>1370</v>
      </c>
      <c r="B303" s="20"/>
      <c r="C303" s="20" t="s">
        <v>1371</v>
      </c>
      <c r="D303" s="20" t="s">
        <v>964</v>
      </c>
      <c r="E303" s="20" t="s">
        <v>955</v>
      </c>
      <c r="F303" s="20"/>
      <c r="G303" s="20" t="n">
        <v>2</v>
      </c>
      <c r="H303" s="20" t="s">
        <v>1372</v>
      </c>
      <c r="I303" s="20" t="s">
        <v>88</v>
      </c>
      <c r="J303" s="20" t="s">
        <v>957</v>
      </c>
      <c r="K303" s="20"/>
      <c r="L303" s="20" t="s">
        <v>251</v>
      </c>
    </row>
    <row r="304" customFormat="false" ht="15" hidden="false" customHeight="false" outlineLevel="0" collapsed="false">
      <c r="A304" s="20" t="s">
        <v>1373</v>
      </c>
      <c r="B304" s="20"/>
      <c r="C304" s="20" t="s">
        <v>1374</v>
      </c>
      <c r="D304" s="20" t="s">
        <v>964</v>
      </c>
      <c r="E304" s="20" t="s">
        <v>955</v>
      </c>
      <c r="F304" s="20"/>
      <c r="G304" s="20" t="n">
        <v>1</v>
      </c>
      <c r="H304" s="20" t="s">
        <v>1375</v>
      </c>
      <c r="I304" s="20" t="s">
        <v>88</v>
      </c>
      <c r="J304" s="20" t="s">
        <v>957</v>
      </c>
      <c r="K304" s="20"/>
      <c r="L304" s="20" t="s">
        <v>251</v>
      </c>
    </row>
    <row r="305" customFormat="false" ht="15" hidden="false" customHeight="false" outlineLevel="0" collapsed="false">
      <c r="A305" s="20" t="s">
        <v>1376</v>
      </c>
      <c r="B305" s="20"/>
      <c r="C305" s="20" t="s">
        <v>1377</v>
      </c>
      <c r="D305" s="20" t="s">
        <v>1011</v>
      </c>
      <c r="E305" s="20" t="s">
        <v>955</v>
      </c>
      <c r="F305" s="20"/>
      <c r="G305" s="20" t="n">
        <v>3</v>
      </c>
      <c r="H305" s="20" t="s">
        <v>1378</v>
      </c>
      <c r="I305" s="20" t="s">
        <v>88</v>
      </c>
      <c r="J305" s="20" t="s">
        <v>957</v>
      </c>
      <c r="K305" s="20"/>
      <c r="L305" s="20" t="s">
        <v>251</v>
      </c>
    </row>
    <row r="306" customFormat="false" ht="15" hidden="false" customHeight="false" outlineLevel="0" collapsed="false">
      <c r="A306" s="20" t="s">
        <v>1379</v>
      </c>
      <c r="B306" s="20"/>
      <c r="C306" s="20" t="s">
        <v>1380</v>
      </c>
      <c r="D306" s="20" t="s">
        <v>964</v>
      </c>
      <c r="E306" s="20" t="s">
        <v>955</v>
      </c>
      <c r="F306" s="20"/>
      <c r="G306" s="20" t="n">
        <v>3</v>
      </c>
      <c r="H306" s="20" t="s">
        <v>1381</v>
      </c>
      <c r="I306" s="20" t="s">
        <v>88</v>
      </c>
      <c r="J306" s="20" t="s">
        <v>957</v>
      </c>
      <c r="K306" s="20"/>
      <c r="L306" s="20" t="s">
        <v>251</v>
      </c>
    </row>
    <row r="307" customFormat="false" ht="15" hidden="false" customHeight="false" outlineLevel="0" collapsed="false">
      <c r="A307" s="20" t="s">
        <v>1382</v>
      </c>
      <c r="B307" s="20"/>
      <c r="C307" s="20" t="s">
        <v>1383</v>
      </c>
      <c r="D307" s="20" t="s">
        <v>964</v>
      </c>
      <c r="E307" s="20" t="s">
        <v>955</v>
      </c>
      <c r="F307" s="20"/>
      <c r="G307" s="20" t="n">
        <v>2</v>
      </c>
      <c r="H307" s="20" t="s">
        <v>1384</v>
      </c>
      <c r="I307" s="20" t="s">
        <v>88</v>
      </c>
      <c r="J307" s="20" t="s">
        <v>957</v>
      </c>
      <c r="K307" s="20"/>
      <c r="L307" s="20" t="s">
        <v>251</v>
      </c>
    </row>
    <row r="308" customFormat="false" ht="15" hidden="false" customHeight="false" outlineLevel="0" collapsed="false">
      <c r="A308" s="20" t="s">
        <v>1385</v>
      </c>
      <c r="B308" s="20"/>
      <c r="C308" s="20" t="s">
        <v>1386</v>
      </c>
      <c r="D308" s="20" t="s">
        <v>1011</v>
      </c>
      <c r="E308" s="20" t="s">
        <v>955</v>
      </c>
      <c r="F308" s="20"/>
      <c r="G308" s="20" t="n">
        <v>1</v>
      </c>
      <c r="H308" s="20" t="s">
        <v>1387</v>
      </c>
      <c r="I308" s="20" t="s">
        <v>88</v>
      </c>
      <c r="J308" s="20" t="s">
        <v>957</v>
      </c>
      <c r="K308" s="20"/>
      <c r="L308" s="20" t="s">
        <v>251</v>
      </c>
    </row>
    <row r="309" customFormat="false" ht="15" hidden="false" customHeight="false" outlineLevel="0" collapsed="false">
      <c r="A309" s="20" t="s">
        <v>1388</v>
      </c>
      <c r="B309" s="20"/>
      <c r="C309" s="20" t="s">
        <v>1389</v>
      </c>
      <c r="D309" s="20" t="s">
        <v>964</v>
      </c>
      <c r="E309" s="20" t="s">
        <v>955</v>
      </c>
      <c r="F309" s="20"/>
      <c r="G309" s="20" t="n">
        <v>5</v>
      </c>
      <c r="H309" s="20" t="s">
        <v>1390</v>
      </c>
      <c r="I309" s="20" t="s">
        <v>88</v>
      </c>
      <c r="J309" s="20" t="s">
        <v>957</v>
      </c>
      <c r="K309" s="20"/>
      <c r="L309" s="20" t="s">
        <v>251</v>
      </c>
    </row>
    <row r="310" customFormat="false" ht="15" hidden="false" customHeight="false" outlineLevel="0" collapsed="false">
      <c r="A310" s="20" t="s">
        <v>1391</v>
      </c>
      <c r="B310" s="20"/>
      <c r="C310" s="20" t="s">
        <v>1392</v>
      </c>
      <c r="D310" s="20" t="s">
        <v>964</v>
      </c>
      <c r="E310" s="20" t="s">
        <v>955</v>
      </c>
      <c r="F310" s="20"/>
      <c r="G310" s="20" t="n">
        <v>2</v>
      </c>
      <c r="H310" s="20" t="s">
        <v>1393</v>
      </c>
      <c r="I310" s="20" t="s">
        <v>88</v>
      </c>
      <c r="J310" s="20" t="s">
        <v>957</v>
      </c>
      <c r="K310" s="20"/>
      <c r="L310" s="20" t="s">
        <v>251</v>
      </c>
    </row>
    <row r="311" customFormat="false" ht="15" hidden="false" customHeight="false" outlineLevel="0" collapsed="false">
      <c r="A311" s="20" t="s">
        <v>1394</v>
      </c>
      <c r="B311" s="20"/>
      <c r="C311" s="20" t="s">
        <v>1395</v>
      </c>
      <c r="D311" s="20" t="s">
        <v>964</v>
      </c>
      <c r="E311" s="20" t="s">
        <v>955</v>
      </c>
      <c r="F311" s="20"/>
      <c r="G311" s="20" t="n">
        <v>3</v>
      </c>
      <c r="H311" s="20" t="s">
        <v>1396</v>
      </c>
      <c r="I311" s="20" t="s">
        <v>88</v>
      </c>
      <c r="J311" s="20" t="s">
        <v>957</v>
      </c>
      <c r="K311" s="20"/>
      <c r="L311" s="20" t="s">
        <v>251</v>
      </c>
    </row>
    <row r="312" customFormat="false" ht="15" hidden="false" customHeight="false" outlineLevel="0" collapsed="false">
      <c r="A312" s="20" t="s">
        <v>1397</v>
      </c>
      <c r="B312" s="20"/>
      <c r="C312" s="20" t="s">
        <v>1398</v>
      </c>
      <c r="D312" s="20" t="s">
        <v>964</v>
      </c>
      <c r="E312" s="20" t="s">
        <v>955</v>
      </c>
      <c r="F312" s="20"/>
      <c r="G312" s="20" t="n">
        <v>2</v>
      </c>
      <c r="H312" s="20" t="s">
        <v>1399</v>
      </c>
      <c r="I312" s="20" t="s">
        <v>88</v>
      </c>
      <c r="J312" s="20" t="s">
        <v>957</v>
      </c>
      <c r="K312" s="20"/>
      <c r="L312" s="20" t="s">
        <v>251</v>
      </c>
    </row>
    <row r="313" customFormat="false" ht="15" hidden="false" customHeight="false" outlineLevel="0" collapsed="false">
      <c r="A313" s="20" t="s">
        <v>1400</v>
      </c>
      <c r="B313" s="20"/>
      <c r="C313" s="20" t="s">
        <v>1401</v>
      </c>
      <c r="D313" s="20" t="s">
        <v>964</v>
      </c>
      <c r="E313" s="20" t="s">
        <v>955</v>
      </c>
      <c r="F313" s="20"/>
      <c r="G313" s="20" t="n">
        <v>10</v>
      </c>
      <c r="H313" s="20" t="s">
        <v>1402</v>
      </c>
      <c r="I313" s="20" t="s">
        <v>88</v>
      </c>
      <c r="J313" s="20" t="s">
        <v>957</v>
      </c>
      <c r="K313" s="20"/>
      <c r="L313" s="20" t="s">
        <v>251</v>
      </c>
    </row>
    <row r="314" customFormat="false" ht="15" hidden="false" customHeight="false" outlineLevel="0" collapsed="false">
      <c r="A314" s="20" t="s">
        <v>1403</v>
      </c>
      <c r="B314" s="20"/>
      <c r="C314" s="20" t="s">
        <v>1404</v>
      </c>
      <c r="D314" s="20" t="s">
        <v>964</v>
      </c>
      <c r="E314" s="20" t="s">
        <v>955</v>
      </c>
      <c r="F314" s="20"/>
      <c r="G314" s="20" t="n">
        <v>2</v>
      </c>
      <c r="H314" s="20" t="s">
        <v>1405</v>
      </c>
      <c r="I314" s="20" t="s">
        <v>88</v>
      </c>
      <c r="J314" s="20" t="s">
        <v>957</v>
      </c>
      <c r="K314" s="20"/>
      <c r="L314" s="20" t="s">
        <v>251</v>
      </c>
    </row>
    <row r="315" customFormat="false" ht="15" hidden="false" customHeight="false" outlineLevel="0" collapsed="false">
      <c r="A315" s="20" t="s">
        <v>1406</v>
      </c>
      <c r="B315" s="20"/>
      <c r="C315" s="20" t="s">
        <v>1407</v>
      </c>
      <c r="D315" s="20" t="s">
        <v>964</v>
      </c>
      <c r="E315" s="20" t="s">
        <v>955</v>
      </c>
      <c r="F315" s="20"/>
      <c r="G315" s="20" t="n">
        <v>1</v>
      </c>
      <c r="H315" s="20" t="s">
        <v>1408</v>
      </c>
      <c r="I315" s="20" t="s">
        <v>88</v>
      </c>
      <c r="J315" s="20" t="s">
        <v>957</v>
      </c>
      <c r="K315" s="20"/>
      <c r="L315" s="20" t="s">
        <v>251</v>
      </c>
    </row>
    <row r="316" customFormat="false" ht="15" hidden="false" customHeight="false" outlineLevel="0" collapsed="false">
      <c r="A316" s="20" t="s">
        <v>1409</v>
      </c>
      <c r="B316" s="20"/>
      <c r="C316" s="20" t="s">
        <v>1410</v>
      </c>
      <c r="D316" s="20" t="s">
        <v>964</v>
      </c>
      <c r="E316" s="20" t="s">
        <v>955</v>
      </c>
      <c r="F316" s="20"/>
      <c r="G316" s="20" t="n">
        <v>8</v>
      </c>
      <c r="H316" s="20" t="s">
        <v>1411</v>
      </c>
      <c r="I316" s="20" t="s">
        <v>88</v>
      </c>
      <c r="J316" s="20" t="s">
        <v>957</v>
      </c>
      <c r="K316" s="20"/>
      <c r="L316" s="20" t="s">
        <v>251</v>
      </c>
    </row>
    <row r="317" customFormat="false" ht="15" hidden="false" customHeight="false" outlineLevel="0" collapsed="false">
      <c r="A317" s="20" t="s">
        <v>1412</v>
      </c>
      <c r="B317" s="20"/>
      <c r="C317" s="20" t="s">
        <v>1413</v>
      </c>
      <c r="D317" s="20" t="s">
        <v>964</v>
      </c>
      <c r="E317" s="20" t="s">
        <v>955</v>
      </c>
      <c r="F317" s="20"/>
      <c r="G317" s="20" t="n">
        <v>2</v>
      </c>
      <c r="H317" s="20" t="s">
        <v>1414</v>
      </c>
      <c r="I317" s="20" t="s">
        <v>88</v>
      </c>
      <c r="J317" s="20" t="s">
        <v>957</v>
      </c>
      <c r="K317" s="20"/>
      <c r="L317" s="20" t="s">
        <v>251</v>
      </c>
    </row>
    <row r="318" customFormat="false" ht="15" hidden="false" customHeight="false" outlineLevel="0" collapsed="false">
      <c r="A318" s="20" t="s">
        <v>1415</v>
      </c>
      <c r="B318" s="20"/>
      <c r="C318" s="20" t="s">
        <v>1416</v>
      </c>
      <c r="D318" s="20" t="s">
        <v>1097</v>
      </c>
      <c r="E318" s="20" t="s">
        <v>955</v>
      </c>
      <c r="F318" s="20"/>
      <c r="G318" s="20" t="n">
        <v>3</v>
      </c>
      <c r="H318" s="20" t="s">
        <v>1417</v>
      </c>
      <c r="I318" s="20" t="s">
        <v>88</v>
      </c>
      <c r="J318" s="20" t="s">
        <v>957</v>
      </c>
      <c r="K318" s="20"/>
      <c r="L318" s="20" t="s">
        <v>251</v>
      </c>
    </row>
    <row r="319" customFormat="false" ht="15" hidden="false" customHeight="false" outlineLevel="0" collapsed="false">
      <c r="A319" s="20" t="s">
        <v>1418</v>
      </c>
      <c r="B319" s="20"/>
      <c r="C319" s="20" t="s">
        <v>1419</v>
      </c>
      <c r="D319" s="20" t="s">
        <v>1183</v>
      </c>
      <c r="E319" s="20" t="s">
        <v>955</v>
      </c>
      <c r="F319" s="20"/>
      <c r="G319" s="20" t="n">
        <v>4</v>
      </c>
      <c r="H319" s="20" t="s">
        <v>1420</v>
      </c>
      <c r="I319" s="20" t="s">
        <v>88</v>
      </c>
      <c r="J319" s="20" t="s">
        <v>957</v>
      </c>
      <c r="K319" s="20"/>
      <c r="L319" s="20" t="s">
        <v>251</v>
      </c>
    </row>
    <row r="320" customFormat="false" ht="15" hidden="false" customHeight="false" outlineLevel="0" collapsed="false">
      <c r="A320" s="20" t="s">
        <v>1421</v>
      </c>
      <c r="B320" s="20"/>
      <c r="C320" s="20" t="s">
        <v>1422</v>
      </c>
      <c r="D320" s="20" t="s">
        <v>964</v>
      </c>
      <c r="E320" s="20" t="s">
        <v>955</v>
      </c>
      <c r="F320" s="20"/>
      <c r="G320" s="20" t="n">
        <v>12</v>
      </c>
      <c r="H320" s="20" t="s">
        <v>1423</v>
      </c>
      <c r="I320" s="20" t="s">
        <v>88</v>
      </c>
      <c r="J320" s="20" t="s">
        <v>957</v>
      </c>
      <c r="K320" s="20"/>
      <c r="L320" s="20" t="s">
        <v>251</v>
      </c>
    </row>
    <row r="321" customFormat="false" ht="15" hidden="false" customHeight="false" outlineLevel="0" collapsed="false">
      <c r="A321" s="20" t="s">
        <v>1424</v>
      </c>
      <c r="B321" s="20"/>
      <c r="C321" s="20" t="s">
        <v>1425</v>
      </c>
      <c r="D321" s="20" t="s">
        <v>964</v>
      </c>
      <c r="E321" s="20" t="s">
        <v>955</v>
      </c>
      <c r="F321" s="20"/>
      <c r="G321" s="20" t="n">
        <v>3</v>
      </c>
      <c r="H321" s="20" t="s">
        <v>1426</v>
      </c>
      <c r="I321" s="20" t="s">
        <v>88</v>
      </c>
      <c r="J321" s="20" t="s">
        <v>957</v>
      </c>
      <c r="K321" s="20"/>
      <c r="L321" s="20" t="s">
        <v>251</v>
      </c>
    </row>
    <row r="322" customFormat="false" ht="15" hidden="false" customHeight="false" outlineLevel="0" collapsed="false">
      <c r="A322" s="20" t="s">
        <v>1427</v>
      </c>
      <c r="B322" s="20"/>
      <c r="C322" s="20" t="s">
        <v>1428</v>
      </c>
      <c r="D322" s="20" t="s">
        <v>964</v>
      </c>
      <c r="E322" s="20" t="s">
        <v>955</v>
      </c>
      <c r="F322" s="20"/>
      <c r="G322" s="20" t="n">
        <v>5</v>
      </c>
      <c r="H322" s="20" t="s">
        <v>1429</v>
      </c>
      <c r="I322" s="20" t="s">
        <v>88</v>
      </c>
      <c r="J322" s="20" t="s">
        <v>957</v>
      </c>
      <c r="K322" s="20"/>
      <c r="L322" s="20" t="s">
        <v>251</v>
      </c>
    </row>
    <row r="323" customFormat="false" ht="15" hidden="false" customHeight="false" outlineLevel="0" collapsed="false">
      <c r="A323" s="20" t="s">
        <v>1430</v>
      </c>
      <c r="B323" s="20"/>
      <c r="C323" s="20" t="s">
        <v>1431</v>
      </c>
      <c r="D323" s="20" t="s">
        <v>964</v>
      </c>
      <c r="E323" s="20" t="s">
        <v>955</v>
      </c>
      <c r="F323" s="20"/>
      <c r="G323" s="20" t="n">
        <v>2</v>
      </c>
      <c r="H323" s="20" t="s">
        <v>1432</v>
      </c>
      <c r="I323" s="20" t="s">
        <v>88</v>
      </c>
      <c r="J323" s="20" t="s">
        <v>957</v>
      </c>
      <c r="K323" s="20"/>
      <c r="L323" s="20" t="s">
        <v>251</v>
      </c>
    </row>
    <row r="324" customFormat="false" ht="15" hidden="false" customHeight="false" outlineLevel="0" collapsed="false">
      <c r="A324" s="20" t="s">
        <v>1433</v>
      </c>
      <c r="B324" s="20"/>
      <c r="C324" s="20" t="s">
        <v>1434</v>
      </c>
      <c r="D324" s="20" t="s">
        <v>964</v>
      </c>
      <c r="E324" s="20" t="s">
        <v>955</v>
      </c>
      <c r="F324" s="20"/>
      <c r="G324" s="20" t="n">
        <v>2</v>
      </c>
      <c r="H324" s="20" t="s">
        <v>1435</v>
      </c>
      <c r="I324" s="20" t="s">
        <v>88</v>
      </c>
      <c r="J324" s="20" t="s">
        <v>957</v>
      </c>
      <c r="K324" s="20"/>
      <c r="L324" s="20" t="s">
        <v>251</v>
      </c>
    </row>
    <row r="325" customFormat="false" ht="15" hidden="false" customHeight="false" outlineLevel="0" collapsed="false">
      <c r="A325" s="20" t="s">
        <v>1436</v>
      </c>
      <c r="B325" s="20"/>
      <c r="C325" s="20" t="s">
        <v>1437</v>
      </c>
      <c r="D325" s="20" t="s">
        <v>964</v>
      </c>
      <c r="E325" s="20" t="s">
        <v>955</v>
      </c>
      <c r="F325" s="20"/>
      <c r="G325" s="20" t="n">
        <v>4</v>
      </c>
      <c r="H325" s="20" t="s">
        <v>1438</v>
      </c>
      <c r="I325" s="20" t="s">
        <v>88</v>
      </c>
      <c r="J325" s="20" t="s">
        <v>957</v>
      </c>
      <c r="K325" s="20"/>
      <c r="L325" s="20" t="s">
        <v>251</v>
      </c>
    </row>
    <row r="326" customFormat="false" ht="15" hidden="false" customHeight="false" outlineLevel="0" collapsed="false">
      <c r="A326" s="20" t="s">
        <v>1439</v>
      </c>
      <c r="B326" s="20"/>
      <c r="C326" s="20" t="s">
        <v>1440</v>
      </c>
      <c r="D326" s="20" t="s">
        <v>1011</v>
      </c>
      <c r="E326" s="20" t="s">
        <v>955</v>
      </c>
      <c r="F326" s="20"/>
      <c r="G326" s="20" t="n">
        <v>2</v>
      </c>
      <c r="H326" s="20" t="s">
        <v>1441</v>
      </c>
      <c r="I326" s="20" t="s">
        <v>88</v>
      </c>
      <c r="J326" s="20" t="s">
        <v>957</v>
      </c>
      <c r="K326" s="20"/>
      <c r="L326" s="20" t="s">
        <v>251</v>
      </c>
    </row>
    <row r="327" customFormat="false" ht="15" hidden="false" customHeight="false" outlineLevel="0" collapsed="false">
      <c r="A327" s="20" t="s">
        <v>1442</v>
      </c>
      <c r="B327" s="20"/>
      <c r="C327" s="20" t="s">
        <v>1443</v>
      </c>
      <c r="D327" s="20" t="s">
        <v>964</v>
      </c>
      <c r="E327" s="20" t="s">
        <v>955</v>
      </c>
      <c r="F327" s="20"/>
      <c r="G327" s="20" t="n">
        <v>3</v>
      </c>
      <c r="H327" s="20" t="s">
        <v>1444</v>
      </c>
      <c r="I327" s="20" t="s">
        <v>88</v>
      </c>
      <c r="J327" s="20" t="s">
        <v>957</v>
      </c>
      <c r="K327" s="20"/>
      <c r="L327" s="20" t="s">
        <v>251</v>
      </c>
    </row>
    <row r="328" customFormat="false" ht="15" hidden="false" customHeight="false" outlineLevel="0" collapsed="false">
      <c r="A328" s="20" t="s">
        <v>1445</v>
      </c>
      <c r="B328" s="20"/>
      <c r="C328" s="20" t="s">
        <v>1446</v>
      </c>
      <c r="D328" s="20" t="s">
        <v>964</v>
      </c>
      <c r="E328" s="20" t="s">
        <v>955</v>
      </c>
      <c r="F328" s="20"/>
      <c r="G328" s="20"/>
      <c r="H328" s="20" t="s">
        <v>1447</v>
      </c>
      <c r="I328" s="20" t="s">
        <v>88</v>
      </c>
      <c r="J328" s="20" t="s">
        <v>957</v>
      </c>
      <c r="K328" s="20"/>
      <c r="L328" s="20" t="s">
        <v>251</v>
      </c>
    </row>
    <row r="329" customFormat="false" ht="15" hidden="false" customHeight="false" outlineLevel="0" collapsed="false">
      <c r="A329" s="20" t="s">
        <v>1448</v>
      </c>
      <c r="B329" s="20"/>
      <c r="C329" s="20" t="s">
        <v>1449</v>
      </c>
      <c r="D329" s="20" t="s">
        <v>964</v>
      </c>
      <c r="E329" s="20" t="s">
        <v>955</v>
      </c>
      <c r="F329" s="20"/>
      <c r="G329" s="20" t="n">
        <v>2</v>
      </c>
      <c r="H329" s="20" t="s">
        <v>1450</v>
      </c>
      <c r="I329" s="20" t="s">
        <v>88</v>
      </c>
      <c r="J329" s="20" t="s">
        <v>957</v>
      </c>
      <c r="K329" s="20"/>
      <c r="L329" s="20" t="s">
        <v>251</v>
      </c>
    </row>
    <row r="330" customFormat="false" ht="15" hidden="false" customHeight="false" outlineLevel="0" collapsed="false">
      <c r="A330" s="20" t="s">
        <v>1451</v>
      </c>
      <c r="B330" s="20"/>
      <c r="C330" s="20" t="s">
        <v>1452</v>
      </c>
      <c r="D330" s="20" t="s">
        <v>964</v>
      </c>
      <c r="E330" s="20" t="s">
        <v>955</v>
      </c>
      <c r="F330" s="20"/>
      <c r="G330" s="20"/>
      <c r="H330" s="20" t="s">
        <v>1453</v>
      </c>
      <c r="I330" s="20" t="s">
        <v>88</v>
      </c>
      <c r="J330" s="20" t="s">
        <v>957</v>
      </c>
      <c r="K330" s="20"/>
      <c r="L330" s="20" t="s">
        <v>251</v>
      </c>
    </row>
    <row r="331" customFormat="false" ht="15" hidden="false" customHeight="false" outlineLevel="0" collapsed="false">
      <c r="A331" s="20" t="s">
        <v>1454</v>
      </c>
      <c r="B331" s="20"/>
      <c r="C331" s="20" t="s">
        <v>1455</v>
      </c>
      <c r="D331" s="20" t="s">
        <v>964</v>
      </c>
      <c r="E331" s="20" t="s">
        <v>955</v>
      </c>
      <c r="F331" s="20"/>
      <c r="G331" s="20" t="n">
        <v>3</v>
      </c>
      <c r="H331" s="20" t="s">
        <v>1456</v>
      </c>
      <c r="I331" s="20" t="s">
        <v>88</v>
      </c>
      <c r="J331" s="20" t="s">
        <v>957</v>
      </c>
      <c r="K331" s="20"/>
      <c r="L331" s="20" t="s">
        <v>251</v>
      </c>
    </row>
    <row r="332" customFormat="false" ht="15" hidden="false" customHeight="false" outlineLevel="0" collapsed="false">
      <c r="A332" s="20" t="s">
        <v>1457</v>
      </c>
      <c r="B332" s="20"/>
      <c r="C332" s="20" t="s">
        <v>1458</v>
      </c>
      <c r="D332" s="20" t="s">
        <v>964</v>
      </c>
      <c r="E332" s="20" t="s">
        <v>955</v>
      </c>
      <c r="F332" s="20"/>
      <c r="G332" s="20" t="n">
        <v>2</v>
      </c>
      <c r="H332" s="20" t="s">
        <v>1459</v>
      </c>
      <c r="I332" s="20" t="s">
        <v>88</v>
      </c>
      <c r="J332" s="20" t="s">
        <v>957</v>
      </c>
      <c r="K332" s="20"/>
      <c r="L332" s="20" t="s">
        <v>251</v>
      </c>
    </row>
    <row r="333" customFormat="false" ht="15" hidden="false" customHeight="false" outlineLevel="0" collapsed="false">
      <c r="A333" s="20" t="s">
        <v>1460</v>
      </c>
      <c r="B333" s="20"/>
      <c r="C333" s="20" t="s">
        <v>1461</v>
      </c>
      <c r="D333" s="20" t="s">
        <v>1011</v>
      </c>
      <c r="E333" s="20" t="s">
        <v>1462</v>
      </c>
      <c r="F333" s="20"/>
      <c r="G333" s="20" t="n">
        <v>3</v>
      </c>
      <c r="H333" s="20" t="s">
        <v>1463</v>
      </c>
      <c r="I333" s="20" t="s">
        <v>88</v>
      </c>
      <c r="J333" s="20" t="s">
        <v>957</v>
      </c>
      <c r="K333" s="20"/>
      <c r="L333" s="20" t="s">
        <v>251</v>
      </c>
    </row>
    <row r="334" customFormat="false" ht="15" hidden="false" customHeight="false" outlineLevel="0" collapsed="false">
      <c r="A334" s="20" t="s">
        <v>1464</v>
      </c>
      <c r="B334" s="20"/>
      <c r="C334" s="20" t="s">
        <v>1465</v>
      </c>
      <c r="D334" s="20" t="s">
        <v>964</v>
      </c>
      <c r="E334" s="20" t="s">
        <v>1462</v>
      </c>
      <c r="F334" s="20"/>
      <c r="G334" s="20" t="n">
        <v>5</v>
      </c>
      <c r="H334" s="20" t="s">
        <v>1466</v>
      </c>
      <c r="I334" s="20" t="s">
        <v>88</v>
      </c>
      <c r="J334" s="20" t="s">
        <v>957</v>
      </c>
      <c r="K334" s="20"/>
      <c r="L334" s="20" t="s">
        <v>251</v>
      </c>
    </row>
    <row r="335" customFormat="false" ht="15" hidden="false" customHeight="false" outlineLevel="0" collapsed="false">
      <c r="A335" s="20" t="s">
        <v>1467</v>
      </c>
      <c r="B335" s="20"/>
      <c r="C335" s="20" t="s">
        <v>1468</v>
      </c>
      <c r="D335" s="20" t="s">
        <v>964</v>
      </c>
      <c r="E335" s="20" t="s">
        <v>1462</v>
      </c>
      <c r="F335" s="20"/>
      <c r="G335" s="20" t="n">
        <v>3</v>
      </c>
      <c r="H335" s="20" t="s">
        <v>1469</v>
      </c>
      <c r="I335" s="20" t="s">
        <v>88</v>
      </c>
      <c r="J335" s="20" t="s">
        <v>957</v>
      </c>
      <c r="K335" s="20"/>
      <c r="L335" s="20" t="s">
        <v>251</v>
      </c>
    </row>
    <row r="336" customFormat="false" ht="15" hidden="false" customHeight="false" outlineLevel="0" collapsed="false">
      <c r="A336" s="20" t="s">
        <v>1470</v>
      </c>
      <c r="B336" s="20"/>
      <c r="C336" s="20" t="s">
        <v>1471</v>
      </c>
      <c r="D336" s="20" t="s">
        <v>964</v>
      </c>
      <c r="E336" s="20" t="s">
        <v>1462</v>
      </c>
      <c r="F336" s="20"/>
      <c r="G336" s="20" t="n">
        <v>7</v>
      </c>
      <c r="H336" s="20" t="s">
        <v>1472</v>
      </c>
      <c r="I336" s="20" t="s">
        <v>88</v>
      </c>
      <c r="J336" s="20" t="s">
        <v>957</v>
      </c>
      <c r="K336" s="20"/>
      <c r="L336" s="20" t="s">
        <v>251</v>
      </c>
    </row>
    <row r="337" customFormat="false" ht="15" hidden="false" customHeight="false" outlineLevel="0" collapsed="false">
      <c r="A337" s="20" t="s">
        <v>1473</v>
      </c>
      <c r="B337" s="20"/>
      <c r="C337" s="20" t="s">
        <v>1474</v>
      </c>
      <c r="D337" s="20" t="s">
        <v>1475</v>
      </c>
      <c r="E337" s="20" t="s">
        <v>1462</v>
      </c>
      <c r="F337" s="20"/>
      <c r="G337" s="20" t="n">
        <v>2</v>
      </c>
      <c r="H337" s="20" t="s">
        <v>1476</v>
      </c>
      <c r="I337" s="20" t="s">
        <v>88</v>
      </c>
      <c r="J337" s="20" t="s">
        <v>957</v>
      </c>
      <c r="K337" s="20"/>
      <c r="L337" s="20" t="s">
        <v>251</v>
      </c>
    </row>
    <row r="338" customFormat="false" ht="15" hidden="false" customHeight="false" outlineLevel="0" collapsed="false">
      <c r="A338" s="20" t="s">
        <v>1477</v>
      </c>
      <c r="B338" s="20"/>
      <c r="C338" s="20" t="s">
        <v>1478</v>
      </c>
      <c r="D338" s="20" t="s">
        <v>964</v>
      </c>
      <c r="E338" s="20" t="s">
        <v>1462</v>
      </c>
      <c r="F338" s="20"/>
      <c r="G338" s="20" t="n">
        <v>4</v>
      </c>
      <c r="H338" s="20" t="s">
        <v>1479</v>
      </c>
      <c r="I338" s="20" t="s">
        <v>88</v>
      </c>
      <c r="J338" s="20" t="s">
        <v>957</v>
      </c>
      <c r="K338" s="20"/>
      <c r="L338" s="20" t="s">
        <v>251</v>
      </c>
    </row>
    <row r="339" customFormat="false" ht="15" hidden="false" customHeight="false" outlineLevel="0" collapsed="false">
      <c r="A339" s="20" t="s">
        <v>1480</v>
      </c>
      <c r="B339" s="20"/>
      <c r="C339" s="20" t="s">
        <v>1481</v>
      </c>
      <c r="D339" s="20" t="s">
        <v>1011</v>
      </c>
      <c r="E339" s="20" t="s">
        <v>1462</v>
      </c>
      <c r="F339" s="20"/>
      <c r="G339" s="20" t="n">
        <v>2</v>
      </c>
      <c r="H339" s="20" t="s">
        <v>1482</v>
      </c>
      <c r="I339" s="20" t="s">
        <v>88</v>
      </c>
      <c r="J339" s="20" t="s">
        <v>957</v>
      </c>
      <c r="K339" s="20"/>
      <c r="L339" s="20" t="s">
        <v>251</v>
      </c>
    </row>
    <row r="340" customFormat="false" ht="15" hidden="false" customHeight="false" outlineLevel="0" collapsed="false">
      <c r="A340" s="20" t="s">
        <v>1483</v>
      </c>
      <c r="B340" s="20"/>
      <c r="C340" s="20" t="s">
        <v>1484</v>
      </c>
      <c r="D340" s="20" t="s">
        <v>964</v>
      </c>
      <c r="E340" s="20" t="s">
        <v>1462</v>
      </c>
      <c r="F340" s="20"/>
      <c r="G340" s="20" t="n">
        <v>3</v>
      </c>
      <c r="H340" s="20" t="s">
        <v>1485</v>
      </c>
      <c r="I340" s="20" t="s">
        <v>88</v>
      </c>
      <c r="J340" s="20" t="s">
        <v>957</v>
      </c>
      <c r="K340" s="20"/>
      <c r="L340" s="20" t="s">
        <v>251</v>
      </c>
    </row>
    <row r="341" customFormat="false" ht="15" hidden="false" customHeight="false" outlineLevel="0" collapsed="false">
      <c r="A341" s="20" t="s">
        <v>1486</v>
      </c>
      <c r="B341" s="20"/>
      <c r="C341" s="20" t="s">
        <v>1487</v>
      </c>
      <c r="D341" s="20" t="s">
        <v>964</v>
      </c>
      <c r="E341" s="20" t="s">
        <v>1462</v>
      </c>
      <c r="F341" s="20"/>
      <c r="G341" s="20" t="n">
        <v>3</v>
      </c>
      <c r="H341" s="20" t="s">
        <v>1488</v>
      </c>
      <c r="I341" s="20" t="s">
        <v>88</v>
      </c>
      <c r="J341" s="20" t="s">
        <v>957</v>
      </c>
      <c r="K341" s="20"/>
      <c r="L341" s="20" t="s">
        <v>251</v>
      </c>
    </row>
    <row r="342" customFormat="false" ht="15" hidden="false" customHeight="false" outlineLevel="0" collapsed="false">
      <c r="A342" s="20" t="s">
        <v>1489</v>
      </c>
      <c r="B342" s="20"/>
      <c r="C342" s="20" t="s">
        <v>1490</v>
      </c>
      <c r="D342" s="20" t="s">
        <v>1011</v>
      </c>
      <c r="E342" s="20" t="s">
        <v>1462</v>
      </c>
      <c r="F342" s="20"/>
      <c r="G342" s="20" t="n">
        <v>30</v>
      </c>
      <c r="H342" s="20" t="s">
        <v>1491</v>
      </c>
      <c r="I342" s="20" t="s">
        <v>88</v>
      </c>
      <c r="J342" s="20" t="s">
        <v>957</v>
      </c>
      <c r="K342" s="20"/>
      <c r="L342" s="20" t="s">
        <v>251</v>
      </c>
    </row>
    <row r="343" customFormat="false" ht="15" hidden="false" customHeight="false" outlineLevel="0" collapsed="false">
      <c r="A343" s="20" t="s">
        <v>1492</v>
      </c>
      <c r="B343" s="20"/>
      <c r="C343" s="20" t="s">
        <v>1493</v>
      </c>
      <c r="D343" s="20" t="s">
        <v>1011</v>
      </c>
      <c r="E343" s="20" t="s">
        <v>1462</v>
      </c>
      <c r="F343" s="20"/>
      <c r="G343" s="20" t="n">
        <v>7</v>
      </c>
      <c r="H343" s="20" t="s">
        <v>1494</v>
      </c>
      <c r="I343" s="20" t="s">
        <v>88</v>
      </c>
      <c r="J343" s="20" t="s">
        <v>957</v>
      </c>
      <c r="K343" s="20"/>
      <c r="L343" s="20" t="s">
        <v>251</v>
      </c>
    </row>
    <row r="344" customFormat="false" ht="15" hidden="false" customHeight="false" outlineLevel="0" collapsed="false">
      <c r="A344" s="20" t="s">
        <v>1495</v>
      </c>
      <c r="B344" s="20"/>
      <c r="C344" s="20" t="s">
        <v>1496</v>
      </c>
      <c r="D344" s="20" t="s">
        <v>964</v>
      </c>
      <c r="E344" s="20" t="s">
        <v>1462</v>
      </c>
      <c r="F344" s="20"/>
      <c r="G344" s="20" t="n">
        <v>2</v>
      </c>
      <c r="H344" s="20" t="s">
        <v>1497</v>
      </c>
      <c r="I344" s="20" t="s">
        <v>88</v>
      </c>
      <c r="J344" s="20" t="s">
        <v>957</v>
      </c>
      <c r="K344" s="20"/>
      <c r="L344" s="20" t="s">
        <v>251</v>
      </c>
    </row>
    <row r="345" customFormat="false" ht="15" hidden="false" customHeight="false" outlineLevel="0" collapsed="false">
      <c r="A345" s="20" t="s">
        <v>1498</v>
      </c>
      <c r="B345" s="20"/>
      <c r="C345" s="20" t="s">
        <v>1499</v>
      </c>
      <c r="D345" s="20" t="s">
        <v>964</v>
      </c>
      <c r="E345" s="20" t="s">
        <v>1462</v>
      </c>
      <c r="F345" s="20"/>
      <c r="G345" s="20" t="n">
        <v>3</v>
      </c>
      <c r="H345" s="20" t="s">
        <v>1500</v>
      </c>
      <c r="I345" s="20" t="s">
        <v>88</v>
      </c>
      <c r="J345" s="20" t="s">
        <v>957</v>
      </c>
      <c r="K345" s="20"/>
      <c r="L345" s="20" t="s">
        <v>251</v>
      </c>
    </row>
    <row r="346" customFormat="false" ht="15" hidden="false" customHeight="false" outlineLevel="0" collapsed="false">
      <c r="A346" s="20" t="s">
        <v>1501</v>
      </c>
      <c r="B346" s="20"/>
      <c r="C346" s="20" t="s">
        <v>1502</v>
      </c>
      <c r="D346" s="20" t="s">
        <v>964</v>
      </c>
      <c r="E346" s="20" t="s">
        <v>1462</v>
      </c>
      <c r="F346" s="20"/>
      <c r="G346" s="20" t="n">
        <v>6</v>
      </c>
      <c r="H346" s="20" t="s">
        <v>1503</v>
      </c>
      <c r="I346" s="20" t="s">
        <v>88</v>
      </c>
      <c r="J346" s="20" t="s">
        <v>957</v>
      </c>
      <c r="K346" s="20"/>
      <c r="L346" s="20" t="s">
        <v>251</v>
      </c>
    </row>
    <row r="347" customFormat="false" ht="15" hidden="false" customHeight="false" outlineLevel="0" collapsed="false">
      <c r="A347" s="20" t="s">
        <v>1504</v>
      </c>
      <c r="B347" s="20"/>
      <c r="C347" s="20" t="s">
        <v>1505</v>
      </c>
      <c r="D347" s="20" t="s">
        <v>964</v>
      </c>
      <c r="E347" s="20" t="s">
        <v>1462</v>
      </c>
      <c r="F347" s="20"/>
      <c r="G347" s="20" t="n">
        <v>4</v>
      </c>
      <c r="H347" s="20" t="s">
        <v>1506</v>
      </c>
      <c r="I347" s="20" t="s">
        <v>88</v>
      </c>
      <c r="J347" s="20" t="s">
        <v>957</v>
      </c>
      <c r="K347" s="20"/>
      <c r="L347" s="20" t="s">
        <v>251</v>
      </c>
    </row>
    <row r="348" customFormat="false" ht="15" hidden="false" customHeight="false" outlineLevel="0" collapsed="false">
      <c r="A348" s="20" t="s">
        <v>1507</v>
      </c>
      <c r="B348" s="20"/>
      <c r="C348" s="20" t="s">
        <v>1508</v>
      </c>
      <c r="D348" s="20" t="s">
        <v>964</v>
      </c>
      <c r="E348" s="20" t="s">
        <v>1462</v>
      </c>
      <c r="F348" s="20"/>
      <c r="G348" s="20" t="n">
        <v>2</v>
      </c>
      <c r="H348" s="20" t="s">
        <v>1509</v>
      </c>
      <c r="I348" s="20" t="s">
        <v>88</v>
      </c>
      <c r="J348" s="20" t="s">
        <v>957</v>
      </c>
      <c r="K348" s="20"/>
      <c r="L348" s="20" t="s">
        <v>251</v>
      </c>
    </row>
    <row r="349" customFormat="false" ht="15" hidden="false" customHeight="false" outlineLevel="0" collapsed="false">
      <c r="A349" s="20" t="s">
        <v>1510</v>
      </c>
      <c r="B349" s="20"/>
      <c r="C349" s="20" t="s">
        <v>1511</v>
      </c>
      <c r="D349" s="20" t="s">
        <v>1011</v>
      </c>
      <c r="E349" s="20" t="s">
        <v>1462</v>
      </c>
      <c r="F349" s="20"/>
      <c r="G349" s="20" t="n">
        <v>1</v>
      </c>
      <c r="H349" s="20" t="s">
        <v>1512</v>
      </c>
      <c r="I349" s="20" t="s">
        <v>1513</v>
      </c>
      <c r="J349" s="20" t="s">
        <v>957</v>
      </c>
      <c r="K349" s="20"/>
      <c r="L349" s="20" t="s">
        <v>251</v>
      </c>
    </row>
    <row r="350" customFormat="false" ht="15" hidden="false" customHeight="false" outlineLevel="0" collapsed="false">
      <c r="A350" s="20" t="s">
        <v>1514</v>
      </c>
      <c r="B350" s="20"/>
      <c r="C350" s="20" t="s">
        <v>1515</v>
      </c>
      <c r="D350" s="20" t="s">
        <v>964</v>
      </c>
      <c r="E350" s="20" t="s">
        <v>1462</v>
      </c>
      <c r="F350" s="20"/>
      <c r="G350" s="20" t="n">
        <v>8</v>
      </c>
      <c r="H350" s="20" t="s">
        <v>1516</v>
      </c>
      <c r="I350" s="20" t="s">
        <v>88</v>
      </c>
      <c r="J350" s="20" t="s">
        <v>957</v>
      </c>
      <c r="K350" s="20"/>
      <c r="L350" s="20" t="s">
        <v>251</v>
      </c>
    </row>
    <row r="351" customFormat="false" ht="15" hidden="false" customHeight="false" outlineLevel="0" collapsed="false">
      <c r="A351" s="20" t="s">
        <v>1517</v>
      </c>
      <c r="B351" s="20"/>
      <c r="C351" s="20" t="s">
        <v>1518</v>
      </c>
      <c r="D351" s="20" t="s">
        <v>1295</v>
      </c>
      <c r="E351" s="20" t="s">
        <v>1462</v>
      </c>
      <c r="F351" s="20"/>
      <c r="G351" s="20" t="n">
        <v>2</v>
      </c>
      <c r="H351" s="20" t="s">
        <v>1519</v>
      </c>
      <c r="I351" s="20" t="s">
        <v>88</v>
      </c>
      <c r="J351" s="20" t="s">
        <v>957</v>
      </c>
      <c r="K351" s="20"/>
      <c r="L351" s="20" t="s">
        <v>251</v>
      </c>
    </row>
    <row r="352" customFormat="false" ht="15" hidden="false" customHeight="false" outlineLevel="0" collapsed="false">
      <c r="A352" s="20" t="s">
        <v>1520</v>
      </c>
      <c r="B352" s="20"/>
      <c r="C352" s="20" t="s">
        <v>1521</v>
      </c>
      <c r="D352" s="20" t="s">
        <v>964</v>
      </c>
      <c r="E352" s="20" t="s">
        <v>1462</v>
      </c>
      <c r="F352" s="20"/>
      <c r="G352" s="20" t="n">
        <v>10</v>
      </c>
      <c r="H352" s="20" t="s">
        <v>1522</v>
      </c>
      <c r="I352" s="20" t="s">
        <v>88</v>
      </c>
      <c r="J352" s="20" t="s">
        <v>957</v>
      </c>
      <c r="K352" s="20"/>
      <c r="L352" s="20" t="s">
        <v>251</v>
      </c>
    </row>
    <row r="353" customFormat="false" ht="15" hidden="false" customHeight="false" outlineLevel="0" collapsed="false">
      <c r="A353" s="20" t="s">
        <v>1523</v>
      </c>
      <c r="B353" s="20"/>
      <c r="C353" s="20" t="s">
        <v>1524</v>
      </c>
      <c r="D353" s="20" t="s">
        <v>960</v>
      </c>
      <c r="E353" s="20" t="s">
        <v>1462</v>
      </c>
      <c r="F353" s="20"/>
      <c r="G353" s="20" t="n">
        <v>2</v>
      </c>
      <c r="H353" s="20" t="s">
        <v>1525</v>
      </c>
      <c r="I353" s="20" t="s">
        <v>88</v>
      </c>
      <c r="J353" s="20" t="s">
        <v>957</v>
      </c>
      <c r="K353" s="20"/>
      <c r="L353" s="20" t="s">
        <v>251</v>
      </c>
    </row>
    <row r="354" customFormat="false" ht="15" hidden="false" customHeight="false" outlineLevel="0" collapsed="false">
      <c r="A354" s="20" t="s">
        <v>1526</v>
      </c>
      <c r="B354" s="20"/>
      <c r="C354" s="20" t="s">
        <v>1527</v>
      </c>
      <c r="D354" s="20" t="s">
        <v>964</v>
      </c>
      <c r="E354" s="20" t="s">
        <v>1462</v>
      </c>
      <c r="F354" s="20"/>
      <c r="G354" s="20" t="n">
        <v>3</v>
      </c>
      <c r="H354" s="20" t="s">
        <v>1528</v>
      </c>
      <c r="I354" s="20" t="s">
        <v>88</v>
      </c>
      <c r="J354" s="20" t="s">
        <v>957</v>
      </c>
      <c r="K354" s="20"/>
      <c r="L354" s="20" t="s">
        <v>251</v>
      </c>
    </row>
    <row r="355" customFormat="false" ht="15" hidden="false" customHeight="false" outlineLevel="0" collapsed="false">
      <c r="A355" s="20" t="s">
        <v>1529</v>
      </c>
      <c r="B355" s="20"/>
      <c r="C355" s="20" t="s">
        <v>1530</v>
      </c>
      <c r="D355" s="20" t="s">
        <v>960</v>
      </c>
      <c r="E355" s="20" t="s">
        <v>1462</v>
      </c>
      <c r="F355" s="20"/>
      <c r="G355" s="20" t="n">
        <v>2</v>
      </c>
      <c r="H355" s="20" t="s">
        <v>1531</v>
      </c>
      <c r="I355" s="20" t="s">
        <v>88</v>
      </c>
      <c r="J355" s="20" t="s">
        <v>957</v>
      </c>
      <c r="K355" s="20"/>
      <c r="L355" s="20" t="s">
        <v>251</v>
      </c>
    </row>
    <row r="356" customFormat="false" ht="15" hidden="false" customHeight="false" outlineLevel="0" collapsed="false">
      <c r="A356" s="20" t="s">
        <v>1532</v>
      </c>
      <c r="B356" s="20"/>
      <c r="C356" s="20" t="s">
        <v>1533</v>
      </c>
      <c r="D356" s="20" t="s">
        <v>960</v>
      </c>
      <c r="E356" s="20" t="s">
        <v>1462</v>
      </c>
      <c r="F356" s="20"/>
      <c r="G356" s="20" t="n">
        <v>2</v>
      </c>
      <c r="H356" s="20" t="s">
        <v>1534</v>
      </c>
      <c r="I356" s="20" t="s">
        <v>88</v>
      </c>
      <c r="J356" s="20" t="s">
        <v>957</v>
      </c>
      <c r="K356" s="20"/>
      <c r="L356" s="20" t="s">
        <v>251</v>
      </c>
    </row>
    <row r="357" customFormat="false" ht="15" hidden="false" customHeight="false" outlineLevel="0" collapsed="false">
      <c r="A357" s="20" t="s">
        <v>1535</v>
      </c>
      <c r="B357" s="20"/>
      <c r="C357" s="20" t="s">
        <v>1536</v>
      </c>
      <c r="D357" s="20" t="s">
        <v>964</v>
      </c>
      <c r="E357" s="20" t="s">
        <v>1462</v>
      </c>
      <c r="F357" s="20"/>
      <c r="G357" s="20" t="n">
        <v>2</v>
      </c>
      <c r="H357" s="20" t="s">
        <v>1537</v>
      </c>
      <c r="I357" s="20" t="s">
        <v>88</v>
      </c>
      <c r="J357" s="20" t="s">
        <v>957</v>
      </c>
      <c r="K357" s="20"/>
      <c r="L357" s="20" t="s">
        <v>251</v>
      </c>
    </row>
    <row r="358" customFormat="false" ht="15" hidden="false" customHeight="false" outlineLevel="0" collapsed="false">
      <c r="A358" s="20" t="s">
        <v>1538</v>
      </c>
      <c r="B358" s="20"/>
      <c r="C358" s="20" t="s">
        <v>1539</v>
      </c>
      <c r="D358" s="20" t="s">
        <v>964</v>
      </c>
      <c r="E358" s="20" t="s">
        <v>1462</v>
      </c>
      <c r="F358" s="20"/>
      <c r="G358" s="20" t="n">
        <v>2</v>
      </c>
      <c r="H358" s="20" t="s">
        <v>1540</v>
      </c>
      <c r="I358" s="20" t="s">
        <v>88</v>
      </c>
      <c r="J358" s="20" t="s">
        <v>957</v>
      </c>
      <c r="K358" s="20"/>
      <c r="L358" s="20" t="s">
        <v>251</v>
      </c>
    </row>
    <row r="359" customFormat="false" ht="15" hidden="false" customHeight="false" outlineLevel="0" collapsed="false">
      <c r="A359" s="20" t="s">
        <v>1541</v>
      </c>
      <c r="B359" s="20"/>
      <c r="C359" s="20" t="s">
        <v>1542</v>
      </c>
      <c r="D359" s="20" t="s">
        <v>964</v>
      </c>
      <c r="E359" s="20" t="s">
        <v>1462</v>
      </c>
      <c r="F359" s="20"/>
      <c r="G359" s="20" t="n">
        <v>2</v>
      </c>
      <c r="H359" s="20" t="s">
        <v>1543</v>
      </c>
      <c r="I359" s="20" t="s">
        <v>88</v>
      </c>
      <c r="J359" s="20" t="s">
        <v>957</v>
      </c>
      <c r="K359" s="20"/>
      <c r="L359" s="20" t="s">
        <v>251</v>
      </c>
    </row>
    <row r="360" customFormat="false" ht="15" hidden="false" customHeight="false" outlineLevel="0" collapsed="false">
      <c r="A360" s="20" t="s">
        <v>1544</v>
      </c>
      <c r="B360" s="20"/>
      <c r="C360" s="20" t="s">
        <v>1545</v>
      </c>
      <c r="D360" s="20" t="s">
        <v>964</v>
      </c>
      <c r="E360" s="20" t="s">
        <v>1462</v>
      </c>
      <c r="F360" s="20"/>
      <c r="G360" s="20" t="n">
        <v>7</v>
      </c>
      <c r="H360" s="20" t="s">
        <v>1546</v>
      </c>
      <c r="I360" s="20" t="s">
        <v>88</v>
      </c>
      <c r="J360" s="20" t="s">
        <v>957</v>
      </c>
      <c r="K360" s="20"/>
      <c r="L360" s="20" t="s">
        <v>251</v>
      </c>
    </row>
    <row r="361" customFormat="false" ht="15" hidden="false" customHeight="false" outlineLevel="0" collapsed="false">
      <c r="A361" s="20" t="s">
        <v>1547</v>
      </c>
      <c r="B361" s="20"/>
      <c r="C361" s="20" t="s">
        <v>1548</v>
      </c>
      <c r="D361" s="20" t="s">
        <v>1295</v>
      </c>
      <c r="E361" s="20" t="s">
        <v>1462</v>
      </c>
      <c r="F361" s="20"/>
      <c r="G361" s="20" t="n">
        <v>10</v>
      </c>
      <c r="H361" s="20" t="s">
        <v>1549</v>
      </c>
      <c r="I361" s="20" t="s">
        <v>88</v>
      </c>
      <c r="J361" s="20" t="s">
        <v>957</v>
      </c>
      <c r="K361" s="20"/>
      <c r="L361" s="20" t="s">
        <v>251</v>
      </c>
    </row>
    <row r="362" customFormat="false" ht="15" hidden="false" customHeight="false" outlineLevel="0" collapsed="false">
      <c r="A362" s="20" t="s">
        <v>1550</v>
      </c>
      <c r="B362" s="20"/>
      <c r="C362" s="20" t="s">
        <v>1551</v>
      </c>
      <c r="D362" s="20" t="s">
        <v>1295</v>
      </c>
      <c r="E362" s="20" t="s">
        <v>1462</v>
      </c>
      <c r="F362" s="20"/>
      <c r="G362" s="20" t="n">
        <v>3</v>
      </c>
      <c r="H362" s="20" t="s">
        <v>1552</v>
      </c>
      <c r="I362" s="20" t="s">
        <v>1553</v>
      </c>
      <c r="J362" s="20" t="s">
        <v>957</v>
      </c>
      <c r="K362" s="20"/>
      <c r="L362" s="20" t="s">
        <v>251</v>
      </c>
    </row>
    <row r="363" customFormat="false" ht="15" hidden="false" customHeight="false" outlineLevel="0" collapsed="false">
      <c r="A363" s="20" t="s">
        <v>1554</v>
      </c>
      <c r="B363" s="20"/>
      <c r="C363" s="20" t="s">
        <v>1555</v>
      </c>
      <c r="D363" s="20" t="s">
        <v>964</v>
      </c>
      <c r="E363" s="20" t="s">
        <v>1462</v>
      </c>
      <c r="F363" s="20"/>
      <c r="G363" s="20" t="n">
        <v>2</v>
      </c>
      <c r="H363" s="20" t="s">
        <v>1556</v>
      </c>
      <c r="I363" s="20" t="s">
        <v>88</v>
      </c>
      <c r="J363" s="20" t="s">
        <v>957</v>
      </c>
      <c r="K363" s="20"/>
      <c r="L363" s="20" t="s">
        <v>251</v>
      </c>
    </row>
    <row r="364" customFormat="false" ht="15" hidden="false" customHeight="false" outlineLevel="0" collapsed="false">
      <c r="A364" s="20" t="s">
        <v>1557</v>
      </c>
      <c r="B364" s="20"/>
      <c r="C364" s="20" t="s">
        <v>1558</v>
      </c>
      <c r="D364" s="20" t="s">
        <v>1107</v>
      </c>
      <c r="E364" s="20" t="s">
        <v>1462</v>
      </c>
      <c r="F364" s="20"/>
      <c r="G364" s="20" t="n">
        <v>2</v>
      </c>
      <c r="H364" s="20" t="s">
        <v>1559</v>
      </c>
      <c r="I364" s="20" t="s">
        <v>88</v>
      </c>
      <c r="J364" s="20" t="s">
        <v>957</v>
      </c>
      <c r="K364" s="20"/>
      <c r="L364" s="20" t="s">
        <v>251</v>
      </c>
    </row>
    <row r="365" customFormat="false" ht="15" hidden="false" customHeight="false" outlineLevel="0" collapsed="false">
      <c r="A365" s="20" t="s">
        <v>1560</v>
      </c>
      <c r="B365" s="20"/>
      <c r="C365" s="20" t="s">
        <v>1561</v>
      </c>
      <c r="D365" s="20" t="s">
        <v>968</v>
      </c>
      <c r="E365" s="20" t="s">
        <v>1462</v>
      </c>
      <c r="F365" s="20"/>
      <c r="G365" s="20" t="n">
        <v>5</v>
      </c>
      <c r="H365" s="20" t="s">
        <v>1562</v>
      </c>
      <c r="I365" s="20" t="s">
        <v>88</v>
      </c>
      <c r="J365" s="20" t="s">
        <v>957</v>
      </c>
      <c r="K365" s="20"/>
      <c r="L365" s="20" t="s">
        <v>251</v>
      </c>
    </row>
    <row r="366" customFormat="false" ht="15" hidden="false" customHeight="false" outlineLevel="0" collapsed="false">
      <c r="A366" s="20" t="s">
        <v>1563</v>
      </c>
      <c r="B366" s="20"/>
      <c r="C366" s="20" t="s">
        <v>1564</v>
      </c>
      <c r="D366" s="20" t="s">
        <v>1011</v>
      </c>
      <c r="E366" s="20" t="s">
        <v>1462</v>
      </c>
      <c r="F366" s="20"/>
      <c r="G366" s="20" t="n">
        <v>6</v>
      </c>
      <c r="H366" s="20" t="s">
        <v>1565</v>
      </c>
      <c r="I366" s="20" t="s">
        <v>88</v>
      </c>
      <c r="J366" s="20" t="s">
        <v>957</v>
      </c>
      <c r="K366" s="20"/>
      <c r="L366" s="20" t="s">
        <v>251</v>
      </c>
    </row>
    <row r="367" customFormat="false" ht="15" hidden="false" customHeight="false" outlineLevel="0" collapsed="false">
      <c r="A367" s="20" t="s">
        <v>1566</v>
      </c>
      <c r="B367" s="20"/>
      <c r="C367" s="20" t="s">
        <v>1567</v>
      </c>
      <c r="D367" s="20" t="s">
        <v>1568</v>
      </c>
      <c r="E367" s="20" t="s">
        <v>1462</v>
      </c>
      <c r="F367" s="20"/>
      <c r="G367" s="20" t="n">
        <v>2</v>
      </c>
      <c r="H367" s="20" t="s">
        <v>1569</v>
      </c>
      <c r="I367" s="20" t="s">
        <v>88</v>
      </c>
      <c r="J367" s="20" t="s">
        <v>957</v>
      </c>
      <c r="K367" s="20"/>
      <c r="L367" s="20" t="s">
        <v>251</v>
      </c>
    </row>
    <row r="368" customFormat="false" ht="15" hidden="false" customHeight="false" outlineLevel="0" collapsed="false">
      <c r="A368" s="20" t="s">
        <v>1570</v>
      </c>
      <c r="B368" s="20"/>
      <c r="C368" s="20" t="s">
        <v>1571</v>
      </c>
      <c r="D368" s="20" t="s">
        <v>1183</v>
      </c>
      <c r="E368" s="20" t="s">
        <v>1462</v>
      </c>
      <c r="F368" s="20"/>
      <c r="G368" s="20" t="n">
        <v>5</v>
      </c>
      <c r="H368" s="20" t="s">
        <v>1572</v>
      </c>
      <c r="I368" s="20" t="s">
        <v>88</v>
      </c>
      <c r="J368" s="20" t="s">
        <v>957</v>
      </c>
      <c r="K368" s="20"/>
      <c r="L368" s="20" t="s">
        <v>251</v>
      </c>
    </row>
    <row r="369" customFormat="false" ht="15" hidden="false" customHeight="false" outlineLevel="0" collapsed="false">
      <c r="A369" s="20" t="s">
        <v>1573</v>
      </c>
      <c r="B369" s="20"/>
      <c r="C369" s="20" t="s">
        <v>1574</v>
      </c>
      <c r="D369" s="20" t="s">
        <v>964</v>
      </c>
      <c r="E369" s="20" t="s">
        <v>1462</v>
      </c>
      <c r="F369" s="20"/>
      <c r="G369" s="20" t="n">
        <v>3</v>
      </c>
      <c r="H369" s="20" t="s">
        <v>1575</v>
      </c>
      <c r="I369" s="20" t="s">
        <v>88</v>
      </c>
      <c r="J369" s="20" t="s">
        <v>957</v>
      </c>
      <c r="K369" s="20"/>
      <c r="L369" s="20" t="s">
        <v>251</v>
      </c>
    </row>
    <row r="370" customFormat="false" ht="15" hidden="false" customHeight="false" outlineLevel="0" collapsed="false">
      <c r="A370" s="20" t="s">
        <v>1576</v>
      </c>
      <c r="B370" s="20"/>
      <c r="C370" s="20" t="s">
        <v>1577</v>
      </c>
      <c r="D370" s="20" t="s">
        <v>964</v>
      </c>
      <c r="E370" s="20" t="s">
        <v>1462</v>
      </c>
      <c r="F370" s="20"/>
      <c r="G370" s="20" t="n">
        <v>4</v>
      </c>
      <c r="H370" s="20" t="s">
        <v>1578</v>
      </c>
      <c r="I370" s="20" t="s">
        <v>88</v>
      </c>
      <c r="J370" s="20" t="s">
        <v>957</v>
      </c>
      <c r="K370" s="20"/>
      <c r="L370" s="20" t="s">
        <v>251</v>
      </c>
    </row>
    <row r="371" customFormat="false" ht="15" hidden="false" customHeight="false" outlineLevel="0" collapsed="false">
      <c r="A371" s="20" t="s">
        <v>1579</v>
      </c>
      <c r="B371" s="20"/>
      <c r="C371" s="20" t="s">
        <v>1580</v>
      </c>
      <c r="D371" s="20" t="s">
        <v>1107</v>
      </c>
      <c r="E371" s="20" t="s">
        <v>1462</v>
      </c>
      <c r="F371" s="20"/>
      <c r="G371" s="20" t="n">
        <v>6</v>
      </c>
      <c r="H371" s="20" t="s">
        <v>1581</v>
      </c>
      <c r="I371" s="20" t="s">
        <v>88</v>
      </c>
      <c r="J371" s="20" t="s">
        <v>957</v>
      </c>
      <c r="K371" s="20"/>
      <c r="L371" s="20" t="s">
        <v>251</v>
      </c>
    </row>
    <row r="372" customFormat="false" ht="15" hidden="false" customHeight="false" outlineLevel="0" collapsed="false">
      <c r="A372" s="20" t="s">
        <v>1582</v>
      </c>
      <c r="B372" s="20"/>
      <c r="C372" s="20" t="s">
        <v>1583</v>
      </c>
      <c r="D372" s="20" t="s">
        <v>1107</v>
      </c>
      <c r="E372" s="20" t="s">
        <v>1462</v>
      </c>
      <c r="F372" s="20"/>
      <c r="G372" s="20" t="n">
        <v>6</v>
      </c>
      <c r="H372" s="20" t="s">
        <v>1584</v>
      </c>
      <c r="I372" s="20" t="s">
        <v>88</v>
      </c>
      <c r="J372" s="20" t="s">
        <v>957</v>
      </c>
      <c r="K372" s="20"/>
      <c r="L372" s="20" t="s">
        <v>251</v>
      </c>
    </row>
    <row r="373" customFormat="false" ht="15" hidden="false" customHeight="false" outlineLevel="0" collapsed="false">
      <c r="A373" s="20" t="s">
        <v>1585</v>
      </c>
      <c r="B373" s="20"/>
      <c r="C373" s="20" t="s">
        <v>1586</v>
      </c>
      <c r="D373" s="20" t="s">
        <v>964</v>
      </c>
      <c r="E373" s="20" t="s">
        <v>1462</v>
      </c>
      <c r="F373" s="20"/>
      <c r="G373" s="20" t="n">
        <v>2</v>
      </c>
      <c r="H373" s="20" t="s">
        <v>1587</v>
      </c>
      <c r="I373" s="20" t="s">
        <v>88</v>
      </c>
      <c r="J373" s="20" t="s">
        <v>957</v>
      </c>
      <c r="K373" s="20"/>
      <c r="L373" s="20" t="s">
        <v>251</v>
      </c>
    </row>
    <row r="374" customFormat="false" ht="15" hidden="false" customHeight="false" outlineLevel="0" collapsed="false">
      <c r="A374" s="20" t="s">
        <v>1588</v>
      </c>
      <c r="B374" s="20"/>
      <c r="C374" s="20" t="s">
        <v>1589</v>
      </c>
      <c r="D374" s="20" t="s">
        <v>964</v>
      </c>
      <c r="E374" s="20" t="s">
        <v>1462</v>
      </c>
      <c r="F374" s="20"/>
      <c r="G374" s="20" t="n">
        <v>2</v>
      </c>
      <c r="H374" s="20" t="s">
        <v>1590</v>
      </c>
      <c r="I374" s="20" t="s">
        <v>88</v>
      </c>
      <c r="J374" s="20" t="s">
        <v>957</v>
      </c>
      <c r="K374" s="20"/>
      <c r="L374" s="20" t="s">
        <v>251</v>
      </c>
    </row>
    <row r="375" customFormat="false" ht="15" hidden="false" customHeight="false" outlineLevel="0" collapsed="false">
      <c r="A375" s="20" t="s">
        <v>1591</v>
      </c>
      <c r="B375" s="20"/>
      <c r="C375" s="20" t="s">
        <v>1592</v>
      </c>
      <c r="D375" s="20" t="s">
        <v>964</v>
      </c>
      <c r="E375" s="20" t="s">
        <v>1462</v>
      </c>
      <c r="F375" s="20"/>
      <c r="G375" s="20" t="n">
        <v>5</v>
      </c>
      <c r="H375" s="20" t="s">
        <v>1593</v>
      </c>
      <c r="I375" s="20" t="s">
        <v>88</v>
      </c>
      <c r="J375" s="20" t="s">
        <v>957</v>
      </c>
      <c r="K375" s="20"/>
      <c r="L375" s="20" t="s">
        <v>251</v>
      </c>
    </row>
    <row r="376" customFormat="false" ht="15" hidden="false" customHeight="false" outlineLevel="0" collapsed="false">
      <c r="A376" s="20" t="s">
        <v>1594</v>
      </c>
      <c r="B376" s="20"/>
      <c r="C376" s="20" t="s">
        <v>1595</v>
      </c>
      <c r="D376" s="20" t="s">
        <v>1596</v>
      </c>
      <c r="E376" s="20" t="s">
        <v>1462</v>
      </c>
      <c r="F376" s="20"/>
      <c r="G376" s="20" t="n">
        <v>2</v>
      </c>
      <c r="H376" s="20" t="s">
        <v>1597</v>
      </c>
      <c r="I376" s="20" t="s">
        <v>88</v>
      </c>
      <c r="J376" s="20" t="s">
        <v>957</v>
      </c>
      <c r="K376" s="20"/>
      <c r="L376" s="20" t="s">
        <v>251</v>
      </c>
    </row>
    <row r="377" customFormat="false" ht="15" hidden="false" customHeight="false" outlineLevel="0" collapsed="false">
      <c r="A377" s="20" t="s">
        <v>1598</v>
      </c>
      <c r="B377" s="20"/>
      <c r="C377" s="20" t="s">
        <v>1599</v>
      </c>
      <c r="D377" s="20" t="s">
        <v>964</v>
      </c>
      <c r="E377" s="20" t="s">
        <v>1462</v>
      </c>
      <c r="F377" s="20"/>
      <c r="G377" s="20" t="n">
        <v>5</v>
      </c>
      <c r="H377" s="20" t="s">
        <v>1600</v>
      </c>
      <c r="I377" s="20" t="s">
        <v>88</v>
      </c>
      <c r="J377" s="20" t="s">
        <v>957</v>
      </c>
      <c r="K377" s="20"/>
      <c r="L377" s="20" t="s">
        <v>251</v>
      </c>
    </row>
    <row r="378" customFormat="false" ht="15" hidden="false" customHeight="false" outlineLevel="0" collapsed="false">
      <c r="A378" s="20" t="s">
        <v>1601</v>
      </c>
      <c r="B378" s="20"/>
      <c r="C378" s="20" t="s">
        <v>1602</v>
      </c>
      <c r="D378" s="20" t="s">
        <v>964</v>
      </c>
      <c r="E378" s="20" t="s">
        <v>1462</v>
      </c>
      <c r="F378" s="20"/>
      <c r="G378" s="20" t="n">
        <v>2</v>
      </c>
      <c r="H378" s="20" t="s">
        <v>1603</v>
      </c>
      <c r="I378" s="20" t="s">
        <v>88</v>
      </c>
      <c r="J378" s="20" t="s">
        <v>957</v>
      </c>
      <c r="K378" s="20"/>
      <c r="L378" s="20" t="s">
        <v>251</v>
      </c>
    </row>
    <row r="379" customFormat="false" ht="15" hidden="false" customHeight="false" outlineLevel="0" collapsed="false">
      <c r="A379" s="20" t="s">
        <v>1604</v>
      </c>
      <c r="B379" s="20"/>
      <c r="C379" s="20" t="s">
        <v>1605</v>
      </c>
      <c r="D379" s="20" t="s">
        <v>964</v>
      </c>
      <c r="E379" s="20" t="s">
        <v>1462</v>
      </c>
      <c r="F379" s="20"/>
      <c r="G379" s="20" t="n">
        <v>2</v>
      </c>
      <c r="H379" s="20" t="s">
        <v>1606</v>
      </c>
      <c r="I379" s="20" t="s">
        <v>1513</v>
      </c>
      <c r="J379" s="20" t="s">
        <v>957</v>
      </c>
      <c r="K379" s="20"/>
      <c r="L379" s="20" t="s">
        <v>251</v>
      </c>
    </row>
    <row r="380" customFormat="false" ht="15" hidden="false" customHeight="false" outlineLevel="0" collapsed="false">
      <c r="A380" s="20" t="s">
        <v>1607</v>
      </c>
      <c r="B380" s="20"/>
      <c r="C380" s="20" t="s">
        <v>1608</v>
      </c>
      <c r="D380" s="20" t="s">
        <v>964</v>
      </c>
      <c r="E380" s="20" t="s">
        <v>1462</v>
      </c>
      <c r="F380" s="20"/>
      <c r="G380" s="20" t="n">
        <v>1</v>
      </c>
      <c r="H380" s="20" t="s">
        <v>1609</v>
      </c>
      <c r="I380" s="20" t="s">
        <v>88</v>
      </c>
      <c r="J380" s="20" t="s">
        <v>957</v>
      </c>
      <c r="K380" s="20"/>
      <c r="L380" s="20" t="s">
        <v>251</v>
      </c>
    </row>
    <row r="381" customFormat="false" ht="15" hidden="false" customHeight="false" outlineLevel="0" collapsed="false">
      <c r="A381" s="20" t="s">
        <v>1610</v>
      </c>
      <c r="B381" s="20"/>
      <c r="C381" s="20" t="s">
        <v>1611</v>
      </c>
      <c r="D381" s="20" t="s">
        <v>964</v>
      </c>
      <c r="E381" s="20" t="s">
        <v>1462</v>
      </c>
      <c r="F381" s="20"/>
      <c r="G381" s="20" t="n">
        <v>8</v>
      </c>
      <c r="H381" s="20" t="s">
        <v>1612</v>
      </c>
      <c r="I381" s="20" t="s">
        <v>88</v>
      </c>
      <c r="J381" s="20" t="s">
        <v>957</v>
      </c>
      <c r="K381" s="20"/>
      <c r="L381" s="20" t="s">
        <v>251</v>
      </c>
    </row>
    <row r="382" customFormat="false" ht="15" hidden="false" customHeight="false" outlineLevel="0" collapsed="false">
      <c r="A382" s="20" t="s">
        <v>1613</v>
      </c>
      <c r="B382" s="20"/>
      <c r="C382" s="20" t="s">
        <v>1614</v>
      </c>
      <c r="D382" s="20" t="s">
        <v>968</v>
      </c>
      <c r="E382" s="20" t="s">
        <v>1462</v>
      </c>
      <c r="F382" s="20"/>
      <c r="G382" s="20"/>
      <c r="H382" s="20" t="s">
        <v>1615</v>
      </c>
      <c r="I382" s="20" t="s">
        <v>88</v>
      </c>
      <c r="J382" s="20" t="s">
        <v>957</v>
      </c>
      <c r="K382" s="20"/>
      <c r="L382" s="20" t="s">
        <v>251</v>
      </c>
    </row>
    <row r="383" customFormat="false" ht="15" hidden="false" customHeight="false" outlineLevel="0" collapsed="false">
      <c r="A383" s="20" t="s">
        <v>1616</v>
      </c>
      <c r="B383" s="20"/>
      <c r="C383" s="20" t="s">
        <v>1617</v>
      </c>
      <c r="D383" s="20" t="s">
        <v>1107</v>
      </c>
      <c r="E383" s="20" t="s">
        <v>1462</v>
      </c>
      <c r="F383" s="20"/>
      <c r="G383" s="20" t="n">
        <v>6</v>
      </c>
      <c r="H383" s="20" t="s">
        <v>1618</v>
      </c>
      <c r="I383" s="20" t="s">
        <v>88</v>
      </c>
      <c r="J383" s="20" t="s">
        <v>957</v>
      </c>
      <c r="K383" s="20"/>
      <c r="L383" s="20" t="s">
        <v>251</v>
      </c>
    </row>
    <row r="384" customFormat="false" ht="15" hidden="false" customHeight="false" outlineLevel="0" collapsed="false">
      <c r="A384" s="20" t="s">
        <v>1619</v>
      </c>
      <c r="B384" s="20"/>
      <c r="C384" s="20" t="s">
        <v>1620</v>
      </c>
      <c r="D384" s="20" t="s">
        <v>964</v>
      </c>
      <c r="E384" s="20" t="s">
        <v>1462</v>
      </c>
      <c r="F384" s="20"/>
      <c r="G384" s="20" t="n">
        <v>3</v>
      </c>
      <c r="H384" s="20" t="s">
        <v>1621</v>
      </c>
      <c r="I384" s="20" t="s">
        <v>88</v>
      </c>
      <c r="J384" s="20" t="s">
        <v>957</v>
      </c>
      <c r="K384" s="20"/>
      <c r="L384" s="20" t="s">
        <v>251</v>
      </c>
    </row>
    <row r="385" customFormat="false" ht="15" hidden="false" customHeight="false" outlineLevel="0" collapsed="false">
      <c r="A385" s="20" t="s">
        <v>1622</v>
      </c>
      <c r="B385" s="20"/>
      <c r="C385" s="20" t="s">
        <v>1623</v>
      </c>
      <c r="D385" s="20" t="s">
        <v>1011</v>
      </c>
      <c r="E385" s="20" t="s">
        <v>1462</v>
      </c>
      <c r="F385" s="20"/>
      <c r="G385" s="20" t="n">
        <v>3</v>
      </c>
      <c r="H385" s="20" t="s">
        <v>1624</v>
      </c>
      <c r="I385" s="20" t="s">
        <v>88</v>
      </c>
      <c r="J385" s="20" t="s">
        <v>957</v>
      </c>
      <c r="K385" s="20"/>
      <c r="L385" s="20" t="s">
        <v>251</v>
      </c>
    </row>
    <row r="386" customFormat="false" ht="15" hidden="false" customHeight="false" outlineLevel="0" collapsed="false">
      <c r="A386" s="20" t="s">
        <v>1625</v>
      </c>
      <c r="B386" s="20"/>
      <c r="C386" s="20" t="s">
        <v>1626</v>
      </c>
      <c r="D386" s="20" t="s">
        <v>964</v>
      </c>
      <c r="E386" s="20" t="s">
        <v>1462</v>
      </c>
      <c r="F386" s="20"/>
      <c r="G386" s="20" t="n">
        <v>6</v>
      </c>
      <c r="H386" s="20" t="s">
        <v>1627</v>
      </c>
      <c r="I386" s="20" t="s">
        <v>88</v>
      </c>
      <c r="J386" s="20" t="s">
        <v>957</v>
      </c>
      <c r="K386" s="20"/>
      <c r="L386" s="20" t="s">
        <v>251</v>
      </c>
    </row>
    <row r="387" customFormat="false" ht="15" hidden="false" customHeight="false" outlineLevel="0" collapsed="false">
      <c r="A387" s="20" t="s">
        <v>1628</v>
      </c>
      <c r="B387" s="20"/>
      <c r="C387" s="20" t="s">
        <v>1629</v>
      </c>
      <c r="D387" s="20" t="s">
        <v>964</v>
      </c>
      <c r="E387" s="20" t="s">
        <v>1462</v>
      </c>
      <c r="F387" s="20"/>
      <c r="G387" s="20" t="n">
        <v>2</v>
      </c>
      <c r="H387" s="20" t="s">
        <v>1630</v>
      </c>
      <c r="I387" s="20" t="s">
        <v>1553</v>
      </c>
      <c r="J387" s="20" t="s">
        <v>957</v>
      </c>
      <c r="K387" s="20"/>
      <c r="L387" s="20" t="s">
        <v>251</v>
      </c>
    </row>
    <row r="388" customFormat="false" ht="15" hidden="false" customHeight="false" outlineLevel="0" collapsed="false">
      <c r="A388" s="20" t="s">
        <v>1631</v>
      </c>
      <c r="B388" s="20"/>
      <c r="C388" s="20" t="s">
        <v>1632</v>
      </c>
      <c r="D388" s="20" t="s">
        <v>964</v>
      </c>
      <c r="E388" s="20" t="s">
        <v>1462</v>
      </c>
      <c r="F388" s="20"/>
      <c r="G388" s="20" t="n">
        <v>2</v>
      </c>
      <c r="H388" s="20" t="s">
        <v>1633</v>
      </c>
      <c r="I388" s="20" t="s">
        <v>88</v>
      </c>
      <c r="J388" s="20" t="s">
        <v>957</v>
      </c>
      <c r="K388" s="20"/>
      <c r="L388" s="20" t="s">
        <v>251</v>
      </c>
    </row>
    <row r="389" customFormat="false" ht="15" hidden="false" customHeight="false" outlineLevel="0" collapsed="false">
      <c r="A389" s="20" t="s">
        <v>1634</v>
      </c>
      <c r="B389" s="20"/>
      <c r="C389" s="20" t="s">
        <v>1635</v>
      </c>
      <c r="D389" s="20" t="s">
        <v>1011</v>
      </c>
      <c r="E389" s="20" t="s">
        <v>1462</v>
      </c>
      <c r="F389" s="20"/>
      <c r="G389" s="20" t="n">
        <v>2</v>
      </c>
      <c r="H389" s="20" t="s">
        <v>1636</v>
      </c>
      <c r="I389" s="20" t="s">
        <v>88</v>
      </c>
      <c r="J389" s="20" t="s">
        <v>957</v>
      </c>
      <c r="K389" s="20"/>
      <c r="L389" s="20" t="s">
        <v>251</v>
      </c>
    </row>
    <row r="390" customFormat="false" ht="15" hidden="false" customHeight="false" outlineLevel="0" collapsed="false">
      <c r="A390" s="20" t="s">
        <v>1637</v>
      </c>
      <c r="B390" s="20"/>
      <c r="C390" s="20" t="s">
        <v>1638</v>
      </c>
      <c r="D390" s="20" t="s">
        <v>964</v>
      </c>
      <c r="E390" s="20" t="s">
        <v>1462</v>
      </c>
      <c r="F390" s="20"/>
      <c r="G390" s="20" t="n">
        <v>2</v>
      </c>
      <c r="H390" s="20" t="s">
        <v>1639</v>
      </c>
      <c r="I390" s="20" t="s">
        <v>88</v>
      </c>
      <c r="J390" s="20" t="s">
        <v>957</v>
      </c>
      <c r="K390" s="20"/>
      <c r="L390" s="20" t="s">
        <v>251</v>
      </c>
    </row>
    <row r="391" customFormat="false" ht="15" hidden="false" customHeight="false" outlineLevel="0" collapsed="false">
      <c r="A391" s="20" t="s">
        <v>1640</v>
      </c>
      <c r="B391" s="20"/>
      <c r="C391" s="20" t="s">
        <v>1641</v>
      </c>
      <c r="D391" s="20" t="s">
        <v>1107</v>
      </c>
      <c r="E391" s="20" t="s">
        <v>1462</v>
      </c>
      <c r="F391" s="20"/>
      <c r="G391" s="20" t="n">
        <v>3</v>
      </c>
      <c r="H391" s="20" t="s">
        <v>1642</v>
      </c>
      <c r="I391" s="20" t="s">
        <v>88</v>
      </c>
      <c r="J391" s="20" t="s">
        <v>957</v>
      </c>
      <c r="K391" s="20"/>
      <c r="L391" s="20" t="s">
        <v>251</v>
      </c>
    </row>
    <row r="392" customFormat="false" ht="15" hidden="false" customHeight="false" outlineLevel="0" collapsed="false">
      <c r="A392" s="20" t="s">
        <v>1643</v>
      </c>
      <c r="B392" s="20"/>
      <c r="C392" s="20" t="s">
        <v>1644</v>
      </c>
      <c r="D392" s="20" t="s">
        <v>1596</v>
      </c>
      <c r="E392" s="20" t="s">
        <v>1462</v>
      </c>
      <c r="F392" s="20"/>
      <c r="G392" s="20" t="n">
        <v>17</v>
      </c>
      <c r="H392" s="20" t="s">
        <v>1645</v>
      </c>
      <c r="I392" s="20" t="s">
        <v>88</v>
      </c>
      <c r="J392" s="20" t="s">
        <v>957</v>
      </c>
      <c r="K392" s="20"/>
      <c r="L392" s="20" t="s">
        <v>251</v>
      </c>
    </row>
    <row r="393" customFormat="false" ht="15" hidden="false" customHeight="false" outlineLevel="0" collapsed="false">
      <c r="A393" s="20" t="s">
        <v>1646</v>
      </c>
      <c r="B393" s="20"/>
      <c r="C393" s="20" t="s">
        <v>1647</v>
      </c>
      <c r="D393" s="20" t="s">
        <v>1011</v>
      </c>
      <c r="E393" s="20" t="s">
        <v>1462</v>
      </c>
      <c r="F393" s="20"/>
      <c r="G393" s="20" t="n">
        <v>6</v>
      </c>
      <c r="H393" s="20" t="s">
        <v>1648</v>
      </c>
      <c r="I393" s="20" t="s">
        <v>88</v>
      </c>
      <c r="J393" s="20" t="s">
        <v>957</v>
      </c>
      <c r="K393" s="20"/>
      <c r="L393" s="20" t="s">
        <v>251</v>
      </c>
    </row>
    <row r="394" customFormat="false" ht="15" hidden="false" customHeight="false" outlineLevel="0" collapsed="false">
      <c r="A394" s="20" t="s">
        <v>1649</v>
      </c>
      <c r="B394" s="20"/>
      <c r="C394" s="20" t="s">
        <v>1650</v>
      </c>
      <c r="D394" s="20" t="s">
        <v>968</v>
      </c>
      <c r="E394" s="20" t="s">
        <v>1462</v>
      </c>
      <c r="F394" s="20"/>
      <c r="G394" s="20" t="n">
        <v>5</v>
      </c>
      <c r="H394" s="20" t="s">
        <v>1651</v>
      </c>
      <c r="I394" s="20" t="s">
        <v>88</v>
      </c>
      <c r="J394" s="20" t="s">
        <v>957</v>
      </c>
      <c r="K394" s="20"/>
      <c r="L394" s="20" t="s">
        <v>251</v>
      </c>
    </row>
    <row r="395" customFormat="false" ht="15" hidden="false" customHeight="false" outlineLevel="0" collapsed="false">
      <c r="A395" s="20" t="s">
        <v>1652</v>
      </c>
      <c r="B395" s="20"/>
      <c r="C395" s="20" t="s">
        <v>1653</v>
      </c>
      <c r="D395" s="20" t="s">
        <v>964</v>
      </c>
      <c r="E395" s="20" t="s">
        <v>1462</v>
      </c>
      <c r="F395" s="20"/>
      <c r="G395" s="20" t="n">
        <v>5</v>
      </c>
      <c r="H395" s="20" t="s">
        <v>1654</v>
      </c>
      <c r="I395" s="20" t="s">
        <v>88</v>
      </c>
      <c r="J395" s="20" t="s">
        <v>957</v>
      </c>
      <c r="K395" s="20"/>
      <c r="L395" s="20" t="s">
        <v>251</v>
      </c>
    </row>
    <row r="396" customFormat="false" ht="15" hidden="false" customHeight="false" outlineLevel="0" collapsed="false">
      <c r="A396" s="20" t="s">
        <v>1655</v>
      </c>
      <c r="B396" s="20"/>
      <c r="C396" s="20" t="s">
        <v>1656</v>
      </c>
      <c r="D396" s="20" t="s">
        <v>1107</v>
      </c>
      <c r="E396" s="20" t="s">
        <v>1462</v>
      </c>
      <c r="F396" s="20"/>
      <c r="G396" s="20" t="n">
        <v>2</v>
      </c>
      <c r="H396" s="20" t="s">
        <v>1657</v>
      </c>
      <c r="I396" s="20" t="s">
        <v>88</v>
      </c>
      <c r="J396" s="20" t="s">
        <v>957</v>
      </c>
      <c r="K396" s="20"/>
      <c r="L396" s="20" t="s">
        <v>251</v>
      </c>
    </row>
    <row r="397" customFormat="false" ht="15" hidden="false" customHeight="false" outlineLevel="0" collapsed="false">
      <c r="A397" s="20" t="s">
        <v>1658</v>
      </c>
      <c r="B397" s="20"/>
      <c r="C397" s="20" t="s">
        <v>1659</v>
      </c>
      <c r="D397" s="20" t="s">
        <v>1596</v>
      </c>
      <c r="E397" s="20" t="s">
        <v>1462</v>
      </c>
      <c r="F397" s="20"/>
      <c r="G397" s="20" t="n">
        <v>4</v>
      </c>
      <c r="H397" s="20" t="s">
        <v>1660</v>
      </c>
      <c r="I397" s="20" t="s">
        <v>88</v>
      </c>
      <c r="J397" s="20" t="s">
        <v>957</v>
      </c>
      <c r="K397" s="20"/>
      <c r="L397" s="20" t="s">
        <v>251</v>
      </c>
    </row>
    <row r="398" customFormat="false" ht="15" hidden="false" customHeight="false" outlineLevel="0" collapsed="false">
      <c r="A398" s="20" t="s">
        <v>1661</v>
      </c>
      <c r="B398" s="20"/>
      <c r="C398" s="20" t="s">
        <v>1662</v>
      </c>
      <c r="D398" s="20" t="s">
        <v>964</v>
      </c>
      <c r="E398" s="20" t="s">
        <v>1462</v>
      </c>
      <c r="F398" s="20"/>
      <c r="G398" s="20" t="n">
        <v>2</v>
      </c>
      <c r="H398" s="20" t="s">
        <v>1663</v>
      </c>
      <c r="I398" s="20" t="s">
        <v>88</v>
      </c>
      <c r="J398" s="20" t="s">
        <v>957</v>
      </c>
      <c r="K398" s="20"/>
      <c r="L398" s="20" t="s">
        <v>251</v>
      </c>
    </row>
    <row r="399" customFormat="false" ht="15" hidden="false" customHeight="false" outlineLevel="0" collapsed="false">
      <c r="A399" s="20" t="s">
        <v>1664</v>
      </c>
      <c r="B399" s="20"/>
      <c r="C399" s="20" t="s">
        <v>1665</v>
      </c>
      <c r="D399" s="20" t="s">
        <v>1011</v>
      </c>
      <c r="E399" s="20" t="s">
        <v>1462</v>
      </c>
      <c r="F399" s="20"/>
      <c r="G399" s="20" t="n">
        <v>7</v>
      </c>
      <c r="H399" s="20" t="s">
        <v>1666</v>
      </c>
      <c r="I399" s="20" t="s">
        <v>88</v>
      </c>
      <c r="J399" s="20" t="s">
        <v>957</v>
      </c>
      <c r="K399" s="20"/>
      <c r="L399" s="20" t="s">
        <v>251</v>
      </c>
    </row>
    <row r="400" customFormat="false" ht="15" hidden="false" customHeight="false" outlineLevel="0" collapsed="false">
      <c r="A400" s="20" t="s">
        <v>1667</v>
      </c>
      <c r="B400" s="20"/>
      <c r="C400" s="20" t="s">
        <v>1668</v>
      </c>
      <c r="D400" s="20" t="s">
        <v>964</v>
      </c>
      <c r="E400" s="20" t="s">
        <v>1462</v>
      </c>
      <c r="F400" s="20"/>
      <c r="G400" s="20" t="n">
        <v>8</v>
      </c>
      <c r="H400" s="20" t="s">
        <v>1669</v>
      </c>
      <c r="I400" s="20" t="s">
        <v>88</v>
      </c>
      <c r="J400" s="20" t="s">
        <v>957</v>
      </c>
      <c r="K400" s="20"/>
      <c r="L400" s="20" t="s">
        <v>251</v>
      </c>
    </row>
    <row r="401" customFormat="false" ht="15" hidden="false" customHeight="false" outlineLevel="0" collapsed="false">
      <c r="A401" s="20" t="s">
        <v>1670</v>
      </c>
      <c r="B401" s="20"/>
      <c r="C401" s="20" t="s">
        <v>1671</v>
      </c>
      <c r="D401" s="20" t="s">
        <v>1596</v>
      </c>
      <c r="E401" s="20" t="s">
        <v>1462</v>
      </c>
      <c r="F401" s="20"/>
      <c r="G401" s="20" t="n">
        <v>2</v>
      </c>
      <c r="H401" s="20" t="s">
        <v>1672</v>
      </c>
      <c r="I401" s="20" t="s">
        <v>88</v>
      </c>
      <c r="J401" s="20" t="s">
        <v>957</v>
      </c>
      <c r="K401" s="20"/>
      <c r="L401" s="20" t="s">
        <v>251</v>
      </c>
    </row>
    <row r="402" customFormat="false" ht="15" hidden="false" customHeight="false" outlineLevel="0" collapsed="false">
      <c r="A402" s="20" t="s">
        <v>1673</v>
      </c>
      <c r="B402" s="20"/>
      <c r="C402" s="20" t="s">
        <v>1674</v>
      </c>
      <c r="D402" s="20" t="s">
        <v>964</v>
      </c>
      <c r="E402" s="20" t="s">
        <v>1462</v>
      </c>
      <c r="F402" s="20"/>
      <c r="G402" s="20" t="n">
        <v>3</v>
      </c>
      <c r="H402" s="20" t="s">
        <v>1675</v>
      </c>
      <c r="I402" s="20" t="s">
        <v>88</v>
      </c>
      <c r="J402" s="20" t="s">
        <v>957</v>
      </c>
      <c r="K402" s="20"/>
      <c r="L402" s="20" t="s">
        <v>251</v>
      </c>
    </row>
    <row r="403" customFormat="false" ht="15" hidden="false" customHeight="false" outlineLevel="0" collapsed="false">
      <c r="A403" s="20" t="s">
        <v>1676</v>
      </c>
      <c r="B403" s="20"/>
      <c r="C403" s="20" t="s">
        <v>1677</v>
      </c>
      <c r="D403" s="20" t="s">
        <v>1107</v>
      </c>
      <c r="E403" s="20" t="s">
        <v>1462</v>
      </c>
      <c r="F403" s="20"/>
      <c r="G403" s="20" t="n">
        <v>2</v>
      </c>
      <c r="H403" s="20" t="s">
        <v>1678</v>
      </c>
      <c r="I403" s="20" t="s">
        <v>88</v>
      </c>
      <c r="J403" s="20" t="s">
        <v>957</v>
      </c>
      <c r="K403" s="20"/>
      <c r="L403" s="20" t="s">
        <v>251</v>
      </c>
    </row>
    <row r="404" customFormat="false" ht="15" hidden="false" customHeight="false" outlineLevel="0" collapsed="false">
      <c r="A404" s="20" t="s">
        <v>1679</v>
      </c>
      <c r="B404" s="20"/>
      <c r="C404" s="20" t="s">
        <v>1680</v>
      </c>
      <c r="D404" s="20" t="s">
        <v>1681</v>
      </c>
      <c r="E404" s="20" t="s">
        <v>1462</v>
      </c>
      <c r="F404" s="20"/>
      <c r="G404" s="20" t="n">
        <v>5</v>
      </c>
      <c r="H404" s="20" t="s">
        <v>1682</v>
      </c>
      <c r="I404" s="20" t="s">
        <v>88</v>
      </c>
      <c r="J404" s="20" t="s">
        <v>957</v>
      </c>
      <c r="K404" s="20"/>
      <c r="L404" s="20" t="s">
        <v>251</v>
      </c>
    </row>
    <row r="405" customFormat="false" ht="15" hidden="false" customHeight="false" outlineLevel="0" collapsed="false">
      <c r="A405" s="20" t="s">
        <v>1683</v>
      </c>
      <c r="B405" s="20"/>
      <c r="C405" s="20" t="s">
        <v>1684</v>
      </c>
      <c r="D405" s="20" t="s">
        <v>964</v>
      </c>
      <c r="E405" s="20" t="s">
        <v>1462</v>
      </c>
      <c r="F405" s="20"/>
      <c r="G405" s="20" t="n">
        <v>6</v>
      </c>
      <c r="H405" s="20" t="s">
        <v>1685</v>
      </c>
      <c r="I405" s="20" t="s">
        <v>88</v>
      </c>
      <c r="J405" s="20" t="s">
        <v>957</v>
      </c>
      <c r="K405" s="20"/>
      <c r="L405" s="20" t="s">
        <v>251</v>
      </c>
    </row>
    <row r="406" customFormat="false" ht="15" hidden="false" customHeight="false" outlineLevel="0" collapsed="false">
      <c r="A406" s="20" t="s">
        <v>1686</v>
      </c>
      <c r="B406" s="20"/>
      <c r="C406" s="20" t="s">
        <v>1687</v>
      </c>
      <c r="D406" s="20" t="s">
        <v>1688</v>
      </c>
      <c r="E406" s="20" t="s">
        <v>1462</v>
      </c>
      <c r="F406" s="20"/>
      <c r="G406" s="20" t="n">
        <v>2</v>
      </c>
      <c r="H406" s="20" t="s">
        <v>1689</v>
      </c>
      <c r="I406" s="20" t="s">
        <v>88</v>
      </c>
      <c r="J406" s="20" t="s">
        <v>957</v>
      </c>
      <c r="K406" s="20"/>
      <c r="L406" s="20" t="s">
        <v>251</v>
      </c>
    </row>
    <row r="407" customFormat="false" ht="15" hidden="false" customHeight="false" outlineLevel="0" collapsed="false">
      <c r="A407" s="20" t="s">
        <v>1690</v>
      </c>
      <c r="B407" s="20"/>
      <c r="C407" s="20" t="s">
        <v>1691</v>
      </c>
      <c r="D407" s="20" t="s">
        <v>964</v>
      </c>
      <c r="E407" s="20" t="s">
        <v>1462</v>
      </c>
      <c r="F407" s="20"/>
      <c r="G407" s="20" t="n">
        <v>3</v>
      </c>
      <c r="H407" s="20" t="s">
        <v>1692</v>
      </c>
      <c r="I407" s="20" t="s">
        <v>88</v>
      </c>
      <c r="J407" s="20" t="s">
        <v>957</v>
      </c>
      <c r="K407" s="20"/>
      <c r="L407" s="20" t="s">
        <v>251</v>
      </c>
    </row>
    <row r="408" customFormat="false" ht="15" hidden="false" customHeight="false" outlineLevel="0" collapsed="false">
      <c r="A408" s="20" t="s">
        <v>1693</v>
      </c>
      <c r="B408" s="20"/>
      <c r="C408" s="20" t="s">
        <v>1694</v>
      </c>
      <c r="D408" s="20" t="s">
        <v>964</v>
      </c>
      <c r="E408" s="20" t="s">
        <v>1462</v>
      </c>
      <c r="F408" s="20"/>
      <c r="G408" s="20" t="n">
        <v>3</v>
      </c>
      <c r="H408" s="20" t="s">
        <v>1695</v>
      </c>
      <c r="I408" s="20" t="s">
        <v>88</v>
      </c>
      <c r="J408" s="20" t="s">
        <v>957</v>
      </c>
      <c r="K408" s="20"/>
      <c r="L408" s="20" t="s">
        <v>251</v>
      </c>
    </row>
    <row r="409" customFormat="false" ht="15" hidden="false" customHeight="false" outlineLevel="0" collapsed="false">
      <c r="A409" s="20" t="s">
        <v>1696</v>
      </c>
      <c r="B409" s="20"/>
      <c r="C409" s="20" t="s">
        <v>1697</v>
      </c>
      <c r="D409" s="20" t="s">
        <v>1698</v>
      </c>
      <c r="E409" s="20" t="s">
        <v>1462</v>
      </c>
      <c r="F409" s="20"/>
      <c r="G409" s="20" t="n">
        <v>1</v>
      </c>
      <c r="H409" s="20" t="s">
        <v>1699</v>
      </c>
      <c r="I409" s="20" t="s">
        <v>88</v>
      </c>
      <c r="J409" s="20" t="s">
        <v>957</v>
      </c>
      <c r="K409" s="20"/>
      <c r="L409" s="20" t="s">
        <v>251</v>
      </c>
    </row>
    <row r="410" customFormat="false" ht="15" hidden="false" customHeight="false" outlineLevel="0" collapsed="false">
      <c r="A410" s="20" t="s">
        <v>1700</v>
      </c>
      <c r="B410" s="20"/>
      <c r="C410" s="20" t="s">
        <v>1701</v>
      </c>
      <c r="D410" s="20" t="s">
        <v>1107</v>
      </c>
      <c r="E410" s="20" t="s">
        <v>1462</v>
      </c>
      <c r="F410" s="20"/>
      <c r="G410" s="20" t="n">
        <v>6</v>
      </c>
      <c r="H410" s="20" t="s">
        <v>1702</v>
      </c>
      <c r="I410" s="20" t="s">
        <v>88</v>
      </c>
      <c r="J410" s="20" t="s">
        <v>957</v>
      </c>
      <c r="K410" s="20"/>
      <c r="L410" s="20" t="s">
        <v>251</v>
      </c>
    </row>
    <row r="411" customFormat="false" ht="15" hidden="false" customHeight="false" outlineLevel="0" collapsed="false">
      <c r="A411" s="20" t="s">
        <v>1703</v>
      </c>
      <c r="B411" s="20"/>
      <c r="C411" s="20" t="s">
        <v>1704</v>
      </c>
      <c r="D411" s="20" t="s">
        <v>964</v>
      </c>
      <c r="E411" s="20" t="s">
        <v>1462</v>
      </c>
      <c r="F411" s="20"/>
      <c r="G411" s="20" t="n">
        <v>5</v>
      </c>
      <c r="H411" s="20" t="s">
        <v>1705</v>
      </c>
      <c r="I411" s="20" t="s">
        <v>88</v>
      </c>
      <c r="J411" s="20" t="s">
        <v>957</v>
      </c>
      <c r="K411" s="20"/>
      <c r="L411" s="20" t="s">
        <v>251</v>
      </c>
    </row>
    <row r="412" customFormat="false" ht="15" hidden="false" customHeight="false" outlineLevel="0" collapsed="false">
      <c r="A412" s="20" t="s">
        <v>1706</v>
      </c>
      <c r="B412" s="20"/>
      <c r="C412" s="20" t="s">
        <v>1707</v>
      </c>
      <c r="D412" s="20" t="s">
        <v>1183</v>
      </c>
      <c r="E412" s="20" t="s">
        <v>1462</v>
      </c>
      <c r="F412" s="20"/>
      <c r="G412" s="20" t="n">
        <v>3</v>
      </c>
      <c r="H412" s="20" t="s">
        <v>1708</v>
      </c>
      <c r="I412" s="20" t="s">
        <v>1553</v>
      </c>
      <c r="J412" s="20" t="s">
        <v>957</v>
      </c>
      <c r="K412" s="20"/>
      <c r="L412" s="20" t="s">
        <v>251</v>
      </c>
    </row>
    <row r="413" customFormat="false" ht="15" hidden="false" customHeight="false" outlineLevel="0" collapsed="false">
      <c r="A413" s="20" t="s">
        <v>1709</v>
      </c>
      <c r="B413" s="20"/>
      <c r="C413" s="20" t="s">
        <v>1710</v>
      </c>
      <c r="D413" s="20" t="s">
        <v>1011</v>
      </c>
      <c r="E413" s="20" t="s">
        <v>1462</v>
      </c>
      <c r="F413" s="20"/>
      <c r="G413" s="20" t="n">
        <v>5</v>
      </c>
      <c r="H413" s="20" t="s">
        <v>1711</v>
      </c>
      <c r="I413" s="20" t="s">
        <v>88</v>
      </c>
      <c r="J413" s="20" t="s">
        <v>957</v>
      </c>
      <c r="K413" s="20"/>
      <c r="L413" s="20" t="s">
        <v>251</v>
      </c>
    </row>
    <row r="414" customFormat="false" ht="15" hidden="false" customHeight="false" outlineLevel="0" collapsed="false">
      <c r="A414" s="20" t="s">
        <v>1712</v>
      </c>
      <c r="B414" s="20"/>
      <c r="C414" s="20" t="s">
        <v>1713</v>
      </c>
      <c r="D414" s="20" t="s">
        <v>1107</v>
      </c>
      <c r="E414" s="20" t="s">
        <v>1462</v>
      </c>
      <c r="F414" s="20"/>
      <c r="G414" s="20" t="n">
        <v>2</v>
      </c>
      <c r="H414" s="20" t="s">
        <v>1714</v>
      </c>
      <c r="I414" s="20" t="s">
        <v>88</v>
      </c>
      <c r="J414" s="20" t="s">
        <v>957</v>
      </c>
      <c r="K414" s="20"/>
      <c r="L414" s="20" t="s">
        <v>251</v>
      </c>
    </row>
    <row r="415" customFormat="false" ht="15" hidden="false" customHeight="false" outlineLevel="0" collapsed="false">
      <c r="A415" s="20" t="s">
        <v>1715</v>
      </c>
      <c r="B415" s="20"/>
      <c r="C415" s="20" t="s">
        <v>1716</v>
      </c>
      <c r="D415" s="20" t="s">
        <v>1596</v>
      </c>
      <c r="E415" s="20" t="s">
        <v>1462</v>
      </c>
      <c r="F415" s="20"/>
      <c r="G415" s="20" t="n">
        <v>6</v>
      </c>
      <c r="H415" s="20" t="s">
        <v>1717</v>
      </c>
      <c r="I415" s="20" t="s">
        <v>88</v>
      </c>
      <c r="J415" s="20" t="s">
        <v>957</v>
      </c>
      <c r="K415" s="20"/>
      <c r="L415" s="20" t="s">
        <v>251</v>
      </c>
    </row>
    <row r="416" customFormat="false" ht="15" hidden="false" customHeight="false" outlineLevel="0" collapsed="false">
      <c r="A416" s="20" t="s">
        <v>1718</v>
      </c>
      <c r="B416" s="20"/>
      <c r="C416" s="20" t="s">
        <v>1719</v>
      </c>
      <c r="D416" s="20" t="s">
        <v>1011</v>
      </c>
      <c r="E416" s="20" t="s">
        <v>1462</v>
      </c>
      <c r="F416" s="20"/>
      <c r="G416" s="20" t="n">
        <v>2</v>
      </c>
      <c r="H416" s="20" t="s">
        <v>1720</v>
      </c>
      <c r="I416" s="20" t="s">
        <v>1513</v>
      </c>
      <c r="J416" s="20" t="s">
        <v>957</v>
      </c>
      <c r="K416" s="20"/>
      <c r="L416" s="20" t="s">
        <v>251</v>
      </c>
    </row>
    <row r="417" customFormat="false" ht="15" hidden="false" customHeight="false" outlineLevel="0" collapsed="false">
      <c r="A417" s="20" t="s">
        <v>1721</v>
      </c>
      <c r="B417" s="20"/>
      <c r="C417" s="20" t="s">
        <v>1722</v>
      </c>
      <c r="D417" s="20" t="s">
        <v>1107</v>
      </c>
      <c r="E417" s="20" t="s">
        <v>1462</v>
      </c>
      <c r="F417" s="20"/>
      <c r="G417" s="20" t="n">
        <v>14</v>
      </c>
      <c r="H417" s="20" t="s">
        <v>1723</v>
      </c>
      <c r="I417" s="20" t="s">
        <v>88</v>
      </c>
      <c r="J417" s="20" t="s">
        <v>957</v>
      </c>
      <c r="K417" s="20"/>
      <c r="L417" s="20" t="s">
        <v>251</v>
      </c>
    </row>
    <row r="418" customFormat="false" ht="15" hidden="false" customHeight="false" outlineLevel="0" collapsed="false">
      <c r="A418" s="20" t="s">
        <v>1724</v>
      </c>
      <c r="B418" s="20"/>
      <c r="C418" s="20" t="s">
        <v>1725</v>
      </c>
      <c r="D418" s="20" t="s">
        <v>964</v>
      </c>
      <c r="E418" s="20" t="s">
        <v>1462</v>
      </c>
      <c r="F418" s="20"/>
      <c r="G418" s="20" t="n">
        <v>10</v>
      </c>
      <c r="H418" s="20" t="s">
        <v>1726</v>
      </c>
      <c r="I418" s="20" t="s">
        <v>88</v>
      </c>
      <c r="J418" s="20" t="s">
        <v>957</v>
      </c>
      <c r="K418" s="20"/>
      <c r="L418" s="20" t="s">
        <v>251</v>
      </c>
    </row>
    <row r="419" customFormat="false" ht="15" hidden="false" customHeight="false" outlineLevel="0" collapsed="false">
      <c r="A419" s="20" t="s">
        <v>1727</v>
      </c>
      <c r="B419" s="20"/>
      <c r="C419" s="20" t="s">
        <v>1728</v>
      </c>
      <c r="D419" s="20" t="s">
        <v>964</v>
      </c>
      <c r="E419" s="20" t="s">
        <v>1462</v>
      </c>
      <c r="F419" s="20"/>
      <c r="G419" s="20" t="n">
        <v>8</v>
      </c>
      <c r="H419" s="20" t="s">
        <v>1729</v>
      </c>
      <c r="I419" s="20" t="s">
        <v>88</v>
      </c>
      <c r="J419" s="20" t="s">
        <v>957</v>
      </c>
      <c r="K419" s="20"/>
      <c r="L419" s="20"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1730</v>
      </c>
    </row>
    <row r="2" customFormat="false" ht="15" hidden="false" customHeight="false" outlineLevel="0" collapsed="false">
      <c r="A2" s="22"/>
    </row>
    <row r="3" customFormat="false" ht="15" hidden="false" customHeight="false" outlineLevel="0" collapsed="false">
      <c r="A3" s="22" t="s">
        <v>1731</v>
      </c>
    </row>
    <row r="4" customFormat="false" ht="15" hidden="false" customHeight="false" outlineLevel="0" collapsed="false">
      <c r="A4" s="22" t="s">
        <v>1732</v>
      </c>
    </row>
    <row r="5" customFormat="false" ht="15" hidden="false" customHeight="false" outlineLevel="0" collapsed="false">
      <c r="A5" s="22" t="s">
        <v>1733</v>
      </c>
    </row>
    <row r="6" customFormat="false" ht="15" hidden="false" customHeight="false" outlineLevel="0" collapsed="false">
      <c r="A6" s="22"/>
    </row>
    <row r="7" customFormat="false" ht="15" hidden="false" customHeight="false" outlineLevel="0" collapsed="false">
      <c r="A7" s="22" t="s">
        <v>1734</v>
      </c>
    </row>
    <row r="8" customFormat="false" ht="15" hidden="false" customHeight="false" outlineLevel="0" collapsed="false">
      <c r="A8" s="22" t="s">
        <v>1735</v>
      </c>
    </row>
    <row r="9" customFormat="false" ht="15" hidden="false" customHeight="false" outlineLevel="0" collapsed="false">
      <c r="A9" s="22"/>
    </row>
    <row r="10" customFormat="false" ht="15" hidden="false" customHeight="false" outlineLevel="0" collapsed="false">
      <c r="A10" s="22" t="s">
        <v>1736</v>
      </c>
    </row>
    <row r="11" customFormat="false" ht="15" hidden="false" customHeight="false" outlineLevel="0" collapsed="false">
      <c r="A11" s="22" t="s">
        <v>1737</v>
      </c>
    </row>
    <row r="12" customFormat="false" ht="15" hidden="false" customHeight="false" outlineLevel="0" collapsed="false">
      <c r="A12" s="22" t="s">
        <v>1738</v>
      </c>
    </row>
    <row r="13" customFormat="false" ht="15" hidden="false" customHeight="false" outlineLevel="0" collapsed="false">
      <c r="A13" s="22" t="s">
        <v>1739</v>
      </c>
    </row>
    <row r="14" customFormat="false" ht="15" hidden="false" customHeight="false" outlineLevel="0" collapsed="false">
      <c r="A14" s="22"/>
    </row>
    <row r="15" customFormat="false" ht="15" hidden="false" customHeight="false" outlineLevel="0" collapsed="false">
      <c r="A15" s="22" t="s">
        <v>1740</v>
      </c>
    </row>
    <row r="16" customFormat="false" ht="15" hidden="false" customHeight="false" outlineLevel="0" collapsed="false">
      <c r="A16" s="22" t="s">
        <v>1741</v>
      </c>
    </row>
    <row r="17" customFormat="false" ht="15" hidden="false" customHeight="false" outlineLevel="0" collapsed="false">
      <c r="A17" s="22"/>
    </row>
    <row r="18" customFormat="false" ht="15" hidden="false" customHeight="false" outlineLevel="0" collapsed="false">
      <c r="A18" s="22" t="s">
        <v>1742</v>
      </c>
    </row>
    <row r="19" customFormat="false" ht="15" hidden="false" customHeight="false" outlineLevel="0" collapsed="false">
      <c r="A19" s="22" t="s">
        <v>1743</v>
      </c>
    </row>
    <row r="20" customFormat="false" ht="23.85" hidden="false" customHeight="false" outlineLevel="0" collapsed="false">
      <c r="A20" s="22" t="s">
        <v>1744</v>
      </c>
    </row>
    <row r="21" customFormat="false" ht="15" hidden="false" customHeight="false" outlineLevel="0" collapsed="false">
      <c r="A21" s="22"/>
    </row>
    <row r="22" customFormat="false" ht="15" hidden="false" customHeight="false" outlineLevel="0" collapsed="false">
      <c r="A22" s="22" t="s">
        <v>1745</v>
      </c>
    </row>
    <row r="23" customFormat="false" ht="15" hidden="false" customHeight="false" outlineLevel="0" collapsed="false">
      <c r="A23" s="22" t="s">
        <v>1746</v>
      </c>
    </row>
    <row r="24" customFormat="false" ht="15" hidden="false" customHeight="false" outlineLevel="0" collapsed="false">
      <c r="A24" s="22" t="s">
        <v>1747</v>
      </c>
    </row>
    <row r="25" customFormat="false" ht="15" hidden="false" customHeight="false" outlineLevel="0" collapsed="false">
      <c r="A25" s="22"/>
    </row>
    <row r="26" customFormat="false" ht="15" hidden="false" customHeight="false" outlineLevel="0" collapsed="false">
      <c r="A26" s="22" t="s">
        <v>1748</v>
      </c>
    </row>
    <row r="27" customFormat="false" ht="15" hidden="false" customHeight="false" outlineLevel="0" collapsed="false">
      <c r="A27" s="22" t="s">
        <v>1749</v>
      </c>
    </row>
    <row r="28" customFormat="false" ht="15" hidden="false" customHeight="false" outlineLevel="0" collapsed="false">
      <c r="A28" s="22" t="s">
        <v>1750</v>
      </c>
    </row>
    <row r="29" customFormat="false" ht="15" hidden="false" customHeight="false" outlineLevel="0" collapsed="false">
      <c r="A29" s="22" t="s">
        <v>1751</v>
      </c>
    </row>
    <row r="30" customFormat="false" ht="15" hidden="false" customHeight="false" outlineLevel="0" collapsed="false">
      <c r="A30" s="22"/>
    </row>
    <row r="31" customFormat="false" ht="15" hidden="false" customHeight="false" outlineLevel="0" collapsed="false">
      <c r="A31" s="22" t="s">
        <v>1752</v>
      </c>
    </row>
    <row r="32" customFormat="false" ht="15" hidden="false" customHeight="false" outlineLevel="0" collapsed="false">
      <c r="A32" s="22" t="s">
        <v>1753</v>
      </c>
    </row>
    <row r="33" customFormat="false" ht="15" hidden="false" customHeight="false" outlineLevel="0" collapsed="false">
      <c r="A33" s="22" t="s">
        <v>1754</v>
      </c>
    </row>
    <row r="34" customFormat="false" ht="15" hidden="false" customHeight="false" outlineLevel="0" collapsed="false">
      <c r="A34" s="22"/>
    </row>
    <row r="35" customFormat="false" ht="15" hidden="false" customHeight="false" outlineLevel="0" collapsed="false">
      <c r="A35" s="22" t="s">
        <v>1755</v>
      </c>
    </row>
    <row r="36" customFormat="false" ht="15" hidden="false" customHeight="false" outlineLevel="0" collapsed="false">
      <c r="A36" s="22" t="s">
        <v>1756</v>
      </c>
    </row>
    <row r="37" customFormat="false" ht="15" hidden="false" customHeight="false" outlineLevel="0" collapsed="false">
      <c r="A37" s="22" t="s">
        <v>1757</v>
      </c>
    </row>
    <row r="38" customFormat="false" ht="15" hidden="false" customHeight="false" outlineLevel="0" collapsed="false">
      <c r="A38" s="22" t="s">
        <v>1758</v>
      </c>
    </row>
    <row r="39" customFormat="false" ht="15" hidden="false" customHeight="false" outlineLevel="0" collapsed="false">
      <c r="A39" s="22" t="s">
        <v>1759</v>
      </c>
    </row>
    <row r="40" customFormat="false" ht="15" hidden="false" customHeight="false" outlineLevel="0" collapsed="false">
      <c r="A40" s="22" t="s">
        <v>1760</v>
      </c>
    </row>
    <row r="41" customFormat="false" ht="15" hidden="false" customHeight="false" outlineLevel="0" collapsed="false">
      <c r="A41" s="22"/>
    </row>
    <row r="42" customFormat="false" ht="15" hidden="false" customHeight="false" outlineLevel="0" collapsed="false">
      <c r="A42" s="22" t="s">
        <v>1761</v>
      </c>
    </row>
    <row r="43" customFormat="false" ht="15" hidden="false" customHeight="false" outlineLevel="0" collapsed="false">
      <c r="A43" s="22" t="s">
        <v>1762</v>
      </c>
    </row>
    <row r="44" customFormat="false" ht="15" hidden="false" customHeight="false" outlineLevel="0" collapsed="false">
      <c r="A44" s="22"/>
    </row>
    <row r="45" customFormat="false" ht="15" hidden="false" customHeight="false" outlineLevel="0" collapsed="false">
      <c r="A45" s="22" t="s">
        <v>1763</v>
      </c>
    </row>
    <row r="46" customFormat="false" ht="15" hidden="false" customHeight="false" outlineLevel="0" collapsed="false">
      <c r="A46" s="22" t="s">
        <v>1764</v>
      </c>
    </row>
    <row r="47" customFormat="false" ht="15" hidden="false" customHeight="false" outlineLevel="0" collapsed="false">
      <c r="A47" s="22" t="s">
        <v>1765</v>
      </c>
    </row>
    <row r="48" customFormat="false" ht="15" hidden="false" customHeight="false" outlineLevel="0" collapsed="false">
      <c r="A48" s="22" t="s">
        <v>1766</v>
      </c>
    </row>
    <row r="49" customFormat="false" ht="15" hidden="false" customHeight="false" outlineLevel="0" collapsed="false">
      <c r="A49" s="22"/>
    </row>
    <row r="50" customFormat="false" ht="15" hidden="false" customHeight="false" outlineLevel="0" collapsed="false">
      <c r="A50" s="22" t="s">
        <v>1767</v>
      </c>
    </row>
    <row r="51" customFormat="false" ht="15" hidden="false" customHeight="false" outlineLevel="0" collapsed="false">
      <c r="A51" s="22" t="s">
        <v>1768</v>
      </c>
    </row>
    <row r="52" customFormat="false" ht="15" hidden="false" customHeight="false" outlineLevel="0" collapsed="false">
      <c r="A52" s="22"/>
    </row>
    <row r="53" customFormat="false" ht="15" hidden="false" customHeight="false" outlineLevel="0" collapsed="false">
      <c r="A53" s="22" t="s">
        <v>1769</v>
      </c>
    </row>
    <row r="54" customFormat="false" ht="15" hidden="false" customHeight="false" outlineLevel="0" collapsed="false">
      <c r="A54" s="22"/>
    </row>
    <row r="55" customFormat="false" ht="15" hidden="false" customHeight="false" outlineLevel="0" collapsed="false">
      <c r="A55" s="22" t="s">
        <v>1770</v>
      </c>
    </row>
    <row r="56" customFormat="false" ht="15" hidden="false" customHeight="false" outlineLevel="0" collapsed="false">
      <c r="A56" s="22" t="s">
        <v>1771</v>
      </c>
    </row>
    <row r="57" customFormat="false" ht="15" hidden="false" customHeight="false" outlineLevel="0" collapsed="false">
      <c r="A57" s="22" t="s">
        <v>1772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2026-09-19T19:59:36Z</dcterms:created>
  <dc:creator>openpyxl</dc:creator>
  <dc:description/>
  <dc:language>en-US</dc:language>
  <cp:lastModifiedBy/>
  <dcterms:modified xsi:type="dcterms:W3CDTF">2026-09-19T19:59:37Z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