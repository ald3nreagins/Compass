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  <sheet name="Candidate Universe" sheetId="2" state="visible" r:id="rId4"/>
    <sheet name="Data Diction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<sst xmlns="http://schemas.openxmlformats.org/spreadsheetml/2006/main" count="21044" uniqueCount="1793">
  <si>
    <t xml:space="preserve">Company Name</t>
  </si>
  <si>
    <t xml:space="preserve">Snapshot Quarter</t>
  </si>
  <si>
    <t xml:space="preserve">Sector</t>
  </si>
  <si>
    <t xml:space="preserve">Founded Year</t>
  </si>
  <si>
    <t xml:space="preserve">Headquarters</t>
  </si>
  <si>
    <t xml:space="preserve">Founders</t>
  </si>
  <si>
    <t xml:space="preserve">Current Company Stage</t>
  </si>
  <si>
    <t xml:space="preserve">Investment Date</t>
  </si>
  <si>
    <t xml:space="preserve">Investment Round</t>
  </si>
  <si>
    <t xml:space="preserve">Investment Amount</t>
  </si>
  <si>
    <t xml:space="preserve">Ownership Percentage</t>
  </si>
  <si>
    <t xml:space="preserve">Pre-Money Valuation</t>
  </si>
  <si>
    <t xml:space="preserve">Post-Money Valuation</t>
  </si>
  <si>
    <t xml:space="preserve">Total Funding Raised</t>
  </si>
  <si>
    <t xml:space="preserve">Latest Valuation</t>
  </si>
  <si>
    <t xml:space="preserve">Revenue</t>
  </si>
  <si>
    <t xml:space="preserve">Revenue Growth</t>
  </si>
  <si>
    <t xml:space="preserve">ARR</t>
  </si>
  <si>
    <t xml:space="preserve">ARR Growth</t>
  </si>
  <si>
    <t xml:space="preserve">Gross Profit</t>
  </si>
  <si>
    <t xml:space="preserve">Gross Margin</t>
  </si>
  <si>
    <t xml:space="preserve">EBITDA / Operating Income</t>
  </si>
  <si>
    <t xml:space="preserve">Net Income</t>
  </si>
  <si>
    <t xml:space="preserve">Cash Balance</t>
  </si>
  <si>
    <t xml:space="preserve">Monthly Burn</t>
  </si>
  <si>
    <t xml:space="preserve">Runway (months)</t>
  </si>
  <si>
    <t xml:space="preserve">Debt</t>
  </si>
  <si>
    <t xml:space="preserve">Free Cash Flow</t>
  </si>
  <si>
    <t xml:space="preserve">Customer Count</t>
  </si>
  <si>
    <t xml:space="preserve">Customer Growth</t>
  </si>
  <si>
    <t xml:space="preserve">Customer Churn</t>
  </si>
  <si>
    <t xml:space="preserve">Revenue Churn</t>
  </si>
  <si>
    <t xml:space="preserve">Gross Revenue Retention (GRR)</t>
  </si>
  <si>
    <t xml:space="preserve">Net Revenue Retention (NRR)</t>
  </si>
  <si>
    <t xml:space="preserve">Customer Acquisition Cost (CAC)</t>
  </si>
  <si>
    <t xml:space="preserve">Customer Lifetime Value (LTV)</t>
  </si>
  <si>
    <t xml:space="preserve">LTV:CAC Ratio</t>
  </si>
  <si>
    <t xml:space="preserve">CAC Payback Period (months)</t>
  </si>
  <si>
    <t xml:space="preserve">Average Contract Value (ACV)</t>
  </si>
  <si>
    <t xml:space="preserve">Bookings</t>
  </si>
  <si>
    <t xml:space="preserve">Sales Pipeline</t>
  </si>
  <si>
    <t xml:space="preserve">Win Rate</t>
  </si>
  <si>
    <t xml:space="preserve">Sales Cycle (days)</t>
  </si>
  <si>
    <t xml:space="preserve">Employee Count</t>
  </si>
  <si>
    <t xml:space="preserve">Employee Growth</t>
  </si>
  <si>
    <t xml:space="preserve">Hiring Plan</t>
  </si>
  <si>
    <t xml:space="preserve">Revenue per Employee</t>
  </si>
  <si>
    <t xml:space="preserve">Operating Expenses</t>
  </si>
  <si>
    <t xml:space="preserve">R&amp;D Expenses</t>
  </si>
  <si>
    <t xml:space="preserve">Sales &amp; Marketing Expenses</t>
  </si>
  <si>
    <t xml:space="preserve">Active Users</t>
  </si>
  <si>
    <t xml:space="preserve">User Growth</t>
  </si>
  <si>
    <t xml:space="preserve">User Retention</t>
  </si>
  <si>
    <t xml:space="preserve">Product Engagement</t>
  </si>
  <si>
    <t xml:space="preserve">Product / Feature Adoption</t>
  </si>
  <si>
    <t xml:space="preserve">Key Product KPIs</t>
  </si>
  <si>
    <t xml:space="preserve">Budget (revenue plan)</t>
  </si>
  <si>
    <t xml:space="preserve">Actual Revenue vs. Budget</t>
  </si>
  <si>
    <t xml:space="preserve">Actual Expenses vs. Budget</t>
  </si>
  <si>
    <t xml:space="preserve">Actual Cash Burn vs. Budget</t>
  </si>
  <si>
    <t xml:space="preserve">Revenue Forecast</t>
  </si>
  <si>
    <t xml:space="preserve">EBITDA / Profit Forecast</t>
  </si>
  <si>
    <t xml:space="preserve">Key Company Milestones</t>
  </si>
  <si>
    <t xml:space="preserve">Strategic Objectives</t>
  </si>
  <si>
    <t xml:space="preserve">Current Valuation</t>
  </si>
  <si>
    <t xml:space="preserve">Valuation at Each Funding Round</t>
  </si>
  <si>
    <t xml:space="preserve">Dilution</t>
  </si>
  <si>
    <t xml:space="preserve">Debt Financing</t>
  </si>
  <si>
    <t xml:space="preserve">Expected Financing Needs</t>
  </si>
  <si>
    <t xml:space="preserve">Exit / IPO Status</t>
  </si>
  <si>
    <t xml:space="preserve">Data Source</t>
  </si>
  <si>
    <t xml:space="preserve">Health Flag</t>
  </si>
  <si>
    <t xml:space="preserve">9 Mothers</t>
  </si>
  <si>
    <t xml:space="preserve">2025-Q4</t>
  </si>
  <si>
    <t xml:space="preserve">Technology / Other</t>
  </si>
  <si>
    <t xml:space="preserve">2022</t>
  </si>
  <si>
    <t xml:space="preserve">Austin, TX, USA</t>
  </si>
  <si>
    <t xml:space="preserve">Russell Smith, Roman Khomenko, Bogdan Pyzh</t>
  </si>
  <si>
    <t xml:space="preserve">Seed</t>
  </si>
  <si>
    <t xml:space="preserve">X26 batch</t>
  </si>
  <si>
    <t xml:space="preserve">Aggressive: 12 net adds planned</t>
  </si>
  <si>
    <t xml:space="preserve">Weekly active teams up 22% QoQ</t>
  </si>
  <si>
    <t xml:space="preserve">Core workflow 78% adopted; new AI module 12%</t>
  </si>
  <si>
    <t xml:space="preserve">Model accuracy 91% (up from 86%)</t>
  </si>
  <si>
    <t xml:space="preserve">Closed first 3 enterprise contracts; SOC 2 Type II complete</t>
  </si>
  <si>
    <t xml:space="preserve">Improve gross margin to 70%+ via infra optimization</t>
  </si>
  <si>
    <t xml:space="preserve">Seed $22.3M pre → latest $48.6M</t>
  </si>
  <si>
    <t xml:space="preserve">$250K revenue-based financing</t>
  </si>
  <si>
    <t xml:space="preserve">Private — no exit activity</t>
  </si>
  <si>
    <t xml:space="preserve">Identity: real (vcbacked.co); founders/headcount/status: real | Metrics: simulated; round size simulated</t>
  </si>
  <si>
    <t xml:space="preserve">BASELINE</t>
  </si>
  <si>
    <t xml:space="preserve">2026-Q1</t>
  </si>
  <si>
    <t xml:space="preserve">2026-Q2</t>
  </si>
  <si>
    <t xml:space="preserve">2026-Q3</t>
  </si>
  <si>
    <t xml:space="preserve">AbInitio Bio</t>
  </si>
  <si>
    <t xml:space="preserve">2024</t>
  </si>
  <si>
    <t xml:space="preserve">Boston, MA, USA</t>
  </si>
  <si>
    <t xml:space="preserve">Daniel Mukasa, Nisha Gopal</t>
  </si>
  <si>
    <t xml:space="preserve">3 eng, 1 designer, 2 AE</t>
  </si>
  <si>
    <t xml:space="preserve">DAU/MAU 0.55, strong</t>
  </si>
  <si>
    <t xml:space="preserve">Analytics dashboard 34% adoption</t>
  </si>
  <si>
    <t xml:space="preserve">Time-to-first-value: 6 days</t>
  </si>
  <si>
    <t xml:space="preserve">Pilot converted with 2 government agencies</t>
  </si>
  <si>
    <t xml:space="preserve">Seed $19.1M pre → latest $27.2M</t>
  </si>
  <si>
    <t xml:space="preserve">Adialante</t>
  </si>
  <si>
    <t xml:space="preserve">San Francisco, CA, USA</t>
  </si>
  <si>
    <t xml:space="preserve">Efrain Torres, Parker Jenkins</t>
  </si>
  <si>
    <t xml:space="preserve">DAU/MAU 0.42, rising</t>
  </si>
  <si>
    <t xml:space="preserve">Mobile app adopted by 44% of base</t>
  </si>
  <si>
    <t xml:space="preserve">Onboarding completion 71%</t>
  </si>
  <si>
    <t xml:space="preserve">Launched v2 platform; expanded to 2 new states</t>
  </si>
  <si>
    <t xml:space="preserve">Reach $3M ARR and default-alive by Q4</t>
  </si>
  <si>
    <t xml:space="preserve">Seed $27.8M pre → latest $55.1M</t>
  </si>
  <si>
    <t xml:space="preserve">$2.0M venture debt, 18mo draw period</t>
  </si>
  <si>
    <t xml:space="preserve">Advanced Metal Research</t>
  </si>
  <si>
    <t xml:space="preserve">2018</t>
  </si>
  <si>
    <t xml:space="preserve">Los Angeles, CA, USA</t>
  </si>
  <si>
    <t xml:space="preserve">Angus Muffatti, Julian Fried, Stephen Lin</t>
  </si>
  <si>
    <t xml:space="preserve">RIF completed; no planned adds</t>
  </si>
  <si>
    <t xml:space="preserve">Engagement flat for 3 quarters</t>
  </si>
  <si>
    <t xml:space="preserve">Feature adoption lagging — 19% on latest release</t>
  </si>
  <si>
    <t xml:space="preserve">Missed Q3 launch date; replatforming underway</t>
  </si>
  <si>
    <t xml:space="preserve">Cut burn 30% and stabilize churn</t>
  </si>
  <si>
    <t xml:space="preserve">Seed $22.5M pre → latest $18.2M</t>
  </si>
  <si>
    <t xml:space="preserve">AgentPhone</t>
  </si>
  <si>
    <t xml:space="preserve">Manav Modi, Meet Modi</t>
  </si>
  <si>
    <t xml:space="preserve">New API used by 61% of enterprise accounts</t>
  </si>
  <si>
    <t xml:space="preserve">Key patent filed; manufacturing partner signed</t>
  </si>
  <si>
    <t xml:space="preserve">Land 2 Tier-1 channel partnerships</t>
  </si>
  <si>
    <t xml:space="preserve">Seed $25.9M pre → latest $69.5M</t>
  </si>
  <si>
    <t xml:space="preserve">$500K SAFE (uncapped)</t>
  </si>
  <si>
    <t xml:space="preserve">AICE</t>
  </si>
  <si>
    <t xml:space="preserve">2023</t>
  </si>
  <si>
    <t xml:space="preserve">Gregoire Chomette, Rémi Bouteiller</t>
  </si>
  <si>
    <t xml:space="preserve">4 GTM hires, eng held flat</t>
  </si>
  <si>
    <t xml:space="preserve">Seed $19.6M pre → latest $46.6M</t>
  </si>
  <si>
    <t xml:space="preserve">Akkari</t>
  </si>
  <si>
    <t xml:space="preserve">Jeffrey Byun, Henry A. Lee, Michael Moore, Henry Lee</t>
  </si>
  <si>
    <t xml:space="preserve">DAU/MAU 0.11, declining</t>
  </si>
  <si>
    <t xml:space="preserve">Lost anchor customer; repositioning to mid-market</t>
  </si>
  <si>
    <t xml:space="preserve">Sunset legacy product; consolidate on core platform</t>
  </si>
  <si>
    <t xml:space="preserve">Seed $25.4M pre → latest $18.2M</t>
  </si>
  <si>
    <t xml:space="preserve">None</t>
  </si>
  <si>
    <t xml:space="preserve">Alchemize</t>
  </si>
  <si>
    <t xml:space="preserve">Robert Hou, Samuel Fu</t>
  </si>
  <si>
    <t xml:space="preserve">1 senior eng, deferred until next raise</t>
  </si>
  <si>
    <t xml:space="preserve">DAU/MAU 0.18, flat</t>
  </si>
  <si>
    <t xml:space="preserve">Founding CTO departed; search underway</t>
  </si>
  <si>
    <t xml:space="preserve">Extend runway to 18 months before next raise</t>
  </si>
  <si>
    <t xml:space="preserve">Seed $14.9M pre → latest $12.8M</t>
  </si>
  <si>
    <t xml:space="preserve">Allowance</t>
  </si>
  <si>
    <t xml:space="preserve">2019</t>
  </si>
  <si>
    <t xml:space="preserve">Dasmer Singh</t>
  </si>
  <si>
    <t xml:space="preserve">2 eng, 1 GTM next 2 quarters</t>
  </si>
  <si>
    <t xml:space="preserve">Seed $22.5M pre → latest $48.7M</t>
  </si>
  <si>
    <t xml:space="preserve">Amboras</t>
  </si>
  <si>
    <t xml:space="preserve">Imad Mokadem, Amin Mokadem</t>
  </si>
  <si>
    <t xml:space="preserve">Avg 14 workflows automated per account</t>
  </si>
  <si>
    <t xml:space="preserve">Seed $27.1M pre → latest $27.9M</t>
  </si>
  <si>
    <t xml:space="preserve">Andco</t>
  </si>
  <si>
    <t xml:space="preserve">Ryan Xue, David Lee, Michael Lemm</t>
  </si>
  <si>
    <t xml:space="preserve">DAU/MAU 0.31, steady</t>
  </si>
  <si>
    <t xml:space="preserve">Expand from pilot to production with 5 logos</t>
  </si>
  <si>
    <t xml:space="preserve">Seed $29.8M pre → latest $75.5M</t>
  </si>
  <si>
    <t xml:space="preserve">Andustry</t>
  </si>
  <si>
    <t xml:space="preserve">2021</t>
  </si>
  <si>
    <t xml:space="preserve">Het Dave, Johann Stürken</t>
  </si>
  <si>
    <t xml:space="preserve">Seed $8.1M pre → latest $10.8M</t>
  </si>
  <si>
    <t xml:space="preserve">ANORIA</t>
  </si>
  <si>
    <t xml:space="preserve">Michael Belhassen</t>
  </si>
  <si>
    <t xml:space="preserve">Backfill only — no net adds</t>
  </si>
  <si>
    <t xml:space="preserve">Session length down 9% QoQ</t>
  </si>
  <si>
    <t xml:space="preserve">Seed $13.0M pre → latest $9.1M</t>
  </si>
  <si>
    <t xml:space="preserve">Apollo Atomics, Inc.</t>
  </si>
  <si>
    <t xml:space="preserve">Assil Halimi, Drew Walker</t>
  </si>
  <si>
    <t xml:space="preserve">Uptime 99.95%; p95 latency 180ms</t>
  </si>
  <si>
    <t xml:space="preserve">Seed $22.1M pre → latest $31.8M</t>
  </si>
  <si>
    <t xml:space="preserve">AquaShield</t>
  </si>
  <si>
    <t xml:space="preserve">Paul Beckers, Marguerite Benoist</t>
  </si>
  <si>
    <t xml:space="preserve">Seed $17.1M pre → latest $13.1M</t>
  </si>
  <si>
    <t xml:space="preserve">Ara</t>
  </si>
  <si>
    <t xml:space="preserve">Adi Singh, Sven Myhre</t>
  </si>
  <si>
    <t xml:space="preserve">Seed $25.7M pre → latest $22.6M</t>
  </si>
  <si>
    <t xml:space="preserve">Archer</t>
  </si>
  <si>
    <t xml:space="preserve">Benjamin Nguyen, Vivek Yanamadula</t>
  </si>
  <si>
    <t xml:space="preserve">Seed $10.2M pre → latest $7.1M</t>
  </si>
  <si>
    <t xml:space="preserve">Arctic Health</t>
  </si>
  <si>
    <t xml:space="preserve">New York City, NY, USA</t>
  </si>
  <si>
    <t xml:space="preserve">Sam Slezek, Michael Clark, Raghav Mehrish</t>
  </si>
  <si>
    <t xml:space="preserve">Seed $10.4M pre → latest $15.7M</t>
  </si>
  <si>
    <t xml:space="preserve">Arden</t>
  </si>
  <si>
    <t xml:space="preserve">Aryaman Khanna, David Lomelin</t>
  </si>
  <si>
    <t xml:space="preserve">Hit $1M ARR; hired first VP Sales</t>
  </si>
  <si>
    <t xml:space="preserve">Seed $16.9M pre → latest $24.4M</t>
  </si>
  <si>
    <t xml:space="preserve">Arga Labs</t>
  </si>
  <si>
    <t xml:space="preserve">Phillip Li, Akira Tong</t>
  </si>
  <si>
    <t xml:space="preserve">Hiring freeze in effect</t>
  </si>
  <si>
    <t xml:space="preserve">Seed $19.2M pre → latest $18.5M</t>
  </si>
  <si>
    <t xml:space="preserve">$1.2M venture debt facility</t>
  </si>
  <si>
    <t xml:space="preserve">Arlo Industries</t>
  </si>
  <si>
    <t xml:space="preserve">Deo Arlo (Iron Dome Guy), Deo Arlo</t>
  </si>
  <si>
    <t xml:space="preserve">5 eng, 2 sales, 1 finance (FY26 plan)</t>
  </si>
  <si>
    <t xml:space="preserve">Seed $9.3M pre → latest $9.8M</t>
  </si>
  <si>
    <t xml:space="preserve">Armature</t>
  </si>
  <si>
    <t xml:space="preserve">Theodore Otzenberger, Louis Scremin</t>
  </si>
  <si>
    <t xml:space="preserve">Seed $25.1M pre → latest $60.7M</t>
  </si>
  <si>
    <t xml:space="preserve">Arzana</t>
  </si>
  <si>
    <t xml:space="preserve">William Alexander, Marshall Kools</t>
  </si>
  <si>
    <t xml:space="preserve">Seed $15.2M pre → latest $19.5M</t>
  </si>
  <si>
    <t xml:space="preserve">Asendia AI</t>
  </si>
  <si>
    <t xml:space="preserve">2020</t>
  </si>
  <si>
    <t xml:space="preserve">Rihab Lajmi, Badis Zormati</t>
  </si>
  <si>
    <t xml:space="preserve">Seed $9.5M pre → latest $6.2M</t>
  </si>
  <si>
    <t xml:space="preserve">Aseon Labs</t>
  </si>
  <si>
    <t xml:space="preserve">George Kalligeros, Dan Keene</t>
  </si>
  <si>
    <t xml:space="preserve">Seed $21.3M pre → latest $20.1M</t>
  </si>
  <si>
    <t xml:space="preserve">Aster</t>
  </si>
  <si>
    <t xml:space="preserve">Emmett Bicker</t>
  </si>
  <si>
    <t xml:space="preserve">2 eng, 1 ops</t>
  </si>
  <si>
    <t xml:space="preserve">Seed $18.4M pre → latest $27.5M</t>
  </si>
  <si>
    <t xml:space="preserve">Astraea</t>
  </si>
  <si>
    <t xml:space="preserve">Joshua Wang, Sanmay Sarada</t>
  </si>
  <si>
    <t xml:space="preserve">Seed $10.5M pre → latest $12.1M</t>
  </si>
  <si>
    <t xml:space="preserve">Atrisa</t>
  </si>
  <si>
    <t xml:space="preserve">Sayan Mitra, Rithik Jain, Atman Kar</t>
  </si>
  <si>
    <t xml:space="preserve">Seed $19.9M pre → latest $44.1M</t>
  </si>
  <si>
    <t xml:space="preserve">Autostep</t>
  </si>
  <si>
    <t xml:space="preserve">Aidan Pratt 🥑, Aidan Pratt</t>
  </si>
  <si>
    <t xml:space="preserve">Seed $20.9M pre → latest $30.9M</t>
  </si>
  <si>
    <t xml:space="preserve">BentoLabs AI</t>
  </si>
  <si>
    <t xml:space="preserve">Abhinav Soni, Kaushik ASP</t>
  </si>
  <si>
    <t xml:space="preserve">Seed $8.2M pre → latest $9.9M</t>
  </si>
  <si>
    <t xml:space="preserve">BioStack Platforms</t>
  </si>
  <si>
    <t xml:space="preserve">Sanat Mishra, Parth Patwa</t>
  </si>
  <si>
    <t xml:space="preserve">Seed $21.4M pre → latest $49.7M</t>
  </si>
  <si>
    <t xml:space="preserve">Bloom (X26)</t>
  </si>
  <si>
    <t xml:space="preserve">Ray Fitzgerald</t>
  </si>
  <si>
    <t xml:space="preserve">Seed $9.3M pre → latest $13.4M</t>
  </si>
  <si>
    <t xml:space="preserve">Callab AI</t>
  </si>
  <si>
    <t xml:space="preserve">Haithem Kchaou, Chehir Dhaouadi</t>
  </si>
  <si>
    <t xml:space="preserve">Seed $16.6M pre → latest $18.5M</t>
  </si>
  <si>
    <t xml:space="preserve">CharacterQuilt</t>
  </si>
  <si>
    <t xml:space="preserve">Clint Burgess, Bhairav Mehta</t>
  </si>
  <si>
    <t xml:space="preserve">Seed $16.1M pre → latest $41.7M</t>
  </si>
  <si>
    <t xml:space="preserve">Chert</t>
  </si>
  <si>
    <t xml:space="preserve">Gary Gao, Ian Fong</t>
  </si>
  <si>
    <t xml:space="preserve">Seed $27.4M pre → latest $49.2M</t>
  </si>
  <si>
    <t xml:space="preserve">Chronicle Labs</t>
  </si>
  <si>
    <t xml:space="preserve">Ayman Saleh</t>
  </si>
  <si>
    <t xml:space="preserve">Seed $16.0M pre → latest $17.9M</t>
  </si>
  <si>
    <t xml:space="preserve">Cignara</t>
  </si>
  <si>
    <t xml:space="preserve">Nalin Gupta</t>
  </si>
  <si>
    <t xml:space="preserve">Seed $17.3M pre → latest $36.9M</t>
  </si>
  <si>
    <t xml:space="preserve">Clara</t>
  </si>
  <si>
    <t xml:space="preserve">George Favvas, Zeeshan Ahmed, Caitlin Swift</t>
  </si>
  <si>
    <t xml:space="preserve">Seed $24.5M pre → latest $56.4M</t>
  </si>
  <si>
    <t xml:space="preserve">Cohesion</t>
  </si>
  <si>
    <t xml:space="preserve">Devon Krapcho, Matthew McBrien, Matt Munns</t>
  </si>
  <si>
    <t xml:space="preserve">Seed $10.5M pre → latest $20.8M</t>
  </si>
  <si>
    <t xml:space="preserve">Complir</t>
  </si>
  <si>
    <t xml:space="preserve">Copenhagen, Denmark</t>
  </si>
  <si>
    <t xml:space="preserve">Gustav Bang, Marc Kaa Brejner, Tine Kühnel</t>
  </si>
  <si>
    <t xml:space="preserve">Seed $22.7M pre → latest $58.7M</t>
  </si>
  <si>
    <t xml:space="preserve">Deep Interactions</t>
  </si>
  <si>
    <t xml:space="preserve">Sruthi Viswanathan</t>
  </si>
  <si>
    <t xml:space="preserve">Seed $9.7M pre → latest $8.3M</t>
  </si>
  <si>
    <t xml:space="preserve">Discovered Materials</t>
  </si>
  <si>
    <t xml:space="preserve">Akash Ramdas, Advaith Sridhar</t>
  </si>
  <si>
    <t xml:space="preserve">Seed $22.4M pre → latest $47.3M</t>
  </si>
  <si>
    <t xml:space="preserve">Dispatch</t>
  </si>
  <si>
    <t xml:space="preserve">Payton Case, Andrew Mello</t>
  </si>
  <si>
    <t xml:space="preserve">Seed $15.1M pre → latest $31.4M</t>
  </si>
  <si>
    <t xml:space="preserve">Drafted</t>
  </si>
  <si>
    <t xml:space="preserve">Nicholas Donahue</t>
  </si>
  <si>
    <t xml:space="preserve">Seed $20.9M pre → latest $38.6M</t>
  </si>
  <si>
    <t xml:space="preserve">Eden Robotics</t>
  </si>
  <si>
    <t xml:space="preserve">Stamatios Floratos, Joseph Humphreys, Stamatis Floratos</t>
  </si>
  <si>
    <t xml:space="preserve">Seed $13.3M pre → latest $18.7M</t>
  </si>
  <si>
    <t xml:space="preserve">Elyra</t>
  </si>
  <si>
    <t xml:space="preserve">Stockholm, Stockholm County, Sweden</t>
  </si>
  <si>
    <t xml:space="preserve">Felix Odeberg Glasenapp, Alan Mando</t>
  </si>
  <si>
    <t xml:space="preserve">Seed $11.5M pre → latest $20.1M</t>
  </si>
  <si>
    <t xml:space="preserve">Enjamb Labs</t>
  </si>
  <si>
    <t xml:space="preserve">Rayan Mubarak, Maadhav Deekshitha</t>
  </si>
  <si>
    <t xml:space="preserve">Seed $28.6M pre → latest $47.4M</t>
  </si>
  <si>
    <t xml:space="preserve">Expanse</t>
  </si>
  <si>
    <t xml:space="preserve">Ismaeel Bashir, Nikodem Bieniek, Yafet Melake, Eren Mendi</t>
  </si>
  <si>
    <t xml:space="preserve">Seed $12.3M pre → latest $12.2M</t>
  </si>
  <si>
    <t xml:space="preserve">FinalDose</t>
  </si>
  <si>
    <t xml:space="preserve">London, England, United Kingdom</t>
  </si>
  <si>
    <t xml:space="preserve">Li-Yao Huang, Steven Lin, Jeff Liu</t>
  </si>
  <si>
    <t xml:space="preserve">Seed $12.9M pre → latest $21.8M</t>
  </si>
  <si>
    <t xml:space="preserve">flowscope</t>
  </si>
  <si>
    <t xml:space="preserve">Samuel Mirpuri, Javier Leguina</t>
  </si>
  <si>
    <t xml:space="preserve">Seed $24.3M pre → latest $59.6M</t>
  </si>
  <si>
    <t xml:space="preserve">Foaster</t>
  </si>
  <si>
    <t xml:space="preserve">Raphaël Dabadie, Alexandre Combes</t>
  </si>
  <si>
    <t xml:space="preserve">Seed $11.5M pre → latest $22.3M</t>
  </si>
  <si>
    <t xml:space="preserve">Foresight</t>
  </si>
  <si>
    <t xml:space="preserve">Eytan Rozenblum, Antoine Bertrand</t>
  </si>
  <si>
    <t xml:space="preserve">Seed $14.7M pre → latest $22.9M</t>
  </si>
  <si>
    <t xml:space="preserve">Framewise Health</t>
  </si>
  <si>
    <t xml:space="preserve">Tane Kim</t>
  </si>
  <si>
    <t xml:space="preserve">Seed $27.6M pre → latest $66.7M</t>
  </si>
  <si>
    <t xml:space="preserve">Fuchsia</t>
  </si>
  <si>
    <t xml:space="preserve">Tony Gao</t>
  </si>
  <si>
    <t xml:space="preserve">Seed $24.0M pre → latest $44.9M</t>
  </si>
  <si>
    <t xml:space="preserve">General Aviation</t>
  </si>
  <si>
    <t xml:space="preserve">Ben Frank</t>
  </si>
  <si>
    <t xml:space="preserve">Seed $25.3M pre → latest $47.0M</t>
  </si>
  <si>
    <t xml:space="preserve">General Instinct</t>
  </si>
  <si>
    <t xml:space="preserve">Bill Jiao, Guanming Wang</t>
  </si>
  <si>
    <t xml:space="preserve">Seed $25.7M pre → latest $39.2M</t>
  </si>
  <si>
    <t xml:space="preserve">Gigacatalyst</t>
  </si>
  <si>
    <t xml:space="preserve">Namanyay Goel</t>
  </si>
  <si>
    <t xml:space="preserve">Seed $18.2M pre → latest $34.4M</t>
  </si>
  <si>
    <t xml:space="preserve">GovGuard</t>
  </si>
  <si>
    <t xml:space="preserve">Gleb Hulting, Aditya Sabharwal</t>
  </si>
  <si>
    <t xml:space="preserve">Seed $23.9M pre → latest $25.1M</t>
  </si>
  <si>
    <t xml:space="preserve">Gravy</t>
  </si>
  <si>
    <t xml:space="preserve">Ali Tabba, Max Church</t>
  </si>
  <si>
    <t xml:space="preserve">Seed $13.3M pre → latest $26.5M</t>
  </si>
  <si>
    <t xml:space="preserve">Harbor</t>
  </si>
  <si>
    <t xml:space="preserve">Albert Cai, Nathan H. Leung</t>
  </si>
  <si>
    <t xml:space="preserve">Seed $15.5M pre → latest $34.5M</t>
  </si>
  <si>
    <t xml:space="preserve">Hedge</t>
  </si>
  <si>
    <t xml:space="preserve">Luke Button, Luke Rosa</t>
  </si>
  <si>
    <t xml:space="preserve">Seed $19.1M pre → latest $37.3M</t>
  </si>
  <si>
    <t xml:space="preserve">Hessian</t>
  </si>
  <si>
    <t xml:space="preserve">Bao Nguyen, James Smith, Tom Watson</t>
  </si>
  <si>
    <t xml:space="preserve">Seed $26.8M pre → latest $29.3M</t>
  </si>
  <si>
    <t xml:space="preserve">HeyClicky</t>
  </si>
  <si>
    <t xml:space="preserve">Farza Majeed</t>
  </si>
  <si>
    <t xml:space="preserve">Seed $22.3M pre → latest $30.9M</t>
  </si>
  <si>
    <t xml:space="preserve">Hub</t>
  </si>
  <si>
    <t xml:space="preserve">Tim Sprecher, Armin Kiani</t>
  </si>
  <si>
    <t xml:space="preserve">Seed $21.0M pre → latest $39.6M</t>
  </si>
  <si>
    <t xml:space="preserve">Humwork</t>
  </si>
  <si>
    <t xml:space="preserve">Yash Goenka, Rohan Datta</t>
  </si>
  <si>
    <t xml:space="preserve">Seed $21.8M pre → latest $15.8M</t>
  </si>
  <si>
    <t xml:space="preserve">Hyper</t>
  </si>
  <si>
    <t xml:space="preserve">Shalin Shah, Kanyes Thaker</t>
  </si>
  <si>
    <t xml:space="preserve">Seed $21.9M pre → latest $31.5M</t>
  </si>
  <si>
    <t xml:space="preserve">Infera</t>
  </si>
  <si>
    <t xml:space="preserve">Troy Zhang, Chloe Sow</t>
  </si>
  <si>
    <t xml:space="preserve">Seed $22.4M pre → latest $48.4M</t>
  </si>
  <si>
    <t xml:space="preserve">InLoop Robotics</t>
  </si>
  <si>
    <t xml:space="preserve">Zakariea Sharfeddine, Stepan Feduniak</t>
  </si>
  <si>
    <t xml:space="preserve">Seed $21.7M pre → latest $53.1M</t>
  </si>
  <si>
    <t xml:space="preserve">InsForge</t>
  </si>
  <si>
    <t xml:space="preserve">Hang Huang, Tony Chang, Claas Ahrens</t>
  </si>
  <si>
    <t xml:space="preserve">Seed $22.0M pre → latest $16.7M</t>
  </si>
  <si>
    <t xml:space="preserve">InstaAgent</t>
  </si>
  <si>
    <t xml:space="preserve">Kyle Wong, Colin Tseung</t>
  </si>
  <si>
    <t xml:space="preserve">Seed $26.8M pre → latest $32.9M</t>
  </si>
  <si>
    <t xml:space="preserve">Intelligence Factory</t>
  </si>
  <si>
    <t xml:space="preserve">Yash Sinha, Jalaj Shukla</t>
  </si>
  <si>
    <t xml:space="preserve">Seed $12.2M pre → latest $25.9M</t>
  </si>
  <si>
    <t xml:space="preserve">Interfaze</t>
  </si>
  <si>
    <t xml:space="preserve">Yoeven D Khemlani, Harsha Vardhan Khurdula, Harsha Vardhan Khurdula</t>
  </si>
  <si>
    <t xml:space="preserve">Seed $18.6M pre → latest $24.1M</t>
  </si>
  <si>
    <t xml:space="preserve">Inth</t>
  </si>
  <si>
    <t xml:space="preserve">Christopher Burns</t>
  </si>
  <si>
    <t xml:space="preserve">Seed $14.6M pre → latest $13.8M</t>
  </si>
  <si>
    <t xml:space="preserve">jo</t>
  </si>
  <si>
    <t xml:space="preserve">San Francisco, CA, USA; Remote</t>
  </si>
  <si>
    <t xml:space="preserve">Pradeep Elankumaran, Kevin Li</t>
  </si>
  <si>
    <t xml:space="preserve">Seed $18.4M pre → latest $26.6M</t>
  </si>
  <si>
    <t xml:space="preserve">Juno</t>
  </si>
  <si>
    <t xml:space="preserve">Marshall Gould, Isaac Tolley</t>
  </si>
  <si>
    <t xml:space="preserve">Seed $13.5M pre → latest $16.4M</t>
  </si>
  <si>
    <t xml:space="preserve">Keyframe Labs</t>
  </si>
  <si>
    <t xml:space="preserve">Parth Radia, Kaahan Radia</t>
  </si>
  <si>
    <t xml:space="preserve">Seed $10.4M pre → latest $8.2M</t>
  </si>
  <si>
    <t xml:space="preserve">Kimpton AI</t>
  </si>
  <si>
    <t xml:space="preserve">Jack Zumwalt, Adrian Del Bosque, Mauricio Ortiz, Adrian Bosque</t>
  </si>
  <si>
    <t xml:space="preserve">Seed $15.9M pre → latest $24.1M</t>
  </si>
  <si>
    <t xml:space="preserve">Kinect</t>
  </si>
  <si>
    <t xml:space="preserve">Kratik Agrawal, Varun Kandula</t>
  </si>
  <si>
    <t xml:space="preserve">Seed $23.5M pre → latest $44.4M</t>
  </si>
  <si>
    <t xml:space="preserve">Klaimee</t>
  </si>
  <si>
    <t xml:space="preserve">Ines Boutemadja, Julien Catonnet</t>
  </si>
  <si>
    <t xml:space="preserve">Seed $12.4M pre → latest $20.9M</t>
  </si>
  <si>
    <t xml:space="preserve">Klarify</t>
  </si>
  <si>
    <t xml:space="preserve">Moody Abdul, Alexander Bergholm</t>
  </si>
  <si>
    <t xml:space="preserve">Seed $8.0M pre → latest $8.3M</t>
  </si>
  <si>
    <t xml:space="preserve">Korso</t>
  </si>
  <si>
    <t xml:space="preserve">Irvine, CA, USA</t>
  </si>
  <si>
    <t xml:space="preserve">Daichi Hiraoka, Alex Liu, Martin Pan</t>
  </si>
  <si>
    <t xml:space="preserve">Seed $29.8M pre → latest $24.3M</t>
  </si>
  <si>
    <t xml:space="preserve">KugelAudio</t>
  </si>
  <si>
    <t xml:space="preserve">Berlin, Berlin, Germany</t>
  </si>
  <si>
    <t xml:space="preserve">Viktor Presber, Kajo Kratzenstein</t>
  </si>
  <si>
    <t xml:space="preserve">Seed $25.4M pre → latest $17.0M</t>
  </si>
  <si>
    <t xml:space="preserve">Kuli</t>
  </si>
  <si>
    <t xml:space="preserve">Michael Hodara, Jonathan Hassan</t>
  </si>
  <si>
    <t xml:space="preserve">Seed $19.9M pre → latest $38.5M</t>
  </si>
  <si>
    <t xml:space="preserve">Lab0</t>
  </si>
  <si>
    <t xml:space="preserve">Lakshya Gupta, Onkar Borade, Sujay Srivastava</t>
  </si>
  <si>
    <t xml:space="preserve">Seed $12.7M pre → latest $33.3M</t>
  </si>
  <si>
    <t xml:space="preserve">Lattice Health</t>
  </si>
  <si>
    <t xml:space="preserve">Christine Park</t>
  </si>
  <si>
    <t xml:space="preserve">Seed $12.8M pre → latest $26.9M</t>
  </si>
  <si>
    <t xml:space="preserve">Light Anchor</t>
  </si>
  <si>
    <t xml:space="preserve">Seoul, Seoul, South Korea</t>
  </si>
  <si>
    <t xml:space="preserve">Chase Kim, Sangha Park</t>
  </si>
  <si>
    <t xml:space="preserve">Seed $20.6M pre → latest $23.1M</t>
  </si>
  <si>
    <t xml:space="preserve">Lightsprint</t>
  </si>
  <si>
    <t xml:space="preserve">Ben Ong, Benedict Chan, Heng Hong Lee</t>
  </si>
  <si>
    <t xml:space="preserve">Seed $21.5M pre → latest $27.2M</t>
  </si>
  <si>
    <t xml:space="preserve">Linzumi</t>
  </si>
  <si>
    <t xml:space="preserve">Sean Grove</t>
  </si>
  <si>
    <t xml:space="preserve">Seed $23.8M pre → latest $31.6M</t>
  </si>
  <si>
    <t xml:space="preserve">Lumius</t>
  </si>
  <si>
    <t xml:space="preserve">Durham, NC, USA</t>
  </si>
  <si>
    <t xml:space="preserve">Tri Vu, Chenhang Li, Luca Menozzi</t>
  </si>
  <si>
    <t xml:space="preserve">Seed $16.6M pre → latest $20.0M</t>
  </si>
  <si>
    <t xml:space="preserve">Madrone</t>
  </si>
  <si>
    <t xml:space="preserve">Akshay Trikha, Erik Meike</t>
  </si>
  <si>
    <t xml:space="preserve">Seed $25.4M pre → latest $61.9M</t>
  </si>
  <si>
    <t xml:space="preserve">Maquoketa Research</t>
  </si>
  <si>
    <t xml:space="preserve">Evan Yeager, David Muchow, Aidan Williams</t>
  </si>
  <si>
    <t xml:space="preserve">Seed $24.4M pre → latest $41.5M</t>
  </si>
  <si>
    <t xml:space="preserve">Memory Store</t>
  </si>
  <si>
    <t xml:space="preserve">Diwank Tomer, Ishita Jindal, Diwank Singh Tomer</t>
  </si>
  <si>
    <t xml:space="preserve">Seed $11.8M pre → latest $9.5M</t>
  </si>
  <si>
    <t xml:space="preserve">Minicor</t>
  </si>
  <si>
    <t xml:space="preserve">Faizaan Chishtie, Saheed Akinbile</t>
  </si>
  <si>
    <t xml:space="preserve">Seed $8.6M pre → latest $21.9M</t>
  </si>
  <si>
    <t xml:space="preserve">Miso Labs</t>
  </si>
  <si>
    <t xml:space="preserve">Aoden Teo, Cassidy Dalva</t>
  </si>
  <si>
    <t xml:space="preserve">Seed $13.3M pre → latest $10.5M</t>
  </si>
  <si>
    <t xml:space="preserve">Modern</t>
  </si>
  <si>
    <t xml:space="preserve">Seb Poole, Aleks Tomovski</t>
  </si>
  <si>
    <t xml:space="preserve">Seed $13.9M pre → latest $31.2M</t>
  </si>
  <si>
    <t xml:space="preserve">Mount</t>
  </si>
  <si>
    <t xml:space="preserve">Fabian Amherd, John Bachmann</t>
  </si>
  <si>
    <t xml:space="preserve">Seed $18.6M pre → latest $14.0M</t>
  </si>
  <si>
    <t xml:space="preserve">Multiplier</t>
  </si>
  <si>
    <t xml:space="preserve">Benjamin Finch, Ian McInnis</t>
  </si>
  <si>
    <t xml:space="preserve">Seed $9.7M pre → latest $13.8M</t>
  </si>
  <si>
    <t xml:space="preserve">Napkin Math</t>
  </si>
  <si>
    <t xml:space="preserve">Jynnie Tang, Manuel Castro, Claire Nord</t>
  </si>
  <si>
    <t xml:space="preserve">Seed $20.2M pre → latest $42.2M</t>
  </si>
  <si>
    <t xml:space="preserve">Nine Fives</t>
  </si>
  <si>
    <t xml:space="preserve">Noah Levy, Andrew Kurtz</t>
  </si>
  <si>
    <t xml:space="preserve">Seed $12.2M pre → latest $9.0M</t>
  </si>
  <si>
    <t xml:space="preserve">Oddpool</t>
  </si>
  <si>
    <t xml:space="preserve">Avi Arora, Ritesh Malpani</t>
  </si>
  <si>
    <t xml:space="preserve">Seed $19.8M pre → latest $17.1M</t>
  </si>
  <si>
    <t xml:space="preserve">OpenProse</t>
  </si>
  <si>
    <t xml:space="preserve">Dan Barrett</t>
  </si>
  <si>
    <t xml:space="preserve">Seed $25.9M pre → latest $27.9M</t>
  </si>
  <si>
    <t xml:space="preserve">OpenWork</t>
  </si>
  <si>
    <t xml:space="preserve">Ben Shafii</t>
  </si>
  <si>
    <t xml:space="preserve">Seed $18.4M pre → latest $21.2M</t>
  </si>
  <si>
    <t xml:space="preserve">Ornadyne</t>
  </si>
  <si>
    <t xml:space="preserve">Geourg Kivijian, Armen Arakelyan</t>
  </si>
  <si>
    <t xml:space="preserve">Seed $21.7M pre → latest $25.9M</t>
  </si>
  <si>
    <t xml:space="preserve">Pairio</t>
  </si>
  <si>
    <t xml:space="preserve">BY, Germany</t>
  </si>
  <si>
    <t xml:space="preserve">Tim Zinkl, Matthias Wolf</t>
  </si>
  <si>
    <t xml:space="preserve">Seed $24.6M pre → latest $55.1M</t>
  </si>
  <si>
    <t xml:space="preserve">Panacea</t>
  </si>
  <si>
    <t xml:space="preserve">Haris Javed-Akhtar, Yaman Ziadeh, Haris Akhtar</t>
  </si>
  <si>
    <t xml:space="preserve">Seed $8.2M pre → latest $17.2M</t>
  </si>
  <si>
    <t xml:space="preserve">Pavoot</t>
  </si>
  <si>
    <t xml:space="preserve">Gohar Tamrazyan, Ana Yoon Faria de Lima, Ana Yoon Faria de Lima</t>
  </si>
  <si>
    <t xml:space="preserve">Seed $11.3M pre → latest $12.4M</t>
  </si>
  <si>
    <t xml:space="preserve">Pentagon</t>
  </si>
  <si>
    <t xml:space="preserve">Salt Lake City, UT, USA</t>
  </si>
  <si>
    <t xml:space="preserve">Edgar Pavlovsky</t>
  </si>
  <si>
    <t xml:space="preserve">Seed $13.4M pre → latest $32.1M</t>
  </si>
  <si>
    <t xml:space="preserve">PerfectBit, Inc.</t>
  </si>
  <si>
    <t xml:space="preserve">Seiji Yamamoto, Peter Vajda</t>
  </si>
  <si>
    <t xml:space="preserve">Seed $29.2M pre → latest $58.0M</t>
  </si>
  <si>
    <t xml:space="preserve">PLAN0 AI</t>
  </si>
  <si>
    <t xml:space="preserve">—</t>
  </si>
  <si>
    <t xml:space="preserve">Arash Barati, Shervin Barati, Dimitris Pagonakis</t>
  </si>
  <si>
    <t xml:space="preserve">Seed $17.7M pre → latest $29.1M</t>
  </si>
  <si>
    <t xml:space="preserve">Playabl.ai</t>
  </si>
  <si>
    <t xml:space="preserve">Hamza Al-Ali, Omar Jarrah, Sanad Kiswani, Hamza Ali</t>
  </si>
  <si>
    <t xml:space="preserve">Seed $24.5M pre → latest $42.9M</t>
  </si>
  <si>
    <t xml:space="preserve">Plena Health</t>
  </si>
  <si>
    <t xml:space="preserve">Eyad Abdalla, Ahmed Al Mudarris, Ahmed Al Mudarris</t>
  </si>
  <si>
    <t xml:space="preserve">Seed $18.5M pre → latest $46.7M</t>
  </si>
  <si>
    <t xml:space="preserve">Ploy</t>
  </si>
  <si>
    <t xml:space="preserve">Bryant Chou</t>
  </si>
  <si>
    <t xml:space="preserve">Seed $28.1M pre → latest $57.7M</t>
  </si>
  <si>
    <t xml:space="preserve">Pops</t>
  </si>
  <si>
    <t xml:space="preserve">Alon Zuman</t>
  </si>
  <si>
    <t xml:space="preserve">Seed $25.8M pre → latest $68.2M</t>
  </si>
  <si>
    <t xml:space="preserve">ProjectX</t>
  </si>
  <si>
    <t xml:space="preserve">Rounak Adhikary, Bishal Karmakar, Sourya Majumder</t>
  </si>
  <si>
    <t xml:space="preserve">Seed $29.9M pre → latest $49.9M</t>
  </si>
  <si>
    <t xml:space="preserve">Prototyping.io</t>
  </si>
  <si>
    <t xml:space="preserve">Revanth Bodepudi, Prerit Oberai</t>
  </si>
  <si>
    <t xml:space="preserve">Seed $26.7M pre → latest $65.8M</t>
  </si>
  <si>
    <t xml:space="preserve">qomplement</t>
  </si>
  <si>
    <t xml:space="preserve">Kerim Taray, Andres Garza</t>
  </si>
  <si>
    <t xml:space="preserve">Seed $17.2M pre → latest $18.3M</t>
  </si>
  <si>
    <t xml:space="preserve">ReasonBlocks</t>
  </si>
  <si>
    <t xml:space="preserve">Sajeev Magesh, Rohan Vij</t>
  </si>
  <si>
    <t xml:space="preserve">Seed $25.4M pre → latest $57.3M</t>
  </si>
  <si>
    <t xml:space="preserve">Regbase</t>
  </si>
  <si>
    <t xml:space="preserve">Natalie Aresta-Katz, Ethan Shea</t>
  </si>
  <si>
    <t xml:space="preserve">Seed $10.7M pre → latest $11.8M</t>
  </si>
  <si>
    <t xml:space="preserve">RentAHuman</t>
  </si>
  <si>
    <t xml:space="preserve">Alexander Liteplo</t>
  </si>
  <si>
    <t xml:space="preserve">Seed $13.1M pre → latest $33.8M</t>
  </si>
  <si>
    <t xml:space="preserve">Replicas</t>
  </si>
  <si>
    <t xml:space="preserve">Connor Loi, Saai Arora</t>
  </si>
  <si>
    <t xml:space="preserve">Seed $22.7M pre → latest $52.5M</t>
  </si>
  <si>
    <t xml:space="preserve">Result</t>
  </si>
  <si>
    <t xml:space="preserve">Aaryan Kushwah, Savio Martin</t>
  </si>
  <si>
    <t xml:space="preserve">Seed $20.8M pre → latest $35.9M</t>
  </si>
  <si>
    <t xml:space="preserve">Revnu</t>
  </si>
  <si>
    <t xml:space="preserve">Manchester, England, United Kingdom</t>
  </si>
  <si>
    <t xml:space="preserve">George Jefferson, art freebrey, Art Freebrey</t>
  </si>
  <si>
    <t xml:space="preserve">Seed $18.8M pre → latest $18.2M</t>
  </si>
  <si>
    <t xml:space="preserve">River Markets</t>
  </si>
  <si>
    <t xml:space="preserve">Oscar Levy, Antonin Parrot</t>
  </si>
  <si>
    <t xml:space="preserve">Seed $14.2M pre → latest $28.7M</t>
  </si>
  <si>
    <t xml:space="preserve">Rudus</t>
  </si>
  <si>
    <t xml:space="preserve">Rishi Pankhaniya, Sahil Goel</t>
  </si>
  <si>
    <t xml:space="preserve">Seed $19.6M pre → latest $34.7M</t>
  </si>
  <si>
    <t xml:space="preserve">Runtime</t>
  </si>
  <si>
    <t xml:space="preserve">Gus Trigos, Carlos Volante</t>
  </si>
  <si>
    <t xml:space="preserve">Seed $15.2M pre → latest $37.1M</t>
  </si>
  <si>
    <t xml:space="preserve">Saffron</t>
  </si>
  <si>
    <t xml:space="preserve">Robert Chondro, Kazuma Choji, Jerry Yao</t>
  </si>
  <si>
    <t xml:space="preserve">Seed $27.3M pre → latest $26.1M</t>
  </si>
  <si>
    <t xml:space="preserve">Salesgraph</t>
  </si>
  <si>
    <t xml:space="preserve">Ruhan Ponnada, Ricardo Nunez</t>
  </si>
  <si>
    <t xml:space="preserve">Seed $11.6M pre → latest $19.1M</t>
  </si>
  <si>
    <t xml:space="preserve">Saudara AI</t>
  </si>
  <si>
    <t xml:space="preserve">Edward Haryono, Jennifer Prasetyo</t>
  </si>
  <si>
    <t xml:space="preserve">Seed $12.6M pre → latest $25.1M</t>
  </si>
  <si>
    <t xml:space="preserve">Savant</t>
  </si>
  <si>
    <t xml:space="preserve">Anthony Kim, Kevin Yu</t>
  </si>
  <si>
    <t xml:space="preserve">Sazabi</t>
  </si>
  <si>
    <t xml:space="preserve">Sherwood Callaway</t>
  </si>
  <si>
    <t xml:space="preserve">Seed $12.0M pre → latest $22.4M</t>
  </si>
  <si>
    <t xml:space="preserve">Scope</t>
  </si>
  <si>
    <t xml:space="preserve">Anand-Arnaud Pajaniradjane, Anand Pajaniradjane</t>
  </si>
  <si>
    <t xml:space="preserve">Seed $12.7M pre → latest $16.5M</t>
  </si>
  <si>
    <t xml:space="preserve">Sherpa</t>
  </si>
  <si>
    <t xml:space="preserve">Ethan Kinnan, Norbu Sonam</t>
  </si>
  <si>
    <t xml:space="preserve">Seed $28.4M pre → latest $46.7M</t>
  </si>
  <si>
    <t xml:space="preserve">shotwell.ai</t>
  </si>
  <si>
    <t xml:space="preserve">Farhan Khan, Ali Abdalla, Ali Abid, Nour Eldifrawy</t>
  </si>
  <si>
    <t xml:space="preserve">Seed $11.4M pre → latest $7.9M</t>
  </si>
  <si>
    <t xml:space="preserve">Silmaril</t>
  </si>
  <si>
    <t xml:space="preserve">Aum Upadhyay, Eduardo Velasco</t>
  </si>
  <si>
    <t xml:space="preserve">Seed $25.1M pre → latest $44.2M</t>
  </si>
  <si>
    <t xml:space="preserve">smol machines</t>
  </si>
  <si>
    <t xml:space="preserve">BinBin He, BinBin H.</t>
  </si>
  <si>
    <t xml:space="preserve">Seed $16.2M pre → latest $36.4M</t>
  </si>
  <si>
    <t xml:space="preserve">Soria</t>
  </si>
  <si>
    <t xml:space="preserve">Adam Ron, Cameron Spiller</t>
  </si>
  <si>
    <t xml:space="preserve">Seed $9.7M pre → latest $10.7M</t>
  </si>
  <si>
    <t xml:space="preserve">StableBrowse</t>
  </si>
  <si>
    <t xml:space="preserve">Sarthak Awasthi, Jay Mehta, Deepit Shah, Somansh Shah</t>
  </si>
  <si>
    <t xml:space="preserve">Seed $18.0M pre → latest $43.8M</t>
  </si>
  <si>
    <t xml:space="preserve">Stage</t>
  </si>
  <si>
    <t xml:space="preserve">Dean Stratakos, Charles Pan</t>
  </si>
  <si>
    <t xml:space="preserve">Seed $25.9M pre → latest $58.2M</t>
  </si>
  <si>
    <t xml:space="preserve">Standard Signal</t>
  </si>
  <si>
    <t xml:space="preserve">Michael Royzen</t>
  </si>
  <si>
    <t xml:space="preserve">Seed $24.7M pre → latest $63.7M</t>
  </si>
  <si>
    <t xml:space="preserve">Standout</t>
  </si>
  <si>
    <t xml:space="preserve">Alexis Aftalion, Witold de La Chapelle</t>
  </si>
  <si>
    <t xml:space="preserve">Seed $14.6M pre → latest $37.4M</t>
  </si>
  <si>
    <t xml:space="preserve">Superlog</t>
  </si>
  <si>
    <t xml:space="preserve">Nicolò Magnante, Arseniy Shishaev</t>
  </si>
  <si>
    <t xml:space="preserve">Seed $14.8M pre → latest $15.1M</t>
  </si>
  <si>
    <t xml:space="preserve">Superset</t>
  </si>
  <si>
    <t xml:space="preserve">Kiet Ho, Satya Patel, Avi Peltz</t>
  </si>
  <si>
    <t xml:space="preserve">Seed $12.9M pre → latest $14.1M</t>
  </si>
  <si>
    <t xml:space="preserve">Surtr Defense Systems</t>
  </si>
  <si>
    <t xml:space="preserve">Anshul Ahluwalia, Cameron Fiore</t>
  </si>
  <si>
    <t xml:space="preserve">Seed $13.5M pre → latest $16.7M</t>
  </si>
  <si>
    <t xml:space="preserve">Synphony</t>
  </si>
  <si>
    <t xml:space="preserve">Sean Wu, Lucas Amlicke</t>
  </si>
  <si>
    <t xml:space="preserve">Seed $11.5M pre → latest $30.3M</t>
  </si>
  <si>
    <t xml:space="preserve">Taiga</t>
  </si>
  <si>
    <t xml:space="preserve">Nanda Guntupalli, Adam Wax</t>
  </si>
  <si>
    <t xml:space="preserve">Seed $14.7M pre → latest $31.8M</t>
  </si>
  <si>
    <t xml:space="preserve">TakeCareOS</t>
  </si>
  <si>
    <t xml:space="preserve">Ragav Sachdeva</t>
  </si>
  <si>
    <t xml:space="preserve">Seed $26.5M pre → latest $57.4M</t>
  </si>
  <si>
    <t xml:space="preserve">Tasklet</t>
  </si>
  <si>
    <t xml:space="preserve">Jonny Dimond, Andrew Lee</t>
  </si>
  <si>
    <t xml:space="preserve">Seed $21.2M pre → latest $37.3M</t>
  </si>
  <si>
    <t xml:space="preserve">tday.com</t>
  </si>
  <si>
    <t xml:space="preserve">Cyrus Kelly, David McDonough, Shyamsundar Shrestha</t>
  </si>
  <si>
    <t xml:space="preserve">Seed $16.1M pre → latest $22.3M</t>
  </si>
  <si>
    <t xml:space="preserve">Tenet Industries</t>
  </si>
  <si>
    <t xml:space="preserve">Emil Falk, Fabian Andersson, Hugo Frisk</t>
  </si>
  <si>
    <t xml:space="preserve">Seed $25.1M pre → latest $16.9M</t>
  </si>
  <si>
    <t xml:space="preserve">TesterArmy</t>
  </si>
  <si>
    <t xml:space="preserve">Szymon Rybczak, Oskar Kwaśniewski</t>
  </si>
  <si>
    <t xml:space="preserve">Seed $9.8M pre → latest $15.3M</t>
  </si>
  <si>
    <t xml:space="preserve">Tolmo</t>
  </si>
  <si>
    <t xml:space="preserve">Pierre Betouin, Vladimir de Turckheim, Jean-Baptiste Aviat</t>
  </si>
  <si>
    <t xml:space="preserve">Seed $18.0M pre → latest $19.3M</t>
  </si>
  <si>
    <t xml:space="preserve">transload</t>
  </si>
  <si>
    <t xml:space="preserve">Julius Scheel, Nils Börner, Jago Wahl-Schwentker</t>
  </si>
  <si>
    <t xml:space="preserve">Seed $10.9M pre → latest $23.8M</t>
  </si>
  <si>
    <t xml:space="preserve">Trellis</t>
  </si>
  <si>
    <t xml:space="preserve">Lodovico Benvenuti, Jan Sahagun</t>
  </si>
  <si>
    <t xml:space="preserve">Seed $25.5M pre → latest $46.4M</t>
  </si>
  <si>
    <t xml:space="preserve">Twolabs</t>
  </si>
  <si>
    <t xml:space="preserve">Sardor Rahmatulloev, Danyal Ahmad</t>
  </si>
  <si>
    <t xml:space="preserve">Seed $21.5M pre → latest $31.6M</t>
  </si>
  <si>
    <t xml:space="preserve">Uno Wallet</t>
  </si>
  <si>
    <t xml:space="preserve">Mordi Shadpour, Saket Joshi</t>
  </si>
  <si>
    <t xml:space="preserve">Seed $26.2M pre → latest $34.3M</t>
  </si>
  <si>
    <t xml:space="preserve">Userlens</t>
  </si>
  <si>
    <t xml:space="preserve">Ankur Dahama, Hai Ta</t>
  </si>
  <si>
    <t xml:space="preserve">Seed $12.5M pre → latest $8.2M</t>
  </si>
  <si>
    <t xml:space="preserve">ValCtrl</t>
  </si>
  <si>
    <t xml:space="preserve">Gaurav Paliwal, Sarth Garg</t>
  </si>
  <si>
    <t xml:space="preserve">Seed $10.7M pre → latest $17.6M</t>
  </si>
  <si>
    <t xml:space="preserve">Voquill</t>
  </si>
  <si>
    <t xml:space="preserve">Michael Gibson, Henry Habib, Josiah Saunders</t>
  </si>
  <si>
    <t xml:space="preserve">Seed $15.4M pre → latest $28.5M</t>
  </si>
  <si>
    <t xml:space="preserve">Walter</t>
  </si>
  <si>
    <t xml:space="preserve">Nikolas Keller, Lukas Postulka</t>
  </si>
  <si>
    <t xml:space="preserve">Seed $11.1M pre → latest $15.2M</t>
  </si>
  <si>
    <t xml:space="preserve">Wato</t>
  </si>
  <si>
    <t xml:space="preserve">Arihan Varanasi, Rahul Rejeev</t>
  </si>
  <si>
    <t xml:space="preserve">Seed $8.9M pre → latest $15.0M</t>
  </si>
  <si>
    <t xml:space="preserve">Wealor</t>
  </si>
  <si>
    <t xml:space="preserve">Karim Bouri, Pierre Depuydt</t>
  </si>
  <si>
    <t xml:space="preserve">Seed $24.3M pre → latest $27.1M</t>
  </si>
  <si>
    <t xml:space="preserve">YouArt</t>
  </si>
  <si>
    <t xml:space="preserve">Harry Zheng, Edward Ma, Keith Zhang</t>
  </si>
  <si>
    <t xml:space="preserve">Seed $25.5M pre → latest $52.9M</t>
  </si>
  <si>
    <t xml:space="preserve">Zibra Labs</t>
  </si>
  <si>
    <t xml:space="preserve">Ibrahim Rabbani, Zac Policzer</t>
  </si>
  <si>
    <t xml:space="preserve">Seed $19.9M pre → latest $34.6M</t>
  </si>
  <si>
    <t xml:space="preserve">Acolite</t>
  </si>
  <si>
    <t xml:space="preserve">Daniel Siryakov, Barak Ben Noon</t>
  </si>
  <si>
    <t xml:space="preserve">X25 batch</t>
  </si>
  <si>
    <t xml:space="preserve">Seed $19.2M pre → latest $21.5M</t>
  </si>
  <si>
    <t xml:space="preserve">Adentris</t>
  </si>
  <si>
    <t xml:space="preserve">Dmitry Karpov, Alex Odin, Sergey Yudovskiy</t>
  </si>
  <si>
    <t xml:space="preserve">Seed $8.8M pre → latest $18.8M</t>
  </si>
  <si>
    <t xml:space="preserve">Aegis</t>
  </si>
  <si>
    <t xml:space="preserve">Krishang Todi, Aarav Bajaj, Dhanya Shah</t>
  </si>
  <si>
    <t xml:space="preserve">Seed $12.8M pre → latest $23.8M</t>
  </si>
  <si>
    <t xml:space="preserve">Airweave</t>
  </si>
  <si>
    <t xml:space="preserve">Lennert Jansen, Rauf Akdemir</t>
  </si>
  <si>
    <t xml:space="preserve">Seed $8.3M pre → latest $21.1M</t>
  </si>
  <si>
    <t xml:space="preserve">Alkali</t>
  </si>
  <si>
    <t xml:space="preserve">Houston, TX, USA</t>
  </si>
  <si>
    <t xml:space="preserve">Emmett Goodman, Victor Miller</t>
  </si>
  <si>
    <t xml:space="preserve">Seed $17.2M pre → latest $35.9M</t>
  </si>
  <si>
    <t xml:space="preserve">Aravolta</t>
  </si>
  <si>
    <t xml:space="preserve">Margarita Groisman, Jack Sutton</t>
  </si>
  <si>
    <t xml:space="preserve">Seed $20.5M pre → latest $39.9M</t>
  </si>
  <si>
    <t xml:space="preserve">Atlog</t>
  </si>
  <si>
    <t xml:space="preserve">Vraj Parikh, John Bettinger</t>
  </si>
  <si>
    <t xml:space="preserve">Seed $15.6M pre → latest $36.6M</t>
  </si>
  <si>
    <t xml:space="preserve">Attune</t>
  </si>
  <si>
    <t xml:space="preserve">Xin Ding</t>
  </si>
  <si>
    <t xml:space="preserve">Seed $25.8M pre → latest $62.2M</t>
  </si>
  <si>
    <t xml:space="preserve">Atum Works</t>
  </si>
  <si>
    <t xml:space="preserve">Lucas Pabarcius, Matteo Kimura, Malcolm Tisdale</t>
  </si>
  <si>
    <t xml:space="preserve">Seed $16.3M pre → latest $38.0M</t>
  </si>
  <si>
    <t xml:space="preserve">Auctor</t>
  </si>
  <si>
    <t xml:space="preserve">William Sun, Matthew Blackburn, Anthony Sky Ng-Thow-Hing, Xinan Rahman</t>
  </si>
  <si>
    <t xml:space="preserve">Seed $16.0M pre → latest $23.1M</t>
  </si>
  <si>
    <t xml:space="preserve">Avallon AI</t>
  </si>
  <si>
    <t xml:space="preserve">Cornelius Schramm, Bryan Guin</t>
  </si>
  <si>
    <t xml:space="preserve">Seed $24.5M pre → latest $39.6M</t>
  </si>
  <si>
    <t xml:space="preserve">Aviro</t>
  </si>
  <si>
    <t xml:space="preserve">Aarush Kukreja, Ayush Karupakula</t>
  </si>
  <si>
    <t xml:space="preserve">Seed $21.9M pre → latest $46.7M</t>
  </si>
  <si>
    <t xml:space="preserve">Beluga</t>
  </si>
  <si>
    <t xml:space="preserve">Fernando Young, Jack Swisher</t>
  </si>
  <si>
    <t xml:space="preserve">Seed $22.6M pre → latest $24.2M</t>
  </si>
  <si>
    <t xml:space="preserve">Besimple AI</t>
  </si>
  <si>
    <t xml:space="preserve">Yi Zhong, Bill Wang</t>
  </si>
  <si>
    <t xml:space="preserve">Seed $20.0M pre → latest $24.7M</t>
  </si>
  <si>
    <t xml:space="preserve">Better Auth</t>
  </si>
  <si>
    <t xml:space="preserve">Bereket Engida</t>
  </si>
  <si>
    <t xml:space="preserve">Seed $11.2M pre → latest $25.0M</t>
  </si>
  <si>
    <t xml:space="preserve">BitBoard</t>
  </si>
  <si>
    <t xml:space="preserve">Connor Jones, Ambar Choudhury</t>
  </si>
  <si>
    <t xml:space="preserve">Seed $26.0M pre → latest $28.0M</t>
  </si>
  <si>
    <t xml:space="preserve">BitPatrol</t>
  </si>
  <si>
    <t xml:space="preserve">Christopher Lambert</t>
  </si>
  <si>
    <t xml:space="preserve">Seed $14.1M pre → latest $20.7M</t>
  </si>
  <si>
    <t xml:space="preserve">Acquired</t>
  </si>
  <si>
    <t xml:space="preserve">Blaxel</t>
  </si>
  <si>
    <t xml:space="preserve">Paul Sinaï, Thomas Crochet, Charles Drappier, Mathis Joffre, Nicolas Lecomte, Christophe Ploujoux</t>
  </si>
  <si>
    <t xml:space="preserve">Seed $25.8M pre → latest $33.5M</t>
  </si>
  <si>
    <t xml:space="preserve">Bloom (X25)</t>
  </si>
  <si>
    <t xml:space="preserve">David Oort Alonso, Sirian Maathuis, David Alonso</t>
  </si>
  <si>
    <t xml:space="preserve">Seed $16.4M pre → latest $35.5M</t>
  </si>
  <si>
    <t xml:space="preserve">Bluejay</t>
  </si>
  <si>
    <t xml:space="preserve">Rohan Vasishth, Faraz Siddiqi</t>
  </si>
  <si>
    <t xml:space="preserve">Seed $19.8M pre → latest $20.3M</t>
  </si>
  <si>
    <t xml:space="preserve">Blueshoe</t>
  </si>
  <si>
    <t xml:space="preserve">Casey O'Grady, Kai Yee Wan</t>
  </si>
  <si>
    <t xml:space="preserve">Seed $14.8M pre → latest $20.7M</t>
  </si>
  <si>
    <t xml:space="preserve">Bond</t>
  </si>
  <si>
    <t xml:space="preserve">Chloe Samaha</t>
  </si>
  <si>
    <t xml:space="preserve">Seed $9.7M pre → latest $15.8M</t>
  </si>
  <si>
    <t xml:space="preserve">Boost Robotics</t>
  </si>
  <si>
    <t xml:space="preserve">Hardik Singh, Hans Kumar</t>
  </si>
  <si>
    <t xml:space="preserve">Seed $22.3M pre → latest $18.7M</t>
  </si>
  <si>
    <t xml:space="preserve">Bramante</t>
  </si>
  <si>
    <t xml:space="preserve">Scott Stankey</t>
  </si>
  <si>
    <t xml:space="preserve">Seed $27.4M pre → latest $50.1M</t>
  </si>
  <si>
    <t xml:space="preserve">Cactus</t>
  </si>
  <si>
    <t xml:space="preserve">Ajith Govind, Avinash Joshi</t>
  </si>
  <si>
    <t xml:space="preserve">Seed $11.1M pre → latest $20.2M</t>
  </si>
  <si>
    <t xml:space="preserve">Capacitive</t>
  </si>
  <si>
    <t xml:space="preserve">Kevin Treehan, Rohan Radhakeesoon</t>
  </si>
  <si>
    <t xml:space="preserve">Seed $21.0M pre → latest $51.8M</t>
  </si>
  <si>
    <t xml:space="preserve">Cartpole</t>
  </si>
  <si>
    <t xml:space="preserve">Mateo Perez</t>
  </si>
  <si>
    <t xml:space="preserve">Seed $9.8M pre → latest $11.5M</t>
  </si>
  <si>
    <t xml:space="preserve">Cascade Space</t>
  </si>
  <si>
    <t xml:space="preserve">Jacob Portukalian, Arlen Abraham</t>
  </si>
  <si>
    <t xml:space="preserve">Seed $17.3M pre → latest $32.9M</t>
  </si>
  <si>
    <t xml:space="preserve">Casco</t>
  </si>
  <si>
    <t xml:space="preserve">Rene Brandel, Ian Saultz</t>
  </si>
  <si>
    <t xml:space="preserve">Seed $28.2M pre → latest $60.4M</t>
  </si>
  <si>
    <t xml:space="preserve">Caucus</t>
  </si>
  <si>
    <t xml:space="preserve">Amir Farahani, Tyler Chen</t>
  </si>
  <si>
    <t xml:space="preserve">Seed $13.0M pre → latest $18.7M</t>
  </si>
  <si>
    <t xml:space="preserve">Inactive / wound down</t>
  </si>
  <si>
    <t xml:space="preserve">Chestnut</t>
  </si>
  <si>
    <t xml:space="preserve">Spencer Brown</t>
  </si>
  <si>
    <t xml:space="preserve">Seed $19.1M pre → latest $41.3M</t>
  </si>
  <si>
    <t xml:space="preserve">Chiron</t>
  </si>
  <si>
    <t xml:space="preserve">James Booth, Max Booth</t>
  </si>
  <si>
    <t xml:space="preserve">Seed $10.0M pre → latest $24.3M</t>
  </si>
  <si>
    <t xml:space="preserve">chrt</t>
  </si>
  <si>
    <t xml:space="preserve">Kyle Reagan, Aaron Carver</t>
  </si>
  <si>
    <t xml:space="preserve">Seed $26.0M pre → latest $27.4M</t>
  </si>
  <si>
    <t xml:space="preserve">Claim Health</t>
  </si>
  <si>
    <t xml:space="preserve">Kevin Calcado, Jayen Ram</t>
  </si>
  <si>
    <t xml:space="preserve">Seed $15.3M pre → latest $39.2M</t>
  </si>
  <si>
    <t xml:space="preserve">Clarm</t>
  </si>
  <si>
    <t xml:space="preserve">ZH, Switzerland</t>
  </si>
  <si>
    <t xml:space="preserve">Marcus Storm-Mollard</t>
  </si>
  <si>
    <t xml:space="preserve">Seed $16.9M pre → latest $16.4M</t>
  </si>
  <si>
    <t xml:space="preserve">Clidey</t>
  </si>
  <si>
    <t xml:space="preserve">Hemang Kandwal, Anguel Hristozov</t>
  </si>
  <si>
    <t xml:space="preserve">Seed $10.2M pre → latest $16.3M</t>
  </si>
  <si>
    <t xml:space="preserve">Code Four</t>
  </si>
  <si>
    <t xml:space="preserve">George Cheng, Dylan Nguyen</t>
  </si>
  <si>
    <t xml:space="preserve">Seed $11.7M pre → latest $19.3M</t>
  </si>
  <si>
    <t xml:space="preserve">Cotool</t>
  </si>
  <si>
    <t xml:space="preserve">Logan Carmody, Eddie Conk, Max Pollard</t>
  </si>
  <si>
    <t xml:space="preserve">Seed $20.8M pre → latest $15.7M</t>
  </si>
  <si>
    <t xml:space="preserve">Crimson</t>
  </si>
  <si>
    <t xml:space="preserve">Mark Feldner, David Strömbäck, Amine Amor</t>
  </si>
  <si>
    <t xml:space="preserve">Seed $19.3M pre → latest $44.8M</t>
  </si>
  <si>
    <t xml:space="preserve">cubic</t>
  </si>
  <si>
    <t xml:space="preserve">Paul Sanglé-Ferrière, Paul Sanglé-ferrière</t>
  </si>
  <si>
    <t xml:space="preserve">Seed $20.4M pre → latest $22.7M</t>
  </si>
  <si>
    <t xml:space="preserve">Den</t>
  </si>
  <si>
    <t xml:space="preserve">Linus Talacko, Justin Lee</t>
  </si>
  <si>
    <t xml:space="preserve">Seed $23.8M pre → latest $51.6M</t>
  </si>
  <si>
    <t xml:space="preserve">Docket</t>
  </si>
  <si>
    <t xml:space="preserve">Nishant Hooda, Boris Skurikhin</t>
  </si>
  <si>
    <t xml:space="preserve">Seed $12.3M pre → latest $15.3M</t>
  </si>
  <si>
    <t xml:space="preserve">Eloquent AI</t>
  </si>
  <si>
    <t xml:space="preserve">Tugce Bulut, Aldo Lipani</t>
  </si>
  <si>
    <t xml:space="preserve">Seed $17.9M pre → latest $31.0M</t>
  </si>
  <si>
    <t xml:space="preserve">Flott HQ</t>
  </si>
  <si>
    <t xml:space="preserve">Paris, Île-de-France, France</t>
  </si>
  <si>
    <t xml:space="preserve">Sylvanus MAHE, Kanvaly Fadiga</t>
  </si>
  <si>
    <t xml:space="preserve">Seed $28.9M pre → latest $21.1M</t>
  </si>
  <si>
    <t xml:space="preserve">Foundation Industries</t>
  </si>
  <si>
    <t xml:space="preserve">Jakob Knudsen</t>
  </si>
  <si>
    <t xml:space="preserve">Seed $8.3M pre → latest $20.6M</t>
  </si>
  <si>
    <t xml:space="preserve">Frekil</t>
  </si>
  <si>
    <t xml:space="preserve">Nikhil Tiwari, Shivesh Gupta</t>
  </si>
  <si>
    <t xml:space="preserve">Seed $9.4M pre → latest $21.5M</t>
  </si>
  <si>
    <t xml:space="preserve">Galen AI</t>
  </si>
  <si>
    <t xml:space="preserve">Priyanka Shrestha, Viraj Mehta</t>
  </si>
  <si>
    <t xml:space="preserve">Seed $19.9M pre → latest $24.1M</t>
  </si>
  <si>
    <t xml:space="preserve">Golf</t>
  </si>
  <si>
    <t xml:space="preserve">Wojciech Błaszak, Antoni Gmitruk</t>
  </si>
  <si>
    <t xml:space="preserve">Seed $24.3M pre → latest $39.2M</t>
  </si>
  <si>
    <t xml:space="preserve">GroundControl</t>
  </si>
  <si>
    <t xml:space="preserve">Mehul Shah, Matthew Noseworthy, Nick Warren</t>
  </si>
  <si>
    <t xml:space="preserve">Seed $14.8M pre → latest $29.3M</t>
  </si>
  <si>
    <t xml:space="preserve">HABIT</t>
  </si>
  <si>
    <t xml:space="preserve">Michael Trehan, Harish Palani</t>
  </si>
  <si>
    <t xml:space="preserve">Seed $13.5M pre → latest $35.7M</t>
  </si>
  <si>
    <t xml:space="preserve">HelixDB</t>
  </si>
  <si>
    <t xml:space="preserve">George Curtis, Xavier Cochran</t>
  </si>
  <si>
    <t xml:space="preserve">Seed $18.9M pre → latest $26.0M</t>
  </si>
  <si>
    <t xml:space="preserve">Human Behavior</t>
  </si>
  <si>
    <t xml:space="preserve">Amogh Chaturvedi</t>
  </si>
  <si>
    <t xml:space="preserve">Seed $19.4M pre → latest $19.5M</t>
  </si>
  <si>
    <t xml:space="preserve">IRBC</t>
  </si>
  <si>
    <t xml:space="preserve">Courtne Marland, Henry Kwon</t>
  </si>
  <si>
    <t xml:space="preserve">Seed $26.8M pre → latest $45.2M</t>
  </si>
  <si>
    <t xml:space="preserve">Kaizen</t>
  </si>
  <si>
    <t xml:space="preserve">Kenneth Acquah, Michael Silver</t>
  </si>
  <si>
    <t xml:space="preserve">Seed $14.1M pre → latest $32.7M</t>
  </si>
  <si>
    <t xml:space="preserve">Kanava AI</t>
  </si>
  <si>
    <t xml:space="preserve">Smit Dagli, Vikhyath Mondreti</t>
  </si>
  <si>
    <t xml:space="preserve">Seed $10.3M pre → latest $18.6M</t>
  </si>
  <si>
    <t xml:space="preserve">Kashikoi</t>
  </si>
  <si>
    <t xml:space="preserve">Aaksha Meghawat</t>
  </si>
  <si>
    <t xml:space="preserve">Seed $9.9M pre → latest $22.0M</t>
  </si>
  <si>
    <t xml:space="preserve">Kirana AI</t>
  </si>
  <si>
    <t xml:space="preserve">Nicholas Sleeper, Prateek Pinisetti</t>
  </si>
  <si>
    <t xml:space="preserve">Seed $27.1M pre → latest $40.0M</t>
  </si>
  <si>
    <t xml:space="preserve">Labric</t>
  </si>
  <si>
    <t xml:space="preserve">Caitlin Hogan, Connor Hogan</t>
  </si>
  <si>
    <t xml:space="preserve">Seed $15.8M pre → latest $13.2M</t>
  </si>
  <si>
    <t xml:space="preserve">Leeroo</t>
  </si>
  <si>
    <t xml:space="preserve">Alireza Mohammadshahi, Majid Yazdani</t>
  </si>
  <si>
    <t xml:space="preserve">Seed $19.8M pre → latest $15.2M</t>
  </si>
  <si>
    <t xml:space="preserve">Lucis</t>
  </si>
  <si>
    <t xml:space="preserve">Max Berthelot, Baptiste Debever</t>
  </si>
  <si>
    <t xml:space="preserve">Seed $23.4M pre → latest $58.4M</t>
  </si>
  <si>
    <t xml:space="preserve">Mbodi AI</t>
  </si>
  <si>
    <t xml:space="preserve">Xavier (Tianhao) Chi, Sebastian Peralta</t>
  </si>
  <si>
    <t xml:space="preserve">Seed $9.5M pre → latest $8.9M</t>
  </si>
  <si>
    <t xml:space="preserve">MindFort</t>
  </si>
  <si>
    <t xml:space="preserve">Brandon Veiseh, Akul Gupta</t>
  </si>
  <si>
    <t xml:space="preserve">Seed $20.5M pre → latest $37.2M</t>
  </si>
  <si>
    <t xml:space="preserve">Minerva</t>
  </si>
  <si>
    <t xml:space="preserve">Peter Zhu, Om Agarwal</t>
  </si>
  <si>
    <t xml:space="preserve">Seed $14.7M pre → latest $32.6M</t>
  </si>
  <si>
    <t xml:space="preserve">mlop</t>
  </si>
  <si>
    <t xml:space="preserve">Stephen Sun, Lakee Sivaraya</t>
  </si>
  <si>
    <t xml:space="preserve">Seed $8.9M pre → latest $21.0M</t>
  </si>
  <si>
    <t xml:space="preserve">Moby Analytics</t>
  </si>
  <si>
    <t xml:space="preserve">Dimitri Kassubeck, Thomas Rapilly</t>
  </si>
  <si>
    <t xml:space="preserve">Seed $21.3M pre → latest $21.1M</t>
  </si>
  <si>
    <t xml:space="preserve">Morphik</t>
  </si>
  <si>
    <t xml:space="preserve">Adityavardhan Agrawal, Arnav Agrawal</t>
  </si>
  <si>
    <t xml:space="preserve">Seed $22.7M pre → latest $22.2M</t>
  </si>
  <si>
    <t xml:space="preserve">MorphoAI</t>
  </si>
  <si>
    <t xml:space="preserve">Ayna Arora, Andrew Spielberg</t>
  </si>
  <si>
    <t xml:space="preserve">Seed $23.5M pre → latest $49.1M</t>
  </si>
  <si>
    <t xml:space="preserve">Naïve</t>
  </si>
  <si>
    <t xml:space="preserve">Sean Dorje, Dennis Zax</t>
  </si>
  <si>
    <t xml:space="preserve">Seed $19.7M pre → latest $19.0M</t>
  </si>
  <si>
    <t xml:space="preserve">nao Labs</t>
  </si>
  <si>
    <t xml:space="preserve">Claire Gouze, Christophe Blefari</t>
  </si>
  <si>
    <t xml:space="preserve">Seed $29.8M pre → latest $28.5M</t>
  </si>
  <si>
    <t xml:space="preserve">Nimbic AI</t>
  </si>
  <si>
    <t xml:space="preserve">Akshath M, Ishan Khare, Ishan Mehta, Akshath M.</t>
  </si>
  <si>
    <t xml:space="preserve">Seed $15.7M pre → latest $33.5M</t>
  </si>
  <si>
    <t xml:space="preserve">NODI Energy</t>
  </si>
  <si>
    <t xml:space="preserve">Borong Hu</t>
  </si>
  <si>
    <t xml:space="preserve">Seed $13.0M pre → latest $20.7M</t>
  </si>
  <si>
    <t xml:space="preserve">Nomi</t>
  </si>
  <si>
    <t xml:space="preserve">Paris, Île-de-France, France; Remote</t>
  </si>
  <si>
    <t xml:space="preserve">Swan Beaujard</t>
  </si>
  <si>
    <t xml:space="preserve">Seed $15.7M pre → latest $22.4M</t>
  </si>
  <si>
    <t xml:space="preserve">Novoflow</t>
  </si>
  <si>
    <t xml:space="preserve">Mathieu Rihet, Georges Casassovici</t>
  </si>
  <si>
    <t xml:space="preserve">Seed $19.5M pre → latest $34.7M</t>
  </si>
  <si>
    <t xml:space="preserve">Opusense AI</t>
  </si>
  <si>
    <t xml:space="preserve">Toronto, ON, Canada</t>
  </si>
  <si>
    <t xml:space="preserve">Roya Cody, Michael Bacani</t>
  </si>
  <si>
    <t xml:space="preserve">Seed $25.4M pre → latest $26.7M</t>
  </si>
  <si>
    <t xml:space="preserve">Orchid</t>
  </si>
  <si>
    <t xml:space="preserve">Nizar Abi Zaher, Adam Wazzan</t>
  </si>
  <si>
    <t xml:space="preserve">Seed $12.6M pre → latest $13.6M</t>
  </si>
  <si>
    <t xml:space="preserve">Paper Instruments</t>
  </si>
  <si>
    <t xml:space="preserve">Daanish Khazi, Gavin Bains, Joseph Besgen</t>
  </si>
  <si>
    <t xml:space="preserve">Seed $16.1M pre → latest $32.1M</t>
  </si>
  <si>
    <t xml:space="preserve">ParaQuery</t>
  </si>
  <si>
    <t xml:space="preserve">New York City, NY, USA; Remote</t>
  </si>
  <si>
    <t xml:space="preserve">Win Wang</t>
  </si>
  <si>
    <t xml:space="preserve">Seed $8.9M pre → latest $7.9M</t>
  </si>
  <si>
    <t xml:space="preserve">Parsewise</t>
  </si>
  <si>
    <t xml:space="preserve">Max Hofer, Greg Csegzi</t>
  </si>
  <si>
    <t xml:space="preserve">Seed $28.8M pre → latest $63.3M</t>
  </si>
  <si>
    <t xml:space="preserve">Pelica</t>
  </si>
  <si>
    <t xml:space="preserve">Lalit Kundu, Catherine Zhao</t>
  </si>
  <si>
    <t xml:space="preserve">Seed $27.0M pre → latest $52.2M</t>
  </si>
  <si>
    <t xml:space="preserve">Percival</t>
  </si>
  <si>
    <t xml:space="preserve">Kevin Bi, David Zhu</t>
  </si>
  <si>
    <t xml:space="preserve">Seed $27.6M pre → latest $41.7M</t>
  </si>
  <si>
    <t xml:space="preserve">Photonium</t>
  </si>
  <si>
    <t xml:space="preserve">Jennifer Song, Adam Mhatre</t>
  </si>
  <si>
    <t xml:space="preserve">Seed $14.1M pre → latest $32.3M</t>
  </si>
  <si>
    <t xml:space="preserve">Plexe</t>
  </si>
  <si>
    <t xml:space="preserve">Vaibhav Dubey, Marcello De Bernardi</t>
  </si>
  <si>
    <t xml:space="preserve">Seed $8.2M pre → latest $11.7M</t>
  </si>
  <si>
    <t xml:space="preserve">Probo</t>
  </si>
  <si>
    <t xml:space="preserve">Antoine Bouchardy, Bryan Frimin</t>
  </si>
  <si>
    <t xml:space="preserve">Seed $17.0M pre → latest $21.7M</t>
  </si>
  <si>
    <t xml:space="preserve">Propolis</t>
  </si>
  <si>
    <t xml:space="preserve">Marc Papazian, Matt White</t>
  </si>
  <si>
    <t xml:space="preserve">Seed $25.7M pre → latest $62.1M</t>
  </si>
  <si>
    <t xml:space="preserve">QFEX</t>
  </si>
  <si>
    <t xml:space="preserve">Annanay Kapila, Joshua Wharton</t>
  </si>
  <si>
    <t xml:space="preserve">Seed $14.7M pre → latest $18.7M</t>
  </si>
  <si>
    <t xml:space="preserve">QualGent</t>
  </si>
  <si>
    <t xml:space="preserve">Shivam Agrawal, Aaron Yu</t>
  </si>
  <si>
    <t xml:space="preserve">Seed $28.1M pre → latest $33.6M</t>
  </si>
  <si>
    <t xml:space="preserve">Refresh</t>
  </si>
  <si>
    <t xml:space="preserve">Christopher Settles, Erik Quintanilla</t>
  </si>
  <si>
    <t xml:space="preserve">Seed $27.4M pre → latest $41.8M</t>
  </si>
  <si>
    <t xml:space="preserve">Industry</t>
  </si>
  <si>
    <t xml:space="preserve">Description</t>
  </si>
  <si>
    <t xml:space="preserve">Location</t>
  </si>
  <si>
    <t xml:space="preserve">Stage / Batch</t>
  </si>
  <si>
    <t xml:space="preserve">Latest Round Amount</t>
  </si>
  <si>
    <t xml:space="preserve">Backed By</t>
  </si>
  <si>
    <t xml:space="preserve">Profile URL</t>
  </si>
  <si>
    <t xml:space="preserve">Mainstay</t>
  </si>
  <si>
    <t xml:space="preserve">Artificial Intelligence (AI)</t>
  </si>
  <si>
    <t xml:space="preserve">Mainstay is a developer of a chatbot platform that increases student engagement, enrollment, and success.</t>
  </si>
  <si>
    <t xml:space="preserve">Boston</t>
  </si>
  <si>
    <t xml:space="preserve">Undisclosed</t>
  </si>
  <si>
    <t xml:space="preserve">Alumni Ventures</t>
  </si>
  <si>
    <t xml:space="preserve">https://www.vcbacked.co/company/mainstay</t>
  </si>
  <si>
    <t xml:space="preserve">Real (vcbacked.co public listing)</t>
  </si>
  <si>
    <t xml:space="preserve">Blue Note Therapeutics</t>
  </si>
  <si>
    <t xml:space="preserve">Health Care</t>
  </si>
  <si>
    <t xml:space="preserve">Blue Note Therapeutics is a prescription digital therapeutics company that merges deep scientific and clinical expertise.</t>
  </si>
  <si>
    <t xml:space="preserve">San Francisco</t>
  </si>
  <si>
    <t xml:space="preserve">Series A</t>
  </si>
  <si>
    <t xml:space="preserve">$5.2M</t>
  </si>
  <si>
    <t xml:space="preserve">https://www.vcbacked.co/company/blue-note-therapeutics</t>
  </si>
  <si>
    <t xml:space="preserve">Mysten Labs</t>
  </si>
  <si>
    <t xml:space="preserve">Blockchain</t>
  </si>
  <si>
    <t xml:space="preserve">Mysten Labs develops tools that make web3 secure, reliable, and ready for mass adoption.</t>
  </si>
  <si>
    <t xml:space="preserve">Palo Alto</t>
  </si>
  <si>
    <t xml:space="preserve">Series B</t>
  </si>
  <si>
    <t xml:space="preserve">$300.0M</t>
  </si>
  <si>
    <t xml:space="preserve">https://www.vcbacked.co/company/mysten-labs</t>
  </si>
  <si>
    <t xml:space="preserve">Spice AI</t>
  </si>
  <si>
    <t xml:space="preserve">Spice AI removes the complexity of building massive data infrastructure to help developers create the next generation of AI-driven apps.</t>
  </si>
  <si>
    <t xml:space="preserve">Seattle</t>
  </si>
  <si>
    <t xml:space="preserve">$13.5M</t>
  </si>
  <si>
    <t xml:space="preserve">https://www.vcbacked.co/company/spice-ai</t>
  </si>
  <si>
    <t xml:space="preserve">Rare Candy</t>
  </si>
  <si>
    <t xml:space="preserve">Collectibles</t>
  </si>
  <si>
    <t xml:space="preserve">Rare Candy is a new collectibles marketplace built by fans of trading card games &amp; other collectibles</t>
  </si>
  <si>
    <t xml:space="preserve">Dallas</t>
  </si>
  <si>
    <t xml:space="preserve">https://www.vcbacked.co/company/rare-candy</t>
  </si>
  <si>
    <t xml:space="preserve">Quotient</t>
  </si>
  <si>
    <t xml:space="preserve">Developer Platform</t>
  </si>
  <si>
    <t xml:space="preserve">Quotient is a Software Development firm offering Developer Productivity Tools for their users.</t>
  </si>
  <si>
    <t xml:space="preserve">$3.0M</t>
  </si>
  <si>
    <t xml:space="preserve">https://www.vcbacked.co/company/quotient</t>
  </si>
  <si>
    <t xml:space="preserve">Leafpress</t>
  </si>
  <si>
    <t xml:space="preserve">Database</t>
  </si>
  <si>
    <t xml:space="preserve">Leafpress is an information technology company that offers data collection services.</t>
  </si>
  <si>
    <t xml:space="preserve">Pre-Seed</t>
  </si>
  <si>
    <t xml:space="preserve">$500K</t>
  </si>
  <si>
    <t xml:space="preserve">https://www.vcbacked.co/company/leafpress</t>
  </si>
  <si>
    <t xml:space="preserve">Evident</t>
  </si>
  <si>
    <t xml:space="preserve">Compliance</t>
  </si>
  <si>
    <t xml:space="preserve">Evident builds an AI-powered supplier risk management platform that helps risk managers make confident decisions.</t>
  </si>
  <si>
    <t xml:space="preserve">Atlanta</t>
  </si>
  <si>
    <t xml:space="preserve">Series C</t>
  </si>
  <si>
    <t xml:space="preserve">$14.0M</t>
  </si>
  <si>
    <t xml:space="preserve">https://www.vcbacked.co/company/evident</t>
  </si>
  <si>
    <t xml:space="preserve">OLIO</t>
  </si>
  <si>
    <t xml:space="preserve">Apps</t>
  </si>
  <si>
    <t xml:space="preserve">OLIO is a global food sharing app connecting neighbors, volunteers, and businesses.</t>
  </si>
  <si>
    <t xml:space="preserve">London</t>
  </si>
  <si>
    <t xml:space="preserve">$43.0M</t>
  </si>
  <si>
    <t xml:space="preserve">https://www.vcbacked.co/company/olio</t>
  </si>
  <si>
    <t xml:space="preserve">Mantel</t>
  </si>
  <si>
    <t xml:space="preserve">Carbon Capture</t>
  </si>
  <si>
    <t xml:space="preserve">Mantel proposes a method to trap CO2 before it enters the atmosphere.</t>
  </si>
  <si>
    <t xml:space="preserve">Cambridge</t>
  </si>
  <si>
    <t xml:space="preserve">$30.0M</t>
  </si>
  <si>
    <t xml:space="preserve">https://www.vcbacked.co/company/mantel</t>
  </si>
  <si>
    <t xml:space="preserve">Beem</t>
  </si>
  <si>
    <t xml:space="preserve">Beem provides AI smart wallet application that provide users with access to emergency cash.</t>
  </si>
  <si>
    <t xml:space="preserve">https://www.vcbacked.co/company/beem</t>
  </si>
  <si>
    <t xml:space="preserve">Perennial</t>
  </si>
  <si>
    <t xml:space="preserve">AgTech</t>
  </si>
  <si>
    <t xml:space="preserve">Perennial (formerly Cloud Agronomics) is the leading measurement, reporting, and verification (MRV) platform for soil-based carbon removal.</t>
  </si>
  <si>
    <t xml:space="preserve">Boulder</t>
  </si>
  <si>
    <t xml:space="preserve">https://www.vcbacked.co/company/perennial</t>
  </si>
  <si>
    <t xml:space="preserve">Womaness</t>
  </si>
  <si>
    <t xml:space="preserve">Beauty</t>
  </si>
  <si>
    <t xml:space="preserve">Womaness develops and offers a collection of modern menopause products.</t>
  </si>
  <si>
    <t xml:space="preserve">New York</t>
  </si>
  <si>
    <t xml:space="preserve">$12.4M</t>
  </si>
  <si>
    <t xml:space="preserve">https://www.vcbacked.co/company/womaness</t>
  </si>
  <si>
    <t xml:space="preserve">Slingshot Aerospace</t>
  </si>
  <si>
    <t xml:space="preserve">Aerospace</t>
  </si>
  <si>
    <t xml:space="preserve">Slingshot Aerospace builds space data, analytics, and simulation solutions.</t>
  </si>
  <si>
    <t xml:space="preserve">Windsor</t>
  </si>
  <si>
    <t xml:space="preserve">Venture - Series Unknown</t>
  </si>
  <si>
    <t xml:space="preserve">$1.6M</t>
  </si>
  <si>
    <t xml:space="preserve">https://www.vcbacked.co/company/slingshot-aerospace</t>
  </si>
  <si>
    <t xml:space="preserve">Fabric Health</t>
  </si>
  <si>
    <t xml:space="preserve">Fabric Health provides access and information on local health care resources by meeting families to improve health and wellbeing.</t>
  </si>
  <si>
    <t xml:space="preserve">Philadelphia</t>
  </si>
  <si>
    <t xml:space="preserve">https://www.vcbacked.co/company/fabric-health</t>
  </si>
  <si>
    <t xml:space="preserve">Excision BioTherapeutics</t>
  </si>
  <si>
    <t xml:space="preserve">Biotechnology</t>
  </si>
  <si>
    <t xml:space="preserve">Excision is developing CRISPR-based therapies to cure viral infectious diseases and improve the lives of chronically ill patients.</t>
  </si>
  <si>
    <t xml:space="preserve">Grant</t>
  </si>
  <si>
    <t xml:space="preserve">$6.8M</t>
  </si>
  <si>
    <t xml:space="preserve">https://www.vcbacked.co/company/excision-biotherapeutics</t>
  </si>
  <si>
    <t xml:space="preserve">Tundra</t>
  </si>
  <si>
    <t xml:space="preserve">US E-Commerce</t>
  </si>
  <si>
    <t xml:space="preserve">Tundra is the modern wholesale marketplace with the largest selection of wholesale products in the</t>
  </si>
  <si>
    <t xml:space="preserve">$26.0M</t>
  </si>
  <si>
    <t xml:space="preserve">https://www.vcbacked.co/company/tundra</t>
  </si>
  <si>
    <t xml:space="preserve">Rize</t>
  </si>
  <si>
    <t xml:space="preserve">Rize creates customer-centric financial solutions for Fintechs, incumbents, and non-financial brands.</t>
  </si>
  <si>
    <t xml:space="preserve">Arlington</t>
  </si>
  <si>
    <t xml:space="preserve">$11.4M</t>
  </si>
  <si>
    <t xml:space="preserve">https://www.vcbacked.co/company/rize</t>
  </si>
  <si>
    <t xml:space="preserve">Concerto Biosciences</t>
  </si>
  <si>
    <t xml:space="preserve">Big Data</t>
  </si>
  <si>
    <t xml:space="preserve">Concerto Biosciences measures, maps, and utilizes microbes to create therapies and products for agriculture and human health industries.</t>
  </si>
  <si>
    <t xml:space="preserve">Non-equity Assistance</t>
  </si>
  <si>
    <t xml:space="preserve">https://www.vcbacked.co/company/concerto-biosciences</t>
  </si>
  <si>
    <t xml:space="preserve">Piction Health</t>
  </si>
  <si>
    <t xml:space="preserve">Piction Health uses telehealth technology to provide dermatology services, focusing on accessible skin care solutions.</t>
  </si>
  <si>
    <t xml:space="preserve">https://www.vcbacked.co/company/piction-health</t>
  </si>
  <si>
    <t xml:space="preserve">Obvious</t>
  </si>
  <si>
    <t xml:space="preserve">Analytics</t>
  </si>
  <si>
    <t xml:space="preserve">Obvious is an AI workspace platform for creating documents, apps, automations, and collaborative workflows.</t>
  </si>
  <si>
    <t xml:space="preserve">$50.0M</t>
  </si>
  <si>
    <t xml:space="preserve">https://www.vcbacked.co/company/obvious</t>
  </si>
  <si>
    <t xml:space="preserve">Civis Analytics</t>
  </si>
  <si>
    <t xml:space="preserve">Civis Analytics is a software company that helps public and private sector organizations make data-driven decisions.</t>
  </si>
  <si>
    <t xml:space="preserve">Chicago</t>
  </si>
  <si>
    <t xml:space="preserve">$30.7M</t>
  </si>
  <si>
    <t xml:space="preserve">https://www.vcbacked.co/company/civis-analytics</t>
  </si>
  <si>
    <t xml:space="preserve">Area 2 Farms</t>
  </si>
  <si>
    <t xml:space="preserve">Agriculture</t>
  </si>
  <si>
    <t xml:space="preserve">Area 2 Farms is an agricultural company that provides production and delivery services for organic vegetables and produce.</t>
  </si>
  <si>
    <t xml:space="preserve">$9.0M</t>
  </si>
  <si>
    <t xml:space="preserve">https://www.vcbacked.co/company/area-2-farms</t>
  </si>
  <si>
    <t xml:space="preserve">Syntra</t>
  </si>
  <si>
    <t xml:space="preserve">Syntra develops an EHR platform that streamlines billing, records, and follow-ups, helping doctors automate tasks.</t>
  </si>
  <si>
    <t xml:space="preserve">https://www.vcbacked.co/company/syntra</t>
  </si>
  <si>
    <t xml:space="preserve">Mazlo</t>
  </si>
  <si>
    <t xml:space="preserve">Banking</t>
  </si>
  <si>
    <t xml:space="preserve">Mazlo operates as a fintech company serving nonprofit organizations and fiscal sponsors.</t>
  </si>
  <si>
    <t xml:space="preserve">$4.6M</t>
  </si>
  <si>
    <t xml:space="preserve">Andreessen Horowitz</t>
  </si>
  <si>
    <t xml:space="preserve">https://www.vcbacked.co/company/mazlo</t>
  </si>
  <si>
    <t xml:space="preserve">Vesta</t>
  </si>
  <si>
    <t xml:space="preserve">Finance</t>
  </si>
  <si>
    <t xml:space="preserve">Vesta is a next-generation loan origination system designed to update the aging mortgage technology infrastructure.</t>
  </si>
  <si>
    <t xml:space="preserve">Corporate Round</t>
  </si>
  <si>
    <t xml:space="preserve">https://www.vcbacked.co/company/vesta</t>
  </si>
  <si>
    <t xml:space="preserve">Isovalent</t>
  </si>
  <si>
    <t xml:space="preserve">Cloud Security</t>
  </si>
  <si>
    <t xml:space="preserve">Isovalent builds open-source networking, service mesh, security, and observability software for modern cloud-native infrastructure</t>
  </si>
  <si>
    <t xml:space="preserve">Cupertino</t>
  </si>
  <si>
    <t xml:space="preserve">$40.0M</t>
  </si>
  <si>
    <t xml:space="preserve">https://www.vcbacked.co/company/isovalent</t>
  </si>
  <si>
    <t xml:space="preserve">Cipher Skin</t>
  </si>
  <si>
    <t xml:space="preserve">Cipher Skin captures vital data within and around any object and translates it into actionable insights users can trust.</t>
  </si>
  <si>
    <t xml:space="preserve">Denver</t>
  </si>
  <si>
    <t xml:space="preserve">https://www.vcbacked.co/company/cipher-skin</t>
  </si>
  <si>
    <t xml:space="preserve">Sharp Performance</t>
  </si>
  <si>
    <t xml:space="preserve">Education</t>
  </si>
  <si>
    <t xml:space="preserve">Sharp Performance is a professional training platform that provides coaching and training to law enforcement agencies.</t>
  </si>
  <si>
    <t xml:space="preserve">$12.0M</t>
  </si>
  <si>
    <t xml:space="preserve">https://www.vcbacked.co/company/sharp-performance</t>
  </si>
  <si>
    <t xml:space="preserve">Lyft</t>
  </si>
  <si>
    <t xml:space="preserve">Lyft is a ride-hailing service offering car rentals, bike, and scooter-sharing through its mobile app for convenient transportation.</t>
  </si>
  <si>
    <t xml:space="preserve">Post-IPO Debt</t>
  </si>
  <si>
    <t xml:space="preserve">$450.0M</t>
  </si>
  <si>
    <t xml:space="preserve">https://www.vcbacked.co/company/lyft</t>
  </si>
  <si>
    <t xml:space="preserve">Oculus</t>
  </si>
  <si>
    <t xml:space="preserve">D Technology</t>
  </si>
  <si>
    <t xml:space="preserve">Oculus develops virtual reality platforms and products, including Rift, that let people experience anything, with anyone. 3</t>
  </si>
  <si>
    <t xml:space="preserve">Menlo Park</t>
  </si>
  <si>
    <t xml:space="preserve">https://www.vcbacked.co/company/oculus</t>
  </si>
  <si>
    <t xml:space="preserve">Cider</t>
  </si>
  <si>
    <t xml:space="preserve">Consumer</t>
  </si>
  <si>
    <t xml:space="preserve">Cider is a direct-to-consumer (DTC) e-commerce platform focusing on overseas markets.</t>
  </si>
  <si>
    <t xml:space="preserve">Hong Kong</t>
  </si>
  <si>
    <t xml:space="preserve">$130.0M</t>
  </si>
  <si>
    <t xml:space="preserve">https://www.vcbacked.co/company/cider</t>
  </si>
  <si>
    <t xml:space="preserve">SeedFi</t>
  </si>
  <si>
    <t xml:space="preserve">Credit</t>
  </si>
  <si>
    <t xml:space="preserve">SeedFi is a financial health startup that provides financial products to underserved Americans.</t>
  </si>
  <si>
    <t xml:space="preserve">https://www.vcbacked.co/company/seedfi</t>
  </si>
  <si>
    <t xml:space="preserve">Longeye</t>
  </si>
  <si>
    <t xml:space="preserve">Law Enforcement</t>
  </si>
  <si>
    <t xml:space="preserve">Longeye is an online tool that provides justice system to update case files and get the quick resolutions.</t>
  </si>
  <si>
    <t xml:space="preserve">$5.0M</t>
  </si>
  <si>
    <t xml:space="preserve">https://www.vcbacked.co/company/longeye</t>
  </si>
  <si>
    <t xml:space="preserve">Forta Protocol000</t>
  </si>
  <si>
    <t xml:space="preserve">Forta Protocol is a security service aimed at smart contracts.</t>
  </si>
  <si>
    <t xml:space="preserve">Walnut</t>
  </si>
  <si>
    <t xml:space="preserve">$23.0M</t>
  </si>
  <si>
    <t xml:space="preserve">https://www.vcbacked.co/company/forta-protocol000</t>
  </si>
  <si>
    <t xml:space="preserve">Angle Protocol</t>
  </si>
  <si>
    <t xml:space="preserve">Cryptocurrency</t>
  </si>
  <si>
    <t xml:space="preserve">Angle Protocol focus on offering stablecoins pegged to currencies.</t>
  </si>
  <si>
    <t xml:space="preserve">https://www.vcbacked.co/company/angle-protocol</t>
  </si>
  <si>
    <t xml:space="preserve">Sisu</t>
  </si>
  <si>
    <t xml:space="preserve">Sisu is a decision intelligence engine that delivers insights and monitors metrics for businesses to make the right business decisions.</t>
  </si>
  <si>
    <t xml:space="preserve">$62.0M</t>
  </si>
  <si>
    <t xml:space="preserve">https://www.vcbacked.co/company/sisu</t>
  </si>
  <si>
    <t xml:space="preserve">Opendoor Technologies</t>
  </si>
  <si>
    <t xml:space="preserve">Marketplace</t>
  </si>
  <si>
    <t xml:space="preserve">Opendoor is a real estate technology company that simplifies the process of buying and selling homes.</t>
  </si>
  <si>
    <t xml:space="preserve">Tempe</t>
  </si>
  <si>
    <t xml:space="preserve">Post-IPO Equity</t>
  </si>
  <si>
    <t xml:space="preserve">$362.0M</t>
  </si>
  <si>
    <t xml:space="preserve">https://www.vcbacked.co/company/opendoor-technologies</t>
  </si>
  <si>
    <t xml:space="preserve">Skye</t>
  </si>
  <si>
    <t xml:space="preserve">Agentic AI</t>
  </si>
  <si>
    <t xml:space="preserve">Skye is a consumer-focused technology company that develops a personal AI agent designed to act as a proactive digital companion.</t>
  </si>
  <si>
    <t xml:space="preserve">$3.6M</t>
  </si>
  <si>
    <t xml:space="preserve">https://www.vcbacked.co/company/skye</t>
  </si>
  <si>
    <t xml:space="preserve">Theorycraft Games</t>
  </si>
  <si>
    <t xml:space="preserve">Gamification</t>
  </si>
  <si>
    <t xml:space="preserve">Theorycraft Games operates as an independent game development studio that operates remotely.</t>
  </si>
  <si>
    <t xml:space="preserve">Los Angeles</t>
  </si>
  <si>
    <t xml:space="preserve">https://www.vcbacked.co/company/theorycraft-games</t>
  </si>
  <si>
    <t xml:space="preserve">RingCentral Events</t>
  </si>
  <si>
    <t xml:space="preserve">Events</t>
  </si>
  <si>
    <t xml:space="preserve">RingCentral Events is a platform for hosting virtual, hybrid, and onsite events with AI-powered features and customizable branding.</t>
  </si>
  <si>
    <t xml:space="preserve">Belmont</t>
  </si>
  <si>
    <t xml:space="preserve">https://www.vcbacked.co/company/ringcentral-events</t>
  </si>
  <si>
    <t xml:space="preserve">DeSo Foundation</t>
  </si>
  <si>
    <t xml:space="preserve">Layer-1 blockchain built to power storage-heavy apps, like social apps, listed on Coinbase with 1.5M+ wallets.</t>
  </si>
  <si>
    <t xml:space="preserve">Los Altos</t>
  </si>
  <si>
    <t xml:space="preserve">$200.0M</t>
  </si>
  <si>
    <t xml:space="preserve">https://www.vcbacked.co/company/deso-foundation</t>
  </si>
  <si>
    <t xml:space="preserve">Dispatch Goods</t>
  </si>
  <si>
    <t xml:space="preserve">Delivery</t>
  </si>
  <si>
    <t xml:space="preserve">Dispatch Goods is an industrial tech company building the infrastructure for reusable packaging.</t>
  </si>
  <si>
    <t xml:space="preserve">$5.8M</t>
  </si>
  <si>
    <t xml:space="preserve">https://www.vcbacked.co/company/dispatch-goods</t>
  </si>
  <si>
    <t xml:space="preserve">Vibranium Labs</t>
  </si>
  <si>
    <t xml:space="preserve">Vibranium Labs is an AI on-call engineer platform designed to resolve incidents with less stress.</t>
  </si>
  <si>
    <t xml:space="preserve">Brooklyn</t>
  </si>
  <si>
    <t xml:space="preserve">https://www.vcbacked.co/company/vibranium-labs</t>
  </si>
  <si>
    <t xml:space="preserve">Kodex</t>
  </si>
  <si>
    <t xml:space="preserve">Document Management</t>
  </si>
  <si>
    <t xml:space="preserve">Kodex is a workflow management web platform that manages relationships, workflows, and secure file transfer with government agencies.</t>
  </si>
  <si>
    <t xml:space="preserve">$21.2M</t>
  </si>
  <si>
    <t xml:space="preserve">https://www.vcbacked.co/company/kodex</t>
  </si>
  <si>
    <t xml:space="preserve">Airbuds</t>
  </si>
  <si>
    <t xml:space="preserve">Mobile Apps</t>
  </si>
  <si>
    <t xml:space="preserve">Airbuds is a social music software meant to bring users together through music experiences.</t>
  </si>
  <si>
    <t xml:space="preserve">https://www.vcbacked.co/company/airbuds</t>
  </si>
  <si>
    <t xml:space="preserve">Phota Labs</t>
  </si>
  <si>
    <t xml:space="preserve">Phota Labs is a developer of personalized AI photography tools preserving identity and memories.</t>
  </si>
  <si>
    <t xml:space="preserve">San Jose</t>
  </si>
  <si>
    <t xml:space="preserve">$5.6M</t>
  </si>
  <si>
    <t xml:space="preserve">https://www.vcbacked.co/company/phota-labs</t>
  </si>
  <si>
    <t xml:space="preserve">Cuure</t>
  </si>
  <si>
    <t xml:space="preserve">Consumer Goods</t>
  </si>
  <si>
    <t xml:space="preserve">Cuure offers personalized health solutions through tailored vitamin and supplement subscriptions, designed to meet individual health needs.</t>
  </si>
  <si>
    <t xml:space="preserve">Paris</t>
  </si>
  <si>
    <t xml:space="preserve">$10.1M</t>
  </si>
  <si>
    <t xml:space="preserve">Bpifrance</t>
  </si>
  <si>
    <t xml:space="preserve">https://www.vcbacked.co/company/cuure</t>
  </si>
  <si>
    <t xml:space="preserve">Muule</t>
  </si>
  <si>
    <t xml:space="preserve">Lifestyle</t>
  </si>
  <si>
    <t xml:space="preserve">Muule, an ethical outdoor equipment distributor, examines companies before distributing them.</t>
  </si>
  <si>
    <t xml:space="preserve">Lyon</t>
  </si>
  <si>
    <t xml:space="preserve">$750K</t>
  </si>
  <si>
    <t xml:space="preserve">https://www.vcbacked.co/company/muule</t>
  </si>
  <si>
    <t xml:space="preserve">Statinf</t>
  </si>
  <si>
    <t xml:space="preserve">Statinf provides statistical timing analyses on real time embedded systems.</t>
  </si>
  <si>
    <t xml:space="preserve">https://www.vcbacked.co/company/statinf</t>
  </si>
  <si>
    <t xml:space="preserve">Figures</t>
  </si>
  <si>
    <t xml:space="preserve">Human Resources</t>
  </si>
  <si>
    <t xml:space="preserve">Figures provides real time compensation intelligence to companies, with the most extensive benchmark for European venture-backed companies.</t>
  </si>
  <si>
    <t xml:space="preserve">https://www.vcbacked.co/company/figures</t>
  </si>
  <si>
    <t xml:space="preserve">Carroucell</t>
  </si>
  <si>
    <t xml:space="preserve">Carroucell is the microcarrier supplier for cell culture in bioreactor.</t>
  </si>
  <si>
    <t xml:space="preserve">Sainte-hélène-du-lac</t>
  </si>
  <si>
    <t xml:space="preserve">$1.5M</t>
  </si>
  <si>
    <t xml:space="preserve">https://www.vcbacked.co/company/carroucell</t>
  </si>
  <si>
    <t xml:space="preserve">Pytheas Capital Advisors</t>
  </si>
  <si>
    <t xml:space="preserve">Email</t>
  </si>
  <si>
    <t xml:space="preserve">Pytheas Capital Advisors is a financial advisory company.</t>
  </si>
  <si>
    <t xml:space="preserve">https://www.vcbacked.co/company/pytheas-capital-advisors</t>
  </si>
  <si>
    <t xml:space="preserve">Hoopiz</t>
  </si>
  <si>
    <t xml:space="preserve">Financial Services</t>
  </si>
  <si>
    <t xml:space="preserve">Hoopiz is a credit management platform that provides tools and information to optimize a company's trade credit and receivables management.</t>
  </si>
  <si>
    <t xml:space="preserve">Cannes</t>
  </si>
  <si>
    <t xml:space="preserve">$1.3M</t>
  </si>
  <si>
    <t xml:space="preserve">https://www.vcbacked.co/company/hoopiz</t>
  </si>
  <si>
    <t xml:space="preserve">Giskard</t>
  </si>
  <si>
    <t xml:space="preserve">Prevent AI Failures: Automated Red Teaming platform for AI agents to prevent security vulnerabilities and ensure business alignment</t>
  </si>
  <si>
    <t xml:space="preserve">$466K</t>
  </si>
  <si>
    <t xml:space="preserve">https://www.vcbacked.co/company/giskard</t>
  </si>
  <si>
    <t xml:space="preserve">M2care</t>
  </si>
  <si>
    <t xml:space="preserve">Consulting</t>
  </si>
  <si>
    <t xml:space="preserve">M2care specializes in transformative innovation to create more efficient, equitable, and long-term models.</t>
  </si>
  <si>
    <t xml:space="preserve">$30.3M</t>
  </si>
  <si>
    <t xml:space="preserve">https://www.vcbacked.co/company/m2care</t>
  </si>
  <si>
    <t xml:space="preserve">Brandquad</t>
  </si>
  <si>
    <t xml:space="preserve">Computer</t>
  </si>
  <si>
    <t xml:space="preserve">Brandquad - everything a Brand needs to manage Product Experience on the digital shelf.</t>
  </si>
  <si>
    <t xml:space="preserve">Lille</t>
  </si>
  <si>
    <t xml:space="preserve">Convertible Note</t>
  </si>
  <si>
    <t xml:space="preserve">$2.9M</t>
  </si>
  <si>
    <t xml:space="preserve">https://www.vcbacked.co/company/brandquad</t>
  </si>
  <si>
    <t xml:space="preserve">Ask Mona</t>
  </si>
  <si>
    <t xml:space="preserve">Ask Mona is a startup that created a chatbot to advise personalized cultural outings thanks to an artificial intelligence engine.</t>
  </si>
  <si>
    <t xml:space="preserve">$2.3M</t>
  </si>
  <si>
    <t xml:space="preserve">https://www.vcbacked.co/company/ask-mona</t>
  </si>
  <si>
    <t xml:space="preserve">Agronutris</t>
  </si>
  <si>
    <t xml:space="preserve">Agronutris is a biotech company involved in the breeding and processing of insects for food.</t>
  </si>
  <si>
    <t xml:space="preserve">Saint-orens-de-gameville</t>
  </si>
  <si>
    <t xml:space="preserve">$57.9M</t>
  </si>
  <si>
    <t xml:space="preserve">https://www.vcbacked.co/company/agronutris</t>
  </si>
  <si>
    <t xml:space="preserve">RDS</t>
  </si>
  <si>
    <t xml:space="preserve">RDS develops solutions for continuous and remote patient monitoring to improve patient pathways in healthcare.</t>
  </si>
  <si>
    <t xml:space="preserve">Strasbourg</t>
  </si>
  <si>
    <t xml:space="preserve">$16.4M</t>
  </si>
  <si>
    <t xml:space="preserve">https://www.vcbacked.co/company/rds</t>
  </si>
  <si>
    <t xml:space="preserve">Nonna Lab</t>
  </si>
  <si>
    <t xml:space="preserve">Fitness</t>
  </si>
  <si>
    <t xml:space="preserve">Nonna Lab is a company that provides anti-hangover drinks to relieve hangovers with vegan, low-sugar, and natural ingredients.</t>
  </si>
  <si>
    <t xml:space="preserve">https://www.vcbacked.co/company/nonna-lab</t>
  </si>
  <si>
    <t xml:space="preserve">Syslor</t>
  </si>
  <si>
    <t xml:space="preserve">Syslor focuses on the provision of information and technology-related services and consulting for organizations.</t>
  </si>
  <si>
    <t xml:space="preserve">Metz</t>
  </si>
  <si>
    <t xml:space="preserve">$1.4M</t>
  </si>
  <si>
    <t xml:space="preserve">https://www.vcbacked.co/company/syslor</t>
  </si>
  <si>
    <t xml:space="preserve">Altior</t>
  </si>
  <si>
    <t xml:space="preserve">Business Intelligence</t>
  </si>
  <si>
    <t xml:space="preserve">Altior is an IT company that offers cloud industrial management software and ERP solution.</t>
  </si>
  <si>
    <t xml:space="preserve">Nantes</t>
  </si>
  <si>
    <t xml:space="preserve">https://www.vcbacked.co/company/altior</t>
  </si>
  <si>
    <t xml:space="preserve">Legapass</t>
  </si>
  <si>
    <t xml:space="preserve">Cyber Security</t>
  </si>
  <si>
    <t xml:space="preserve">Legapass provides digital currency and digital data back.</t>
  </si>
  <si>
    <t xml:space="preserve">Nice</t>
  </si>
  <si>
    <t xml:space="preserve">$634K</t>
  </si>
  <si>
    <t xml:space="preserve">https://www.vcbacked.co/company/legapass</t>
  </si>
  <si>
    <t xml:space="preserve">Episto</t>
  </si>
  <si>
    <t xml:space="preserve">Advertising</t>
  </si>
  <si>
    <t xml:space="preserve">Episto creates technologies to collect authentic opinions from a wide range of targets.</t>
  </si>
  <si>
    <t xml:space="preserve">$2.6M</t>
  </si>
  <si>
    <t xml:space="preserve">https://www.vcbacked.co/company/episto</t>
  </si>
  <si>
    <t xml:space="preserve">IPaidThat</t>
  </si>
  <si>
    <t xml:space="preserve">IPaidThat automatically imports the invoices you receive, and compare them with your bank transactions.</t>
  </si>
  <si>
    <t xml:space="preserve">$7.0M</t>
  </si>
  <si>
    <t xml:space="preserve">https://www.vcbacked.co/company/ipaidthat</t>
  </si>
  <si>
    <t xml:space="preserve">Chat3D</t>
  </si>
  <si>
    <t xml:space="preserve">SaaS</t>
  </si>
  <si>
    <t xml:space="preserve">Chat3D develops 3D shape creation solutions for professionals.</t>
  </si>
  <si>
    <t xml:space="preserve">Saint Etienne</t>
  </si>
  <si>
    <t xml:space="preserve">$3.5M</t>
  </si>
  <si>
    <t xml:space="preserve">https://www.vcbacked.co/company/chat3d</t>
  </si>
  <si>
    <t xml:space="preserve">Fractal Energy</t>
  </si>
  <si>
    <t xml:space="preserve">Electrical Distribution</t>
  </si>
  <si>
    <t xml:space="preserve">Fractal Energy offers turnkey solution to reduce electricity bill and reduce the carbon footprint.</t>
  </si>
  <si>
    <t xml:space="preserve">Tours</t>
  </si>
  <si>
    <t xml:space="preserve">$2.1M</t>
  </si>
  <si>
    <t xml:space="preserve">https://www.vcbacked.co/company/fractal-energy</t>
  </si>
  <si>
    <t xml:space="preserve">Commune</t>
  </si>
  <si>
    <t xml:space="preserve">Home Services</t>
  </si>
  <si>
    <t xml:space="preserve">Commune is a regular household and co-living solutions provider for single-parent families.</t>
  </si>
  <si>
    <t xml:space="preserve">https://www.vcbacked.co/company/commune</t>
  </si>
  <si>
    <t xml:space="preserve">Hipli</t>
  </si>
  <si>
    <t xml:space="preserve">Packaging Services</t>
  </si>
  <si>
    <t xml:space="preserve">Hipli is a reusable, eco-friendly packaging solution that offers a sustainable alternative to plastic packaging for e-commerce businesses.</t>
  </si>
  <si>
    <t xml:space="preserve">Le Havre</t>
  </si>
  <si>
    <t xml:space="preserve">https://www.vcbacked.co/company/hipli</t>
  </si>
  <si>
    <t xml:space="preserve">Yousign</t>
  </si>
  <si>
    <t xml:space="preserve">E-Signature</t>
  </si>
  <si>
    <t xml:space="preserve">Yousign is a digital trust platform offering secure eSignatures, identity verification, and eSeals for compliant workflows.</t>
  </si>
  <si>
    <t xml:space="preserve">Caen</t>
  </si>
  <si>
    <t xml:space="preserve">https://www.vcbacked.co/company/yousign</t>
  </si>
  <si>
    <t xml:space="preserve">SemiCab</t>
  </si>
  <si>
    <t xml:space="preserve">Freight Service</t>
  </si>
  <si>
    <t xml:space="preserve">SemiCab Inc.offers technology platforms to logistics providers.</t>
  </si>
  <si>
    <t xml:space="preserve">Gaingels</t>
  </si>
  <si>
    <t xml:space="preserve">https://www.vcbacked.co/company/semicab</t>
  </si>
  <si>
    <t xml:space="preserve">OurRitual</t>
  </si>
  <si>
    <t xml:space="preserve">Communities</t>
  </si>
  <si>
    <t xml:space="preserve">OurRitual is a digital platform that transforms the way people strengthen and grow their relationships.</t>
  </si>
  <si>
    <t xml:space="preserve">New Castle</t>
  </si>
  <si>
    <t xml:space="preserve">https://www.vcbacked.co/company/ourritual</t>
  </si>
  <si>
    <t xml:space="preserve">Concha Labs</t>
  </si>
  <si>
    <t xml:space="preserve">Medical Device</t>
  </si>
  <si>
    <t xml:space="preserve">Concha Labs is a software and data company that enables people to hear clearly.</t>
  </si>
  <si>
    <t xml:space="preserve">$69K</t>
  </si>
  <si>
    <t xml:space="preserve">https://www.vcbacked.co/company/concha-labs</t>
  </si>
  <si>
    <t xml:space="preserve">Fireside</t>
  </si>
  <si>
    <t xml:space="preserve">Co-Founded by Falon Fatemi and Mark Cuban, Fireside is the first interactive Web3 streaming platform.</t>
  </si>
  <si>
    <t xml:space="preserve">Milpitas</t>
  </si>
  <si>
    <t xml:space="preserve">$68K</t>
  </si>
  <si>
    <t xml:space="preserve">https://www.vcbacked.co/company/fireside</t>
  </si>
  <si>
    <t xml:space="preserve">Curastory</t>
  </si>
  <si>
    <t xml:space="preserve">Curastory allows anyone to create and edit high-quality video, monetize, and distribute to all of their video channels, 100% free.</t>
  </si>
  <si>
    <t xml:space="preserve">$100K</t>
  </si>
  <si>
    <t xml:space="preserve">https://www.vcbacked.co/company/curastory</t>
  </si>
  <si>
    <t xml:space="preserve">Prometheus Alternative Investments</t>
  </si>
  <si>
    <t xml:space="preserve">Prometheus Alternative Investments is a fintech startup.</t>
  </si>
  <si>
    <t xml:space="preserve">https://www.vcbacked.co/company/prometheus-alternative-investments</t>
  </si>
  <si>
    <t xml:space="preserve">Empower3d</t>
  </si>
  <si>
    <t xml:space="preserve">Business Development</t>
  </si>
  <si>
    <t xml:space="preserve">Empower3d provides the modern athlete with the tools, resources, and network required for business success.</t>
  </si>
  <si>
    <t xml:space="preserve">https://www.vcbacked.co/company/empower3d</t>
  </si>
  <si>
    <t xml:space="preserve">Leena AI</t>
  </si>
  <si>
    <t xml:space="preserve">Leena AI offers a human resource management platform that transforms employee experience with conversational AI.</t>
  </si>
  <si>
    <t xml:space="preserve">https://www.vcbacked.co/company/leena-ai</t>
  </si>
  <si>
    <t xml:space="preserve">Bright Money</t>
  </si>
  <si>
    <t xml:space="preserve">Bright Money offers a personalized financial management platform to help individuals manage their finances effectively.</t>
  </si>
  <si>
    <t xml:space="preserve">https://www.vcbacked.co/company/bright-money</t>
  </si>
  <si>
    <t xml:space="preserve">Aspen Creek Digital</t>
  </si>
  <si>
    <t xml:space="preserve">Aspen Creek Digital is a developer of a renewable Bitcoin mining operator used to catalyze the decarbonization of power generation.</t>
  </si>
  <si>
    <t xml:space="preserve">El Segundo</t>
  </si>
  <si>
    <t xml:space="preserve">$8.0M</t>
  </si>
  <si>
    <t xml:space="preserve">https://www.vcbacked.co/company/aspen-creek-digital</t>
  </si>
  <si>
    <t xml:space="preserve">Euphoria.LGBT</t>
  </si>
  <si>
    <t xml:space="preserve">Euphoria.LGBT builds technology solutions that restore agency and dignity for transgender individuals going through gender transition.</t>
  </si>
  <si>
    <t xml:space="preserve">https://www.vcbacked.co/company/euphorialgbt</t>
  </si>
  <si>
    <t xml:space="preserve">Thankful</t>
  </si>
  <si>
    <t xml:space="preserve">Thankful is a Developer of an automation software created to improve online customer service.</t>
  </si>
  <si>
    <t xml:space="preserve">https://www.vcbacked.co/company/thankful</t>
  </si>
  <si>
    <t xml:space="preserve">Wallaroo</t>
  </si>
  <si>
    <t xml:space="preserve">Wallaroo provides an enterprise AI platform that enables clients to deploy ML and analytics projects into production.</t>
  </si>
  <si>
    <t xml:space="preserve">$47K</t>
  </si>
  <si>
    <t xml:space="preserve">https://www.vcbacked.co/company/wallaroo</t>
  </si>
  <si>
    <t xml:space="preserve">nexba</t>
  </si>
  <si>
    <t xml:space="preserve">Beverage</t>
  </si>
  <si>
    <t xml:space="preserve">nexba is revolutionizing traditional soft drinks with the launch of Naturally Sugar Free Cola, Lemon and Orange Sparkling Infusions. Food and</t>
  </si>
  <si>
    <t xml:space="preserve">North Sydney</t>
  </si>
  <si>
    <t xml:space="preserve">Equity Crowdfunding</t>
  </si>
  <si>
    <t xml:space="preserve">$460K</t>
  </si>
  <si>
    <t xml:space="preserve">https://www.vcbacked.co/company/nexba</t>
  </si>
  <si>
    <t xml:space="preserve">Hello Divorce</t>
  </si>
  <si>
    <t xml:space="preserve">Advice</t>
  </si>
  <si>
    <t xml:space="preserve">Hello Divorce offers an easier and cheaper way to handle divorce processes with online tools and legal services.</t>
  </si>
  <si>
    <t xml:space="preserve">Alameda</t>
  </si>
  <si>
    <t xml:space="preserve">https://www.vcbacked.co/company/hello-divorce</t>
  </si>
  <si>
    <t xml:space="preserve">Serif</t>
  </si>
  <si>
    <t xml:space="preserve">Serif is a digital community connecting LGBTQ+ people through virtual experiences.</t>
  </si>
  <si>
    <t xml:space="preserve">$339K</t>
  </si>
  <si>
    <t xml:space="preserve">https://www.vcbacked.co/company/serif</t>
  </si>
  <si>
    <t xml:space="preserve">Wethos</t>
  </si>
  <si>
    <t xml:space="preserve">Wethos uses data to help freelancers price projects, bill clients, get paid and pay others all in one place</t>
  </si>
  <si>
    <t xml:space="preserve">https://www.vcbacked.co/company/wethos</t>
  </si>
  <si>
    <t xml:space="preserve">Tesoro</t>
  </si>
  <si>
    <t xml:space="preserve">Tesoro is a Gaming Software offering reward based transaction system for the gamers.</t>
  </si>
  <si>
    <t xml:space="preserve">Austin</t>
  </si>
  <si>
    <t xml:space="preserve">$5.5M</t>
  </si>
  <si>
    <t xml:space="preserve">https://www.vcbacked.co/company/tesoro</t>
  </si>
  <si>
    <t xml:space="preserve">Hire Runner</t>
  </si>
  <si>
    <t xml:space="preserve">Hire Runner is a staffing and recruiting company that connects talented people with startups.</t>
  </si>
  <si>
    <t xml:space="preserve">$383K</t>
  </si>
  <si>
    <t xml:space="preserve">https://www.vcbacked.co/company/hire-runner</t>
  </si>
  <si>
    <t xml:space="preserve">Dogdrop</t>
  </si>
  <si>
    <t xml:space="preserve">Franchise</t>
  </si>
  <si>
    <t xml:space="preserve">Dogdrop is tech-enabled, small footprint, quality dog daycare.</t>
  </si>
  <si>
    <t xml:space="preserve">https://www.vcbacked.co/company/dogdrop</t>
  </si>
  <si>
    <t xml:space="preserve">Beauty Pie</t>
  </si>
  <si>
    <t xml:space="preserve">Beauty Pie is a beauty buyers' club that gives members access to high-quality beauty products at transparent factory-cost prices.</t>
  </si>
  <si>
    <t xml:space="preserve">$100.0M</t>
  </si>
  <si>
    <t xml:space="preserve">General Catalyst</t>
  </si>
  <si>
    <t xml:space="preserve">https://www.vcbacked.co/company/beauty-pie</t>
  </si>
  <si>
    <t xml:space="preserve">Press Sports App</t>
  </si>
  <si>
    <t xml:space="preserve">Press Sports is a media outlet for youth athletes.</t>
  </si>
  <si>
    <t xml:space="preserve">https://www.vcbacked.co/company/press-sports-app</t>
  </si>
  <si>
    <t xml:space="preserve">Localyze</t>
  </si>
  <si>
    <t xml:space="preserve">Information Technology</t>
  </si>
  <si>
    <t xml:space="preserve">Localyze is a software to manage your international team: Relocate international hires, temporarily transfer employees.</t>
  </si>
  <si>
    <t xml:space="preserve">Hamburg</t>
  </si>
  <si>
    <t xml:space="preserve">$35.0M</t>
  </si>
  <si>
    <t xml:space="preserve">https://www.vcbacked.co/company/localyze</t>
  </si>
  <si>
    <t xml:space="preserve">Fever</t>
  </si>
  <si>
    <t xml:space="preserve">Renewable Energy</t>
  </si>
  <si>
    <t xml:space="preserve">Fever provides a software platform that helps energy companies aggregate and optimise distributed energy assets in real time.</t>
  </si>
  <si>
    <t xml:space="preserve">Stockholm</t>
  </si>
  <si>
    <t xml:space="preserve">$9.3M</t>
  </si>
  <si>
    <t xml:space="preserve">https://www.vcbacked.co/company/fever</t>
  </si>
  <si>
    <t xml:space="preserve">NewDays</t>
  </si>
  <si>
    <t xml:space="preserve">NewDays is an AI company delivering cognitive health treatment.</t>
  </si>
  <si>
    <t xml:space="preserve">$11.5M</t>
  </si>
  <si>
    <t xml:space="preserve">https://www.vcbacked.co/company/newdays</t>
  </si>
  <si>
    <t xml:space="preserve">Future Trash</t>
  </si>
  <si>
    <t xml:space="preserve">Future Trash is an interdisciplinary game development company. Beverly Hills</t>
  </si>
  <si>
    <t xml:space="preserve">https://www.vcbacked.co/company/future-trash</t>
  </si>
  <si>
    <t xml:space="preserve">Rapyd</t>
  </si>
  <si>
    <t xml:space="preserve">Rapyd is a financial technology company that provides payment processing and fintech infrastructure for businesses.</t>
  </si>
  <si>
    <t xml:space="preserve">Series F</t>
  </si>
  <si>
    <t xml:space="preserve">https://www.vcbacked.co/company/rapyd</t>
  </si>
  <si>
    <t xml:space="preserve">Visor</t>
  </si>
  <si>
    <t xml:space="preserve">Enterprise Software</t>
  </si>
  <si>
    <t xml:space="preserve">Visor is a collaboration platform that syncs data from tools like Jira, Asana, and Salesforce to create roadmaps, dashboards, and reports.</t>
  </si>
  <si>
    <t xml:space="preserve">https://www.vcbacked.co/company/visor</t>
  </si>
  <si>
    <t xml:space="preserve">Nord Security</t>
  </si>
  <si>
    <t xml:space="preserve">Nord Security operates as an internet privacy and security provider for individuals and businesses.</t>
  </si>
  <si>
    <t xml:space="preserve">Vilnius</t>
  </si>
  <si>
    <t xml:space="preserve">Private Equity</t>
  </si>
  <si>
    <t xml:space="preserve">https://www.vcbacked.co/company/nord-security</t>
  </si>
  <si>
    <t xml:space="preserve">Unlock</t>
  </si>
  <si>
    <t xml:space="preserve">Unlock is an access control protocol built on blockchain that let creators monetize their content without relying on a middleman.</t>
  </si>
  <si>
    <t xml:space="preserve">$4.0M</t>
  </si>
  <si>
    <t xml:space="preserve">https://www.vcbacked.co/company/unlock</t>
  </si>
  <si>
    <t xml:space="preserve">Kopperfield</t>
  </si>
  <si>
    <t xml:space="preserve">Battery</t>
  </si>
  <si>
    <t xml:space="preserve">Solving online commerce for home electrification</t>
  </si>
  <si>
    <t xml:space="preserve">https://www.vcbacked.co/company/kopperfield</t>
  </si>
  <si>
    <t xml:space="preserve">RemNote</t>
  </si>
  <si>
    <t xml:space="preserve">RemNote develops a knowledge management platform to enable effective and efficient learning.</t>
  </si>
  <si>
    <t xml:space="preserve">$2.8M</t>
  </si>
  <si>
    <t xml:space="preserve">https://www.vcbacked.co/company/remnote</t>
  </si>
  <si>
    <t xml:space="preserve">Fractyl Health</t>
  </si>
  <si>
    <t xml:space="preserve">Fractyl Health is a biotechnology company that provides curative therapies for metabolic diseases.</t>
  </si>
  <si>
    <t xml:space="preserve">Lexington</t>
  </si>
  <si>
    <t xml:space="preserve">$60.0M</t>
  </si>
  <si>
    <t xml:space="preserve">https://www.vcbacked.co/company/fractyl-health</t>
  </si>
  <si>
    <t xml:space="preserve">CTRL Therapeutics</t>
  </si>
  <si>
    <t xml:space="preserve">CTRL Therapeutics operates a biotechnology company that researches cell therapy and treatment.</t>
  </si>
  <si>
    <t xml:space="preserve">Toronto</t>
  </si>
  <si>
    <t xml:space="preserve">$9.1M</t>
  </si>
  <si>
    <t xml:space="preserve">https://www.vcbacked.co/company/ctrl-therapeutics</t>
  </si>
  <si>
    <t xml:space="preserve">Mentorcam</t>
  </si>
  <si>
    <t xml:space="preserve">Mentorcam gives people access to renowned experts and public figures for 1-on-1 mentorship and advice.</t>
  </si>
  <si>
    <t xml:space="preserve">https://www.vcbacked.co/company/mentorcam</t>
  </si>
  <si>
    <t xml:space="preserve">Judi Health</t>
  </si>
  <si>
    <t xml:space="preserve">Judi Health is a healthtech platform that provides pharmacy benefit management solutions.</t>
  </si>
  <si>
    <t xml:space="preserve">$252.0M</t>
  </si>
  <si>
    <t xml:space="preserve">https://www.vcbacked.co/company/judi-health</t>
  </si>
  <si>
    <t xml:space="preserve">OpenStore</t>
  </si>
  <si>
    <t xml:space="preserve">Affiliate Marketing</t>
  </si>
  <si>
    <t xml:space="preserve">OpenStore connects merchants and customers into a single unified shopping experience through access to data, information, and capital.</t>
  </si>
  <si>
    <t xml:space="preserve">Miami</t>
  </si>
  <si>
    <t xml:space="preserve">$32.0M</t>
  </si>
  <si>
    <t xml:space="preserve">https://www.vcbacked.co/company/openstore</t>
  </si>
  <si>
    <t xml:space="preserve">Almanac</t>
  </si>
  <si>
    <t xml:space="preserve">Collaboration</t>
  </si>
  <si>
    <t xml:space="preserve">Almanac is the most powerful platform for async collaboration.</t>
  </si>
  <si>
    <t xml:space="preserve">$34.0M</t>
  </si>
  <si>
    <t xml:space="preserve">https://www.vcbacked.co/company/almanac</t>
  </si>
  <si>
    <t xml:space="preserve">Armorblox</t>
  </si>
  <si>
    <t xml:space="preserve">Armorblox uses deep learning and natural language technologies to protect enterprise communications.</t>
  </si>
  <si>
    <t xml:space="preserve">Sunnyvale</t>
  </si>
  <si>
    <t xml:space="preserve">https://www.vcbacked.co/company/armorblox</t>
  </si>
  <si>
    <t xml:space="preserve">flok</t>
  </si>
  <si>
    <t xml:space="preserve">flok offers businesses with technology solutions that focus on connecting customers and merchants.</t>
  </si>
  <si>
    <t xml:space="preserve">https://www.vcbacked.co/company/flok</t>
  </si>
  <si>
    <t xml:space="preserve">Elysium</t>
  </si>
  <si>
    <t xml:space="preserve">Elysium Health offers health products built with science such as dietary supplements and anti-aging drugs.</t>
  </si>
  <si>
    <t xml:space="preserve">https://www.vcbacked.co/company/elysium</t>
  </si>
  <si>
    <t xml:space="preserve">Cazoo</t>
  </si>
  <si>
    <t xml:space="preserve">Automotive</t>
  </si>
  <si>
    <t xml:space="preserve">Cazoo is an online used car marketplace designed to transform the way people buy, finance, or rent used cars.</t>
  </si>
  <si>
    <t xml:space="preserve">https://www.vcbacked.co/company/cazoo</t>
  </si>
  <si>
    <t xml:space="preserve">Gringo</t>
  </si>
  <si>
    <t xml:space="preserve">Gringo is a car app that helps in monitoring vehicle and driver's licenses, licensing vehicles and dividing fines into installments.</t>
  </si>
  <si>
    <t xml:space="preserve">São Paulo</t>
  </si>
  <si>
    <t xml:space="preserve">$12.5M</t>
  </si>
  <si>
    <t xml:space="preserve">Google For Startups</t>
  </si>
  <si>
    <t xml:space="preserve">https://www.vcbacked.co/company/gringo</t>
  </si>
  <si>
    <t xml:space="preserve">Wiz Learning</t>
  </si>
  <si>
    <t xml:space="preserve">E-Learning</t>
  </si>
  <si>
    <t xml:space="preserve">We provide AI-powered STEM, Coding &amp; Career Readiness programs to prepare learners for success in the modern workforce</t>
  </si>
  <si>
    <t xml:space="preserve">https://www.vcbacked.co/company/wiz-learning</t>
  </si>
  <si>
    <t xml:space="preserve">Mitivate</t>
  </si>
  <si>
    <t xml:space="preserve">Mitivate collaborates with payers and providers to drive meaningful change in healthcare through valuable partnerships and technology.</t>
  </si>
  <si>
    <t xml:space="preserve">https://www.vcbacked.co/company/mitivate</t>
  </si>
  <si>
    <t xml:space="preserve">Tanoshi</t>
  </si>
  <si>
    <t xml:space="preserve">Tanoshi provides educational, age appropriate, and fun consumer electronic products and software services for today's pre-teens.</t>
  </si>
  <si>
    <t xml:space="preserve">Oakland</t>
  </si>
  <si>
    <t xml:space="preserve">https://www.vcbacked.co/company/tanoshi</t>
  </si>
  <si>
    <t xml:space="preserve">JusticeText</t>
  </si>
  <si>
    <t xml:space="preserve">Audio</t>
  </si>
  <si>
    <t xml:space="preserve">JusticeText is strengthening the ability of public defenders to analyze this crucial data with their evidence management software.</t>
  </si>
  <si>
    <t xml:space="preserve">Irvine</t>
  </si>
  <si>
    <t xml:space="preserve">$2.2M</t>
  </si>
  <si>
    <t xml:space="preserve">https://www.vcbacked.co/company/justicetext</t>
  </si>
  <si>
    <t xml:space="preserve">Caantin</t>
  </si>
  <si>
    <t xml:space="preserve">Caantin is developer of vendor management and software designed for brief onboarding and simple operations to enhance customer satisfaction.</t>
  </si>
  <si>
    <t xml:space="preserve">https://www.vcbacked.co/company/caantin</t>
  </si>
  <si>
    <t xml:space="preserve">Tickitto</t>
  </si>
  <si>
    <t xml:space="preserve">Developer APIs</t>
  </si>
  <si>
    <t xml:space="preserve">Tickitto allows brands to grow revenue and build deeper relationships with their customers through access to the world's best events.</t>
  </si>
  <si>
    <t xml:space="preserve">$4.5M</t>
  </si>
  <si>
    <t xml:space="preserve">https://www.vcbacked.co/company/tickitto</t>
  </si>
  <si>
    <t xml:space="preserve">Looop</t>
  </si>
  <si>
    <t xml:space="preserve">Energy</t>
  </si>
  <si>
    <t xml:space="preserve">Loop is a renewable energy company specializing in power generation and supply, lowering costs by owning the entire value chain.</t>
  </si>
  <si>
    <t xml:space="preserve">Tokyo</t>
  </si>
  <si>
    <t xml:space="preserve">https://www.vcbacked.co/company/looop</t>
  </si>
  <si>
    <t xml:space="preserve">Evino</t>
  </si>
  <si>
    <t xml:space="preserve">E-Commerce</t>
  </si>
  <si>
    <t xml:space="preserve">Evino is a company provides online wine sales.</t>
  </si>
  <si>
    <t xml:space="preserve">https://www.vcbacked.co/company/evino</t>
  </si>
  <si>
    <t xml:space="preserve">Driven Education</t>
  </si>
  <si>
    <t xml:space="preserve">EdTech</t>
  </si>
  <si>
    <t xml:space="preserve">Driven Education is an edtech platform for high-potential youth with the goal of training the country's future technology leaders.</t>
  </si>
  <si>
    <t xml:space="preserve">Rio De Janeiro</t>
  </si>
  <si>
    <t xml:space="preserve">https://www.vcbacked.co/company/driven-education</t>
  </si>
  <si>
    <t xml:space="preserve">Suprevida</t>
  </si>
  <si>
    <t xml:space="preserve">Suprevida is an online platform for health products, articles, and professionals.</t>
  </si>
  <si>
    <t xml:space="preserve">https://www.vcbacked.co/company/suprevida</t>
  </si>
  <si>
    <t xml:space="preserve">kubo.financiero</t>
  </si>
  <si>
    <t xml:space="preserve">100% digital company focus on individuals, offering savings and term deposits, SME and consumer loans among other financial services.</t>
  </si>
  <si>
    <t xml:space="preserve">Mexico City</t>
  </si>
  <si>
    <t xml:space="preserve">https://www.vcbacked.co/company/kubofinanciero</t>
  </si>
  <si>
    <t xml:space="preserve">Apricity</t>
  </si>
  <si>
    <t xml:space="preserve">Apricity is the world's first at-home fertility clinic, powered by tech and AI. Less stress and more success</t>
  </si>
  <si>
    <t xml:space="preserve">$16.9M</t>
  </si>
  <si>
    <t xml:space="preserve">https://www.vcbacked.co/company/apricity</t>
  </si>
  <si>
    <t xml:space="preserve">Brown Toy Box Inc.</t>
  </si>
  <si>
    <t xml:space="preserve">Experiences Children</t>
  </si>
  <si>
    <t xml:space="preserve">Toys, Children's Books, Content,</t>
  </si>
  <si>
    <t xml:space="preserve">$900K</t>
  </si>
  <si>
    <t xml:space="preserve">https://www.vcbacked.co/company/brown-toy-box-inc</t>
  </si>
  <si>
    <t xml:space="preserve">SkyTL</t>
  </si>
  <si>
    <t xml:space="preserve">SkyTL is a consulting services company that provides superior engineering and technical services in air transportation systems.</t>
  </si>
  <si>
    <t xml:space="preserve">Tampa</t>
  </si>
  <si>
    <t xml:space="preserve">https://www.vcbacked.co/company/skytl</t>
  </si>
  <si>
    <t xml:space="preserve">InOrbit</t>
  </si>
  <si>
    <t xml:space="preserve">InOrbit is a cloud-based robot management platform to help robotics developers and operators scale their robot fleets.</t>
  </si>
  <si>
    <t xml:space="preserve">Mountain View</t>
  </si>
  <si>
    <t xml:space="preserve">https://www.vcbacked.co/company/inorbit</t>
  </si>
  <si>
    <t xml:space="preserve">Miren</t>
  </si>
  <si>
    <t xml:space="preserve">Financial Exchanges</t>
  </si>
  <si>
    <t xml:space="preserve">Miren is an end-to-end lending software company for community development financial institutions.</t>
  </si>
  <si>
    <t xml:space="preserve">$225K</t>
  </si>
  <si>
    <t xml:space="preserve">https://www.vcbacked.co/company/miren</t>
  </si>
  <si>
    <t xml:space="preserve">LifeTagger</t>
  </si>
  <si>
    <t xml:space="preserve">Augmented Reality</t>
  </si>
  <si>
    <t xml:space="preserve">Proximity based content sharing platform</t>
  </si>
  <si>
    <t xml:space="preserve">Charleston</t>
  </si>
  <si>
    <t xml:space="preserve">$250K</t>
  </si>
  <si>
    <t xml:space="preserve">https://www.vcbacked.co/company/lifetagger</t>
  </si>
  <si>
    <t xml:space="preserve">Numo ADHD</t>
  </si>
  <si>
    <t xml:space="preserve">Numo ADHD is a science-based app that supports adults with late-diagnosed ADHD.</t>
  </si>
  <si>
    <t xml:space="preserve">Wilmington</t>
  </si>
  <si>
    <t xml:space="preserve">$58K</t>
  </si>
  <si>
    <t xml:space="preserve">https://www.vcbacked.co/company/numo-adhd</t>
  </si>
  <si>
    <t xml:space="preserve">Freeing Returns</t>
  </si>
  <si>
    <t xml:space="preserve">Freeing Returns is a mobile phone app that offers users a unique way to return bought items to stores.</t>
  </si>
  <si>
    <t xml:space="preserve">https://www.vcbacked.co/company/freeing-returns</t>
  </si>
  <si>
    <t xml:space="preserve">Laine London</t>
  </si>
  <si>
    <t xml:space="preserve">Fashion</t>
  </si>
  <si>
    <t xml:space="preserve">Laine London is disrupting the traditional bridal retail model by offering tailored-to-you designer dress rentals.</t>
  </si>
  <si>
    <t xml:space="preserve">Chamblee</t>
  </si>
  <si>
    <t xml:space="preserve">$700K</t>
  </si>
  <si>
    <t xml:space="preserve">https://www.vcbacked.co/company/laine-london</t>
  </si>
  <si>
    <t xml:space="preserve">Crews by Core</t>
  </si>
  <si>
    <t xml:space="preserve">Construction</t>
  </si>
  <si>
    <t xml:space="preserve">Crews by Core works with construction to build powerful technology for strong teams.</t>
  </si>
  <si>
    <t xml:space="preserve">https://www.vcbacked.co/company/crews-by-core</t>
  </si>
  <si>
    <t xml:space="preserve">Declarando</t>
  </si>
  <si>
    <t xml:space="preserve">Declarando is a tax consultancy that helps the self-employed keep accounts, prepared invoices, and present taxes.</t>
  </si>
  <si>
    <t xml:space="preserve">Castellón De La Plana</t>
  </si>
  <si>
    <t xml:space="preserve">$541K</t>
  </si>
  <si>
    <t xml:space="preserve">https://www.vcbacked.co/company/declarando</t>
  </si>
  <si>
    <t xml:space="preserve">Cypherleak</t>
  </si>
  <si>
    <t xml:space="preserve">Cypherleak is a company that automates several parts of threat intelligence, information collecting, and reconnaissance.</t>
  </si>
  <si>
    <t xml:space="preserve">Newark</t>
  </si>
  <si>
    <t xml:space="preserve">Plug And Play</t>
  </si>
  <si>
    <t xml:space="preserve">https://www.vcbacked.co/company/cypherleak</t>
  </si>
  <si>
    <t xml:space="preserve">finally</t>
  </si>
  <si>
    <t xml:space="preserve">Accounting</t>
  </si>
  <si>
    <t xml:space="preserve">Finally is a fintech firm that assists small and medium-sized enterprises in automating their accounting and financial processes.</t>
  </si>
  <si>
    <t xml:space="preserve">$150.0M</t>
  </si>
  <si>
    <t xml:space="preserve">https://www.vcbacked.co/company/finally</t>
  </si>
  <si>
    <t xml:space="preserve">HearMe</t>
  </si>
  <si>
    <t xml:space="preserve">HearMe is a scalable social Rx solution for emotional and mental well-being. They deliver 24/7/365 on-demand peer support to members.</t>
  </si>
  <si>
    <t xml:space="preserve">$719K</t>
  </si>
  <si>
    <t xml:space="preserve">https://www.vcbacked.co/company/hearme</t>
  </si>
  <si>
    <t xml:space="preserve">Aladdin</t>
  </si>
  <si>
    <t xml:space="preserve">Aladdin is an open digital bank that provides savings accounts, loans, payments, money transfers, trading, and other financial services.</t>
  </si>
  <si>
    <t xml:space="preserve">Delaware</t>
  </si>
  <si>
    <t xml:space="preserve">$150K</t>
  </si>
  <si>
    <t xml:space="preserve">https://www.vcbacked.co/company/aladdin</t>
  </si>
  <si>
    <t xml:space="preserve">Edda</t>
  </si>
  <si>
    <t xml:space="preserve">Edda specializes in flow management solutions for business investors</t>
  </si>
  <si>
    <t xml:space="preserve">https://www.vcbacked.co/company/edda</t>
  </si>
  <si>
    <t xml:space="preserve">Gideon</t>
  </si>
  <si>
    <t xml:space="preserve">Gideon solves warehouse automation problems with physical AI-powered autonomous mobile robots.</t>
  </si>
  <si>
    <t xml:space="preserve">Bolingbrook</t>
  </si>
  <si>
    <t xml:space="preserve">https://www.vcbacked.co/company/gideon</t>
  </si>
  <si>
    <t xml:space="preserve">QuadFi</t>
  </si>
  <si>
    <t xml:space="preserve">QuadFi is a fintech firm providing underserved credit groups with fair and affordable loans.</t>
  </si>
  <si>
    <t xml:space="preserve">$20.0M</t>
  </si>
  <si>
    <t xml:space="preserve">https://www.vcbacked.co/company/quadfi</t>
  </si>
  <si>
    <t xml:space="preserve">Evitado Technologies</t>
  </si>
  <si>
    <t xml:space="preserve">Air Transportation</t>
  </si>
  <si>
    <t xml:space="preserve">Evitado Technologies focuses on automating airport operations by building an automation platform.</t>
  </si>
  <si>
    <t xml:space="preserve">https://www.vcbacked.co/company/evitado-technologies</t>
  </si>
  <si>
    <t xml:space="preserve">Syantra</t>
  </si>
  <si>
    <t xml:space="preserve">Syantra is a precision biotechnology company that transforms cancer detection and treatment.</t>
  </si>
  <si>
    <t xml:space="preserve">Calgary</t>
  </si>
  <si>
    <t xml:space="preserve">https://www.vcbacked.co/company/syantra</t>
  </si>
  <si>
    <t xml:space="preserve">PatientPartner</t>
  </si>
  <si>
    <t xml:space="preserve">PatientPartner is a digital health platform that focuses on enhancing the patient experience.</t>
  </si>
  <si>
    <t xml:space="preserve">San Diego</t>
  </si>
  <si>
    <t xml:space="preserve">https://www.vcbacked.co/company/patientpartner</t>
  </si>
  <si>
    <t xml:space="preserve">Worldover</t>
  </si>
  <si>
    <t xml:space="preserve">Marketing</t>
  </si>
  <si>
    <t xml:space="preserve">Worldover is software that enables the frictionless launch of physical products in all worldwide markets.</t>
  </si>
  <si>
    <t xml:space="preserve">$3.8M</t>
  </si>
  <si>
    <t xml:space="preserve">https://www.vcbacked.co/company/worldover</t>
  </si>
  <si>
    <t xml:space="preserve">Involve Space</t>
  </si>
  <si>
    <t xml:space="preserve">Involve Space provides solutions for space-based activities via a customizable and cost-effective stratospheric pseudo satellite.</t>
  </si>
  <si>
    <t xml:space="preserve">Lombardi</t>
  </si>
  <si>
    <t xml:space="preserve">https://www.vcbacked.co/company/involve-space</t>
  </si>
  <si>
    <t xml:space="preserve">Change Foods</t>
  </si>
  <si>
    <t xml:space="preserve">Change Foods is a food-tech company developing animal-free cheese and dairy products.</t>
  </si>
  <si>
    <t xml:space="preserve">https://www.vcbacked.co/company/change-foods</t>
  </si>
  <si>
    <t xml:space="preserve">RentnBuy</t>
  </si>
  <si>
    <t xml:space="preserve">Digital Signage</t>
  </si>
  <si>
    <t xml:space="preserve">RentnBuy is a digital platform that simplifies real estate transactions through a secure, accessible, and transparent digital ecosystem.</t>
  </si>
  <si>
    <t xml:space="preserve">Bucharest</t>
  </si>
  <si>
    <t xml:space="preserve">$645K</t>
  </si>
  <si>
    <t xml:space="preserve">https://www.vcbacked.co/company/rentnbuy</t>
  </si>
  <si>
    <t xml:space="preserve">SureBright</t>
  </si>
  <si>
    <t xml:space="preserve">Insurance</t>
  </si>
  <si>
    <t xml:space="preserve">SureBright is an insurance-as-a-Service platform that enables any company to embed insurance and warranty products on their website.</t>
  </si>
  <si>
    <t xml:space="preserve">https://www.vcbacked.co/company/surebright</t>
  </si>
  <si>
    <t xml:space="preserve">Apian</t>
  </si>
  <si>
    <t xml:space="preserve">Application Performance Management</t>
  </si>
  <si>
    <t xml:space="preserve">Apian is a provider of an API intended to integrate drones into the healthcare ecosystem.</t>
  </si>
  <si>
    <t xml:space="preserve">https://www.vcbacked.co/company/apian</t>
  </si>
  <si>
    <t xml:space="preserve">Trusli</t>
  </si>
  <si>
    <t xml:space="preserve">Trusli is an AI-powered budget-to-contract automation platform for enterprise users</t>
  </si>
  <si>
    <t xml:space="preserve">https://www.vcbacked.co/company/trusli</t>
  </si>
  <si>
    <t xml:space="preserve">Trackage</t>
  </si>
  <si>
    <t xml:space="preserve">Android</t>
  </si>
  <si>
    <t xml:space="preserve">Trackage is an information tech and services company that specializes in monitoring everything that offers monitoring solutions.</t>
  </si>
  <si>
    <t xml:space="preserve">Curitiba</t>
  </si>
  <si>
    <t xml:space="preserve">$1.1M</t>
  </si>
  <si>
    <t xml:space="preserve">https://www.vcbacked.co/company/trackage</t>
  </si>
  <si>
    <t xml:space="preserve">Peachscore</t>
  </si>
  <si>
    <t xml:space="preserve">Data-Driven Accelerator Big Data</t>
  </si>
  <si>
    <t xml:space="preserve">Y-Combinator for Everyone Else! World's Largest</t>
  </si>
  <si>
    <t xml:space="preserve">https://www.vcbacked.co/company/peachscore</t>
  </si>
  <si>
    <t xml:space="preserve">Sureify</t>
  </si>
  <si>
    <t xml:space="preserve">B2B</t>
  </si>
  <si>
    <t xml:space="preserve">Sureify is an industry leading SaaS platform for Life and Annuity companies.</t>
  </si>
  <si>
    <t xml:space="preserve">$15.0M</t>
  </si>
  <si>
    <t xml:space="preserve">https://www.vcbacked.co/company/sureify</t>
  </si>
  <si>
    <t xml:space="preserve">Drop</t>
  </si>
  <si>
    <t xml:space="preserve">Drop is a social commerce platform that allows brands to tap into their following, capture their audience and increase conversion.</t>
  </si>
  <si>
    <t xml:space="preserve">https://www.vcbacked.co/company/drop</t>
  </si>
  <si>
    <t xml:space="preserve">MiiCare</t>
  </si>
  <si>
    <t xml:space="preserve">The AI-Powered Digital Health Coach designed to keep older adults healthy, safe, and more connected to their loved ones</t>
  </si>
  <si>
    <t xml:space="preserve">https://www.vcbacked.co/company/miicare</t>
  </si>
  <si>
    <t xml:space="preserve">PoloTab</t>
  </si>
  <si>
    <t xml:space="preserve">PoloTab is a software company that develops POS and management solutions for LatAm restaurants and Coffee Shops.</t>
  </si>
  <si>
    <t xml:space="preserve">https://www.vcbacked.co/company/polotab</t>
  </si>
  <si>
    <t xml:space="preserve">Hotelverse</t>
  </si>
  <si>
    <t xml:space="preserve">Software</t>
  </si>
  <si>
    <t xml:space="preserve">Hotelverse allows customers search over hotels on their platform and book rooms as per their requirements.</t>
  </si>
  <si>
    <t xml:space="preserve">Palma De Mallorca</t>
  </si>
  <si>
    <t xml:space="preserve">https://www.vcbacked.co/company/hotelverse</t>
  </si>
  <si>
    <t xml:space="preserve">Good Agriculture</t>
  </si>
  <si>
    <t xml:space="preserve">Good Agriculture focuses on Supporting regenerative farmers with business services.</t>
  </si>
  <si>
    <t xml:space="preserve">Techstars</t>
  </si>
  <si>
    <t xml:space="preserve">https://www.vcbacked.co/company/good-agriculture</t>
  </si>
  <si>
    <t xml:space="preserve">OncoRevive</t>
  </si>
  <si>
    <t xml:space="preserve">OncoRevive helps in early cancer care by using nanotechnology and advanced blood analysis.</t>
  </si>
  <si>
    <t xml:space="preserve">Brunswick</t>
  </si>
  <si>
    <t xml:space="preserve">$119K</t>
  </si>
  <si>
    <t xml:space="preserve">https://www.vcbacked.co/company/oncorevive</t>
  </si>
  <si>
    <t xml:space="preserve">reOrbital</t>
  </si>
  <si>
    <t xml:space="preserve">Manufacturing</t>
  </si>
  <si>
    <t xml:space="preserve">reOrbital is the world's first mass microgravity manufacturer.</t>
  </si>
  <si>
    <t xml:space="preserve">https://www.vcbacked.co/company/reorbital</t>
  </si>
  <si>
    <t xml:space="preserve">Gophr App Inc.</t>
  </si>
  <si>
    <t xml:space="preserve">Gophr technology streamlines business logistics, and provides cost effective and reliable delivery services.</t>
  </si>
  <si>
    <t xml:space="preserve">Lake Charles</t>
  </si>
  <si>
    <t xml:space="preserve">$20K</t>
  </si>
  <si>
    <t xml:space="preserve">https://www.vcbacked.co/company/gophr-app-inc</t>
  </si>
  <si>
    <t xml:space="preserve">Our Leg Up</t>
  </si>
  <si>
    <t xml:space="preserve">Put your home equity to work and generate an additional income without any cash outlay.</t>
  </si>
  <si>
    <t xml:space="preserve">Melbourne</t>
  </si>
  <si>
    <t xml:space="preserve">https://www.vcbacked.co/company/our-leg-up</t>
  </si>
  <si>
    <t xml:space="preserve">Bundled</t>
  </si>
  <si>
    <t xml:space="preserve">Subscriptions E-Commerce</t>
  </si>
  <si>
    <t xml:space="preserve">Building the AI-Powered Costco of</t>
  </si>
  <si>
    <t xml:space="preserve">$220K</t>
  </si>
  <si>
    <t xml:space="preserve">https://www.vcbacked.co/company/bundled</t>
  </si>
  <si>
    <t xml:space="preserve">Grably</t>
  </si>
  <si>
    <t xml:space="preserve">Unlocking zettabytes of user-owned AI training data for dev teams.</t>
  </si>
  <si>
    <t xml:space="preserve">https://www.vcbacked.co/company/grably</t>
  </si>
  <si>
    <t xml:space="preserve">Monte Caldera</t>
  </si>
  <si>
    <t xml:space="preserve">Advanced Materials</t>
  </si>
  <si>
    <t xml:space="preserve">Monte Caldera is a data-driven scientific firm that offers consulting and molecular-level simulation services to a wide array of industries.</t>
  </si>
  <si>
    <t xml:space="preserve">https://www.vcbacked.co/company/monte-caldera</t>
  </si>
  <si>
    <t xml:space="preserve">GK TechMedia</t>
  </si>
  <si>
    <t xml:space="preserve">GK TechMedia provides tools and services focused on analyzing and understanding digital content. San Francisco</t>
  </si>
  <si>
    <t xml:space="preserve">$190K</t>
  </si>
  <si>
    <t xml:space="preserve">https://www.vcbacked.co/company/gk-techmedia</t>
  </si>
  <si>
    <t xml:space="preserve">Halion Displays</t>
  </si>
  <si>
    <t xml:space="preserve">Consumer Electronics</t>
  </si>
  <si>
    <t xml:space="preserve">Halion Displays building the display technology that Low power, daylight-visible displays enabling the next generation of devices.</t>
  </si>
  <si>
    <t xml:space="preserve">Kitchener</t>
  </si>
  <si>
    <t xml:space="preserve">https://www.vcbacked.co/company/halion-displays</t>
  </si>
  <si>
    <t xml:space="preserve">Homeppl</t>
  </si>
  <si>
    <t xml:space="preserve">Data Center</t>
  </si>
  <si>
    <t xml:space="preserve">We increase approvals for Risk &amp; Ops teams by adding fraud &amp; affordability analysis to their customer application process</t>
  </si>
  <si>
    <t xml:space="preserve">https://www.vcbacked.co/company/homeppl</t>
  </si>
  <si>
    <t xml:space="preserve">Swiftly</t>
  </si>
  <si>
    <t xml:space="preserve">We are the world's first AI and automated recruitment platform that searches and applies for jobs with the help of graph technology.</t>
  </si>
  <si>
    <t xml:space="preserve">$120K</t>
  </si>
  <si>
    <t xml:space="preserve">https://www.vcbacked.co/company/swiftly</t>
  </si>
  <si>
    <t xml:space="preserve">The GIST</t>
  </si>
  <si>
    <t xml:space="preserve">Sports</t>
  </si>
  <si>
    <t xml:space="preserve">The GIST is a media company that provides sports content, experiences, and community for women. e</t>
  </si>
  <si>
    <t xml:space="preserve">https://www.vcbacked.co/company/the-gist</t>
  </si>
  <si>
    <t xml:space="preserve">LabBox</t>
  </si>
  <si>
    <t xml:space="preserve">Hardware</t>
  </si>
  <si>
    <t xml:space="preserve">Labbox is a subscription service that delivers electronics kits (designed for kids) to inspire kids for engineering.</t>
  </si>
  <si>
    <t xml:space="preserve">Dover</t>
  </si>
  <si>
    <t xml:space="preserve">$486K</t>
  </si>
  <si>
    <t xml:space="preserve">https://www.vcbacked.co/company/labbox</t>
  </si>
  <si>
    <t xml:space="preserve">Clinify Health</t>
  </si>
  <si>
    <t xml:space="preserve">Clinify is a digital health company focused on providing financial stability for independent physician practices in underserved communities.</t>
  </si>
  <si>
    <t xml:space="preserve">https://www.vcbacked.co/company/clinify-health</t>
  </si>
  <si>
    <t xml:space="preserve">Infra Pilot AI</t>
  </si>
  <si>
    <t xml:space="preserve">Autonomous Infrastructure Operations for the Modern Enterprise. New York</t>
  </si>
  <si>
    <t xml:space="preserve">https://www.vcbacked.co/company/infra-pilot-ai</t>
  </si>
  <si>
    <t xml:space="preserve">Delov Technologies</t>
  </si>
  <si>
    <t xml:space="preserve">Messaging</t>
  </si>
  <si>
    <t xml:space="preserve">Delov Technologies specializes in website development, mobile app, consulting, and digital marketing services.</t>
  </si>
  <si>
    <t xml:space="preserve">https://www.vcbacked.co/company/delov-technologies</t>
  </si>
  <si>
    <t xml:space="preserve">Paid</t>
  </si>
  <si>
    <t xml:space="preserve">Next-generation procurement automation platform on a mission to create equal opportunity for businesses of all sizes.</t>
  </si>
  <si>
    <t xml:space="preserve">Darlington</t>
  </si>
  <si>
    <t xml:space="preserve">https://www.vcbacked.co/company/paid</t>
  </si>
  <si>
    <t xml:space="preserve">Marli Technology Solutions</t>
  </si>
  <si>
    <t xml:space="preserve">Marli develops technologies that makes taking climate action simple</t>
  </si>
  <si>
    <t xml:space="preserve">$130K</t>
  </si>
  <si>
    <t xml:space="preserve">https://www.vcbacked.co/company/marli-technology-solutions</t>
  </si>
  <si>
    <t xml:space="preserve">Axovian</t>
  </si>
  <si>
    <t xml:space="preserve">Multiple AI Agents. One Intelligent Decision.</t>
  </si>
  <si>
    <t xml:space="preserve">$126K</t>
  </si>
  <si>
    <t xml:space="preserve">https://www.vcbacked.co/company/axovian</t>
  </si>
  <si>
    <t xml:space="preserve">Datazenoes</t>
  </si>
  <si>
    <t xml:space="preserve">Discover. Connect. Evolve Intelligence."</t>
  </si>
  <si>
    <t xml:space="preserve">$124K</t>
  </si>
  <si>
    <t xml:space="preserve">https://www.vcbacked.co/company/datazenoes</t>
  </si>
  <si>
    <t xml:space="preserve">Y Combinator portfolio — data provenance (read before demoing)</t>
  </si>
  <si>
    <t xml:space="preserve">PORTFOLIO: 250 real Y Combinator portfolio companies x 4 quarterly snapshots = 1000 rows.</t>
  </si>
  <si>
    <t xml:space="preserve">Snapshots: 2025-Q4, 2026-Q1, 2026-Q2, 2026-Q3 (long format — one row per company per quarter).</t>
  </si>
  <si>
    <t xml:space="preserve">CANDIDATE UNIVERSE: 192 real companies from other investors' portfolios, zero simulation.</t>
  </si>
  <si>
    <t xml:space="preserve">REAL vs SIMULATED — this workbook pairs REAL company identities with SIMULATED internal metrics.</t>
  </si>
  <si>
    <t xml:space="preserve">The split is labelled everywhere; no synthetic number is presented as real data.</t>
  </si>
  <si>
    <t xml:space="preserve">WHY SIMULATE: ARR, NRR, CAC, burn, runway, ownership % and pre/post-money valuations are not publicly</t>
  </si>
  <si>
    <t xml:space="preserve">disclosed for private companies and are not available from any free source. Even PitchBook covers only</t>
  </si>
  <si>
    <t xml:space="preserve">rounds, estimated valuations and headcount. Simulating on top of real companies is the honest way to demo</t>
  </si>
  <si>
    <t xml:space="preserve">a tool whose real users upload their own numbers.</t>
  </si>
  <si>
    <t xml:space="preserve">HEADER COLOUR KEY:  GREEN = real (vcbacked.co public listing)   ORANGE = simulated</t>
  </si>
  <si>
    <t xml:space="preserve">CELL FONT KEY:      BLUE text = hardcoded input                 BLACK text = live Excel formula</t>
  </si>
  <si>
    <t xml:space="preserve">REAL FIELDS: Company Name, Headquarters, Current Company Stage, Investment Round, Investment Date,</t>
  </si>
  <si>
    <t xml:space="preserve">Investment Amount (where the public listing reported a figure), Industry (where the listing reported one).</t>
  </si>
  <si>
    <t xml:space="preserve">ALSO REAL for this portfolio: Founders, Employee Count (latest quarter), and Exit / IPO Status — the YC source lists real founder names, team sizes and company status.</t>
  </si>
  <si>
    <t xml:space="preserve">COLUMNS REMOVED from the requested schema because no data exists for them here: Industry, Other Investors.</t>
  </si>
  <si>
    <t xml:space="preserve">'Other Investors' is dropped from every portfolio: a real firm's co-investors are attributable facts, and</t>
  </si>
  <si>
    <t xml:space="preserve">fabricating them would misrepresent identifiable firms. Add these columns back if you later source them.</t>
  </si>
  <si>
    <t xml:space="preserve">TIME SERIES: the latest quarter is generated first, then earlier quarters are back-cast using each</t>
  </si>
  <si>
    <t xml:space="preserve">company's growth rate. Declining companies therefore show shrinking ARR/headcount and falling runway as</t>
  </si>
  <si>
    <t xml:space="preserve">you read down; accelerating ones show the reverse. Deal-term fields (Investment Date/Round/Amount,</t>
  </si>
  <si>
    <t xml:space="preserve">Pre/Post-Money, Ownership, Dilution) are as-of-investment and correctly stay constant across snapshots.</t>
  </si>
  <si>
    <t xml:space="preserve">GROWTH COLUMNS ARE QUARTER-OVER-QUARTER FORMULAS referencing the prior snapshot row:</t>
  </si>
  <si>
    <t xml:space="preserve">Revenue Growth, ARR Growth, Customer Growth, Employee Growth, User Growth. They are blank in the first</t>
  </si>
  <si>
    <t xml:space="preserve">snapshot (2025-Q4) because there is no prior quarter — that row's Health Flag reads BASELINE.</t>
  </si>
  <si>
    <t xml:space="preserve">OTHER DERIVED METRICS ARE ALSO LIVE FORMULAS, so the arithmetic survives a spot-check:</t>
  </si>
  <si>
    <t xml:space="preserve">Gross Margin = Gross Profit / Revenue · Runway = Cash / Monthly Burn · LTV = ACV x Gross Margin x</t>
  </si>
  <si>
    <t xml:space="preserve">MIN(1/Churn, 5) · LTV:CAC = LTV / CAC · CAC Payback = CAC / (ACV x GM / 12) · Post-Money = Pre-Money +</t>
  </si>
  <si>
    <t xml:space="preserve">Investment · Ownership % = Investment / Post-Money · Revenue/Employee = Revenue / Employee Count ·</t>
  </si>
  <si>
    <t xml:space="preserve">GRR = 1 - Revenue Churn · Dilution = 1 - Pre-Money / Post-Money · EBITDA = Gross Profit - OpEx.</t>
  </si>
  <si>
    <t xml:space="preserve">OpEx is always set above Gross Profit, so EBITDA is negative — correct for venture-stage companies.</t>
  </si>
  <si>
    <t xml:space="preserve">STAGE CONDITIONING: every metric is drawn from a distribution keyed to the company's REAL funding stage,</t>
  </si>
  <si>
    <t xml:space="preserve">so a Pre-Seed company cannot show $40M ARR or 200 employees.</t>
  </si>
  <si>
    <t xml:space="preserve">PLANTED SIGNALS (so the tool has something to actually recommend): 42 companies are</t>
  </si>
  <si>
    <t xml:space="preserve">deliberately TROUBLED — flat-to-negative ARR growth, NRR below 90%, under 5 months runway, elevated</t>
  </si>
  <si>
    <t xml:space="preserve">churn, LTV:CAC below 1, shrinking headcount, missed budget. 30 are deliberate STARS — fast ARR</t>
  </si>
  <si>
    <t xml:space="preserve">growth, NRR above 120%, low churn, fast hiring. The rest sit in a normal middle band.</t>
  </si>
  <si>
    <t xml:space="preserve">HEALTH FLAG is a live formula (REVIEW / ACCELERATING / STABLE / BASELINE) so the rule-based logic is</t>
  </si>
  <si>
    <t xml:space="preserve">visible rather than hardcoded — useful as a baseline to compare your LLM's judgement against.</t>
  </si>
  <si>
    <t xml:space="preserve">random.seed is fixed per portfolio, so every file regenerates identically.</t>
  </si>
  <si>
    <t xml:space="preserve">SUGGESTED DEMO FRAMING: "Real portfolio companies, with internal metrics simulated because</t>
  </si>
  <si>
    <t xml:space="preserve">private-company financials aren't public — a real VC user uploads their own." Saying this up front reads</t>
  </si>
  <si>
    <t xml:space="preserve">as rigour. Leaving it unsaid and getting asked is the only version of this that hurts you.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</si>
</sst>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0.0"/>
    <numFmt numFmtId="168" formatCode="#,##0"/>
    <numFmt numFmtId="169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0B4"/>
        <bgColor rgb="FFBFBFBF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9" min="8" style="0" width="16"/>
    <col collapsed="false" customWidth="true" hidden="false" outlineLevel="0" max="45" min="10" style="0" width="15"/>
    <col collapsed="false" customWidth="true" hidden="false" outlineLevel="0" max="46" min="46" style="0" width="32"/>
    <col collapsed="false" customWidth="true" hidden="false" outlineLevel="0" max="53" min="47" style="0" width="15"/>
    <col collapsed="false" customWidth="true" hidden="false" outlineLevel="0" max="54" min="54" style="0" width="26"/>
    <col collapsed="false" customWidth="true" hidden="false" outlineLevel="0" max="55" min="55" style="0" width="36"/>
    <col collapsed="false" customWidth="true" hidden="false" outlineLevel="0" max="56" min="56" style="0" width="30"/>
    <col collapsed="false" customWidth="true" hidden="false" outlineLevel="0" max="62" min="57" style="0" width="15"/>
    <col collapsed="false" customWidth="true" hidden="false" outlineLevel="0" max="63" min="63" style="0" width="44"/>
    <col collapsed="false" customWidth="true" hidden="false" outlineLevel="0" max="64" min="64" style="0" width="40"/>
    <col collapsed="false" customWidth="true" hidden="false" outlineLevel="0" max="65" min="65" style="0" width="15"/>
    <col collapsed="false" customWidth="true" hidden="false" outlineLevel="0" max="66" min="66" style="0" width="34"/>
    <col collapsed="false" customWidth="true" hidden="false" outlineLevel="0" max="67" min="67" style="0" width="15"/>
    <col collapsed="false" customWidth="true" hidden="false" outlineLevel="0" max="68" min="68" style="0" width="28"/>
    <col collapsed="false" customWidth="true" hidden="false" outlineLevel="0" max="69" min="69" style="0" width="15"/>
    <col collapsed="false" customWidth="true" hidden="false" outlineLevel="0" max="70" min="70" style="0" width="30"/>
    <col collapsed="false" customWidth="true" hidden="false" outlineLevel="0" max="71" min="71" style="0" width="56"/>
    <col collapsed="false" customWidth="true" hidden="false" outlineLevel="0" max="72" min="72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1" t="s">
        <v>70</v>
      </c>
      <c r="BT1" s="2" t="s">
        <v>71</v>
      </c>
    </row>
    <row r="2" customFormat="false" ht="15" hidden="false" customHeight="false" outlineLevel="0" collapsed="false">
      <c r="A2" s="3" t="s">
        <v>72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78</v>
      </c>
      <c r="J2" s="4" t="n">
        <v>3532000</v>
      </c>
      <c r="K2" s="5" t="n">
        <f aca="false">IFERROR(J2/M2,"")</f>
        <v>0.136888613285792</v>
      </c>
      <c r="L2" s="4" t="n">
        <v>22270000</v>
      </c>
      <c r="M2" s="6" t="n">
        <f aca="false">L2+J2</f>
        <v>25802000</v>
      </c>
      <c r="N2" s="4" t="n">
        <v>6004000</v>
      </c>
      <c r="O2" s="4" t="n">
        <v>48601855</v>
      </c>
      <c r="P2" s="4" t="n">
        <v>130430</v>
      </c>
      <c r="Q2" s="7"/>
      <c r="R2" s="4" t="n">
        <v>162948</v>
      </c>
      <c r="S2" s="7"/>
      <c r="T2" s="4" t="n">
        <v>91710</v>
      </c>
      <c r="U2" s="5" t="n">
        <f aca="false">IFERROR(T2/P2,"")</f>
        <v>0.703135781645327</v>
      </c>
      <c r="V2" s="6" t="n">
        <f aca="false">T2-AV2</f>
        <v>-1683637</v>
      </c>
      <c r="W2" s="6" t="n">
        <f aca="false">V2-AA2*0.1</f>
        <v>-1683637</v>
      </c>
      <c r="X2" s="4" t="n">
        <v>4956618</v>
      </c>
      <c r="Y2" s="4" t="n">
        <v>143780</v>
      </c>
      <c r="Z2" s="8" t="n">
        <f aca="false">IFERROR(X2/Y2,"")</f>
        <v>34.4736263736264</v>
      </c>
      <c r="AA2" s="4" t="n">
        <v>0</v>
      </c>
      <c r="AB2" s="6" t="n">
        <f aca="false">W2-0.02*P2</f>
        <v>-1686245.6</v>
      </c>
      <c r="AC2" s="9" t="n">
        <v>17</v>
      </c>
      <c r="AD2" s="7"/>
      <c r="AE2" s="7" t="n">
        <v>0.075</v>
      </c>
      <c r="AF2" s="7" t="n">
        <v>0.06</v>
      </c>
      <c r="AG2" s="5" t="n">
        <f aca="false">1-AF2</f>
        <v>0.94</v>
      </c>
      <c r="AH2" s="7" t="n">
        <v>1.186</v>
      </c>
      <c r="AI2" s="4" t="n">
        <v>57346</v>
      </c>
      <c r="AJ2" s="6" t="n">
        <f aca="false">IFERROR(AM2*U2*MIN(1/AE2,5),"")</f>
        <v>172268.266503105</v>
      </c>
      <c r="AK2" s="10" t="n">
        <f aca="false">IFERROR(AJ2/AI2,"")</f>
        <v>3.0040153890961</v>
      </c>
      <c r="AL2" s="8" t="n">
        <f aca="false">IFERROR(AI2/(AM2*U2/12),"")</f>
        <v>19.9732665211325</v>
      </c>
      <c r="AM2" s="4" t="n">
        <v>49000</v>
      </c>
      <c r="AN2" s="4" t="n">
        <v>170528</v>
      </c>
      <c r="AO2" s="4" t="n">
        <v>523247</v>
      </c>
      <c r="AP2" s="7" t="n">
        <v>0.354</v>
      </c>
      <c r="AQ2" s="9" t="n">
        <v>89</v>
      </c>
      <c r="AR2" s="9" t="n">
        <v>14</v>
      </c>
      <c r="AS2" s="7"/>
      <c r="AT2" s="3" t="s">
        <v>80</v>
      </c>
      <c r="AU2" s="6" t="n">
        <f aca="false">IFERROR(P2/AR2,"")</f>
        <v>9316.42857142857</v>
      </c>
      <c r="AV2" s="4" t="n">
        <v>1775347</v>
      </c>
      <c r="AW2" s="4" t="n">
        <v>646358</v>
      </c>
      <c r="AX2" s="4" t="n">
        <v>558660</v>
      </c>
      <c r="AY2" s="9" t="n">
        <v>12774</v>
      </c>
      <c r="AZ2" s="7"/>
      <c r="BA2" s="7" t="n">
        <v>0.933</v>
      </c>
      <c r="BB2" s="3" t="s">
        <v>81</v>
      </c>
      <c r="BC2" s="3" t="s">
        <v>82</v>
      </c>
      <c r="BD2" s="3" t="s">
        <v>83</v>
      </c>
      <c r="BE2" s="4" t="n">
        <v>130675</v>
      </c>
      <c r="BF2" s="5" t="n">
        <f aca="false">IFERROR(P2/BE2-1,"")</f>
        <v>-0.00187488042854411</v>
      </c>
      <c r="BG2" s="7" t="n">
        <v>0.015</v>
      </c>
      <c r="BH2" s="7" t="n">
        <v>-0.07</v>
      </c>
      <c r="BI2" s="6" t="n">
        <f aca="false">P2</f>
        <v>130430</v>
      </c>
      <c r="BJ2" s="4" t="n">
        <v>-981013</v>
      </c>
      <c r="BK2" s="3" t="s">
        <v>84</v>
      </c>
      <c r="BL2" s="3" t="s">
        <v>85</v>
      </c>
      <c r="BM2" s="6" t="n">
        <f aca="false">O2</f>
        <v>48601855</v>
      </c>
      <c r="BN2" s="3" t="s">
        <v>86</v>
      </c>
      <c r="BO2" s="5" t="n">
        <f aca="false">IFERROR(1-L2/M2,"")</f>
        <v>0.136888613285792</v>
      </c>
      <c r="BP2" s="3" t="s">
        <v>87</v>
      </c>
      <c r="BQ2" s="4" t="n">
        <v>2805687</v>
      </c>
      <c r="BR2" s="3" t="s">
        <v>88</v>
      </c>
      <c r="BS2" s="3" t="s">
        <v>89</v>
      </c>
      <c r="BT2" s="3" t="s">
        <v>90</v>
      </c>
    </row>
    <row r="3" customFormat="false" ht="15" hidden="false" customHeight="false" outlineLevel="0" collapsed="false">
      <c r="A3" s="11" t="s">
        <v>72</v>
      </c>
      <c r="B3" s="11" t="s">
        <v>91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78</v>
      </c>
      <c r="H3" s="11" t="s">
        <v>79</v>
      </c>
      <c r="I3" s="11" t="s">
        <v>78</v>
      </c>
      <c r="J3" s="12" t="n">
        <v>3532000</v>
      </c>
      <c r="K3" s="13" t="n">
        <f aca="false">IFERROR(J3/M3,"")</f>
        <v>0.136888613285792</v>
      </c>
      <c r="L3" s="12" t="n">
        <v>22270000</v>
      </c>
      <c r="M3" s="14" t="n">
        <f aca="false">L3+J3</f>
        <v>25802000</v>
      </c>
      <c r="N3" s="12" t="n">
        <v>6004000</v>
      </c>
      <c r="O3" s="12" t="n">
        <v>48601855</v>
      </c>
      <c r="P3" s="12" t="n">
        <v>154642</v>
      </c>
      <c r="Q3" s="13" t="n">
        <f aca="false">IFERROR(P3/P2-1,"")</f>
        <v>0.185632139845128</v>
      </c>
      <c r="R3" s="12" t="n">
        <v>207991</v>
      </c>
      <c r="S3" s="13" t="n">
        <f aca="false">IFERROR(R3/R2-1,"")</f>
        <v>0.276425608169477</v>
      </c>
      <c r="T3" s="12" t="n">
        <v>109175</v>
      </c>
      <c r="U3" s="13" t="n">
        <f aca="false">IFERROR(T3/P3,"")</f>
        <v>0.705985437332678</v>
      </c>
      <c r="V3" s="14" t="n">
        <f aca="false">T3-AV3</f>
        <v>-1877644</v>
      </c>
      <c r="W3" s="14" t="n">
        <f aca="false">V3-AA3*0.1</f>
        <v>-1877644</v>
      </c>
      <c r="X3" s="12" t="n">
        <v>4594008</v>
      </c>
      <c r="Y3" s="12" t="n">
        <v>148520</v>
      </c>
      <c r="Z3" s="15" t="n">
        <f aca="false">IFERROR(X3/Y3,"")</f>
        <v>30.931914893617</v>
      </c>
      <c r="AA3" s="12" t="n">
        <v>0</v>
      </c>
      <c r="AB3" s="14" t="n">
        <f aca="false">W3-0.02*P3</f>
        <v>-1880736.84</v>
      </c>
      <c r="AC3" s="16" t="n">
        <v>19</v>
      </c>
      <c r="AD3" s="13" t="n">
        <f aca="false">IFERROR(AC3/AC2-1,"")</f>
        <v>0.117647058823529</v>
      </c>
      <c r="AE3" s="17" t="n">
        <v>0.073</v>
      </c>
      <c r="AF3" s="17" t="n">
        <v>0.072</v>
      </c>
      <c r="AG3" s="13" t="n">
        <f aca="false">1-AF3</f>
        <v>0.928</v>
      </c>
      <c r="AH3" s="17" t="n">
        <v>1.181</v>
      </c>
      <c r="AI3" s="12" t="n">
        <v>56264</v>
      </c>
      <c r="AJ3" s="14" t="n">
        <f aca="false">IFERROR(AM3*U3*MIN(1/AE3,5),"")</f>
        <v>176425.760789436</v>
      </c>
      <c r="AK3" s="18" t="n">
        <f aca="false">IFERROR(AJ3/AI3,"")</f>
        <v>3.13567753429255</v>
      </c>
      <c r="AL3" s="15" t="n">
        <f aca="false">IFERROR(AI3/(AM3*U3/12),"")</f>
        <v>19.1346206182954</v>
      </c>
      <c r="AM3" s="12" t="n">
        <v>49980</v>
      </c>
      <c r="AN3" s="12" t="n">
        <v>258039</v>
      </c>
      <c r="AO3" s="12" t="n">
        <v>672981</v>
      </c>
      <c r="AP3" s="17" t="n">
        <v>0.354</v>
      </c>
      <c r="AQ3" s="16" t="n">
        <v>89</v>
      </c>
      <c r="AR3" s="16" t="n">
        <v>16</v>
      </c>
      <c r="AS3" s="13" t="n">
        <f aca="false">IFERROR(AR3/AR2-1,"")</f>
        <v>0.142857142857143</v>
      </c>
      <c r="AT3" s="11" t="s">
        <v>80</v>
      </c>
      <c r="AU3" s="14" t="n">
        <f aca="false">IFERROR(P3/AR3,"")</f>
        <v>9665.125</v>
      </c>
      <c r="AV3" s="12" t="n">
        <v>1986819</v>
      </c>
      <c r="AW3" s="12" t="n">
        <v>935148</v>
      </c>
      <c r="AX3" s="12" t="n">
        <v>460818</v>
      </c>
      <c r="AY3" s="16" t="n">
        <v>15312</v>
      </c>
      <c r="AZ3" s="13" t="n">
        <f aca="false">IFERROR(AY3/AY2-1,"")</f>
        <v>0.198684828558009</v>
      </c>
      <c r="BA3" s="17" t="n">
        <v>0.932</v>
      </c>
      <c r="BB3" s="11" t="s">
        <v>81</v>
      </c>
      <c r="BC3" s="11" t="s">
        <v>82</v>
      </c>
      <c r="BD3" s="11" t="s">
        <v>83</v>
      </c>
      <c r="BE3" s="12" t="n">
        <v>182558</v>
      </c>
      <c r="BF3" s="13" t="n">
        <f aca="false">IFERROR(P3/BE3-1,"")</f>
        <v>-0.152915785668116</v>
      </c>
      <c r="BG3" s="17" t="n">
        <v>0.089</v>
      </c>
      <c r="BH3" s="17" t="n">
        <v>-0.011</v>
      </c>
      <c r="BI3" s="14" t="n">
        <f aca="false">P3*(1+IFERROR(Q3,0))^4</f>
        <v>305581.678479354</v>
      </c>
      <c r="BJ3" s="12" t="n">
        <v>-1375318</v>
      </c>
      <c r="BK3" s="11" t="s">
        <v>84</v>
      </c>
      <c r="BL3" s="11" t="s">
        <v>85</v>
      </c>
      <c r="BM3" s="14" t="n">
        <f aca="false">O3</f>
        <v>48601855</v>
      </c>
      <c r="BN3" s="11" t="s">
        <v>86</v>
      </c>
      <c r="BO3" s="13" t="n">
        <f aca="false">IFERROR(1-L3/M3,"")</f>
        <v>0.136888613285792</v>
      </c>
      <c r="BP3" s="11" t="s">
        <v>87</v>
      </c>
      <c r="BQ3" s="12" t="n">
        <v>2587409</v>
      </c>
      <c r="BR3" s="11" t="s">
        <v>88</v>
      </c>
      <c r="BS3" s="11" t="s">
        <v>89</v>
      </c>
      <c r="BT3" s="19" t="str">
        <f aca="false">IF(OR(Z3&lt;6,AH3&lt;0.9,S3&lt;0.02,AK3&lt;1),"REVIEW",IF(AND(S3&gt;0.25,AH3&gt;1.2),"ACCELERATING","STABLE"))</f>
        <v>STABLE</v>
      </c>
    </row>
    <row r="4" customFormat="false" ht="15" hidden="false" customHeight="false" outlineLevel="0" collapsed="false">
      <c r="A4" s="11" t="s">
        <v>72</v>
      </c>
      <c r="B4" s="11" t="s">
        <v>92</v>
      </c>
      <c r="C4" s="11" t="s">
        <v>74</v>
      </c>
      <c r="D4" s="11" t="s">
        <v>75</v>
      </c>
      <c r="E4" s="11" t="s">
        <v>76</v>
      </c>
      <c r="F4" s="11" t="s">
        <v>77</v>
      </c>
      <c r="G4" s="11" t="s">
        <v>78</v>
      </c>
      <c r="H4" s="11" t="s">
        <v>79</v>
      </c>
      <c r="I4" s="11" t="s">
        <v>78</v>
      </c>
      <c r="J4" s="12" t="n">
        <v>3532000</v>
      </c>
      <c r="K4" s="13" t="n">
        <f aca="false">IFERROR(J4/M4,"")</f>
        <v>0.136888613285792</v>
      </c>
      <c r="L4" s="12" t="n">
        <v>22270000</v>
      </c>
      <c r="M4" s="14" t="n">
        <f aca="false">L4+J4</f>
        <v>25802000</v>
      </c>
      <c r="N4" s="12" t="n">
        <v>6004000</v>
      </c>
      <c r="O4" s="12" t="n">
        <v>48601855</v>
      </c>
      <c r="P4" s="12" t="n">
        <v>196723</v>
      </c>
      <c r="Q4" s="13" t="n">
        <f aca="false">IFERROR(P4/P3-1,"")</f>
        <v>0.272118829296051</v>
      </c>
      <c r="R4" s="12" t="n">
        <v>244260</v>
      </c>
      <c r="S4" s="13" t="n">
        <f aca="false">IFERROR(R4/R3-1,"")</f>
        <v>0.174377737498257</v>
      </c>
      <c r="T4" s="12" t="n">
        <v>139444</v>
      </c>
      <c r="U4" s="13" t="n">
        <f aca="false">IFERROR(T4/P4,"")</f>
        <v>0.708834249172695</v>
      </c>
      <c r="V4" s="14" t="n">
        <f aca="false">T4-AV4</f>
        <v>-1794942</v>
      </c>
      <c r="W4" s="14" t="n">
        <f aca="false">V4-AA4*0.1</f>
        <v>-1794942</v>
      </c>
      <c r="X4" s="12" t="n">
        <v>4205802</v>
      </c>
      <c r="Y4" s="12" t="n">
        <v>153260</v>
      </c>
      <c r="Z4" s="15" t="n">
        <f aca="false">IFERROR(X4/Y4,"")</f>
        <v>27.4422680412371</v>
      </c>
      <c r="AA4" s="12" t="n">
        <v>0</v>
      </c>
      <c r="AB4" s="14" t="n">
        <f aca="false">W4-0.02*P4</f>
        <v>-1798876.46</v>
      </c>
      <c r="AC4" s="16" t="n">
        <v>22</v>
      </c>
      <c r="AD4" s="13" t="n">
        <f aca="false">IFERROR(AC4/AC3-1,"")</f>
        <v>0.157894736842105</v>
      </c>
      <c r="AE4" s="17" t="n">
        <v>0.071</v>
      </c>
      <c r="AF4" s="17" t="n">
        <v>0.059</v>
      </c>
      <c r="AG4" s="13" t="n">
        <f aca="false">1-AF4</f>
        <v>0.941</v>
      </c>
      <c r="AH4" s="17" t="n">
        <v>1.176</v>
      </c>
      <c r="AI4" s="12" t="n">
        <v>55182</v>
      </c>
      <c r="AJ4" s="14" t="n">
        <f aca="false">IFERROR(AM4*U4*MIN(1/AE4,5),"")</f>
        <v>180610.966689203</v>
      </c>
      <c r="AK4" s="18" t="n">
        <f aca="false">IFERROR(AJ4/AI4,"")</f>
        <v>3.273005086608</v>
      </c>
      <c r="AL4" s="15" t="n">
        <f aca="false">IFERROR(AI4/(AM4*U4/12),"")</f>
        <v>18.3317771932281</v>
      </c>
      <c r="AM4" s="12" t="n">
        <v>50960</v>
      </c>
      <c r="AN4" s="12" t="n">
        <v>281342</v>
      </c>
      <c r="AO4" s="12" t="n">
        <v>544593</v>
      </c>
      <c r="AP4" s="17" t="n">
        <v>0.354</v>
      </c>
      <c r="AQ4" s="16" t="n">
        <v>89</v>
      </c>
      <c r="AR4" s="16" t="n">
        <v>17</v>
      </c>
      <c r="AS4" s="13" t="n">
        <f aca="false">IFERROR(AR4/AR3-1,"")</f>
        <v>0.0625</v>
      </c>
      <c r="AT4" s="11" t="s">
        <v>80</v>
      </c>
      <c r="AU4" s="14" t="n">
        <f aca="false">IFERROR(P4/AR4,"")</f>
        <v>11571.9411764706</v>
      </c>
      <c r="AV4" s="12" t="n">
        <v>1934386</v>
      </c>
      <c r="AW4" s="12" t="n">
        <v>911168</v>
      </c>
      <c r="AX4" s="12" t="n">
        <v>457782</v>
      </c>
      <c r="AY4" s="16" t="n">
        <v>17770</v>
      </c>
      <c r="AZ4" s="13" t="n">
        <f aca="false">IFERROR(AY4/AY3-1,"")</f>
        <v>0.160527690700105</v>
      </c>
      <c r="BA4" s="17" t="n">
        <v>0.945</v>
      </c>
      <c r="BB4" s="11" t="s">
        <v>81</v>
      </c>
      <c r="BC4" s="11" t="s">
        <v>82</v>
      </c>
      <c r="BD4" s="11" t="s">
        <v>83</v>
      </c>
      <c r="BE4" s="12" t="n">
        <v>238602</v>
      </c>
      <c r="BF4" s="13" t="n">
        <f aca="false">IFERROR(P4/BE4-1,"")</f>
        <v>-0.175518227005641</v>
      </c>
      <c r="BG4" s="17" t="n">
        <v>-0.004</v>
      </c>
      <c r="BH4" s="17" t="n">
        <v>0.077</v>
      </c>
      <c r="BI4" s="14" t="n">
        <f aca="false">P4*(1+IFERROR(Q4,0))^4</f>
        <v>515188.14659677</v>
      </c>
      <c r="BJ4" s="12" t="n">
        <v>-1135017</v>
      </c>
      <c r="BK4" s="11" t="s">
        <v>84</v>
      </c>
      <c r="BL4" s="11" t="s">
        <v>85</v>
      </c>
      <c r="BM4" s="14" t="n">
        <f aca="false">O4</f>
        <v>48601855</v>
      </c>
      <c r="BN4" s="11" t="s">
        <v>86</v>
      </c>
      <c r="BO4" s="13" t="n">
        <f aca="false">IFERROR(1-L4/M4,"")</f>
        <v>0.136888613285792</v>
      </c>
      <c r="BP4" s="11" t="s">
        <v>87</v>
      </c>
      <c r="BQ4" s="12" t="n">
        <v>2199581</v>
      </c>
      <c r="BR4" s="11" t="s">
        <v>88</v>
      </c>
      <c r="BS4" s="11" t="s">
        <v>89</v>
      </c>
      <c r="BT4" s="19" t="str">
        <f aca="false">IF(OR(Z4&lt;6,AH4&lt;0.9,S4&lt;0.02,AK4&lt;1),"REVIEW",IF(AND(S4&gt;0.25,AH4&gt;1.2),"ACCELERATING","STABLE"))</f>
        <v>STABLE</v>
      </c>
    </row>
    <row r="5" customFormat="false" ht="15" hidden="false" customHeight="false" outlineLevel="0" collapsed="false">
      <c r="A5" s="11" t="s">
        <v>72</v>
      </c>
      <c r="B5" s="11" t="s">
        <v>93</v>
      </c>
      <c r="C5" s="11" t="s">
        <v>74</v>
      </c>
      <c r="D5" s="11" t="s">
        <v>75</v>
      </c>
      <c r="E5" s="11" t="s">
        <v>76</v>
      </c>
      <c r="F5" s="11" t="s">
        <v>77</v>
      </c>
      <c r="G5" s="11" t="s">
        <v>78</v>
      </c>
      <c r="H5" s="11" t="s">
        <v>79</v>
      </c>
      <c r="I5" s="11" t="s">
        <v>78</v>
      </c>
      <c r="J5" s="12" t="n">
        <v>3532000</v>
      </c>
      <c r="K5" s="13" t="n">
        <f aca="false">IFERROR(J5/M5,"")</f>
        <v>0.136888613285792</v>
      </c>
      <c r="L5" s="12" t="n">
        <v>22270000</v>
      </c>
      <c r="M5" s="14" t="n">
        <f aca="false">L5+J5</f>
        <v>25802000</v>
      </c>
      <c r="N5" s="12" t="n">
        <v>6004000</v>
      </c>
      <c r="O5" s="12" t="n">
        <v>48601855</v>
      </c>
      <c r="P5" s="12" t="n">
        <v>246148</v>
      </c>
      <c r="Q5" s="13" t="n">
        <f aca="false">IFERROR(P5/P4-1,"")</f>
        <v>0.251241593509656</v>
      </c>
      <c r="R5" s="12" t="n">
        <v>295946</v>
      </c>
      <c r="S5" s="13" t="n">
        <f aca="false">IFERROR(R5/R4-1,"")</f>
        <v>0.211602390894948</v>
      </c>
      <c r="T5" s="12" t="n">
        <v>175179</v>
      </c>
      <c r="U5" s="13" t="n">
        <f aca="false">IFERROR(T5/P5,"")</f>
        <v>0.711681589937761</v>
      </c>
      <c r="V5" s="14" t="n">
        <f aca="false">T5-AV5</f>
        <v>-2042668</v>
      </c>
      <c r="W5" s="14" t="n">
        <f aca="false">V5-AA5*0.1</f>
        <v>-2042668</v>
      </c>
      <c r="X5" s="12" t="n">
        <v>3792000</v>
      </c>
      <c r="Y5" s="12" t="n">
        <v>158000</v>
      </c>
      <c r="Z5" s="15" t="n">
        <f aca="false">IFERROR(X5/Y5,"")</f>
        <v>24</v>
      </c>
      <c r="AA5" s="12" t="n">
        <v>0</v>
      </c>
      <c r="AB5" s="14" t="n">
        <f aca="false">W5-0.02*P5</f>
        <v>-2047590.96</v>
      </c>
      <c r="AC5" s="16" t="n">
        <v>24</v>
      </c>
      <c r="AD5" s="13" t="n">
        <f aca="false">IFERROR(AC5/AC4-1,"")</f>
        <v>0.0909090909090908</v>
      </c>
      <c r="AE5" s="17" t="n">
        <v>0.069</v>
      </c>
      <c r="AF5" s="17" t="n">
        <v>0.067</v>
      </c>
      <c r="AG5" s="13" t="n">
        <f aca="false">1-AF5</f>
        <v>0.933</v>
      </c>
      <c r="AH5" s="17" t="n">
        <v>1.171</v>
      </c>
      <c r="AI5" s="12" t="n">
        <v>54100</v>
      </c>
      <c r="AJ5" s="14" t="n">
        <f aca="false">IFERROR(AM5*U5*MIN(1/AE5,5),"")</f>
        <v>184823.708906837</v>
      </c>
      <c r="AK5" s="18" t="n">
        <f aca="false">IFERROR(AJ5/AI5,"")</f>
        <v>3.41633473025576</v>
      </c>
      <c r="AL5" s="15" t="n">
        <f aca="false">IFERROR(AI5/(AM5*U5/12),"")</f>
        <v>17.5626818615365</v>
      </c>
      <c r="AM5" s="12" t="n">
        <v>51940</v>
      </c>
      <c r="AN5" s="12" t="n">
        <v>357639</v>
      </c>
      <c r="AO5" s="12" t="n">
        <v>614211</v>
      </c>
      <c r="AP5" s="17" t="n">
        <v>0.354</v>
      </c>
      <c r="AQ5" s="16" t="n">
        <v>89</v>
      </c>
      <c r="AR5" s="16" t="n">
        <v>19</v>
      </c>
      <c r="AS5" s="13" t="n">
        <f aca="false">IFERROR(AR5/AR4-1,"")</f>
        <v>0.117647058823529</v>
      </c>
      <c r="AT5" s="11" t="s">
        <v>80</v>
      </c>
      <c r="AU5" s="14" t="n">
        <f aca="false">IFERROR(P5/AR5,"")</f>
        <v>12955.1578947368</v>
      </c>
      <c r="AV5" s="12" t="n">
        <v>2217847</v>
      </c>
      <c r="AW5" s="12" t="n">
        <v>1026592</v>
      </c>
      <c r="AX5" s="12" t="n">
        <v>418202</v>
      </c>
      <c r="AY5" s="16" t="n">
        <v>22481</v>
      </c>
      <c r="AZ5" s="13" t="n">
        <f aca="false">IFERROR(AY5/AY4-1,"")</f>
        <v>0.265109735509285</v>
      </c>
      <c r="BA5" s="17" t="n">
        <v>0.925</v>
      </c>
      <c r="BB5" s="11" t="s">
        <v>81</v>
      </c>
      <c r="BC5" s="11" t="s">
        <v>82</v>
      </c>
      <c r="BD5" s="11" t="s">
        <v>83</v>
      </c>
      <c r="BE5" s="12" t="n">
        <v>267766</v>
      </c>
      <c r="BF5" s="13" t="n">
        <f aca="false">IFERROR(P5/BE5-1,"")</f>
        <v>-0.0807346713174937</v>
      </c>
      <c r="BG5" s="17" t="n">
        <v>-0.043</v>
      </c>
      <c r="BH5" s="17" t="n">
        <v>0.07</v>
      </c>
      <c r="BI5" s="14" t="n">
        <f aca="false">P5*(1+IFERROR(Q5,0))^4</f>
        <v>603338.448448908</v>
      </c>
      <c r="BJ5" s="12" t="n">
        <v>-1084245</v>
      </c>
      <c r="BK5" s="11" t="s">
        <v>84</v>
      </c>
      <c r="BL5" s="11" t="s">
        <v>85</v>
      </c>
      <c r="BM5" s="14" t="n">
        <f aca="false">O5</f>
        <v>48601855</v>
      </c>
      <c r="BN5" s="11" t="s">
        <v>86</v>
      </c>
      <c r="BO5" s="13" t="n">
        <f aca="false">IFERROR(1-L5/M5,"")</f>
        <v>0.136888613285792</v>
      </c>
      <c r="BP5" s="11" t="s">
        <v>87</v>
      </c>
      <c r="BQ5" s="12" t="n">
        <v>2480456</v>
      </c>
      <c r="BR5" s="11" t="s">
        <v>88</v>
      </c>
      <c r="BS5" s="11" t="s">
        <v>89</v>
      </c>
      <c r="BT5" s="19" t="str">
        <f aca="false">IF(OR(Z5&lt;6,AH5&lt;0.9,S5&lt;0.02,AK5&lt;1),"REVIEW",IF(AND(S5&gt;0.25,AH5&gt;1.2),"ACCELERATING","STABLE"))</f>
        <v>STABLE</v>
      </c>
    </row>
    <row r="6" customFormat="false" ht="15" hidden="false" customHeight="false" outlineLevel="0" collapsed="false">
      <c r="A6" s="3" t="s">
        <v>94</v>
      </c>
      <c r="B6" s="3" t="s">
        <v>73</v>
      </c>
      <c r="C6" s="3" t="s">
        <v>74</v>
      </c>
      <c r="D6" s="3" t="s">
        <v>95</v>
      </c>
      <c r="E6" s="3" t="s">
        <v>96</v>
      </c>
      <c r="F6" s="3" t="s">
        <v>97</v>
      </c>
      <c r="G6" s="3" t="s">
        <v>78</v>
      </c>
      <c r="H6" s="3" t="s">
        <v>79</v>
      </c>
      <c r="I6" s="3" t="s">
        <v>78</v>
      </c>
      <c r="J6" s="4" t="n">
        <v>3664000</v>
      </c>
      <c r="K6" s="5" t="n">
        <f aca="false">IFERROR(J6/M6,"")</f>
        <v>0.160610178407049</v>
      </c>
      <c r="L6" s="4" t="n">
        <v>19149000</v>
      </c>
      <c r="M6" s="6" t="n">
        <f aca="false">L6+J6</f>
        <v>22813000</v>
      </c>
      <c r="N6" s="4" t="n">
        <v>7597000</v>
      </c>
      <c r="O6" s="4" t="n">
        <v>27151819</v>
      </c>
      <c r="P6" s="4" t="n">
        <v>690529</v>
      </c>
      <c r="Q6" s="7"/>
      <c r="R6" s="4" t="n">
        <v>850872</v>
      </c>
      <c r="S6" s="7"/>
      <c r="T6" s="4" t="n">
        <v>385804</v>
      </c>
      <c r="U6" s="5" t="n">
        <f aca="false">IFERROR(T6/P6,"")</f>
        <v>0.558707889169028</v>
      </c>
      <c r="V6" s="6" t="n">
        <f aca="false">T6-AV6</f>
        <v>-856716</v>
      </c>
      <c r="W6" s="6" t="n">
        <f aca="false">V6-AA6*0.1</f>
        <v>-856716</v>
      </c>
      <c r="X6" s="4" t="n">
        <v>2948874</v>
      </c>
      <c r="Y6" s="4" t="n">
        <v>85540</v>
      </c>
      <c r="Z6" s="8" t="n">
        <f aca="false">IFERROR(X6/Y6,"")</f>
        <v>34.4736263736264</v>
      </c>
      <c r="AA6" s="4" t="n">
        <v>0</v>
      </c>
      <c r="AB6" s="6" t="n">
        <f aca="false">W6-0.02*P6</f>
        <v>-870526.58</v>
      </c>
      <c r="AC6" s="9" t="n">
        <v>41</v>
      </c>
      <c r="AD6" s="7"/>
      <c r="AE6" s="7" t="n">
        <v>0.047</v>
      </c>
      <c r="AF6" s="7" t="n">
        <v>0.032</v>
      </c>
      <c r="AG6" s="5" t="n">
        <f aca="false">1-AF6</f>
        <v>0.968</v>
      </c>
      <c r="AH6" s="7" t="n">
        <v>1.167</v>
      </c>
      <c r="AI6" s="4" t="n">
        <v>77698</v>
      </c>
      <c r="AJ6" s="6" t="n">
        <f aca="false">IFERROR(AM6*U6*MIN(1/AE6,5),"")</f>
        <v>162025.287859018</v>
      </c>
      <c r="AK6" s="10" t="n">
        <f aca="false">IFERROR(AJ6/AI6,"")</f>
        <v>2.08532121623489</v>
      </c>
      <c r="AL6" s="8" t="n">
        <f aca="false">IFERROR(AI6/(AM6*U6/12),"")</f>
        <v>28.772545703214</v>
      </c>
      <c r="AM6" s="4" t="n">
        <v>58000</v>
      </c>
      <c r="AN6" s="4" t="n">
        <v>845192</v>
      </c>
      <c r="AO6" s="4" t="n">
        <v>1885937</v>
      </c>
      <c r="AP6" s="7" t="n">
        <v>0.291</v>
      </c>
      <c r="AQ6" s="9" t="n">
        <v>46</v>
      </c>
      <c r="AR6" s="9" t="n">
        <v>1</v>
      </c>
      <c r="AS6" s="7"/>
      <c r="AT6" s="3" t="s">
        <v>98</v>
      </c>
      <c r="AU6" s="6" t="n">
        <f aca="false">IFERROR(P6/AR6,"")</f>
        <v>690529</v>
      </c>
      <c r="AV6" s="4" t="n">
        <v>1242520</v>
      </c>
      <c r="AW6" s="4" t="n">
        <v>508116</v>
      </c>
      <c r="AX6" s="4" t="n">
        <v>263307</v>
      </c>
      <c r="AY6" s="9" t="n">
        <v>7173</v>
      </c>
      <c r="AZ6" s="7"/>
      <c r="BA6" s="7" t="n">
        <v>0.959</v>
      </c>
      <c r="BB6" s="3" t="s">
        <v>99</v>
      </c>
      <c r="BC6" s="3" t="s">
        <v>100</v>
      </c>
      <c r="BD6" s="3" t="s">
        <v>101</v>
      </c>
      <c r="BE6" s="4" t="n">
        <v>796533</v>
      </c>
      <c r="BF6" s="5" t="n">
        <f aca="false">IFERROR(P6/BE6-1,"")</f>
        <v>-0.133081743003742</v>
      </c>
      <c r="BG6" s="7" t="n">
        <v>-0.05</v>
      </c>
      <c r="BH6" s="7" t="n">
        <v>0.013</v>
      </c>
      <c r="BI6" s="6" t="n">
        <f aca="false">P6</f>
        <v>690529</v>
      </c>
      <c r="BJ6" s="4" t="n">
        <v>-582867</v>
      </c>
      <c r="BK6" s="3" t="s">
        <v>102</v>
      </c>
      <c r="BL6" s="3" t="s">
        <v>85</v>
      </c>
      <c r="BM6" s="6" t="n">
        <f aca="false">O6</f>
        <v>27151819</v>
      </c>
      <c r="BN6" s="3" t="s">
        <v>103</v>
      </c>
      <c r="BO6" s="5" t="n">
        <f aca="false">IFERROR(1-L6/M6,"")</f>
        <v>0.160610178407049</v>
      </c>
      <c r="BP6" s="3" t="s">
        <v>87</v>
      </c>
      <c r="BQ6" s="4" t="n">
        <v>1441569</v>
      </c>
      <c r="BR6" s="3" t="s">
        <v>88</v>
      </c>
      <c r="BS6" s="3" t="s">
        <v>89</v>
      </c>
      <c r="BT6" s="3" t="s">
        <v>90</v>
      </c>
    </row>
    <row r="7" customFormat="false" ht="15" hidden="false" customHeight="false" outlineLevel="0" collapsed="false">
      <c r="A7" s="11" t="s">
        <v>94</v>
      </c>
      <c r="B7" s="11" t="s">
        <v>91</v>
      </c>
      <c r="C7" s="11" t="s">
        <v>74</v>
      </c>
      <c r="D7" s="11" t="s">
        <v>95</v>
      </c>
      <c r="E7" s="11" t="s">
        <v>96</v>
      </c>
      <c r="F7" s="11" t="s">
        <v>97</v>
      </c>
      <c r="G7" s="11" t="s">
        <v>78</v>
      </c>
      <c r="H7" s="11" t="s">
        <v>79</v>
      </c>
      <c r="I7" s="11" t="s">
        <v>78</v>
      </c>
      <c r="J7" s="12" t="n">
        <v>3664000</v>
      </c>
      <c r="K7" s="13" t="n">
        <f aca="false">IFERROR(J7/M7,"")</f>
        <v>0.160610178407049</v>
      </c>
      <c r="L7" s="12" t="n">
        <v>19149000</v>
      </c>
      <c r="M7" s="14" t="n">
        <f aca="false">L7+J7</f>
        <v>22813000</v>
      </c>
      <c r="N7" s="12" t="n">
        <v>7597000</v>
      </c>
      <c r="O7" s="12" t="n">
        <v>27151819</v>
      </c>
      <c r="P7" s="12" t="n">
        <v>827282</v>
      </c>
      <c r="Q7" s="13" t="n">
        <f aca="false">IFERROR(P7/P6-1,"")</f>
        <v>0.198040922249464</v>
      </c>
      <c r="R7" s="12" t="n">
        <v>1026952</v>
      </c>
      <c r="S7" s="13" t="n">
        <f aca="false">IFERROR(R7/R6-1,"")</f>
        <v>0.206940644421252</v>
      </c>
      <c r="T7" s="12" t="n">
        <v>464080</v>
      </c>
      <c r="U7" s="13" t="n">
        <f aca="false">IFERROR(T7/P7,"")</f>
        <v>0.560969536385416</v>
      </c>
      <c r="V7" s="14" t="n">
        <f aca="false">T7-AV7</f>
        <v>-1006645</v>
      </c>
      <c r="W7" s="14" t="n">
        <f aca="false">V7-AA7*0.1</f>
        <v>-1006645</v>
      </c>
      <c r="X7" s="12" t="n">
        <v>2733144</v>
      </c>
      <c r="Y7" s="12" t="n">
        <v>88360</v>
      </c>
      <c r="Z7" s="15" t="n">
        <f aca="false">IFERROR(X7/Y7,"")</f>
        <v>30.931914893617</v>
      </c>
      <c r="AA7" s="12" t="n">
        <v>0</v>
      </c>
      <c r="AB7" s="14" t="n">
        <f aca="false">W7-0.02*P7</f>
        <v>-1023190.64</v>
      </c>
      <c r="AC7" s="16" t="n">
        <v>49</v>
      </c>
      <c r="AD7" s="13" t="n">
        <f aca="false">IFERROR(AC7/AC6-1,"")</f>
        <v>0.195121951219512</v>
      </c>
      <c r="AE7" s="17" t="n">
        <v>0.046</v>
      </c>
      <c r="AF7" s="17" t="n">
        <v>0.039</v>
      </c>
      <c r="AG7" s="13" t="n">
        <f aca="false">1-AF7</f>
        <v>0.961</v>
      </c>
      <c r="AH7" s="17" t="n">
        <v>1.162</v>
      </c>
      <c r="AI7" s="12" t="n">
        <v>76232</v>
      </c>
      <c r="AJ7" s="14" t="n">
        <f aca="false">IFERROR(AM7*U7*MIN(1/AE7,5),"")</f>
        <v>165934.788862806</v>
      </c>
      <c r="AK7" s="18" t="n">
        <f aca="false">IFERROR(AJ7/AI7,"")</f>
        <v>2.17670779807438</v>
      </c>
      <c r="AL7" s="15" t="n">
        <f aca="false">IFERROR(AI7/(AM7*U7/12),"")</f>
        <v>27.564563352545</v>
      </c>
      <c r="AM7" s="12" t="n">
        <v>59160</v>
      </c>
      <c r="AN7" s="12" t="n">
        <v>977805</v>
      </c>
      <c r="AO7" s="12" t="n">
        <v>1822726</v>
      </c>
      <c r="AP7" s="17" t="n">
        <v>0.291</v>
      </c>
      <c r="AQ7" s="16" t="n">
        <v>46</v>
      </c>
      <c r="AR7" s="16" t="n">
        <v>2</v>
      </c>
      <c r="AS7" s="13" t="n">
        <f aca="false">IFERROR(AR7/AR6-1,"")</f>
        <v>1</v>
      </c>
      <c r="AT7" s="11" t="s">
        <v>98</v>
      </c>
      <c r="AU7" s="14" t="n">
        <f aca="false">IFERROR(P7/AR7,"")</f>
        <v>413641</v>
      </c>
      <c r="AV7" s="12" t="n">
        <v>1470725</v>
      </c>
      <c r="AW7" s="12" t="n">
        <v>475888</v>
      </c>
      <c r="AX7" s="12" t="n">
        <v>270835</v>
      </c>
      <c r="AY7" s="16" t="n">
        <v>8694</v>
      </c>
      <c r="AZ7" s="13" t="n">
        <f aca="false">IFERROR(AY7/AY6-1,"")</f>
        <v>0.212045169385195</v>
      </c>
      <c r="BA7" s="17" t="n">
        <v>0.952</v>
      </c>
      <c r="BB7" s="11" t="s">
        <v>99</v>
      </c>
      <c r="BC7" s="11" t="s">
        <v>100</v>
      </c>
      <c r="BD7" s="11" t="s">
        <v>101</v>
      </c>
      <c r="BE7" s="12" t="n">
        <v>935353</v>
      </c>
      <c r="BF7" s="13" t="n">
        <f aca="false">IFERROR(P7/BE7-1,"")</f>
        <v>-0.1155403361084</v>
      </c>
      <c r="BG7" s="17" t="n">
        <v>0.068</v>
      </c>
      <c r="BH7" s="17" t="n">
        <v>0.001</v>
      </c>
      <c r="BI7" s="14" t="n">
        <f aca="false">P7*(1+IFERROR(Q7,0))^4</f>
        <v>1704277.0123296</v>
      </c>
      <c r="BJ7" s="12" t="n">
        <v>-831949</v>
      </c>
      <c r="BK7" s="11" t="s">
        <v>102</v>
      </c>
      <c r="BL7" s="11" t="s">
        <v>85</v>
      </c>
      <c r="BM7" s="14" t="n">
        <f aca="false">O7</f>
        <v>27151819</v>
      </c>
      <c r="BN7" s="11" t="s">
        <v>103</v>
      </c>
      <c r="BO7" s="13" t="n">
        <f aca="false">IFERROR(1-L7/M7,"")</f>
        <v>0.160610178407049</v>
      </c>
      <c r="BP7" s="11" t="s">
        <v>87</v>
      </c>
      <c r="BQ7" s="12" t="n">
        <v>1660055</v>
      </c>
      <c r="BR7" s="11" t="s">
        <v>88</v>
      </c>
      <c r="BS7" s="11" t="s">
        <v>89</v>
      </c>
      <c r="BT7" s="19" t="str">
        <f aca="false">IF(OR(Z7&lt;6,AH7&lt;0.9,S7&lt;0.02,AK7&lt;1),"REVIEW",IF(AND(S7&gt;0.25,AH7&gt;1.2),"ACCELERATING","STABLE"))</f>
        <v>STABLE</v>
      </c>
    </row>
    <row r="8" customFormat="false" ht="15" hidden="false" customHeight="false" outlineLevel="0" collapsed="false">
      <c r="A8" s="11" t="s">
        <v>94</v>
      </c>
      <c r="B8" s="11" t="s">
        <v>92</v>
      </c>
      <c r="C8" s="11" t="s">
        <v>74</v>
      </c>
      <c r="D8" s="11" t="s">
        <v>95</v>
      </c>
      <c r="E8" s="11" t="s">
        <v>96</v>
      </c>
      <c r="F8" s="11" t="s">
        <v>97</v>
      </c>
      <c r="G8" s="11" t="s">
        <v>78</v>
      </c>
      <c r="H8" s="11" t="s">
        <v>79</v>
      </c>
      <c r="I8" s="11" t="s">
        <v>78</v>
      </c>
      <c r="J8" s="12" t="n">
        <v>3664000</v>
      </c>
      <c r="K8" s="13" t="n">
        <f aca="false">IFERROR(J8/M8,"")</f>
        <v>0.160610178407049</v>
      </c>
      <c r="L8" s="12" t="n">
        <v>19149000</v>
      </c>
      <c r="M8" s="14" t="n">
        <f aca="false">L8+J8</f>
        <v>22813000</v>
      </c>
      <c r="N8" s="12" t="n">
        <v>7597000</v>
      </c>
      <c r="O8" s="12" t="n">
        <v>27151819</v>
      </c>
      <c r="P8" s="12" t="n">
        <v>1033108</v>
      </c>
      <c r="Q8" s="13" t="n">
        <f aca="false">IFERROR(P8/P7-1,"")</f>
        <v>0.248797870617274</v>
      </c>
      <c r="R8" s="12" t="n">
        <v>1218015</v>
      </c>
      <c r="S8" s="13" t="n">
        <f aca="false">IFERROR(R8/R7-1,"")</f>
        <v>0.186048617656911</v>
      </c>
      <c r="T8" s="12" t="n">
        <v>581879</v>
      </c>
      <c r="U8" s="13" t="n">
        <f aca="false">IFERROR(T8/P8,"")</f>
        <v>0.563231530488584</v>
      </c>
      <c r="V8" s="14" t="n">
        <f aca="false">T8-AV8</f>
        <v>-969621</v>
      </c>
      <c r="W8" s="14" t="n">
        <f aca="false">V8-AA8*0.1</f>
        <v>-969621</v>
      </c>
      <c r="X8" s="12" t="n">
        <v>2502186</v>
      </c>
      <c r="Y8" s="12" t="n">
        <v>91180</v>
      </c>
      <c r="Z8" s="15" t="n">
        <f aca="false">IFERROR(X8/Y8,"")</f>
        <v>27.4422680412371</v>
      </c>
      <c r="AA8" s="12" t="n">
        <v>0</v>
      </c>
      <c r="AB8" s="14" t="n">
        <f aca="false">W8-0.02*P8</f>
        <v>-990283.16</v>
      </c>
      <c r="AC8" s="16" t="n">
        <v>54</v>
      </c>
      <c r="AD8" s="13" t="n">
        <f aca="false">IFERROR(AC8/AC7-1,"")</f>
        <v>0.102040816326531</v>
      </c>
      <c r="AE8" s="17" t="n">
        <v>0.044</v>
      </c>
      <c r="AF8" s="17" t="n">
        <v>0.047</v>
      </c>
      <c r="AG8" s="13" t="n">
        <f aca="false">1-AF8</f>
        <v>0.953</v>
      </c>
      <c r="AH8" s="17" t="n">
        <v>1.157</v>
      </c>
      <c r="AI8" s="12" t="n">
        <v>74766</v>
      </c>
      <c r="AJ8" s="14" t="n">
        <f aca="false">IFERROR(AM8*U8*MIN(1/AE8,5),"")</f>
        <v>169870.629595357</v>
      </c>
      <c r="AK8" s="18" t="n">
        <f aca="false">IFERROR(AJ8/AI8,"")</f>
        <v>2.2720304629826</v>
      </c>
      <c r="AL8" s="15" t="n">
        <f aca="false">IFERROR(AI8/(AM8*U8/12),"")</f>
        <v>26.4080966243891</v>
      </c>
      <c r="AM8" s="12" t="n">
        <v>60320</v>
      </c>
      <c r="AN8" s="12" t="n">
        <v>1548331</v>
      </c>
      <c r="AO8" s="12" t="n">
        <v>1882819</v>
      </c>
      <c r="AP8" s="17" t="n">
        <v>0.291</v>
      </c>
      <c r="AQ8" s="16" t="n">
        <v>46</v>
      </c>
      <c r="AR8" s="16" t="n">
        <v>2</v>
      </c>
      <c r="AS8" s="13" t="n">
        <f aca="false">IFERROR(AR8/AR7-1,"")</f>
        <v>0</v>
      </c>
      <c r="AT8" s="11" t="s">
        <v>98</v>
      </c>
      <c r="AU8" s="14" t="n">
        <f aca="false">IFERROR(P8/AR8,"")</f>
        <v>516554</v>
      </c>
      <c r="AV8" s="12" t="n">
        <v>1551500</v>
      </c>
      <c r="AW8" s="12" t="n">
        <v>694983</v>
      </c>
      <c r="AX8" s="12" t="n">
        <v>479689</v>
      </c>
      <c r="AY8" s="16" t="n">
        <v>9985</v>
      </c>
      <c r="AZ8" s="13" t="n">
        <f aca="false">IFERROR(AY8/AY7-1,"")</f>
        <v>0.148493213710605</v>
      </c>
      <c r="BA8" s="17" t="n">
        <v>0.966</v>
      </c>
      <c r="BB8" s="11" t="s">
        <v>99</v>
      </c>
      <c r="BC8" s="11" t="s">
        <v>100</v>
      </c>
      <c r="BD8" s="11" t="s">
        <v>101</v>
      </c>
      <c r="BE8" s="12" t="n">
        <v>1257604</v>
      </c>
      <c r="BF8" s="13" t="n">
        <f aca="false">IFERROR(P8/BE8-1,"")</f>
        <v>-0.178510882598974</v>
      </c>
      <c r="BG8" s="17" t="n">
        <v>0.025</v>
      </c>
      <c r="BH8" s="17" t="n">
        <v>-0.021</v>
      </c>
      <c r="BI8" s="14" t="n">
        <f aca="false">P8*(1+IFERROR(Q8,0))^4</f>
        <v>2512547.74157208</v>
      </c>
      <c r="BJ8" s="12" t="n">
        <v>-716457</v>
      </c>
      <c r="BK8" s="11" t="s">
        <v>102</v>
      </c>
      <c r="BL8" s="11" t="s">
        <v>85</v>
      </c>
      <c r="BM8" s="14" t="n">
        <f aca="false">O8</f>
        <v>27151819</v>
      </c>
      <c r="BN8" s="11" t="s">
        <v>103</v>
      </c>
      <c r="BO8" s="13" t="n">
        <f aca="false">IFERROR(1-L8/M8,"")</f>
        <v>0.160610178407049</v>
      </c>
      <c r="BP8" s="11" t="s">
        <v>87</v>
      </c>
      <c r="BQ8" s="12" t="n">
        <v>1632023</v>
      </c>
      <c r="BR8" s="11" t="s">
        <v>88</v>
      </c>
      <c r="BS8" s="11" t="s">
        <v>89</v>
      </c>
      <c r="BT8" s="19" t="str">
        <f aca="false">IF(OR(Z8&lt;6,AH8&lt;0.9,S8&lt;0.02,AK8&lt;1),"REVIEW",IF(AND(S8&gt;0.25,AH8&gt;1.2),"ACCELERATING","STABLE"))</f>
        <v>STABLE</v>
      </c>
    </row>
    <row r="9" customFormat="false" ht="15" hidden="false" customHeight="false" outlineLevel="0" collapsed="false">
      <c r="A9" s="11" t="s">
        <v>94</v>
      </c>
      <c r="B9" s="11" t="s">
        <v>93</v>
      </c>
      <c r="C9" s="11" t="s">
        <v>74</v>
      </c>
      <c r="D9" s="11" t="s">
        <v>95</v>
      </c>
      <c r="E9" s="11" t="s">
        <v>96</v>
      </c>
      <c r="F9" s="11" t="s">
        <v>97</v>
      </c>
      <c r="G9" s="11" t="s">
        <v>78</v>
      </c>
      <c r="H9" s="11" t="s">
        <v>79</v>
      </c>
      <c r="I9" s="11" t="s">
        <v>78</v>
      </c>
      <c r="J9" s="12" t="n">
        <v>3664000</v>
      </c>
      <c r="K9" s="13" t="n">
        <f aca="false">IFERROR(J9/M9,"")</f>
        <v>0.160610178407049</v>
      </c>
      <c r="L9" s="12" t="n">
        <v>19149000</v>
      </c>
      <c r="M9" s="14" t="n">
        <f aca="false">L9+J9</f>
        <v>22813000</v>
      </c>
      <c r="N9" s="12" t="n">
        <v>7597000</v>
      </c>
      <c r="O9" s="12" t="n">
        <v>27151819</v>
      </c>
      <c r="P9" s="12" t="n">
        <v>1217407</v>
      </c>
      <c r="Q9" s="13" t="n">
        <f aca="false">IFERROR(P9/P8-1,"")</f>
        <v>0.178392772101271</v>
      </c>
      <c r="R9" s="12" t="n">
        <v>1454059</v>
      </c>
      <c r="S9" s="13" t="n">
        <f aca="false">IFERROR(R9/R8-1,"")</f>
        <v>0.193794000894899</v>
      </c>
      <c r="T9" s="12" t="n">
        <v>688435</v>
      </c>
      <c r="U9" s="13" t="n">
        <f aca="false">IFERROR(T9/P9,"")</f>
        <v>0.565492887752412</v>
      </c>
      <c r="V9" s="14" t="n">
        <f aca="false">T9-AV9</f>
        <v>-997603</v>
      </c>
      <c r="W9" s="14" t="n">
        <f aca="false">V9-AA9*0.1</f>
        <v>-997603</v>
      </c>
      <c r="X9" s="12" t="n">
        <v>2256000</v>
      </c>
      <c r="Y9" s="12" t="n">
        <v>94000</v>
      </c>
      <c r="Z9" s="15" t="n">
        <f aca="false">IFERROR(X9/Y9,"")</f>
        <v>24</v>
      </c>
      <c r="AA9" s="12" t="n">
        <v>0</v>
      </c>
      <c r="AB9" s="14" t="n">
        <f aca="false">W9-0.02*P9</f>
        <v>-1021951.14</v>
      </c>
      <c r="AC9" s="16" t="n">
        <v>64</v>
      </c>
      <c r="AD9" s="13" t="n">
        <f aca="false">IFERROR(AC9/AC8-1,"")</f>
        <v>0.185185185185185</v>
      </c>
      <c r="AE9" s="17" t="n">
        <v>0.043</v>
      </c>
      <c r="AF9" s="17" t="n">
        <v>0.03</v>
      </c>
      <c r="AG9" s="13" t="n">
        <f aca="false">1-AF9</f>
        <v>0.97</v>
      </c>
      <c r="AH9" s="17" t="n">
        <v>1.152</v>
      </c>
      <c r="AI9" s="12" t="n">
        <v>73300</v>
      </c>
      <c r="AJ9" s="14" t="n">
        <f aca="false">IFERROR(AM9*U9*MIN(1/AE9,5),"")</f>
        <v>173832.513695091</v>
      </c>
      <c r="AK9" s="18" t="n">
        <f aca="false">IFERROR(AJ9/AI9,"")</f>
        <v>2.37152133281161</v>
      </c>
      <c r="AL9" s="15" t="n">
        <f aca="false">IFERROR(AI9/(AM9*U9/12),"")</f>
        <v>25.3002151698402</v>
      </c>
      <c r="AM9" s="12" t="n">
        <v>61480</v>
      </c>
      <c r="AN9" s="12" t="n">
        <v>1684789</v>
      </c>
      <c r="AO9" s="12" t="n">
        <v>2721528</v>
      </c>
      <c r="AP9" s="17" t="n">
        <v>0.291</v>
      </c>
      <c r="AQ9" s="16" t="n">
        <v>46</v>
      </c>
      <c r="AR9" s="16" t="n">
        <v>2</v>
      </c>
      <c r="AS9" s="13" t="n">
        <f aca="false">IFERROR(AR9/AR8-1,"")</f>
        <v>0</v>
      </c>
      <c r="AT9" s="11" t="s">
        <v>98</v>
      </c>
      <c r="AU9" s="14" t="n">
        <f aca="false">IFERROR(P9/AR9,"")</f>
        <v>608703.5</v>
      </c>
      <c r="AV9" s="12" t="n">
        <v>1686038</v>
      </c>
      <c r="AW9" s="12" t="n">
        <v>627860</v>
      </c>
      <c r="AX9" s="12" t="n">
        <v>566952</v>
      </c>
      <c r="AY9" s="16" t="n">
        <v>11853</v>
      </c>
      <c r="AZ9" s="13" t="n">
        <f aca="false">IFERROR(AY9/AY8-1,"")</f>
        <v>0.187080620931397</v>
      </c>
      <c r="BA9" s="17" t="n">
        <v>0.969</v>
      </c>
      <c r="BB9" s="11" t="s">
        <v>99</v>
      </c>
      <c r="BC9" s="11" t="s">
        <v>100</v>
      </c>
      <c r="BD9" s="11" t="s">
        <v>101</v>
      </c>
      <c r="BE9" s="12" t="n">
        <v>1417110</v>
      </c>
      <c r="BF9" s="13" t="n">
        <f aca="false">IFERROR(P9/BE9-1,"")</f>
        <v>-0.140922723006683</v>
      </c>
      <c r="BG9" s="17" t="n">
        <v>0.087</v>
      </c>
      <c r="BH9" s="17" t="n">
        <v>-0.004</v>
      </c>
      <c r="BI9" s="14" t="n">
        <f aca="false">P9*(1+IFERROR(Q9,0))^4</f>
        <v>2347448.50789588</v>
      </c>
      <c r="BJ9" s="12" t="n">
        <v>-881161</v>
      </c>
      <c r="BK9" s="11" t="s">
        <v>102</v>
      </c>
      <c r="BL9" s="11" t="s">
        <v>85</v>
      </c>
      <c r="BM9" s="14" t="n">
        <f aca="false">O9</f>
        <v>27151819</v>
      </c>
      <c r="BN9" s="11" t="s">
        <v>103</v>
      </c>
      <c r="BO9" s="13" t="n">
        <f aca="false">IFERROR(1-L9/M9,"")</f>
        <v>0.160610178407049</v>
      </c>
      <c r="BP9" s="11" t="s">
        <v>87</v>
      </c>
      <c r="BQ9" s="12" t="n">
        <v>1531996</v>
      </c>
      <c r="BR9" s="11" t="s">
        <v>88</v>
      </c>
      <c r="BS9" s="11" t="s">
        <v>89</v>
      </c>
      <c r="BT9" s="19" t="str">
        <f aca="false">IF(OR(Z9&lt;6,AH9&lt;0.9,S9&lt;0.02,AK9&lt;1),"REVIEW",IF(AND(S9&gt;0.25,AH9&gt;1.2),"ACCELERATING","STABLE"))</f>
        <v>STABLE</v>
      </c>
    </row>
    <row r="10" customFormat="false" ht="15" hidden="false" customHeight="false" outlineLevel="0" collapsed="false">
      <c r="A10" s="3" t="s">
        <v>104</v>
      </c>
      <c r="B10" s="3" t="s">
        <v>73</v>
      </c>
      <c r="C10" s="3" t="s">
        <v>74</v>
      </c>
      <c r="D10" s="3" t="s">
        <v>75</v>
      </c>
      <c r="E10" s="3" t="s">
        <v>105</v>
      </c>
      <c r="F10" s="3" t="s">
        <v>106</v>
      </c>
      <c r="G10" s="3" t="s">
        <v>78</v>
      </c>
      <c r="H10" s="3" t="s">
        <v>79</v>
      </c>
      <c r="I10" s="3" t="s">
        <v>78</v>
      </c>
      <c r="J10" s="4" t="n">
        <v>4222000</v>
      </c>
      <c r="K10" s="5" t="n">
        <f aca="false">IFERROR(J10/M10,"")</f>
        <v>0.131921009873766</v>
      </c>
      <c r="L10" s="4" t="n">
        <v>27782000</v>
      </c>
      <c r="M10" s="6" t="n">
        <f aca="false">L10+J10</f>
        <v>32004000</v>
      </c>
      <c r="N10" s="4" t="n">
        <v>5080000</v>
      </c>
      <c r="O10" s="4" t="n">
        <v>55134045</v>
      </c>
      <c r="P10" s="4" t="n">
        <v>1178329</v>
      </c>
      <c r="Q10" s="7"/>
      <c r="R10" s="4" t="n">
        <v>1337422</v>
      </c>
      <c r="S10" s="7"/>
      <c r="T10" s="4" t="n">
        <v>731846</v>
      </c>
      <c r="U10" s="5" t="n">
        <f aca="false">IFERROR(T10/P10,"")</f>
        <v>0.621087998343417</v>
      </c>
      <c r="V10" s="6" t="n">
        <f aca="false">T10-AV10</f>
        <v>-1617169</v>
      </c>
      <c r="W10" s="6" t="n">
        <f aca="false">V10-AA10*0.1</f>
        <v>-1617169</v>
      </c>
      <c r="X10" s="4" t="n">
        <v>4454682</v>
      </c>
      <c r="Y10" s="4" t="n">
        <v>129220</v>
      </c>
      <c r="Z10" s="8" t="n">
        <f aca="false">IFERROR(X10/Y10,"")</f>
        <v>34.4736263736264</v>
      </c>
      <c r="AA10" s="4" t="n">
        <v>0</v>
      </c>
      <c r="AB10" s="6" t="n">
        <f aca="false">W10-0.02*P10</f>
        <v>-1640735.58</v>
      </c>
      <c r="AC10" s="9" t="n">
        <v>42</v>
      </c>
      <c r="AD10" s="7"/>
      <c r="AE10" s="7" t="n">
        <v>0.106</v>
      </c>
      <c r="AF10" s="7" t="n">
        <v>0.086</v>
      </c>
      <c r="AG10" s="5" t="n">
        <f aca="false">1-AF10</f>
        <v>0.914</v>
      </c>
      <c r="AH10" s="7" t="n">
        <v>1.166</v>
      </c>
      <c r="AI10" s="4" t="n">
        <v>44520</v>
      </c>
      <c r="AJ10" s="6" t="n">
        <f aca="false">IFERROR(AM10*U10*MIN(1/AE10,5),"")</f>
        <v>139744.799627269</v>
      </c>
      <c r="AK10" s="10" t="n">
        <f aca="false">IFERROR(AJ10/AI10,"")</f>
        <v>3.13892182451188</v>
      </c>
      <c r="AL10" s="8" t="n">
        <f aca="false">IFERROR(AI10/(AM10*U10/12),"")</f>
        <v>19.1148436802278</v>
      </c>
      <c r="AM10" s="4" t="n">
        <v>45000</v>
      </c>
      <c r="AN10" s="4" t="n">
        <v>1207625</v>
      </c>
      <c r="AO10" s="4" t="n">
        <v>2510488</v>
      </c>
      <c r="AP10" s="7" t="n">
        <v>0.146</v>
      </c>
      <c r="AQ10" s="9" t="n">
        <v>42</v>
      </c>
      <c r="AR10" s="9" t="n">
        <v>4</v>
      </c>
      <c r="AS10" s="7"/>
      <c r="AT10" s="3" t="s">
        <v>80</v>
      </c>
      <c r="AU10" s="6" t="n">
        <f aca="false">IFERROR(P10/AR10,"")</f>
        <v>294582.25</v>
      </c>
      <c r="AV10" s="4" t="n">
        <v>2349015</v>
      </c>
      <c r="AW10" s="4" t="n">
        <v>770111</v>
      </c>
      <c r="AX10" s="4" t="n">
        <v>663029</v>
      </c>
      <c r="AY10" s="9" t="n">
        <v>12105</v>
      </c>
      <c r="AZ10" s="7"/>
      <c r="BA10" s="7" t="n">
        <v>0.888</v>
      </c>
      <c r="BB10" s="3" t="s">
        <v>107</v>
      </c>
      <c r="BC10" s="3" t="s">
        <v>108</v>
      </c>
      <c r="BD10" s="3" t="s">
        <v>109</v>
      </c>
      <c r="BE10" s="4" t="n">
        <v>1236707</v>
      </c>
      <c r="BF10" s="5" t="n">
        <f aca="false">IFERROR(P10/BE10-1,"")</f>
        <v>-0.0472043903689394</v>
      </c>
      <c r="BG10" s="7" t="n">
        <v>0.068</v>
      </c>
      <c r="BH10" s="7" t="n">
        <v>0.017</v>
      </c>
      <c r="BI10" s="6" t="n">
        <f aca="false">P10</f>
        <v>1178329</v>
      </c>
      <c r="BJ10" s="4" t="n">
        <v>-1116573</v>
      </c>
      <c r="BK10" s="3" t="s">
        <v>110</v>
      </c>
      <c r="BL10" s="3" t="s">
        <v>111</v>
      </c>
      <c r="BM10" s="6" t="n">
        <f aca="false">O10</f>
        <v>55134045</v>
      </c>
      <c r="BN10" s="3" t="s">
        <v>112</v>
      </c>
      <c r="BO10" s="5" t="n">
        <f aca="false">IFERROR(1-L10/M10,"")</f>
        <v>0.131921009873766</v>
      </c>
      <c r="BP10" s="3" t="s">
        <v>113</v>
      </c>
      <c r="BQ10" s="4" t="n">
        <v>1615948</v>
      </c>
      <c r="BR10" s="3" t="s">
        <v>88</v>
      </c>
      <c r="BS10" s="3" t="s">
        <v>89</v>
      </c>
      <c r="BT10" s="3" t="s">
        <v>90</v>
      </c>
    </row>
    <row r="11" customFormat="false" ht="15" hidden="false" customHeight="false" outlineLevel="0" collapsed="false">
      <c r="A11" s="11" t="s">
        <v>104</v>
      </c>
      <c r="B11" s="11" t="s">
        <v>91</v>
      </c>
      <c r="C11" s="11" t="s">
        <v>74</v>
      </c>
      <c r="D11" s="11" t="s">
        <v>75</v>
      </c>
      <c r="E11" s="11" t="s">
        <v>105</v>
      </c>
      <c r="F11" s="11" t="s">
        <v>106</v>
      </c>
      <c r="G11" s="11" t="s">
        <v>78</v>
      </c>
      <c r="H11" s="11" t="s">
        <v>79</v>
      </c>
      <c r="I11" s="11" t="s">
        <v>78</v>
      </c>
      <c r="J11" s="12" t="n">
        <v>4222000</v>
      </c>
      <c r="K11" s="13" t="n">
        <f aca="false">IFERROR(J11/M11,"")</f>
        <v>0.131921009873766</v>
      </c>
      <c r="L11" s="12" t="n">
        <v>27782000</v>
      </c>
      <c r="M11" s="14" t="n">
        <f aca="false">L11+J11</f>
        <v>32004000</v>
      </c>
      <c r="N11" s="12" t="n">
        <v>5080000</v>
      </c>
      <c r="O11" s="12" t="n">
        <v>55134045</v>
      </c>
      <c r="P11" s="12" t="n">
        <v>1448295</v>
      </c>
      <c r="Q11" s="13" t="n">
        <f aca="false">IFERROR(P11/P10-1,"")</f>
        <v>0.229109187671694</v>
      </c>
      <c r="R11" s="12" t="n">
        <v>1462884</v>
      </c>
      <c r="S11" s="13" t="n">
        <f aca="false">IFERROR(R11/R10-1,"")</f>
        <v>0.0938088352068383</v>
      </c>
      <c r="T11" s="12" t="n">
        <v>903161</v>
      </c>
      <c r="U11" s="13" t="n">
        <f aca="false">IFERROR(T11/P11,"")</f>
        <v>0.623602926199428</v>
      </c>
      <c r="V11" s="14" t="n">
        <f aca="false">T11-AV11</f>
        <v>-1564470</v>
      </c>
      <c r="W11" s="14" t="n">
        <f aca="false">V11-AA11*0.1</f>
        <v>-1564470</v>
      </c>
      <c r="X11" s="12" t="n">
        <v>4128792</v>
      </c>
      <c r="Y11" s="12" t="n">
        <v>133480</v>
      </c>
      <c r="Z11" s="15" t="n">
        <f aca="false">IFERROR(X11/Y11,"")</f>
        <v>30.931914893617</v>
      </c>
      <c r="AA11" s="12" t="n">
        <v>0</v>
      </c>
      <c r="AB11" s="14" t="n">
        <f aca="false">W11-0.02*P11</f>
        <v>-1593435.9</v>
      </c>
      <c r="AC11" s="16" t="n">
        <v>51</v>
      </c>
      <c r="AD11" s="13" t="n">
        <f aca="false">IFERROR(AC11/AC10-1,"")</f>
        <v>0.214285714285714</v>
      </c>
      <c r="AE11" s="17" t="n">
        <v>0.103</v>
      </c>
      <c r="AF11" s="17" t="n">
        <v>0.085</v>
      </c>
      <c r="AG11" s="13" t="n">
        <f aca="false">1-AF11</f>
        <v>0.915</v>
      </c>
      <c r="AH11" s="17" t="n">
        <v>1.161</v>
      </c>
      <c r="AI11" s="12" t="n">
        <v>43680</v>
      </c>
      <c r="AJ11" s="14" t="n">
        <f aca="false">IFERROR(AM11*U11*MIN(1/AE11,5),"")</f>
        <v>143116.871562769</v>
      </c>
      <c r="AK11" s="18" t="n">
        <f aca="false">IFERROR(AJ11/AI11,"")</f>
        <v>3.27648515482529</v>
      </c>
      <c r="AL11" s="15" t="n">
        <f aca="false">IFERROR(AI11/(AM11*U11/12),"")</f>
        <v>18.3123063785709</v>
      </c>
      <c r="AM11" s="12" t="n">
        <v>45900</v>
      </c>
      <c r="AN11" s="12" t="n">
        <v>1590018</v>
      </c>
      <c r="AO11" s="12" t="n">
        <v>5686768</v>
      </c>
      <c r="AP11" s="17" t="n">
        <v>0.146</v>
      </c>
      <c r="AQ11" s="16" t="n">
        <v>42</v>
      </c>
      <c r="AR11" s="16" t="n">
        <v>4</v>
      </c>
      <c r="AS11" s="13" t="n">
        <f aca="false">IFERROR(AR11/AR10-1,"")</f>
        <v>0</v>
      </c>
      <c r="AT11" s="11" t="s">
        <v>80</v>
      </c>
      <c r="AU11" s="14" t="n">
        <f aca="false">IFERROR(P11/AR11,"")</f>
        <v>362073.75</v>
      </c>
      <c r="AV11" s="12" t="n">
        <v>2467631</v>
      </c>
      <c r="AW11" s="12" t="n">
        <v>1207351</v>
      </c>
      <c r="AX11" s="12" t="n">
        <v>490005</v>
      </c>
      <c r="AY11" s="16" t="n">
        <v>13590</v>
      </c>
      <c r="AZ11" s="13" t="n">
        <f aca="false">IFERROR(AY11/AY10-1,"")</f>
        <v>0.122676579925651</v>
      </c>
      <c r="BA11" s="17" t="n">
        <v>0.923</v>
      </c>
      <c r="BB11" s="11" t="s">
        <v>107</v>
      </c>
      <c r="BC11" s="11" t="s">
        <v>108</v>
      </c>
      <c r="BD11" s="11" t="s">
        <v>109</v>
      </c>
      <c r="BE11" s="12" t="n">
        <v>1396783</v>
      </c>
      <c r="BF11" s="13" t="n">
        <f aca="false">IFERROR(P11/BE11-1,"")</f>
        <v>0.0368790284532385</v>
      </c>
      <c r="BG11" s="17" t="n">
        <v>-0.012</v>
      </c>
      <c r="BH11" s="17" t="n">
        <v>0.08</v>
      </c>
      <c r="BI11" s="14" t="n">
        <f aca="false">P11*(1+IFERROR(Q11,0))^4</f>
        <v>3305360.94725922</v>
      </c>
      <c r="BJ11" s="12" t="n">
        <v>-1305687</v>
      </c>
      <c r="BK11" s="11" t="s">
        <v>110</v>
      </c>
      <c r="BL11" s="11" t="s">
        <v>111</v>
      </c>
      <c r="BM11" s="14" t="n">
        <f aca="false">O11</f>
        <v>55134045</v>
      </c>
      <c r="BN11" s="11" t="s">
        <v>112</v>
      </c>
      <c r="BO11" s="13" t="n">
        <f aca="false">IFERROR(1-L11/M11,"")</f>
        <v>0.131921009873766</v>
      </c>
      <c r="BP11" s="11" t="s">
        <v>113</v>
      </c>
      <c r="BQ11" s="12" t="n">
        <v>2084157</v>
      </c>
      <c r="BR11" s="11" t="s">
        <v>88</v>
      </c>
      <c r="BS11" s="11" t="s">
        <v>89</v>
      </c>
      <c r="BT11" s="19" t="str">
        <f aca="false">IF(OR(Z11&lt;6,AH11&lt;0.9,S11&lt;0.02,AK11&lt;1),"REVIEW",IF(AND(S11&gt;0.25,AH11&gt;1.2),"ACCELERATING","STABLE"))</f>
        <v>STABLE</v>
      </c>
    </row>
    <row r="12" customFormat="false" ht="15" hidden="false" customHeight="false" outlineLevel="0" collapsed="false">
      <c r="A12" s="11" t="s">
        <v>104</v>
      </c>
      <c r="B12" s="11" t="s">
        <v>92</v>
      </c>
      <c r="C12" s="11" t="s">
        <v>74</v>
      </c>
      <c r="D12" s="11" t="s">
        <v>75</v>
      </c>
      <c r="E12" s="11" t="s">
        <v>105</v>
      </c>
      <c r="F12" s="11" t="s">
        <v>106</v>
      </c>
      <c r="G12" s="11" t="s">
        <v>78</v>
      </c>
      <c r="H12" s="11" t="s">
        <v>79</v>
      </c>
      <c r="I12" s="11" t="s">
        <v>78</v>
      </c>
      <c r="J12" s="12" t="n">
        <v>4222000</v>
      </c>
      <c r="K12" s="13" t="n">
        <f aca="false">IFERROR(J12/M12,"")</f>
        <v>0.131921009873766</v>
      </c>
      <c r="L12" s="12" t="n">
        <v>27782000</v>
      </c>
      <c r="M12" s="14" t="n">
        <f aca="false">L12+J12</f>
        <v>32004000</v>
      </c>
      <c r="N12" s="12" t="n">
        <v>5080000</v>
      </c>
      <c r="O12" s="12" t="n">
        <v>55134045</v>
      </c>
      <c r="P12" s="12" t="n">
        <v>1733679</v>
      </c>
      <c r="Q12" s="13" t="n">
        <f aca="false">IFERROR(P12/P11-1,"")</f>
        <v>0.197048253290939</v>
      </c>
      <c r="R12" s="12" t="n">
        <v>1860241</v>
      </c>
      <c r="S12" s="13" t="n">
        <f aca="false">IFERROR(R12/R11-1,"")</f>
        <v>0.27162577483929</v>
      </c>
      <c r="T12" s="12" t="n">
        <v>1085487</v>
      </c>
      <c r="U12" s="13" t="n">
        <f aca="false">IFERROR(T12/P12,"")</f>
        <v>0.626117637694175</v>
      </c>
      <c r="V12" s="14" t="n">
        <f aca="false">T12-AV12</f>
        <v>-1734410</v>
      </c>
      <c r="W12" s="14" t="n">
        <f aca="false">V12-AA12*0.1</f>
        <v>-1734410</v>
      </c>
      <c r="X12" s="12" t="n">
        <v>3779898</v>
      </c>
      <c r="Y12" s="12" t="n">
        <v>137740</v>
      </c>
      <c r="Z12" s="15" t="n">
        <f aca="false">IFERROR(X12/Y12,"")</f>
        <v>27.4422680412371</v>
      </c>
      <c r="AA12" s="12" t="n">
        <v>0</v>
      </c>
      <c r="AB12" s="14" t="n">
        <f aca="false">W12-0.02*P12</f>
        <v>-1769083.58</v>
      </c>
      <c r="AC12" s="16" t="n">
        <v>55</v>
      </c>
      <c r="AD12" s="13" t="n">
        <f aca="false">IFERROR(AC12/AC11-1,"")</f>
        <v>0.0784313725490196</v>
      </c>
      <c r="AE12" s="17" t="n">
        <v>0.1</v>
      </c>
      <c r="AF12" s="17" t="n">
        <v>0.085</v>
      </c>
      <c r="AG12" s="13" t="n">
        <f aca="false">1-AF12</f>
        <v>0.915</v>
      </c>
      <c r="AH12" s="17" t="n">
        <v>1.156</v>
      </c>
      <c r="AI12" s="12" t="n">
        <v>42840</v>
      </c>
      <c r="AJ12" s="14" t="n">
        <f aca="false">IFERROR(AM12*U12*MIN(1/AE12,5),"")</f>
        <v>146511.527220437</v>
      </c>
      <c r="AK12" s="18" t="n">
        <f aca="false">IFERROR(AJ12/AI12,"")</f>
        <v>3.41997028992617</v>
      </c>
      <c r="AL12" s="15" t="n">
        <f aca="false">IFERROR(AI12/(AM12*U12/12),"")</f>
        <v>17.544012056694</v>
      </c>
      <c r="AM12" s="12" t="n">
        <v>46800</v>
      </c>
      <c r="AN12" s="12" t="n">
        <v>2199173</v>
      </c>
      <c r="AO12" s="12" t="n">
        <v>4496070</v>
      </c>
      <c r="AP12" s="17" t="n">
        <v>0.146</v>
      </c>
      <c r="AQ12" s="16" t="n">
        <v>42</v>
      </c>
      <c r="AR12" s="16" t="n">
        <v>4</v>
      </c>
      <c r="AS12" s="13" t="n">
        <f aca="false">IFERROR(AR12/AR11-1,"")</f>
        <v>0</v>
      </c>
      <c r="AT12" s="11" t="s">
        <v>80</v>
      </c>
      <c r="AU12" s="14" t="n">
        <f aca="false">IFERROR(P12/AR12,"")</f>
        <v>433419.75</v>
      </c>
      <c r="AV12" s="12" t="n">
        <v>2819897</v>
      </c>
      <c r="AW12" s="12" t="n">
        <v>1229514</v>
      </c>
      <c r="AX12" s="12" t="n">
        <v>885859</v>
      </c>
      <c r="AY12" s="16" t="n">
        <v>15089</v>
      </c>
      <c r="AZ12" s="13" t="n">
        <f aca="false">IFERROR(AY12/AY11-1,"")</f>
        <v>0.110301692420898</v>
      </c>
      <c r="BA12" s="17" t="n">
        <v>0.906</v>
      </c>
      <c r="BB12" s="11" t="s">
        <v>107</v>
      </c>
      <c r="BC12" s="11" t="s">
        <v>108</v>
      </c>
      <c r="BD12" s="11" t="s">
        <v>109</v>
      </c>
      <c r="BE12" s="12" t="n">
        <v>1855828</v>
      </c>
      <c r="BF12" s="13" t="n">
        <f aca="false">IFERROR(P12/BE12-1,"")</f>
        <v>-0.0658191384115339</v>
      </c>
      <c r="BG12" s="17" t="n">
        <v>0.06</v>
      </c>
      <c r="BH12" s="17" t="n">
        <v>0.005</v>
      </c>
      <c r="BI12" s="14" t="n">
        <f aca="false">P12*(1+IFERROR(Q12,0))^4</f>
        <v>3559715.73013173</v>
      </c>
      <c r="BJ12" s="12" t="n">
        <v>-1296578</v>
      </c>
      <c r="BK12" s="11" t="s">
        <v>110</v>
      </c>
      <c r="BL12" s="11" t="s">
        <v>111</v>
      </c>
      <c r="BM12" s="14" t="n">
        <f aca="false">O12</f>
        <v>55134045</v>
      </c>
      <c r="BN12" s="11" t="s">
        <v>112</v>
      </c>
      <c r="BO12" s="13" t="n">
        <f aca="false">IFERROR(1-L12/M12,"")</f>
        <v>0.131921009873766</v>
      </c>
      <c r="BP12" s="11" t="s">
        <v>113</v>
      </c>
      <c r="BQ12" s="12" t="n">
        <v>2352275</v>
      </c>
      <c r="BR12" s="11" t="s">
        <v>88</v>
      </c>
      <c r="BS12" s="11" t="s">
        <v>89</v>
      </c>
      <c r="BT12" s="19" t="str">
        <f aca="false">IF(OR(Z12&lt;6,AH12&lt;0.9,S12&lt;0.02,AK12&lt;1),"REVIEW",IF(AND(S12&gt;0.25,AH12&gt;1.2),"ACCELERATING","STABLE"))</f>
        <v>STABLE</v>
      </c>
    </row>
    <row r="13" customFormat="false" ht="15" hidden="false" customHeight="false" outlineLevel="0" collapsed="false">
      <c r="A13" s="11" t="s">
        <v>104</v>
      </c>
      <c r="B13" s="11" t="s">
        <v>93</v>
      </c>
      <c r="C13" s="11" t="s">
        <v>74</v>
      </c>
      <c r="D13" s="11" t="s">
        <v>75</v>
      </c>
      <c r="E13" s="11" t="s">
        <v>105</v>
      </c>
      <c r="F13" s="11" t="s">
        <v>106</v>
      </c>
      <c r="G13" s="11" t="s">
        <v>78</v>
      </c>
      <c r="H13" s="11" t="s">
        <v>79</v>
      </c>
      <c r="I13" s="11" t="s">
        <v>78</v>
      </c>
      <c r="J13" s="12" t="n">
        <v>4222000</v>
      </c>
      <c r="K13" s="13" t="n">
        <f aca="false">IFERROR(J13/M13,"")</f>
        <v>0.131921009873766</v>
      </c>
      <c r="L13" s="12" t="n">
        <v>27782000</v>
      </c>
      <c r="M13" s="14" t="n">
        <f aca="false">L13+J13</f>
        <v>32004000</v>
      </c>
      <c r="N13" s="12" t="n">
        <v>5080000</v>
      </c>
      <c r="O13" s="12" t="n">
        <v>55134045</v>
      </c>
      <c r="P13" s="12" t="n">
        <v>2049684</v>
      </c>
      <c r="Q13" s="13" t="n">
        <f aca="false">IFERROR(P13/P12-1,"")</f>
        <v>0.182274227235838</v>
      </c>
      <c r="R13" s="12" t="n">
        <v>2066904</v>
      </c>
      <c r="S13" s="13" t="n">
        <f aca="false">IFERROR(R13/R12-1,"")</f>
        <v>0.11109474525075</v>
      </c>
      <c r="T13" s="12" t="n">
        <v>1288497</v>
      </c>
      <c r="U13" s="13" t="n">
        <f aca="false">IFERROR(T13/P13,"")</f>
        <v>0.628632023277735</v>
      </c>
      <c r="V13" s="14" t="n">
        <f aca="false">T13-AV13</f>
        <v>-1483514</v>
      </c>
      <c r="W13" s="14" t="n">
        <f aca="false">V13-AA13*0.1</f>
        <v>-1483514</v>
      </c>
      <c r="X13" s="12" t="n">
        <v>3408000</v>
      </c>
      <c r="Y13" s="12" t="n">
        <v>142000</v>
      </c>
      <c r="Z13" s="15" t="n">
        <f aca="false">IFERROR(X13/Y13,"")</f>
        <v>24</v>
      </c>
      <c r="AA13" s="12" t="n">
        <v>0</v>
      </c>
      <c r="AB13" s="14" t="n">
        <f aca="false">W13-0.02*P13</f>
        <v>-1524507.68</v>
      </c>
      <c r="AC13" s="16" t="n">
        <v>63</v>
      </c>
      <c r="AD13" s="13" t="n">
        <f aca="false">IFERROR(AC13/AC12-1,"")</f>
        <v>0.145454545454546</v>
      </c>
      <c r="AE13" s="17" t="n">
        <v>0.097</v>
      </c>
      <c r="AF13" s="17" t="n">
        <v>0.067</v>
      </c>
      <c r="AG13" s="13" t="n">
        <f aca="false">1-AF13</f>
        <v>0.933</v>
      </c>
      <c r="AH13" s="17" t="n">
        <v>1.151</v>
      </c>
      <c r="AI13" s="12" t="n">
        <v>42000</v>
      </c>
      <c r="AJ13" s="14" t="n">
        <f aca="false">IFERROR(AM13*U13*MIN(1/AE13,5),"")</f>
        <v>149928.73755174</v>
      </c>
      <c r="AK13" s="18" t="n">
        <f aca="false">IFERROR(AJ13/AI13,"")</f>
        <v>3.56973184646999</v>
      </c>
      <c r="AL13" s="15" t="n">
        <f aca="false">IFERROR(AI13/(AM13*U13/12),"")</f>
        <v>16.8079851878321</v>
      </c>
      <c r="AM13" s="12" t="n">
        <v>47700</v>
      </c>
      <c r="AN13" s="12" t="n">
        <v>2645944</v>
      </c>
      <c r="AO13" s="12" t="n">
        <v>6711216</v>
      </c>
      <c r="AP13" s="17" t="n">
        <v>0.146</v>
      </c>
      <c r="AQ13" s="16" t="n">
        <v>42</v>
      </c>
      <c r="AR13" s="16" t="n">
        <v>4</v>
      </c>
      <c r="AS13" s="13" t="n">
        <f aca="false">IFERROR(AR13/AR12-1,"")</f>
        <v>0</v>
      </c>
      <c r="AT13" s="11" t="s">
        <v>80</v>
      </c>
      <c r="AU13" s="14" t="n">
        <f aca="false">IFERROR(P13/AR13,"")</f>
        <v>512421</v>
      </c>
      <c r="AV13" s="12" t="n">
        <v>2772011</v>
      </c>
      <c r="AW13" s="12" t="n">
        <v>1131261</v>
      </c>
      <c r="AX13" s="12" t="n">
        <v>594743</v>
      </c>
      <c r="AY13" s="16" t="n">
        <v>18206</v>
      </c>
      <c r="AZ13" s="13" t="n">
        <f aca="false">IFERROR(AY13/AY12-1,"")</f>
        <v>0.206574325667705</v>
      </c>
      <c r="BA13" s="17" t="n">
        <v>0.899</v>
      </c>
      <c r="BB13" s="11" t="s">
        <v>107</v>
      </c>
      <c r="BC13" s="11" t="s">
        <v>108</v>
      </c>
      <c r="BD13" s="11" t="s">
        <v>109</v>
      </c>
      <c r="BE13" s="12" t="n">
        <v>2053185</v>
      </c>
      <c r="BF13" s="13" t="n">
        <f aca="false">IFERROR(P13/BE13-1,"")</f>
        <v>-0.00170515564841944</v>
      </c>
      <c r="BG13" s="17" t="n">
        <v>0.009</v>
      </c>
      <c r="BH13" s="17" t="n">
        <v>-0.044</v>
      </c>
      <c r="BI13" s="14" t="n">
        <f aca="false">P13*(1+IFERROR(Q13,0))^4</f>
        <v>4004606.06217923</v>
      </c>
      <c r="BJ13" s="12" t="n">
        <v>-1057847</v>
      </c>
      <c r="BK13" s="11" t="s">
        <v>110</v>
      </c>
      <c r="BL13" s="11" t="s">
        <v>111</v>
      </c>
      <c r="BM13" s="14" t="n">
        <f aca="false">O13</f>
        <v>55134045</v>
      </c>
      <c r="BN13" s="11" t="s">
        <v>112</v>
      </c>
      <c r="BO13" s="13" t="n">
        <f aca="false">IFERROR(1-L13/M13,"")</f>
        <v>0.131921009873766</v>
      </c>
      <c r="BP13" s="11" t="s">
        <v>113</v>
      </c>
      <c r="BQ13" s="12" t="n">
        <v>2451418</v>
      </c>
      <c r="BR13" s="11" t="s">
        <v>88</v>
      </c>
      <c r="BS13" s="11" t="s">
        <v>89</v>
      </c>
      <c r="BT13" s="19" t="str">
        <f aca="false">IF(OR(Z13&lt;6,AH13&lt;0.9,S13&lt;0.02,AK13&lt;1),"REVIEW",IF(AND(S13&gt;0.25,AH13&gt;1.2),"ACCELERATING","STABLE"))</f>
        <v>STABLE</v>
      </c>
    </row>
    <row r="14" customFormat="false" ht="15" hidden="false" customHeight="false" outlineLevel="0" collapsed="false">
      <c r="A14" s="3" t="s">
        <v>114</v>
      </c>
      <c r="B14" s="3" t="s">
        <v>73</v>
      </c>
      <c r="C14" s="3" t="s">
        <v>74</v>
      </c>
      <c r="D14" s="3" t="s">
        <v>115</v>
      </c>
      <c r="E14" s="3" t="s">
        <v>116</v>
      </c>
      <c r="F14" s="3" t="s">
        <v>117</v>
      </c>
      <c r="G14" s="3" t="s">
        <v>78</v>
      </c>
      <c r="H14" s="3" t="s">
        <v>79</v>
      </c>
      <c r="I14" s="3" t="s">
        <v>78</v>
      </c>
      <c r="J14" s="4" t="n">
        <v>3466000</v>
      </c>
      <c r="K14" s="5" t="n">
        <f aca="false">IFERROR(J14/M14,"")</f>
        <v>0.133328204339129</v>
      </c>
      <c r="L14" s="4" t="n">
        <v>22530000</v>
      </c>
      <c r="M14" s="6" t="n">
        <f aca="false">L14+J14</f>
        <v>25996000</v>
      </c>
      <c r="N14" s="4" t="n">
        <v>7112000</v>
      </c>
      <c r="O14" s="4" t="n">
        <v>18223361</v>
      </c>
      <c r="P14" s="4" t="n">
        <v>1605101</v>
      </c>
      <c r="Q14" s="7"/>
      <c r="R14" s="4" t="n">
        <v>1804884</v>
      </c>
      <c r="S14" s="7"/>
      <c r="T14" s="4" t="n">
        <v>950046</v>
      </c>
      <c r="U14" s="5" t="n">
        <f aca="false">IFERROR(T14/P14,"")</f>
        <v>0.591891725193617</v>
      </c>
      <c r="V14" s="6" t="n">
        <f aca="false">T14-AV14</f>
        <v>-1589244</v>
      </c>
      <c r="W14" s="6" t="n">
        <f aca="false">V14-AA14*0.1</f>
        <v>-1589244</v>
      </c>
      <c r="X14" s="4" t="n">
        <v>2229232</v>
      </c>
      <c r="Y14" s="4" t="n">
        <v>158260</v>
      </c>
      <c r="Z14" s="8" t="n">
        <f aca="false">IFERROR(X14/Y14,"")</f>
        <v>14.0858839883736</v>
      </c>
      <c r="AA14" s="4" t="n">
        <v>0</v>
      </c>
      <c r="AB14" s="6" t="n">
        <f aca="false">W14-0.02*P14</f>
        <v>-1621346.02</v>
      </c>
      <c r="AC14" s="9" t="n">
        <v>26</v>
      </c>
      <c r="AD14" s="7"/>
      <c r="AE14" s="7" t="n">
        <v>0.166</v>
      </c>
      <c r="AF14" s="7" t="n">
        <v>0.108</v>
      </c>
      <c r="AG14" s="5" t="n">
        <f aca="false">1-AF14</f>
        <v>0.892</v>
      </c>
      <c r="AH14" s="7" t="n">
        <v>0.959</v>
      </c>
      <c r="AI14" s="4" t="n">
        <v>134064</v>
      </c>
      <c r="AJ14" s="6" t="n">
        <f aca="false">IFERROR(AM14*U14*MIN(1/AE14,5),"")</f>
        <v>156851.307176309</v>
      </c>
      <c r="AK14" s="10" t="n">
        <f aca="false">IFERROR(AJ14/AI14,"")</f>
        <v>1.16997334986505</v>
      </c>
      <c r="AL14" s="8" t="n">
        <f aca="false">IFERROR(AI14/(AM14*U14/12),"")</f>
        <v>51.2832194057416</v>
      </c>
      <c r="AM14" s="4" t="n">
        <v>53000</v>
      </c>
      <c r="AN14" s="4" t="n">
        <v>2000177</v>
      </c>
      <c r="AO14" s="4" t="n">
        <v>6068700</v>
      </c>
      <c r="AP14" s="7" t="n">
        <v>0.41</v>
      </c>
      <c r="AQ14" s="9" t="n">
        <v>41</v>
      </c>
      <c r="AR14" s="9" t="n">
        <v>4</v>
      </c>
      <c r="AS14" s="7"/>
      <c r="AT14" s="3" t="s">
        <v>118</v>
      </c>
      <c r="AU14" s="6" t="n">
        <f aca="false">IFERROR(P14/AR14,"")</f>
        <v>401275.25</v>
      </c>
      <c r="AV14" s="4" t="n">
        <v>2539290</v>
      </c>
      <c r="AW14" s="4" t="n">
        <v>896559</v>
      </c>
      <c r="AX14" s="4" t="n">
        <v>855526</v>
      </c>
      <c r="AY14" s="9" t="n">
        <v>38374</v>
      </c>
      <c r="AZ14" s="7"/>
      <c r="BA14" s="7" t="n">
        <v>0.865</v>
      </c>
      <c r="BB14" s="3" t="s">
        <v>119</v>
      </c>
      <c r="BC14" s="3" t="s">
        <v>120</v>
      </c>
      <c r="BD14" s="3" t="s">
        <v>83</v>
      </c>
      <c r="BE14" s="4" t="n">
        <v>2388101</v>
      </c>
      <c r="BF14" s="5" t="n">
        <f aca="false">IFERROR(P14/BE14-1,"")</f>
        <v>-0.327875579801692</v>
      </c>
      <c r="BG14" s="7" t="n">
        <v>0.167</v>
      </c>
      <c r="BH14" s="7" t="n">
        <v>0.203</v>
      </c>
      <c r="BI14" s="6" t="n">
        <f aca="false">P14</f>
        <v>1605101</v>
      </c>
      <c r="BJ14" s="4" t="n">
        <v>-1047785</v>
      </c>
      <c r="BK14" s="3" t="s">
        <v>121</v>
      </c>
      <c r="BL14" s="3" t="s">
        <v>122</v>
      </c>
      <c r="BM14" s="6" t="n">
        <f aca="false">O14</f>
        <v>18223361</v>
      </c>
      <c r="BN14" s="3" t="s">
        <v>123</v>
      </c>
      <c r="BO14" s="5" t="n">
        <f aca="false">IFERROR(1-L14/M14,"")</f>
        <v>0.133328204339129</v>
      </c>
      <c r="BP14" s="3" t="s">
        <v>113</v>
      </c>
      <c r="BQ14" s="4" t="n">
        <v>3009922</v>
      </c>
      <c r="BR14" s="3" t="s">
        <v>88</v>
      </c>
      <c r="BS14" s="3" t="s">
        <v>89</v>
      </c>
      <c r="BT14" s="3" t="s">
        <v>90</v>
      </c>
    </row>
    <row r="15" customFormat="false" ht="15" hidden="false" customHeight="false" outlineLevel="0" collapsed="false">
      <c r="A15" s="11" t="s">
        <v>114</v>
      </c>
      <c r="B15" s="11" t="s">
        <v>91</v>
      </c>
      <c r="C15" s="11" t="s">
        <v>74</v>
      </c>
      <c r="D15" s="11" t="s">
        <v>115</v>
      </c>
      <c r="E15" s="11" t="s">
        <v>116</v>
      </c>
      <c r="F15" s="11" t="s">
        <v>117</v>
      </c>
      <c r="G15" s="11" t="s">
        <v>78</v>
      </c>
      <c r="H15" s="11" t="s">
        <v>79</v>
      </c>
      <c r="I15" s="11" t="s">
        <v>78</v>
      </c>
      <c r="J15" s="12" t="n">
        <v>3466000</v>
      </c>
      <c r="K15" s="13" t="n">
        <f aca="false">IFERROR(J15/M15,"")</f>
        <v>0.133328204339129</v>
      </c>
      <c r="L15" s="12" t="n">
        <v>22530000</v>
      </c>
      <c r="M15" s="14" t="n">
        <f aca="false">L15+J15</f>
        <v>25996000</v>
      </c>
      <c r="N15" s="12" t="n">
        <v>7112000</v>
      </c>
      <c r="O15" s="12" t="n">
        <v>18223361</v>
      </c>
      <c r="P15" s="12" t="n">
        <v>1448775</v>
      </c>
      <c r="Q15" s="13" t="n">
        <f aca="false">IFERROR(P15/P14-1,"")</f>
        <v>-0.0973932481507395</v>
      </c>
      <c r="R15" s="12" t="n">
        <v>1595159</v>
      </c>
      <c r="S15" s="13" t="n">
        <f aca="false">IFERROR(R15/R14-1,"")</f>
        <v>-0.116198603345146</v>
      </c>
      <c r="T15" s="12" t="n">
        <v>841338</v>
      </c>
      <c r="U15" s="13" t="n">
        <f aca="false">IFERROR(T15/P15,"")</f>
        <v>0.580723714862556</v>
      </c>
      <c r="V15" s="14" t="n">
        <f aca="false">T15-AV15</f>
        <v>-1635119</v>
      </c>
      <c r="W15" s="14" t="n">
        <f aca="false">V15-AA15*0.1</f>
        <v>-1635119</v>
      </c>
      <c r="X15" s="12" t="n">
        <v>1783402</v>
      </c>
      <c r="Y15" s="12" t="n">
        <v>169840</v>
      </c>
      <c r="Z15" s="15" t="n">
        <f aca="false">IFERROR(X15/Y15,"")</f>
        <v>10.5004828073481</v>
      </c>
      <c r="AA15" s="12" t="n">
        <v>0</v>
      </c>
      <c r="AB15" s="14" t="n">
        <f aca="false">W15-0.02*P15</f>
        <v>-1664094.5</v>
      </c>
      <c r="AC15" s="16" t="n">
        <v>24</v>
      </c>
      <c r="AD15" s="13" t="n">
        <f aca="false">IFERROR(AC15/AC14-1,"")</f>
        <v>-0.0769230769230769</v>
      </c>
      <c r="AE15" s="17" t="n">
        <v>0.198</v>
      </c>
      <c r="AF15" s="17" t="n">
        <v>0.199</v>
      </c>
      <c r="AG15" s="13" t="n">
        <f aca="false">1-AF15</f>
        <v>0.801</v>
      </c>
      <c r="AH15" s="17" t="n">
        <v>0.919</v>
      </c>
      <c r="AI15" s="12" t="n">
        <v>148176</v>
      </c>
      <c r="AJ15" s="14" t="n">
        <f aca="false">IFERROR(AM15*U15*MIN(1/AE15,5),"")</f>
        <v>156969.620127349</v>
      </c>
      <c r="AK15" s="18" t="n">
        <f aca="false">IFERROR(AJ15/AI15,"")</f>
        <v>1.05934577885318</v>
      </c>
      <c r="AL15" s="15" t="n">
        <f aca="false">IFERROR(AI15/(AM15*U15/12),"")</f>
        <v>56.6387304294112</v>
      </c>
      <c r="AM15" s="12" t="n">
        <v>54060</v>
      </c>
      <c r="AN15" s="12" t="n">
        <v>2360876</v>
      </c>
      <c r="AO15" s="12" t="n">
        <v>2861601</v>
      </c>
      <c r="AP15" s="17" t="n">
        <v>0.41</v>
      </c>
      <c r="AQ15" s="16" t="n">
        <v>41</v>
      </c>
      <c r="AR15" s="16" t="n">
        <v>4</v>
      </c>
      <c r="AS15" s="13" t="n">
        <f aca="false">IFERROR(AR15/AR14-1,"")</f>
        <v>0</v>
      </c>
      <c r="AT15" s="11" t="s">
        <v>118</v>
      </c>
      <c r="AU15" s="14" t="n">
        <f aca="false">IFERROR(P15/AR15,"")</f>
        <v>362193.75</v>
      </c>
      <c r="AV15" s="12" t="n">
        <v>2476457</v>
      </c>
      <c r="AW15" s="12" t="n">
        <v>809221</v>
      </c>
      <c r="AX15" s="12" t="n">
        <v>505449</v>
      </c>
      <c r="AY15" s="16" t="n">
        <v>34768</v>
      </c>
      <c r="AZ15" s="13" t="n">
        <f aca="false">IFERROR(AY15/AY14-1,"")</f>
        <v>-0.0939698754364935</v>
      </c>
      <c r="BA15" s="17" t="n">
        <v>0.825</v>
      </c>
      <c r="BB15" s="11" t="s">
        <v>119</v>
      </c>
      <c r="BC15" s="11" t="s">
        <v>120</v>
      </c>
      <c r="BD15" s="11" t="s">
        <v>83</v>
      </c>
      <c r="BE15" s="12" t="n">
        <v>1983858</v>
      </c>
      <c r="BF15" s="13" t="n">
        <f aca="false">IFERROR(P15/BE15-1,"")</f>
        <v>-0.269718397183669</v>
      </c>
      <c r="BG15" s="17" t="n">
        <v>0.179</v>
      </c>
      <c r="BH15" s="17" t="n">
        <v>0.202</v>
      </c>
      <c r="BI15" s="14" t="n">
        <f aca="false">P15*(1+IFERROR(Q15,0))^4</f>
        <v>961601.771546646</v>
      </c>
      <c r="BJ15" s="12" t="n">
        <v>-1994872</v>
      </c>
      <c r="BK15" s="11" t="s">
        <v>121</v>
      </c>
      <c r="BL15" s="11" t="s">
        <v>122</v>
      </c>
      <c r="BM15" s="14" t="n">
        <f aca="false">O15</f>
        <v>18223361</v>
      </c>
      <c r="BN15" s="11" t="s">
        <v>123</v>
      </c>
      <c r="BO15" s="13" t="n">
        <f aca="false">IFERROR(1-L15/M15,"")</f>
        <v>0.133328204339129</v>
      </c>
      <c r="BP15" s="11" t="s">
        <v>113</v>
      </c>
      <c r="BQ15" s="12" t="n">
        <v>3223201</v>
      </c>
      <c r="BR15" s="11" t="s">
        <v>88</v>
      </c>
      <c r="BS15" s="11" t="s">
        <v>89</v>
      </c>
      <c r="BT15" s="19" t="str">
        <f aca="false">IF(OR(Z15&lt;6,AH15&lt;0.9,S15&lt;0.02,AK15&lt;1),"REVIEW",IF(AND(S15&gt;0.25,AH15&gt;1.2),"ACCELERATING","STABLE"))</f>
        <v>REVIEW</v>
      </c>
    </row>
    <row r="16" customFormat="false" ht="15" hidden="false" customHeight="false" outlineLevel="0" collapsed="false">
      <c r="A16" s="11" t="s">
        <v>114</v>
      </c>
      <c r="B16" s="11" t="s">
        <v>92</v>
      </c>
      <c r="C16" s="11" t="s">
        <v>74</v>
      </c>
      <c r="D16" s="11" t="s">
        <v>115</v>
      </c>
      <c r="E16" s="11" t="s">
        <v>116</v>
      </c>
      <c r="F16" s="11" t="s">
        <v>117</v>
      </c>
      <c r="G16" s="11" t="s">
        <v>78</v>
      </c>
      <c r="H16" s="11" t="s">
        <v>79</v>
      </c>
      <c r="I16" s="11" t="s">
        <v>78</v>
      </c>
      <c r="J16" s="12" t="n">
        <v>3466000</v>
      </c>
      <c r="K16" s="13" t="n">
        <f aca="false">IFERROR(J16/M16,"")</f>
        <v>0.133328204339129</v>
      </c>
      <c r="L16" s="12" t="n">
        <v>22530000</v>
      </c>
      <c r="M16" s="14" t="n">
        <f aca="false">L16+J16</f>
        <v>25996000</v>
      </c>
      <c r="N16" s="12" t="n">
        <v>7112000</v>
      </c>
      <c r="O16" s="12" t="n">
        <v>18223361</v>
      </c>
      <c r="P16" s="12" t="n">
        <v>1273735</v>
      </c>
      <c r="Q16" s="13" t="n">
        <f aca="false">IFERROR(P16/P15-1,"")</f>
        <v>-0.120819312867768</v>
      </c>
      <c r="R16" s="12" t="n">
        <v>1424955</v>
      </c>
      <c r="S16" s="13" t="n">
        <f aca="false">IFERROR(R16/R15-1,"")</f>
        <v>-0.106700335201695</v>
      </c>
      <c r="T16" s="12" t="n">
        <v>725464</v>
      </c>
      <c r="U16" s="13" t="n">
        <f aca="false">IFERROR(T16/P16,"")</f>
        <v>0.569556461901416</v>
      </c>
      <c r="V16" s="14" t="n">
        <f aca="false">T16-AV16</f>
        <v>-2258359</v>
      </c>
      <c r="W16" s="14" t="n">
        <f aca="false">V16-AA16*0.1</f>
        <v>-2258359</v>
      </c>
      <c r="X16" s="12" t="n">
        <v>1261144</v>
      </c>
      <c r="Y16" s="12" t="n">
        <v>181420</v>
      </c>
      <c r="Z16" s="15" t="n">
        <f aca="false">IFERROR(X16/Y16,"")</f>
        <v>6.95151581964502</v>
      </c>
      <c r="AA16" s="12" t="n">
        <v>0</v>
      </c>
      <c r="AB16" s="14" t="n">
        <f aca="false">W16-0.02*P16</f>
        <v>-2283833.7</v>
      </c>
      <c r="AC16" s="16" t="n">
        <v>22</v>
      </c>
      <c r="AD16" s="13" t="n">
        <f aca="false">IFERROR(AC16/AC15-1,"")</f>
        <v>-0.0833333333333334</v>
      </c>
      <c r="AE16" s="17" t="n">
        <v>0.229</v>
      </c>
      <c r="AF16" s="17" t="n">
        <v>0.193</v>
      </c>
      <c r="AG16" s="13" t="n">
        <f aca="false">1-AF16</f>
        <v>0.807</v>
      </c>
      <c r="AH16" s="17" t="n">
        <v>0.879</v>
      </c>
      <c r="AI16" s="12" t="n">
        <v>162288</v>
      </c>
      <c r="AJ16" s="14" t="n">
        <f aca="false">IFERROR(AM16*U16*MIN(1/AE16,5),"")</f>
        <v>137091.494235834</v>
      </c>
      <c r="AK16" s="18" t="n">
        <f aca="false">IFERROR(AJ16/AI16,"")</f>
        <v>0.844742027973937</v>
      </c>
      <c r="AL16" s="15" t="n">
        <f aca="false">IFERROR(AI16/(AM16*U16/12),"")</f>
        <v>62.0328396002425</v>
      </c>
      <c r="AM16" s="12" t="n">
        <v>55120</v>
      </c>
      <c r="AN16" s="12" t="n">
        <v>1731588</v>
      </c>
      <c r="AO16" s="12" t="n">
        <v>5587830</v>
      </c>
      <c r="AP16" s="17" t="n">
        <v>0.41</v>
      </c>
      <c r="AQ16" s="16" t="n">
        <v>41</v>
      </c>
      <c r="AR16" s="16" t="n">
        <v>3</v>
      </c>
      <c r="AS16" s="13" t="n">
        <f aca="false">IFERROR(AR16/AR15-1,"")</f>
        <v>-0.25</v>
      </c>
      <c r="AT16" s="11" t="s">
        <v>118</v>
      </c>
      <c r="AU16" s="14" t="n">
        <f aca="false">IFERROR(P16/AR16,"")</f>
        <v>424578.333333333</v>
      </c>
      <c r="AV16" s="12" t="n">
        <v>2983823</v>
      </c>
      <c r="AW16" s="12" t="n">
        <v>1222276</v>
      </c>
      <c r="AX16" s="12" t="n">
        <v>629908</v>
      </c>
      <c r="AY16" s="16" t="n">
        <v>31972</v>
      </c>
      <c r="AZ16" s="13" t="n">
        <f aca="false">IFERROR(AY16/AY15-1,"")</f>
        <v>-0.0804187758858721</v>
      </c>
      <c r="BA16" s="17" t="n">
        <v>0.827</v>
      </c>
      <c r="BB16" s="11" t="s">
        <v>119</v>
      </c>
      <c r="BC16" s="11" t="s">
        <v>120</v>
      </c>
      <c r="BD16" s="11" t="s">
        <v>83</v>
      </c>
      <c r="BE16" s="12" t="n">
        <v>1983526</v>
      </c>
      <c r="BF16" s="13" t="n">
        <f aca="false">IFERROR(P16/BE16-1,"")</f>
        <v>-0.357843053229451</v>
      </c>
      <c r="BG16" s="17" t="n">
        <v>0.199</v>
      </c>
      <c r="BH16" s="17" t="n">
        <v>0.265</v>
      </c>
      <c r="BI16" s="14" t="n">
        <f aca="false">P16*(1+IFERROR(Q16,0))^4</f>
        <v>761012.237114062</v>
      </c>
      <c r="BJ16" s="12" t="n">
        <v>-1928246</v>
      </c>
      <c r="BK16" s="11" t="s">
        <v>121</v>
      </c>
      <c r="BL16" s="11" t="s">
        <v>122</v>
      </c>
      <c r="BM16" s="14" t="n">
        <f aca="false">O16</f>
        <v>18223361</v>
      </c>
      <c r="BN16" s="11" t="s">
        <v>123</v>
      </c>
      <c r="BO16" s="13" t="n">
        <f aca="false">IFERROR(1-L16/M16,"")</f>
        <v>0.133328204339129</v>
      </c>
      <c r="BP16" s="11" t="s">
        <v>113</v>
      </c>
      <c r="BQ16" s="12" t="n">
        <v>3524006</v>
      </c>
      <c r="BR16" s="11" t="s">
        <v>88</v>
      </c>
      <c r="BS16" s="11" t="s">
        <v>89</v>
      </c>
      <c r="BT16" s="19" t="str">
        <f aca="false">IF(OR(Z16&lt;6,AH16&lt;0.9,S16&lt;0.02,AK16&lt;1),"REVIEW",IF(AND(S16&gt;0.25,AH16&gt;1.2),"ACCELERATING","STABLE"))</f>
        <v>REVIEW</v>
      </c>
    </row>
    <row r="17" customFormat="false" ht="15" hidden="false" customHeight="false" outlineLevel="0" collapsed="false">
      <c r="A17" s="11" t="s">
        <v>114</v>
      </c>
      <c r="B17" s="11" t="s">
        <v>93</v>
      </c>
      <c r="C17" s="11" t="s">
        <v>74</v>
      </c>
      <c r="D17" s="11" t="s">
        <v>115</v>
      </c>
      <c r="E17" s="11" t="s">
        <v>116</v>
      </c>
      <c r="F17" s="11" t="s">
        <v>117</v>
      </c>
      <c r="G17" s="11" t="s">
        <v>78</v>
      </c>
      <c r="H17" s="11" t="s">
        <v>79</v>
      </c>
      <c r="I17" s="11" t="s">
        <v>78</v>
      </c>
      <c r="J17" s="12" t="n">
        <v>3466000</v>
      </c>
      <c r="K17" s="13" t="n">
        <f aca="false">IFERROR(J17/M17,"")</f>
        <v>0.133328204339129</v>
      </c>
      <c r="L17" s="12" t="n">
        <v>22530000</v>
      </c>
      <c r="M17" s="14" t="n">
        <f aca="false">L17+J17</f>
        <v>25996000</v>
      </c>
      <c r="N17" s="12" t="n">
        <v>7112000</v>
      </c>
      <c r="O17" s="12" t="n">
        <v>18223361</v>
      </c>
      <c r="P17" s="12" t="n">
        <v>1157725</v>
      </c>
      <c r="Q17" s="13" t="n">
        <f aca="false">IFERROR(P17/P16-1,"")</f>
        <v>-0.0910785995517121</v>
      </c>
      <c r="R17" s="12" t="n">
        <v>1297304</v>
      </c>
      <c r="S17" s="13" t="n">
        <f aca="false">IFERROR(R17/R16-1,"")</f>
        <v>-0.0895824780431663</v>
      </c>
      <c r="T17" s="12" t="n">
        <v>646460</v>
      </c>
      <c r="U17" s="13" t="n">
        <f aca="false">IFERROR(T17/P17,"")</f>
        <v>0.558388218272906</v>
      </c>
      <c r="V17" s="14" t="n">
        <f aca="false">T17-AV17</f>
        <v>-2346992</v>
      </c>
      <c r="W17" s="14" t="n">
        <f aca="false">V17-AA17*0.1</f>
        <v>-2346992</v>
      </c>
      <c r="X17" s="12" t="n">
        <v>662458</v>
      </c>
      <c r="Y17" s="12" t="n">
        <v>193000</v>
      </c>
      <c r="Z17" s="15" t="n">
        <f aca="false">IFERROR(X17/Y17,"")</f>
        <v>3.43242487046632</v>
      </c>
      <c r="AA17" s="12" t="n">
        <v>0</v>
      </c>
      <c r="AB17" s="14" t="n">
        <f aca="false">W17-0.02*P17</f>
        <v>-2370146.5</v>
      </c>
      <c r="AC17" s="16" t="n">
        <v>20</v>
      </c>
      <c r="AD17" s="13" t="n">
        <f aca="false">IFERROR(AC17/AC16-1,"")</f>
        <v>-0.0909090909090909</v>
      </c>
      <c r="AE17" s="17" t="n">
        <v>0.26</v>
      </c>
      <c r="AF17" s="17" t="n">
        <v>0.208</v>
      </c>
      <c r="AG17" s="13" t="n">
        <f aca="false">1-AF17</f>
        <v>0.792</v>
      </c>
      <c r="AH17" s="17" t="n">
        <v>0.839</v>
      </c>
      <c r="AI17" s="12" t="n">
        <v>176400</v>
      </c>
      <c r="AJ17" s="14" t="n">
        <f aca="false">IFERROR(AM17*U17*MIN(1/AE17,5),"")</f>
        <v>120654.808086815</v>
      </c>
      <c r="AK17" s="18" t="n">
        <f aca="false">IFERROR(AJ17/AI17,"")</f>
        <v>0.683984172827749</v>
      </c>
      <c r="AL17" s="15" t="n">
        <f aca="false">IFERROR(AI17/(AM17*U17/12),"")</f>
        <v>67.4779446475136</v>
      </c>
      <c r="AM17" s="12" t="n">
        <v>56180</v>
      </c>
      <c r="AN17" s="12" t="n">
        <v>1193920</v>
      </c>
      <c r="AO17" s="12" t="n">
        <v>3376749</v>
      </c>
      <c r="AP17" s="17" t="n">
        <v>0.41</v>
      </c>
      <c r="AQ17" s="16" t="n">
        <v>41</v>
      </c>
      <c r="AR17" s="16" t="n">
        <v>3</v>
      </c>
      <c r="AS17" s="13" t="n">
        <f aca="false">IFERROR(AR17/AR16-1,"")</f>
        <v>0</v>
      </c>
      <c r="AT17" s="11" t="s">
        <v>118</v>
      </c>
      <c r="AU17" s="14" t="n">
        <f aca="false">IFERROR(P17/AR17,"")</f>
        <v>385908.333333333</v>
      </c>
      <c r="AV17" s="12" t="n">
        <v>2993452</v>
      </c>
      <c r="AW17" s="12" t="n">
        <v>1182824</v>
      </c>
      <c r="AX17" s="12" t="n">
        <v>906461</v>
      </c>
      <c r="AY17" s="16" t="n">
        <v>28478</v>
      </c>
      <c r="AZ17" s="13" t="n">
        <f aca="false">IFERROR(AY17/AY16-1,"")</f>
        <v>-0.109283122732391</v>
      </c>
      <c r="BA17" s="17" t="n">
        <v>0.814</v>
      </c>
      <c r="BB17" s="11" t="s">
        <v>119</v>
      </c>
      <c r="BC17" s="11" t="s">
        <v>120</v>
      </c>
      <c r="BD17" s="11" t="s">
        <v>83</v>
      </c>
      <c r="BE17" s="12" t="n">
        <v>1931779</v>
      </c>
      <c r="BF17" s="13" t="n">
        <f aca="false">IFERROR(P17/BE17-1,"")</f>
        <v>-0.400694903506043</v>
      </c>
      <c r="BG17" s="17" t="n">
        <v>0.247</v>
      </c>
      <c r="BH17" s="17" t="n">
        <v>0.244</v>
      </c>
      <c r="BI17" s="14" t="n">
        <f aca="false">P17*(1+IFERROR(Q17,0))^4</f>
        <v>790152.152273978</v>
      </c>
      <c r="BJ17" s="12" t="n">
        <v>-1309747</v>
      </c>
      <c r="BK17" s="11" t="s">
        <v>121</v>
      </c>
      <c r="BL17" s="11" t="s">
        <v>122</v>
      </c>
      <c r="BM17" s="14" t="n">
        <f aca="false">O17</f>
        <v>18223361</v>
      </c>
      <c r="BN17" s="11" t="s">
        <v>123</v>
      </c>
      <c r="BO17" s="13" t="n">
        <f aca="false">IFERROR(1-L17/M17,"")</f>
        <v>0.133328204339129</v>
      </c>
      <c r="BP17" s="11" t="s">
        <v>113</v>
      </c>
      <c r="BQ17" s="12" t="n">
        <v>2501511</v>
      </c>
      <c r="BR17" s="11" t="s">
        <v>88</v>
      </c>
      <c r="BS17" s="11" t="s">
        <v>89</v>
      </c>
      <c r="BT17" s="19" t="str">
        <f aca="false">IF(OR(Z17&lt;6,AH17&lt;0.9,S17&lt;0.02,AK17&lt;1),"REVIEW",IF(AND(S17&gt;0.25,AH17&gt;1.2),"ACCELERATING","STABLE"))</f>
        <v>REVIEW</v>
      </c>
    </row>
    <row r="18" customFormat="false" ht="15" hidden="false" customHeight="false" outlineLevel="0" collapsed="false">
      <c r="A18" s="3" t="s">
        <v>124</v>
      </c>
      <c r="B18" s="3" t="s">
        <v>73</v>
      </c>
      <c r="C18" s="3" t="s">
        <v>74</v>
      </c>
      <c r="D18" s="3" t="s">
        <v>75</v>
      </c>
      <c r="E18" s="3" t="s">
        <v>105</v>
      </c>
      <c r="F18" s="3" t="s">
        <v>125</v>
      </c>
      <c r="G18" s="3" t="s">
        <v>78</v>
      </c>
      <c r="H18" s="3" t="s">
        <v>79</v>
      </c>
      <c r="I18" s="3" t="s">
        <v>78</v>
      </c>
      <c r="J18" s="4" t="n">
        <v>6230000</v>
      </c>
      <c r="K18" s="5" t="n">
        <f aca="false">IFERROR(J18/M18,"")</f>
        <v>0.19410518444666</v>
      </c>
      <c r="L18" s="4" t="n">
        <v>25866000</v>
      </c>
      <c r="M18" s="6" t="n">
        <f aca="false">L18+J18</f>
        <v>32096000</v>
      </c>
      <c r="N18" s="4" t="n">
        <v>6230000</v>
      </c>
      <c r="O18" s="4" t="n">
        <v>69528472</v>
      </c>
      <c r="P18" s="4" t="n">
        <v>1239586</v>
      </c>
      <c r="Q18" s="7"/>
      <c r="R18" s="4" t="n">
        <v>1431341</v>
      </c>
      <c r="S18" s="7"/>
      <c r="T18" s="4" t="n">
        <v>859045</v>
      </c>
      <c r="U18" s="5" t="n">
        <f aca="false">IFERROR(T18/P18,"")</f>
        <v>0.69300960159279</v>
      </c>
      <c r="V18" s="6" t="n">
        <f aca="false">T18-AV18</f>
        <v>-2542065</v>
      </c>
      <c r="W18" s="6" t="n">
        <f aca="false">V18-AA18*0.1</f>
        <v>-2542065</v>
      </c>
      <c r="X18" s="4" t="n">
        <v>4158235</v>
      </c>
      <c r="Y18" s="4" t="n">
        <v>199290</v>
      </c>
      <c r="Z18" s="8" t="n">
        <f aca="false">IFERROR(X18/Y18,"")</f>
        <v>20.8652466255206</v>
      </c>
      <c r="AA18" s="4" t="n">
        <v>0</v>
      </c>
      <c r="AB18" s="6" t="n">
        <f aca="false">W18-0.02*P18</f>
        <v>-2566856.72</v>
      </c>
      <c r="AC18" s="9" t="n">
        <v>55</v>
      </c>
      <c r="AD18" s="7"/>
      <c r="AE18" s="7" t="n">
        <v>0.108</v>
      </c>
      <c r="AF18" s="7" t="n">
        <v>0.076</v>
      </c>
      <c r="AG18" s="5" t="n">
        <f aca="false">1-AF18</f>
        <v>0.924</v>
      </c>
      <c r="AH18" s="7" t="n">
        <v>1.123</v>
      </c>
      <c r="AI18" s="4" t="n">
        <v>38266</v>
      </c>
      <c r="AJ18" s="6" t="n">
        <f aca="false">IFERROR(AM18*U18*MIN(1/AE18,5),"")</f>
        <v>135136.872310594</v>
      </c>
      <c r="AK18" s="10" t="n">
        <f aca="false">IFERROR(AJ18/AI18,"")</f>
        <v>3.53151289161642</v>
      </c>
      <c r="AL18" s="8" t="n">
        <f aca="false">IFERROR(AI18/(AM18*U18/12),"")</f>
        <v>16.989885593349</v>
      </c>
      <c r="AM18" s="4" t="n">
        <v>39000</v>
      </c>
      <c r="AN18" s="4" t="n">
        <v>1998717</v>
      </c>
      <c r="AO18" s="4" t="n">
        <v>2225998</v>
      </c>
      <c r="AP18" s="7" t="n">
        <v>0.145</v>
      </c>
      <c r="AQ18" s="9" t="n">
        <v>31</v>
      </c>
      <c r="AR18" s="9" t="n">
        <v>2</v>
      </c>
      <c r="AS18" s="7"/>
      <c r="AT18" s="3" t="s">
        <v>80</v>
      </c>
      <c r="AU18" s="6" t="n">
        <f aca="false">IFERROR(P18/AR18,"")</f>
        <v>619793</v>
      </c>
      <c r="AV18" s="4" t="n">
        <v>3401110</v>
      </c>
      <c r="AW18" s="4" t="n">
        <v>1424348</v>
      </c>
      <c r="AX18" s="4" t="n">
        <v>938918</v>
      </c>
      <c r="AY18" s="9" t="n">
        <v>17997</v>
      </c>
      <c r="AZ18" s="7"/>
      <c r="BA18" s="7" t="n">
        <v>0.889</v>
      </c>
      <c r="BB18" s="3" t="s">
        <v>81</v>
      </c>
      <c r="BC18" s="3" t="s">
        <v>126</v>
      </c>
      <c r="BD18" s="3" t="s">
        <v>109</v>
      </c>
      <c r="BE18" s="4" t="n">
        <v>1401260</v>
      </c>
      <c r="BF18" s="5" t="n">
        <f aca="false">IFERROR(P18/BE18-1,"")</f>
        <v>-0.115377588741561</v>
      </c>
      <c r="BG18" s="7" t="n">
        <v>-0.008</v>
      </c>
      <c r="BH18" s="7" t="n">
        <v>-0.06</v>
      </c>
      <c r="BI18" s="6" t="n">
        <f aca="false">P18</f>
        <v>1239586</v>
      </c>
      <c r="BJ18" s="4" t="n">
        <v>-1541820</v>
      </c>
      <c r="BK18" s="3" t="s">
        <v>127</v>
      </c>
      <c r="BL18" s="3" t="s">
        <v>128</v>
      </c>
      <c r="BM18" s="6" t="n">
        <f aca="false">O18</f>
        <v>69528472</v>
      </c>
      <c r="BN18" s="3" t="s">
        <v>129</v>
      </c>
      <c r="BO18" s="5" t="n">
        <f aca="false">IFERROR(1-L18/M18,"")</f>
        <v>0.19410518444666</v>
      </c>
      <c r="BP18" s="3" t="s">
        <v>130</v>
      </c>
      <c r="BQ18" s="4" t="n">
        <v>3339506</v>
      </c>
      <c r="BR18" s="3" t="s">
        <v>88</v>
      </c>
      <c r="BS18" s="3" t="s">
        <v>89</v>
      </c>
      <c r="BT18" s="3" t="s">
        <v>90</v>
      </c>
    </row>
    <row r="19" customFormat="false" ht="15" hidden="false" customHeight="false" outlineLevel="0" collapsed="false">
      <c r="A19" s="11" t="s">
        <v>124</v>
      </c>
      <c r="B19" s="11" t="s">
        <v>91</v>
      </c>
      <c r="C19" s="11" t="s">
        <v>74</v>
      </c>
      <c r="D19" s="11" t="s">
        <v>75</v>
      </c>
      <c r="E19" s="11" t="s">
        <v>105</v>
      </c>
      <c r="F19" s="11" t="s">
        <v>125</v>
      </c>
      <c r="G19" s="11" t="s">
        <v>78</v>
      </c>
      <c r="H19" s="11" t="s">
        <v>79</v>
      </c>
      <c r="I19" s="11" t="s">
        <v>78</v>
      </c>
      <c r="J19" s="12" t="n">
        <v>6230000</v>
      </c>
      <c r="K19" s="13" t="n">
        <f aca="false">IFERROR(J19/M19,"")</f>
        <v>0.19410518444666</v>
      </c>
      <c r="L19" s="12" t="n">
        <v>25866000</v>
      </c>
      <c r="M19" s="14" t="n">
        <f aca="false">L19+J19</f>
        <v>32096000</v>
      </c>
      <c r="N19" s="12" t="n">
        <v>6230000</v>
      </c>
      <c r="O19" s="12" t="n">
        <v>69528472</v>
      </c>
      <c r="P19" s="12" t="n">
        <v>1433077</v>
      </c>
      <c r="Q19" s="13" t="n">
        <f aca="false">IFERROR(P19/P18-1,"")</f>
        <v>0.156093244034702</v>
      </c>
      <c r="R19" s="12" t="n">
        <v>1553218</v>
      </c>
      <c r="S19" s="13" t="n">
        <f aca="false">IFERROR(R19/R18-1,"")</f>
        <v>0.0851488219788297</v>
      </c>
      <c r="T19" s="12" t="n">
        <v>997157</v>
      </c>
      <c r="U19" s="13" t="n">
        <f aca="false">IFERROR(T19/P19,"")</f>
        <v>0.695815367911145</v>
      </c>
      <c r="V19" s="14" t="n">
        <f aca="false">T19-AV19</f>
        <v>-2011623</v>
      </c>
      <c r="W19" s="14" t="n">
        <f aca="false">V19-AA19*0.1</f>
        <v>-2011623</v>
      </c>
      <c r="X19" s="12" t="n">
        <v>3655630</v>
      </c>
      <c r="Y19" s="12" t="n">
        <v>205860</v>
      </c>
      <c r="Z19" s="15" t="n">
        <f aca="false">IFERROR(X19/Y19,"")</f>
        <v>17.7578451374721</v>
      </c>
      <c r="AA19" s="12" t="n">
        <v>0</v>
      </c>
      <c r="AB19" s="14" t="n">
        <f aca="false">W19-0.02*P19</f>
        <v>-2040284.54</v>
      </c>
      <c r="AC19" s="16" t="n">
        <v>61</v>
      </c>
      <c r="AD19" s="13" t="n">
        <f aca="false">IFERROR(AC19/AC18-1,"")</f>
        <v>0.109090909090909</v>
      </c>
      <c r="AE19" s="17" t="n">
        <v>0.105</v>
      </c>
      <c r="AF19" s="17" t="n">
        <v>0.095</v>
      </c>
      <c r="AG19" s="13" t="n">
        <f aca="false">1-AF19</f>
        <v>0.905</v>
      </c>
      <c r="AH19" s="17" t="n">
        <v>1.118</v>
      </c>
      <c r="AI19" s="12" t="n">
        <v>37544</v>
      </c>
      <c r="AJ19" s="14" t="n">
        <f aca="false">IFERROR(AM19*U19*MIN(1/AE19,5),"")</f>
        <v>138397.676677527</v>
      </c>
      <c r="AK19" s="18" t="n">
        <f aca="false">IFERROR(AJ19/AI19,"")</f>
        <v>3.68627947681458</v>
      </c>
      <c r="AL19" s="15" t="n">
        <f aca="false">IFERROR(AI19/(AM19*U19/12),"")</f>
        <v>16.2765738130761</v>
      </c>
      <c r="AM19" s="12" t="n">
        <v>39780</v>
      </c>
      <c r="AN19" s="12" t="n">
        <v>2027070</v>
      </c>
      <c r="AO19" s="12" t="n">
        <v>4063717</v>
      </c>
      <c r="AP19" s="17" t="n">
        <v>0.145</v>
      </c>
      <c r="AQ19" s="16" t="n">
        <v>31</v>
      </c>
      <c r="AR19" s="16" t="n">
        <v>2</v>
      </c>
      <c r="AS19" s="13" t="n">
        <f aca="false">IFERROR(AR19/AR18-1,"")</f>
        <v>0</v>
      </c>
      <c r="AT19" s="11" t="s">
        <v>80</v>
      </c>
      <c r="AU19" s="14" t="n">
        <f aca="false">IFERROR(P19/AR19,"")</f>
        <v>716538.5</v>
      </c>
      <c r="AV19" s="12" t="n">
        <v>3008780</v>
      </c>
      <c r="AW19" s="12" t="n">
        <v>1275737</v>
      </c>
      <c r="AX19" s="12" t="n">
        <v>647594</v>
      </c>
      <c r="AY19" s="16" t="n">
        <v>18135</v>
      </c>
      <c r="AZ19" s="13" t="n">
        <f aca="false">IFERROR(AY19/AY18-1,"")</f>
        <v>0.0076679446574428</v>
      </c>
      <c r="BA19" s="17" t="n">
        <v>0.893</v>
      </c>
      <c r="BB19" s="11" t="s">
        <v>81</v>
      </c>
      <c r="BC19" s="11" t="s">
        <v>126</v>
      </c>
      <c r="BD19" s="11" t="s">
        <v>109</v>
      </c>
      <c r="BE19" s="12" t="n">
        <v>1335831</v>
      </c>
      <c r="BF19" s="13" t="n">
        <f aca="false">IFERROR(P19/BE19-1,"")</f>
        <v>0.0727981309012891</v>
      </c>
      <c r="BG19" s="17" t="n">
        <v>0.049</v>
      </c>
      <c r="BH19" s="17" t="n">
        <v>0.087</v>
      </c>
      <c r="BI19" s="14" t="n">
        <f aca="false">P19*(1+IFERROR(Q19,0))^4</f>
        <v>2560005.97516247</v>
      </c>
      <c r="BJ19" s="12" t="n">
        <v>-2239459</v>
      </c>
      <c r="BK19" s="11" t="s">
        <v>127</v>
      </c>
      <c r="BL19" s="11" t="s">
        <v>128</v>
      </c>
      <c r="BM19" s="14" t="n">
        <f aca="false">O19</f>
        <v>69528472</v>
      </c>
      <c r="BN19" s="11" t="s">
        <v>129</v>
      </c>
      <c r="BO19" s="13" t="n">
        <f aca="false">IFERROR(1-L19/M19,"")</f>
        <v>0.19410518444666</v>
      </c>
      <c r="BP19" s="11" t="s">
        <v>130</v>
      </c>
      <c r="BQ19" s="12" t="n">
        <v>3147935</v>
      </c>
      <c r="BR19" s="11" t="s">
        <v>88</v>
      </c>
      <c r="BS19" s="11" t="s">
        <v>89</v>
      </c>
      <c r="BT19" s="19" t="str">
        <f aca="false">IF(OR(Z19&lt;6,AH19&lt;0.9,S19&lt;0.02,AK19&lt;1),"REVIEW",IF(AND(S19&gt;0.25,AH19&gt;1.2),"ACCELERATING","STABLE"))</f>
        <v>STABLE</v>
      </c>
    </row>
    <row r="20" customFormat="false" ht="15" hidden="false" customHeight="false" outlineLevel="0" collapsed="false">
      <c r="A20" s="11" t="s">
        <v>124</v>
      </c>
      <c r="B20" s="11" t="s">
        <v>92</v>
      </c>
      <c r="C20" s="11" t="s">
        <v>74</v>
      </c>
      <c r="D20" s="11" t="s">
        <v>75</v>
      </c>
      <c r="E20" s="11" t="s">
        <v>105</v>
      </c>
      <c r="F20" s="11" t="s">
        <v>125</v>
      </c>
      <c r="G20" s="11" t="s">
        <v>78</v>
      </c>
      <c r="H20" s="11" t="s">
        <v>79</v>
      </c>
      <c r="I20" s="11" t="s">
        <v>78</v>
      </c>
      <c r="J20" s="12" t="n">
        <v>6230000</v>
      </c>
      <c r="K20" s="13" t="n">
        <f aca="false">IFERROR(J20/M20,"")</f>
        <v>0.19410518444666</v>
      </c>
      <c r="L20" s="12" t="n">
        <v>25866000</v>
      </c>
      <c r="M20" s="14" t="n">
        <f aca="false">L20+J20</f>
        <v>32096000</v>
      </c>
      <c r="N20" s="12" t="n">
        <v>6230000</v>
      </c>
      <c r="O20" s="12" t="n">
        <v>69528472</v>
      </c>
      <c r="P20" s="12" t="n">
        <v>1563950</v>
      </c>
      <c r="Q20" s="13" t="n">
        <f aca="false">IFERROR(P20/P19-1,"")</f>
        <v>0.09132307615013</v>
      </c>
      <c r="R20" s="12" t="n">
        <v>1747596</v>
      </c>
      <c r="S20" s="13" t="n">
        <f aca="false">IFERROR(R20/R19-1,"")</f>
        <v>0.125145343409618</v>
      </c>
      <c r="T20" s="12" t="n">
        <v>1092609</v>
      </c>
      <c r="U20" s="13" t="n">
        <f aca="false">IFERROR(T20/P20,"")</f>
        <v>0.698621439304326</v>
      </c>
      <c r="V20" s="14" t="n">
        <f aca="false">T20-AV20</f>
        <v>-2035891</v>
      </c>
      <c r="W20" s="14" t="n">
        <f aca="false">V20-AA20*0.1</f>
        <v>-2035891</v>
      </c>
      <c r="X20" s="12" t="n">
        <v>3117547</v>
      </c>
      <c r="Y20" s="12" t="n">
        <v>212430</v>
      </c>
      <c r="Z20" s="15" t="n">
        <f aca="false">IFERROR(X20/Y20,"")</f>
        <v>14.6756437414678</v>
      </c>
      <c r="AA20" s="12" t="n">
        <v>0</v>
      </c>
      <c r="AB20" s="14" t="n">
        <f aca="false">W20-0.02*P20</f>
        <v>-2067170</v>
      </c>
      <c r="AC20" s="16" t="n">
        <v>68</v>
      </c>
      <c r="AD20" s="13" t="n">
        <f aca="false">IFERROR(AC20/AC19-1,"")</f>
        <v>0.114754098360656</v>
      </c>
      <c r="AE20" s="17" t="n">
        <v>0.102</v>
      </c>
      <c r="AF20" s="17" t="n">
        <v>0.071</v>
      </c>
      <c r="AG20" s="13" t="n">
        <f aca="false">1-AF20</f>
        <v>0.929</v>
      </c>
      <c r="AH20" s="17" t="n">
        <v>1.113</v>
      </c>
      <c r="AI20" s="12" t="n">
        <v>36822</v>
      </c>
      <c r="AJ20" s="14" t="n">
        <f aca="false">IFERROR(AM20*U20*MIN(1/AE20,5),"")</f>
        <v>141680.427890917</v>
      </c>
      <c r="AK20" s="18" t="n">
        <f aca="false">IFERROR(AJ20/AI20,"")</f>
        <v>3.84771136524136</v>
      </c>
      <c r="AL20" s="15" t="n">
        <f aca="false">IFERROR(AI20/(AM20*U20/12),"")</f>
        <v>15.5936852597665</v>
      </c>
      <c r="AM20" s="12" t="n">
        <v>40560</v>
      </c>
      <c r="AN20" s="12" t="n">
        <v>2436266</v>
      </c>
      <c r="AO20" s="12" t="n">
        <v>5699181</v>
      </c>
      <c r="AP20" s="17" t="n">
        <v>0.145</v>
      </c>
      <c r="AQ20" s="16" t="n">
        <v>31</v>
      </c>
      <c r="AR20" s="16" t="n">
        <v>2</v>
      </c>
      <c r="AS20" s="13" t="n">
        <f aca="false">IFERROR(AR20/AR19-1,"")</f>
        <v>0</v>
      </c>
      <c r="AT20" s="11" t="s">
        <v>80</v>
      </c>
      <c r="AU20" s="14" t="n">
        <f aca="false">IFERROR(P20/AR20,"")</f>
        <v>781975</v>
      </c>
      <c r="AV20" s="12" t="n">
        <v>3128500</v>
      </c>
      <c r="AW20" s="12" t="n">
        <v>1203824</v>
      </c>
      <c r="AX20" s="12" t="n">
        <v>760163</v>
      </c>
      <c r="AY20" s="16" t="n">
        <v>19346</v>
      </c>
      <c r="AZ20" s="13" t="n">
        <f aca="false">IFERROR(AY20/AY19-1,"")</f>
        <v>0.0667769506479183</v>
      </c>
      <c r="BA20" s="17" t="n">
        <v>0.907</v>
      </c>
      <c r="BB20" s="11" t="s">
        <v>81</v>
      </c>
      <c r="BC20" s="11" t="s">
        <v>126</v>
      </c>
      <c r="BD20" s="11" t="s">
        <v>109</v>
      </c>
      <c r="BE20" s="12" t="n">
        <v>1885534</v>
      </c>
      <c r="BF20" s="13" t="n">
        <f aca="false">IFERROR(P20/BE20-1,"")</f>
        <v>-0.170553275623776</v>
      </c>
      <c r="BG20" s="17" t="n">
        <v>0.012</v>
      </c>
      <c r="BH20" s="17" t="n">
        <v>-0.008</v>
      </c>
      <c r="BI20" s="14" t="n">
        <f aca="false">P20*(1+IFERROR(Q20,0))^4</f>
        <v>2218381.4162713</v>
      </c>
      <c r="BJ20" s="12" t="n">
        <v>-1544523</v>
      </c>
      <c r="BK20" s="11" t="s">
        <v>127</v>
      </c>
      <c r="BL20" s="11" t="s">
        <v>128</v>
      </c>
      <c r="BM20" s="14" t="n">
        <f aca="false">O20</f>
        <v>69528472</v>
      </c>
      <c r="BN20" s="11" t="s">
        <v>129</v>
      </c>
      <c r="BO20" s="13" t="n">
        <f aca="false">IFERROR(1-L20/M20,"")</f>
        <v>0.19410518444666</v>
      </c>
      <c r="BP20" s="11" t="s">
        <v>130</v>
      </c>
      <c r="BQ20" s="12" t="n">
        <v>4023852</v>
      </c>
      <c r="BR20" s="11" t="s">
        <v>88</v>
      </c>
      <c r="BS20" s="11" t="s">
        <v>89</v>
      </c>
      <c r="BT20" s="19" t="str">
        <f aca="false">IF(OR(Z20&lt;6,AH20&lt;0.9,S20&lt;0.02,AK20&lt;1),"REVIEW",IF(AND(S20&gt;0.25,AH20&gt;1.2),"ACCELERATING","STABLE"))</f>
        <v>STABLE</v>
      </c>
    </row>
    <row r="21" customFormat="false" ht="15" hidden="false" customHeight="false" outlineLevel="0" collapsed="false">
      <c r="A21" s="11" t="s">
        <v>124</v>
      </c>
      <c r="B21" s="11" t="s">
        <v>93</v>
      </c>
      <c r="C21" s="11" t="s">
        <v>74</v>
      </c>
      <c r="D21" s="11" t="s">
        <v>75</v>
      </c>
      <c r="E21" s="11" t="s">
        <v>105</v>
      </c>
      <c r="F21" s="11" t="s">
        <v>125</v>
      </c>
      <c r="G21" s="11" t="s">
        <v>78</v>
      </c>
      <c r="H21" s="11" t="s">
        <v>79</v>
      </c>
      <c r="I21" s="11" t="s">
        <v>78</v>
      </c>
      <c r="J21" s="12" t="n">
        <v>6230000</v>
      </c>
      <c r="K21" s="13" t="n">
        <f aca="false">IFERROR(J21/M21,"")</f>
        <v>0.19410518444666</v>
      </c>
      <c r="L21" s="12" t="n">
        <v>25866000</v>
      </c>
      <c r="M21" s="14" t="n">
        <f aca="false">L21+J21</f>
        <v>32096000</v>
      </c>
      <c r="N21" s="12" t="n">
        <v>6230000</v>
      </c>
      <c r="O21" s="12" t="n">
        <v>69528472</v>
      </c>
      <c r="P21" s="12" t="n">
        <v>1639089</v>
      </c>
      <c r="Q21" s="13" t="n">
        <f aca="false">IFERROR(P21/P20-1,"")</f>
        <v>0.0480443748201669</v>
      </c>
      <c r="R21" s="12" t="n">
        <v>1928772</v>
      </c>
      <c r="S21" s="13" t="n">
        <f aca="false">IFERROR(R21/R20-1,"")</f>
        <v>0.103671557957331</v>
      </c>
      <c r="T21" s="12" t="n">
        <v>1149701</v>
      </c>
      <c r="U21" s="13" t="n">
        <f aca="false">IFERROR(T21/P21,"")</f>
        <v>0.70142682917157</v>
      </c>
      <c r="V21" s="14" t="n">
        <f aca="false">T21-AV21</f>
        <v>-2220466</v>
      </c>
      <c r="W21" s="14" t="n">
        <f aca="false">V21-AA21*0.1</f>
        <v>-2220466</v>
      </c>
      <c r="X21" s="12" t="n">
        <v>2543986</v>
      </c>
      <c r="Y21" s="12" t="n">
        <v>219000</v>
      </c>
      <c r="Z21" s="15" t="n">
        <f aca="false">IFERROR(X21/Y21,"")</f>
        <v>11.6163744292237</v>
      </c>
      <c r="AA21" s="12" t="n">
        <v>0</v>
      </c>
      <c r="AB21" s="14" t="n">
        <f aca="false">W21-0.02*P21</f>
        <v>-2253247.78</v>
      </c>
      <c r="AC21" s="16" t="n">
        <v>70</v>
      </c>
      <c r="AD21" s="13" t="n">
        <f aca="false">IFERROR(AC21/AC20-1,"")</f>
        <v>0.0294117647058823</v>
      </c>
      <c r="AE21" s="17" t="n">
        <v>0.099</v>
      </c>
      <c r="AF21" s="17" t="n">
        <v>0.092</v>
      </c>
      <c r="AG21" s="13" t="n">
        <f aca="false">1-AF21</f>
        <v>0.908</v>
      </c>
      <c r="AH21" s="17" t="n">
        <v>1.108</v>
      </c>
      <c r="AI21" s="12" t="n">
        <v>36100</v>
      </c>
      <c r="AJ21" s="14" t="n">
        <f aca="false">IFERROR(AM21*U21*MIN(1/AE21,5),"")</f>
        <v>144984.925589764</v>
      </c>
      <c r="AK21" s="18" t="n">
        <f aca="false">IFERROR(AJ21/AI21,"")</f>
        <v>4.0162029249242</v>
      </c>
      <c r="AL21" s="15" t="n">
        <f aca="false">IFERROR(AI21/(AM21*U21/12),"")</f>
        <v>14.9394841649174</v>
      </c>
      <c r="AM21" s="12" t="n">
        <v>41340</v>
      </c>
      <c r="AN21" s="12" t="n">
        <v>2819574</v>
      </c>
      <c r="AO21" s="12" t="n">
        <v>6879251</v>
      </c>
      <c r="AP21" s="17" t="n">
        <v>0.145</v>
      </c>
      <c r="AQ21" s="16" t="n">
        <v>31</v>
      </c>
      <c r="AR21" s="16" t="n">
        <v>2</v>
      </c>
      <c r="AS21" s="13" t="n">
        <f aca="false">IFERROR(AR21/AR20-1,"")</f>
        <v>0</v>
      </c>
      <c r="AT21" s="11" t="s">
        <v>80</v>
      </c>
      <c r="AU21" s="14" t="n">
        <f aca="false">IFERROR(P21/AR21,"")</f>
        <v>819544.5</v>
      </c>
      <c r="AV21" s="12" t="n">
        <v>3370167</v>
      </c>
      <c r="AW21" s="12" t="n">
        <v>1527308</v>
      </c>
      <c r="AX21" s="12" t="n">
        <v>637374</v>
      </c>
      <c r="AY21" s="16" t="n">
        <v>22877</v>
      </c>
      <c r="AZ21" s="13" t="n">
        <f aca="false">IFERROR(AY21/AY20-1,"")</f>
        <v>0.182518350046521</v>
      </c>
      <c r="BA21" s="17" t="n">
        <v>0.91</v>
      </c>
      <c r="BB21" s="11" t="s">
        <v>81</v>
      </c>
      <c r="BC21" s="11" t="s">
        <v>126</v>
      </c>
      <c r="BD21" s="11" t="s">
        <v>109</v>
      </c>
      <c r="BE21" s="12" t="n">
        <v>1534421</v>
      </c>
      <c r="BF21" s="13" t="n">
        <f aca="false">IFERROR(P21/BE21-1,"")</f>
        <v>0.068213352137386</v>
      </c>
      <c r="BG21" s="17" t="n">
        <v>0.043</v>
      </c>
      <c r="BH21" s="17" t="n">
        <v>0.043</v>
      </c>
      <c r="BI21" s="14" t="n">
        <f aca="false">P21*(1+IFERROR(Q21,0))^4</f>
        <v>1977521.53229093</v>
      </c>
      <c r="BJ21" s="12" t="n">
        <v>-2222783</v>
      </c>
      <c r="BK21" s="11" t="s">
        <v>127</v>
      </c>
      <c r="BL21" s="11" t="s">
        <v>128</v>
      </c>
      <c r="BM21" s="14" t="n">
        <f aca="false">O21</f>
        <v>69528472</v>
      </c>
      <c r="BN21" s="11" t="s">
        <v>129</v>
      </c>
      <c r="BO21" s="13" t="n">
        <f aca="false">IFERROR(1-L21/M21,"")</f>
        <v>0.19410518444666</v>
      </c>
      <c r="BP21" s="11" t="s">
        <v>130</v>
      </c>
      <c r="BQ21" s="12" t="n">
        <v>3615434</v>
      </c>
      <c r="BR21" s="11" t="s">
        <v>88</v>
      </c>
      <c r="BS21" s="11" t="s">
        <v>89</v>
      </c>
      <c r="BT21" s="19" t="str">
        <f aca="false">IF(OR(Z21&lt;6,AH21&lt;0.9,S21&lt;0.02,AK21&lt;1),"REVIEW",IF(AND(S21&gt;0.25,AH21&gt;1.2),"ACCELERATING","STABLE"))</f>
        <v>STABLE</v>
      </c>
    </row>
    <row r="22" customFormat="false" ht="15" hidden="false" customHeight="false" outlineLevel="0" collapsed="false">
      <c r="A22" s="3" t="s">
        <v>131</v>
      </c>
      <c r="B22" s="3" t="s">
        <v>73</v>
      </c>
      <c r="C22" s="3" t="s">
        <v>74</v>
      </c>
      <c r="D22" s="3" t="s">
        <v>132</v>
      </c>
      <c r="E22" s="3" t="s">
        <v>105</v>
      </c>
      <c r="F22" s="3" t="s">
        <v>133</v>
      </c>
      <c r="G22" s="3" t="s">
        <v>78</v>
      </c>
      <c r="H22" s="3" t="s">
        <v>79</v>
      </c>
      <c r="I22" s="3" t="s">
        <v>78</v>
      </c>
      <c r="J22" s="4" t="n">
        <v>2841000</v>
      </c>
      <c r="K22" s="5" t="n">
        <f aca="false">IFERROR(J22/M22,"")</f>
        <v>0.126469017094017</v>
      </c>
      <c r="L22" s="4" t="n">
        <v>19623000</v>
      </c>
      <c r="M22" s="6" t="n">
        <f aca="false">L22+J22</f>
        <v>22464000</v>
      </c>
      <c r="N22" s="4" t="n">
        <v>2841000</v>
      </c>
      <c r="O22" s="4" t="n">
        <v>46559767</v>
      </c>
      <c r="P22" s="4" t="n">
        <v>1014435</v>
      </c>
      <c r="Q22" s="7"/>
      <c r="R22" s="4" t="n">
        <v>1186927</v>
      </c>
      <c r="S22" s="7"/>
      <c r="T22" s="4" t="n">
        <v>580059</v>
      </c>
      <c r="U22" s="5" t="n">
        <f aca="false">IFERROR(T22/P22,"")</f>
        <v>0.571804994898638</v>
      </c>
      <c r="V22" s="6" t="n">
        <f aca="false">T22-AV22</f>
        <v>-1060363</v>
      </c>
      <c r="W22" s="6" t="n">
        <f aca="false">V22-AA22*0.1</f>
        <v>-1060363</v>
      </c>
      <c r="X22" s="4" t="n">
        <v>3231213</v>
      </c>
      <c r="Y22" s="4" t="n">
        <v>93730</v>
      </c>
      <c r="Z22" s="8" t="n">
        <f aca="false">IFERROR(X22/Y22,"")</f>
        <v>34.4736263736264</v>
      </c>
      <c r="AA22" s="4" t="n">
        <v>0</v>
      </c>
      <c r="AB22" s="6" t="n">
        <f aca="false">W22-0.02*P22</f>
        <v>-1080651.7</v>
      </c>
      <c r="AC22" s="9" t="n">
        <v>16</v>
      </c>
      <c r="AD22" s="7"/>
      <c r="AE22" s="7" t="n">
        <v>0.131</v>
      </c>
      <c r="AF22" s="7" t="n">
        <v>0.097</v>
      </c>
      <c r="AG22" s="5" t="n">
        <f aca="false">1-AF22</f>
        <v>0.903</v>
      </c>
      <c r="AH22" s="7" t="n">
        <v>1.134</v>
      </c>
      <c r="AI22" s="4" t="n">
        <v>51516</v>
      </c>
      <c r="AJ22" s="6" t="n">
        <f aca="false">IFERROR(AM22*U22*MIN(1/AE22,5),"")</f>
        <v>145810.273699153</v>
      </c>
      <c r="AK22" s="10" t="n">
        <f aca="false">IFERROR(AJ22/AI22,"")</f>
        <v>2.83038810659121</v>
      </c>
      <c r="AL22" s="8" t="n">
        <f aca="false">IFERROR(AI22/(AM22*U22/12),"")</f>
        <v>21.1985062614827</v>
      </c>
      <c r="AM22" s="4" t="n">
        <v>51000</v>
      </c>
      <c r="AN22" s="4" t="n">
        <v>1083586</v>
      </c>
      <c r="AO22" s="4" t="n">
        <v>4403281</v>
      </c>
      <c r="AP22" s="7" t="n">
        <v>0.354</v>
      </c>
      <c r="AQ22" s="9" t="n">
        <v>65</v>
      </c>
      <c r="AR22" s="9" t="n">
        <v>2</v>
      </c>
      <c r="AS22" s="7"/>
      <c r="AT22" s="3" t="s">
        <v>134</v>
      </c>
      <c r="AU22" s="6" t="n">
        <f aca="false">IFERROR(P22/AR22,"")</f>
        <v>507217.5</v>
      </c>
      <c r="AV22" s="4" t="n">
        <v>1640422</v>
      </c>
      <c r="AW22" s="4" t="n">
        <v>605979</v>
      </c>
      <c r="AX22" s="4" t="n">
        <v>451226</v>
      </c>
      <c r="AY22" s="9" t="n">
        <v>11741</v>
      </c>
      <c r="AZ22" s="7"/>
      <c r="BA22" s="7" t="n">
        <v>0.861</v>
      </c>
      <c r="BB22" s="3" t="s">
        <v>99</v>
      </c>
      <c r="BC22" s="3" t="s">
        <v>126</v>
      </c>
      <c r="BD22" s="3" t="s">
        <v>83</v>
      </c>
      <c r="BE22" s="4" t="n">
        <v>1265607</v>
      </c>
      <c r="BF22" s="5" t="n">
        <f aca="false">IFERROR(P22/BE22-1,"")</f>
        <v>-0.198459711427007</v>
      </c>
      <c r="BG22" s="7" t="n">
        <v>-0.006</v>
      </c>
      <c r="BH22" s="7" t="n">
        <v>0.032</v>
      </c>
      <c r="BI22" s="6" t="n">
        <f aca="false">P22</f>
        <v>1014435</v>
      </c>
      <c r="BJ22" s="4" t="n">
        <v>-998258</v>
      </c>
      <c r="BK22" s="3" t="s">
        <v>127</v>
      </c>
      <c r="BL22" s="3" t="s">
        <v>85</v>
      </c>
      <c r="BM22" s="6" t="n">
        <f aca="false">O22</f>
        <v>46559767</v>
      </c>
      <c r="BN22" s="3" t="s">
        <v>135</v>
      </c>
      <c r="BO22" s="5" t="n">
        <f aca="false">IFERROR(1-L22/M22,"")</f>
        <v>0.126469017094017</v>
      </c>
      <c r="BP22" s="3" t="s">
        <v>87</v>
      </c>
      <c r="BQ22" s="4" t="n">
        <v>1129957</v>
      </c>
      <c r="BR22" s="3" t="s">
        <v>88</v>
      </c>
      <c r="BS22" s="3" t="s">
        <v>89</v>
      </c>
      <c r="BT22" s="3" t="s">
        <v>90</v>
      </c>
    </row>
    <row r="23" customFormat="false" ht="15" hidden="false" customHeight="false" outlineLevel="0" collapsed="false">
      <c r="A23" s="11" t="s">
        <v>131</v>
      </c>
      <c r="B23" s="11" t="s">
        <v>91</v>
      </c>
      <c r="C23" s="11" t="s">
        <v>74</v>
      </c>
      <c r="D23" s="11" t="s">
        <v>132</v>
      </c>
      <c r="E23" s="11" t="s">
        <v>105</v>
      </c>
      <c r="F23" s="11" t="s">
        <v>133</v>
      </c>
      <c r="G23" s="11" t="s">
        <v>78</v>
      </c>
      <c r="H23" s="11" t="s">
        <v>79</v>
      </c>
      <c r="I23" s="11" t="s">
        <v>78</v>
      </c>
      <c r="J23" s="12" t="n">
        <v>2841000</v>
      </c>
      <c r="K23" s="13" t="n">
        <f aca="false">IFERROR(J23/M23,"")</f>
        <v>0.126469017094017</v>
      </c>
      <c r="L23" s="12" t="n">
        <v>19623000</v>
      </c>
      <c r="M23" s="14" t="n">
        <f aca="false">L23+J23</f>
        <v>22464000</v>
      </c>
      <c r="N23" s="12" t="n">
        <v>2841000</v>
      </c>
      <c r="O23" s="12" t="n">
        <v>46559767</v>
      </c>
      <c r="P23" s="12" t="n">
        <v>1209405</v>
      </c>
      <c r="Q23" s="13" t="n">
        <f aca="false">IFERROR(P23/P22-1,"")</f>
        <v>0.192195655709829</v>
      </c>
      <c r="R23" s="12" t="n">
        <v>1478414</v>
      </c>
      <c r="S23" s="13" t="n">
        <f aca="false">IFERROR(R23/R22-1,"")</f>
        <v>0.245581236251261</v>
      </c>
      <c r="T23" s="12" t="n">
        <v>694343</v>
      </c>
      <c r="U23" s="13" t="n">
        <f aca="false">IFERROR(T23/P23,"")</f>
        <v>0.57411950504587</v>
      </c>
      <c r="V23" s="14" t="n">
        <f aca="false">T23-AV23</f>
        <v>-1196203</v>
      </c>
      <c r="W23" s="14" t="n">
        <f aca="false">V23-AA23*0.1</f>
        <v>-1196203</v>
      </c>
      <c r="X23" s="12" t="n">
        <v>2994828</v>
      </c>
      <c r="Y23" s="12" t="n">
        <v>96820</v>
      </c>
      <c r="Z23" s="15" t="n">
        <f aca="false">IFERROR(X23/Y23,"")</f>
        <v>30.931914893617</v>
      </c>
      <c r="AA23" s="12" t="n">
        <v>0</v>
      </c>
      <c r="AB23" s="14" t="n">
        <f aca="false">W23-0.02*P23</f>
        <v>-1220391.1</v>
      </c>
      <c r="AC23" s="16" t="n">
        <v>20</v>
      </c>
      <c r="AD23" s="13" t="n">
        <f aca="false">IFERROR(AC23/AC22-1,"")</f>
        <v>0.25</v>
      </c>
      <c r="AE23" s="17" t="n">
        <v>0.127</v>
      </c>
      <c r="AF23" s="17" t="n">
        <v>0.085</v>
      </c>
      <c r="AG23" s="13" t="n">
        <f aca="false">1-AF23</f>
        <v>0.915</v>
      </c>
      <c r="AH23" s="17" t="n">
        <v>1.129</v>
      </c>
      <c r="AI23" s="12" t="n">
        <v>50544</v>
      </c>
      <c r="AJ23" s="14" t="n">
        <f aca="false">IFERROR(AM23*U23*MIN(1/AE23,5),"")</f>
        <v>149328.483262431</v>
      </c>
      <c r="AK23" s="18" t="n">
        <f aca="false">IFERROR(AJ23/AI23,"")</f>
        <v>2.95442551563847</v>
      </c>
      <c r="AL23" s="15" t="n">
        <f aca="false">IFERROR(AI23/(AM23*U23/12),"")</f>
        <v>20.308516725978</v>
      </c>
      <c r="AM23" s="12" t="n">
        <v>52020</v>
      </c>
      <c r="AN23" s="12" t="n">
        <v>1949636</v>
      </c>
      <c r="AO23" s="12" t="n">
        <v>5882218</v>
      </c>
      <c r="AP23" s="17" t="n">
        <v>0.354</v>
      </c>
      <c r="AQ23" s="16" t="n">
        <v>65</v>
      </c>
      <c r="AR23" s="16" t="n">
        <v>2</v>
      </c>
      <c r="AS23" s="13" t="n">
        <f aca="false">IFERROR(AR23/AR22-1,"")</f>
        <v>0</v>
      </c>
      <c r="AT23" s="11" t="s">
        <v>134</v>
      </c>
      <c r="AU23" s="14" t="n">
        <f aca="false">IFERROR(P23/AR23,"")</f>
        <v>604702.5</v>
      </c>
      <c r="AV23" s="12" t="n">
        <v>1890546</v>
      </c>
      <c r="AW23" s="12" t="n">
        <v>912491</v>
      </c>
      <c r="AX23" s="12" t="n">
        <v>505352</v>
      </c>
      <c r="AY23" s="16" t="n">
        <v>12899</v>
      </c>
      <c r="AZ23" s="13" t="n">
        <f aca="false">IFERROR(AY23/AY22-1,"")</f>
        <v>0.0986287369048633</v>
      </c>
      <c r="BA23" s="17" t="n">
        <v>0.869</v>
      </c>
      <c r="BB23" s="11" t="s">
        <v>99</v>
      </c>
      <c r="BC23" s="11" t="s">
        <v>126</v>
      </c>
      <c r="BD23" s="11" t="s">
        <v>83</v>
      </c>
      <c r="BE23" s="12" t="n">
        <v>1286391</v>
      </c>
      <c r="BF23" s="13" t="n">
        <f aca="false">IFERROR(P23/BE23-1,"")</f>
        <v>-0.0598465007917499</v>
      </c>
      <c r="BG23" s="17" t="n">
        <v>-0.016</v>
      </c>
      <c r="BH23" s="17" t="n">
        <v>0.012</v>
      </c>
      <c r="BI23" s="14" t="n">
        <f aca="false">P23*(1+IFERROR(Q23,0))^4</f>
        <v>2443216.20122201</v>
      </c>
      <c r="BJ23" s="12" t="n">
        <v>-1089550</v>
      </c>
      <c r="BK23" s="11" t="s">
        <v>127</v>
      </c>
      <c r="BL23" s="11" t="s">
        <v>85</v>
      </c>
      <c r="BM23" s="14" t="n">
        <f aca="false">O23</f>
        <v>46559767</v>
      </c>
      <c r="BN23" s="11" t="s">
        <v>135</v>
      </c>
      <c r="BO23" s="13" t="n">
        <f aca="false">IFERROR(1-L23/M23,"")</f>
        <v>0.126469017094017</v>
      </c>
      <c r="BP23" s="11" t="s">
        <v>87</v>
      </c>
      <c r="BQ23" s="12" t="n">
        <v>1691026</v>
      </c>
      <c r="BR23" s="11" t="s">
        <v>88</v>
      </c>
      <c r="BS23" s="11" t="s">
        <v>89</v>
      </c>
      <c r="BT23" s="19" t="str">
        <f aca="false">IF(OR(Z23&lt;6,AH23&lt;0.9,S23&lt;0.02,AK23&lt;1),"REVIEW",IF(AND(S23&gt;0.25,AH23&gt;1.2),"ACCELERATING","STABLE"))</f>
        <v>STABLE</v>
      </c>
    </row>
    <row r="24" customFormat="false" ht="15" hidden="false" customHeight="false" outlineLevel="0" collapsed="false">
      <c r="A24" s="11" t="s">
        <v>131</v>
      </c>
      <c r="B24" s="11" t="s">
        <v>92</v>
      </c>
      <c r="C24" s="11" t="s">
        <v>74</v>
      </c>
      <c r="D24" s="11" t="s">
        <v>132</v>
      </c>
      <c r="E24" s="11" t="s">
        <v>105</v>
      </c>
      <c r="F24" s="11" t="s">
        <v>133</v>
      </c>
      <c r="G24" s="11" t="s">
        <v>78</v>
      </c>
      <c r="H24" s="11" t="s">
        <v>79</v>
      </c>
      <c r="I24" s="11" t="s">
        <v>78</v>
      </c>
      <c r="J24" s="12" t="n">
        <v>2841000</v>
      </c>
      <c r="K24" s="13" t="n">
        <f aca="false">IFERROR(J24/M24,"")</f>
        <v>0.126469017094017</v>
      </c>
      <c r="L24" s="12" t="n">
        <v>19623000</v>
      </c>
      <c r="M24" s="14" t="n">
        <f aca="false">L24+J24</f>
        <v>22464000</v>
      </c>
      <c r="N24" s="12" t="n">
        <v>2841000</v>
      </c>
      <c r="O24" s="12" t="n">
        <v>46559767</v>
      </c>
      <c r="P24" s="12" t="n">
        <v>1513757</v>
      </c>
      <c r="Q24" s="13" t="n">
        <f aca="false">IFERROR(P24/P23-1,"")</f>
        <v>0.251654325887523</v>
      </c>
      <c r="R24" s="12" t="n">
        <v>1681300</v>
      </c>
      <c r="S24" s="13" t="n">
        <f aca="false">IFERROR(R24/R23-1,"")</f>
        <v>0.137232196123684</v>
      </c>
      <c r="T24" s="12" t="n">
        <v>872582</v>
      </c>
      <c r="U24" s="13" t="n">
        <f aca="false">IFERROR(T24/P24,"")</f>
        <v>0.576434658931387</v>
      </c>
      <c r="V24" s="14" t="n">
        <f aca="false">T24-AV24</f>
        <v>-1118533</v>
      </c>
      <c r="W24" s="14" t="n">
        <f aca="false">V24-AA24*0.1</f>
        <v>-1118533</v>
      </c>
      <c r="X24" s="12" t="n">
        <v>2741757</v>
      </c>
      <c r="Y24" s="12" t="n">
        <v>99910</v>
      </c>
      <c r="Z24" s="15" t="n">
        <f aca="false">IFERROR(X24/Y24,"")</f>
        <v>27.4422680412371</v>
      </c>
      <c r="AA24" s="12" t="n">
        <v>0</v>
      </c>
      <c r="AB24" s="14" t="n">
        <f aca="false">W24-0.02*P24</f>
        <v>-1148808.14</v>
      </c>
      <c r="AC24" s="16" t="n">
        <v>23</v>
      </c>
      <c r="AD24" s="13" t="n">
        <f aca="false">IFERROR(AC24/AC23-1,"")</f>
        <v>0.15</v>
      </c>
      <c r="AE24" s="17" t="n">
        <v>0.124</v>
      </c>
      <c r="AF24" s="17" t="n">
        <v>0.092</v>
      </c>
      <c r="AG24" s="13" t="n">
        <f aca="false">1-AF24</f>
        <v>0.908</v>
      </c>
      <c r="AH24" s="17" t="n">
        <v>1.124</v>
      </c>
      <c r="AI24" s="12" t="n">
        <v>49572</v>
      </c>
      <c r="AJ24" s="14" t="n">
        <f aca="false">IFERROR(AM24*U24*MIN(1/AE24,5),"")</f>
        <v>152870.471548604</v>
      </c>
      <c r="AK24" s="18" t="n">
        <f aca="false">IFERROR(AJ24/AI24,"")</f>
        <v>3.08380681732841</v>
      </c>
      <c r="AL24" s="15" t="n">
        <f aca="false">IFERROR(AI24/(AM24*U24/12),"")</f>
        <v>19.4564716774249</v>
      </c>
      <c r="AM24" s="12" t="n">
        <v>53040</v>
      </c>
      <c r="AN24" s="12" t="n">
        <v>2083638</v>
      </c>
      <c r="AO24" s="12" t="n">
        <v>6228343</v>
      </c>
      <c r="AP24" s="17" t="n">
        <v>0.354</v>
      </c>
      <c r="AQ24" s="16" t="n">
        <v>65</v>
      </c>
      <c r="AR24" s="16" t="n">
        <v>2</v>
      </c>
      <c r="AS24" s="13" t="n">
        <f aca="false">IFERROR(AR24/AR23-1,"")</f>
        <v>0</v>
      </c>
      <c r="AT24" s="11" t="s">
        <v>134</v>
      </c>
      <c r="AU24" s="14" t="n">
        <f aca="false">IFERROR(P24/AR24,"")</f>
        <v>756878.5</v>
      </c>
      <c r="AV24" s="12" t="n">
        <v>1991115</v>
      </c>
      <c r="AW24" s="12" t="n">
        <v>743721</v>
      </c>
      <c r="AX24" s="12" t="n">
        <v>470642</v>
      </c>
      <c r="AY24" s="16" t="n">
        <v>16340</v>
      </c>
      <c r="AZ24" s="13" t="n">
        <f aca="false">IFERROR(AY24/AY23-1,"")</f>
        <v>0.266764865493449</v>
      </c>
      <c r="BA24" s="17" t="n">
        <v>0.907</v>
      </c>
      <c r="BB24" s="11" t="s">
        <v>99</v>
      </c>
      <c r="BC24" s="11" t="s">
        <v>126</v>
      </c>
      <c r="BD24" s="11" t="s">
        <v>83</v>
      </c>
      <c r="BE24" s="12" t="n">
        <v>1563481</v>
      </c>
      <c r="BF24" s="13" t="n">
        <f aca="false">IFERROR(P24/BE24-1,"")</f>
        <v>-0.0318033925580163</v>
      </c>
      <c r="BG24" s="17" t="n">
        <v>0.08</v>
      </c>
      <c r="BH24" s="17" t="n">
        <v>-0.066</v>
      </c>
      <c r="BI24" s="14" t="n">
        <f aca="false">P24*(1+IFERROR(Q24,0))^4</f>
        <v>3715299.10695179</v>
      </c>
      <c r="BJ24" s="12" t="n">
        <v>-760830</v>
      </c>
      <c r="BK24" s="11" t="s">
        <v>127</v>
      </c>
      <c r="BL24" s="11" t="s">
        <v>85</v>
      </c>
      <c r="BM24" s="14" t="n">
        <f aca="false">O24</f>
        <v>46559767</v>
      </c>
      <c r="BN24" s="11" t="s">
        <v>135</v>
      </c>
      <c r="BO24" s="13" t="n">
        <f aca="false">IFERROR(1-L24/M24,"")</f>
        <v>0.126469017094017</v>
      </c>
      <c r="BP24" s="11" t="s">
        <v>87</v>
      </c>
      <c r="BQ24" s="12" t="n">
        <v>1737571</v>
      </c>
      <c r="BR24" s="11" t="s">
        <v>88</v>
      </c>
      <c r="BS24" s="11" t="s">
        <v>89</v>
      </c>
      <c r="BT24" s="19" t="str">
        <f aca="false">IF(OR(Z24&lt;6,AH24&lt;0.9,S24&lt;0.02,AK24&lt;1),"REVIEW",IF(AND(S24&gt;0.25,AH24&gt;1.2),"ACCELERATING","STABLE"))</f>
        <v>STABLE</v>
      </c>
    </row>
    <row r="25" customFormat="false" ht="15" hidden="false" customHeight="false" outlineLevel="0" collapsed="false">
      <c r="A25" s="11" t="s">
        <v>131</v>
      </c>
      <c r="B25" s="11" t="s">
        <v>93</v>
      </c>
      <c r="C25" s="11" t="s">
        <v>74</v>
      </c>
      <c r="D25" s="11" t="s">
        <v>132</v>
      </c>
      <c r="E25" s="11" t="s">
        <v>105</v>
      </c>
      <c r="F25" s="11" t="s">
        <v>133</v>
      </c>
      <c r="G25" s="11" t="s">
        <v>78</v>
      </c>
      <c r="H25" s="11" t="s">
        <v>79</v>
      </c>
      <c r="I25" s="11" t="s">
        <v>78</v>
      </c>
      <c r="J25" s="12" t="n">
        <v>2841000</v>
      </c>
      <c r="K25" s="13" t="n">
        <f aca="false">IFERROR(J25/M25,"")</f>
        <v>0.126469017094017</v>
      </c>
      <c r="L25" s="12" t="n">
        <v>19623000</v>
      </c>
      <c r="M25" s="14" t="n">
        <f aca="false">L25+J25</f>
        <v>22464000</v>
      </c>
      <c r="N25" s="12" t="n">
        <v>2841000</v>
      </c>
      <c r="O25" s="12" t="n">
        <v>46559767</v>
      </c>
      <c r="P25" s="12" t="n">
        <v>1772037</v>
      </c>
      <c r="Q25" s="13" t="n">
        <f aca="false">IFERROR(P25/P24-1,"")</f>
        <v>0.17062183692627</v>
      </c>
      <c r="R25" s="12" t="n">
        <v>2021284</v>
      </c>
      <c r="S25" s="13" t="n">
        <f aca="false">IFERROR(R25/R24-1,"")</f>
        <v>0.202214952715161</v>
      </c>
      <c r="T25" s="12" t="n">
        <v>1025566</v>
      </c>
      <c r="U25" s="13" t="n">
        <f aca="false">IFERROR(T25/P25,"")</f>
        <v>0.578749766511647</v>
      </c>
      <c r="V25" s="14" t="n">
        <f aca="false">T25-AV25</f>
        <v>-1215306</v>
      </c>
      <c r="W25" s="14" t="n">
        <f aca="false">V25-AA25*0.1</f>
        <v>-1215306</v>
      </c>
      <c r="X25" s="12" t="n">
        <v>2472000</v>
      </c>
      <c r="Y25" s="12" t="n">
        <v>103000</v>
      </c>
      <c r="Z25" s="15" t="n">
        <f aca="false">IFERROR(X25/Y25,"")</f>
        <v>24</v>
      </c>
      <c r="AA25" s="12" t="n">
        <v>0</v>
      </c>
      <c r="AB25" s="14" t="n">
        <f aca="false">W25-0.02*P25</f>
        <v>-1250746.74</v>
      </c>
      <c r="AC25" s="16" t="n">
        <v>26</v>
      </c>
      <c r="AD25" s="13" t="n">
        <f aca="false">IFERROR(AC25/AC24-1,"")</f>
        <v>0.130434782608696</v>
      </c>
      <c r="AE25" s="17" t="n">
        <v>0.12</v>
      </c>
      <c r="AF25" s="17" t="n">
        <v>0.082</v>
      </c>
      <c r="AG25" s="13" t="n">
        <f aca="false">1-AF25</f>
        <v>0.918</v>
      </c>
      <c r="AH25" s="17" t="n">
        <v>1.119</v>
      </c>
      <c r="AI25" s="12" t="n">
        <v>48600</v>
      </c>
      <c r="AJ25" s="14" t="n">
        <f aca="false">IFERROR(AM25*U25*MIN(1/AE25,5),"")</f>
        <v>156436.061888098</v>
      </c>
      <c r="AK25" s="18" t="n">
        <f aca="false">IFERROR(AJ25/AI25,"")</f>
        <v>3.21884901004317</v>
      </c>
      <c r="AL25" s="15" t="n">
        <f aca="false">IFERROR(AI25/(AM25*U25/12),"")</f>
        <v>18.6402033188861</v>
      </c>
      <c r="AM25" s="12" t="n">
        <v>54060</v>
      </c>
      <c r="AN25" s="12" t="n">
        <v>2248248</v>
      </c>
      <c r="AO25" s="12" t="n">
        <v>6842462</v>
      </c>
      <c r="AP25" s="17" t="n">
        <v>0.354</v>
      </c>
      <c r="AQ25" s="16" t="n">
        <v>65</v>
      </c>
      <c r="AR25" s="16" t="n">
        <v>2</v>
      </c>
      <c r="AS25" s="13" t="n">
        <f aca="false">IFERROR(AR25/AR24-1,"")</f>
        <v>0</v>
      </c>
      <c r="AT25" s="11" t="s">
        <v>134</v>
      </c>
      <c r="AU25" s="14" t="n">
        <f aca="false">IFERROR(P25/AR25,"")</f>
        <v>886018.5</v>
      </c>
      <c r="AV25" s="12" t="n">
        <v>2240872</v>
      </c>
      <c r="AW25" s="12" t="n">
        <v>722443</v>
      </c>
      <c r="AX25" s="12" t="n">
        <v>573831</v>
      </c>
      <c r="AY25" s="16" t="n">
        <v>20020</v>
      </c>
      <c r="AZ25" s="13" t="n">
        <f aca="false">IFERROR(AY25/AY24-1,"")</f>
        <v>0.225214198286414</v>
      </c>
      <c r="BA25" s="17" t="n">
        <v>0.872</v>
      </c>
      <c r="BB25" s="11" t="s">
        <v>99</v>
      </c>
      <c r="BC25" s="11" t="s">
        <v>126</v>
      </c>
      <c r="BD25" s="11" t="s">
        <v>83</v>
      </c>
      <c r="BE25" s="12" t="n">
        <v>1701445</v>
      </c>
      <c r="BF25" s="13" t="n">
        <f aca="false">IFERROR(P25/BE25-1,"")</f>
        <v>0.0414894398584733</v>
      </c>
      <c r="BG25" s="17" t="n">
        <v>0.04</v>
      </c>
      <c r="BH25" s="17" t="n">
        <v>-0.071</v>
      </c>
      <c r="BI25" s="14" t="n">
        <f aca="false">P25*(1+IFERROR(Q25,0))^4</f>
        <v>3327662.48491192</v>
      </c>
      <c r="BJ25" s="12" t="n">
        <v>-1097999</v>
      </c>
      <c r="BK25" s="11" t="s">
        <v>127</v>
      </c>
      <c r="BL25" s="11" t="s">
        <v>85</v>
      </c>
      <c r="BM25" s="14" t="n">
        <f aca="false">O25</f>
        <v>46559767</v>
      </c>
      <c r="BN25" s="11" t="s">
        <v>135</v>
      </c>
      <c r="BO25" s="13" t="n">
        <f aca="false">IFERROR(1-L25/M25,"")</f>
        <v>0.126469017094017</v>
      </c>
      <c r="BP25" s="11" t="s">
        <v>87</v>
      </c>
      <c r="BQ25" s="12" t="n">
        <v>1550147</v>
      </c>
      <c r="BR25" s="11" t="s">
        <v>88</v>
      </c>
      <c r="BS25" s="11" t="s">
        <v>89</v>
      </c>
      <c r="BT25" s="19" t="str">
        <f aca="false">IF(OR(Z25&lt;6,AH25&lt;0.9,S25&lt;0.02,AK25&lt;1),"REVIEW",IF(AND(S25&gt;0.25,AH25&gt;1.2),"ACCELERATING","STABLE"))</f>
        <v>STABLE</v>
      </c>
    </row>
    <row r="26" customFormat="false" ht="15" hidden="false" customHeight="false" outlineLevel="0" collapsed="false">
      <c r="A26" s="3" t="s">
        <v>136</v>
      </c>
      <c r="B26" s="3" t="s">
        <v>73</v>
      </c>
      <c r="C26" s="3" t="s">
        <v>74</v>
      </c>
      <c r="D26" s="3" t="s">
        <v>75</v>
      </c>
      <c r="E26" s="3" t="s">
        <v>105</v>
      </c>
      <c r="F26" s="3" t="s">
        <v>137</v>
      </c>
      <c r="G26" s="3" t="s">
        <v>78</v>
      </c>
      <c r="H26" s="3" t="s">
        <v>79</v>
      </c>
      <c r="I26" s="3" t="s">
        <v>78</v>
      </c>
      <c r="J26" s="4" t="n">
        <v>5506000</v>
      </c>
      <c r="K26" s="5" t="n">
        <f aca="false">IFERROR(J26/M26,"")</f>
        <v>0.178078204340373</v>
      </c>
      <c r="L26" s="4" t="n">
        <v>25413000</v>
      </c>
      <c r="M26" s="6" t="n">
        <f aca="false">L26+J26</f>
        <v>30919000</v>
      </c>
      <c r="N26" s="4" t="n">
        <v>7558000</v>
      </c>
      <c r="O26" s="4" t="n">
        <v>18178955</v>
      </c>
      <c r="P26" s="4" t="n">
        <v>1631422</v>
      </c>
      <c r="Q26" s="7"/>
      <c r="R26" s="4" t="n">
        <v>1940570</v>
      </c>
      <c r="S26" s="7"/>
      <c r="T26" s="4" t="n">
        <v>768042</v>
      </c>
      <c r="U26" s="5" t="n">
        <f aca="false">IFERROR(T26/P26,"")</f>
        <v>0.470780705421405</v>
      </c>
      <c r="V26" s="6" t="n">
        <f aca="false">T26-AV26</f>
        <v>-1367938</v>
      </c>
      <c r="W26" s="6" t="n">
        <f aca="false">V26-AA26*0.1</f>
        <v>-1367938</v>
      </c>
      <c r="X26" s="4" t="n">
        <v>1856262</v>
      </c>
      <c r="Y26" s="4" t="n">
        <v>131200</v>
      </c>
      <c r="Z26" s="8" t="n">
        <f aca="false">IFERROR(X26/Y26,"")</f>
        <v>14.1483384146341</v>
      </c>
      <c r="AA26" s="4" t="n">
        <v>0</v>
      </c>
      <c r="AB26" s="6" t="n">
        <f aca="false">W26-0.02*P26</f>
        <v>-1400566.44</v>
      </c>
      <c r="AC26" s="9" t="n">
        <v>101</v>
      </c>
      <c r="AD26" s="7"/>
      <c r="AE26" s="7" t="n">
        <v>0.197</v>
      </c>
      <c r="AF26" s="7" t="n">
        <v>0.212</v>
      </c>
      <c r="AG26" s="5" t="n">
        <f aca="false">1-AF26</f>
        <v>0.788</v>
      </c>
      <c r="AH26" s="7" t="n">
        <v>0.993</v>
      </c>
      <c r="AI26" s="4" t="n">
        <v>17556</v>
      </c>
      <c r="AJ26" s="6" t="n">
        <f aca="false">IFERROR(AM26*U26*MIN(1/AE26,5),"")</f>
        <v>28246.8423252843</v>
      </c>
      <c r="AK26" s="10" t="n">
        <f aca="false">IFERROR(AJ26/AI26,"")</f>
        <v>1.60895661456393</v>
      </c>
      <c r="AL26" s="8" t="n">
        <f aca="false">IFERROR(AI26/(AM26*U26/12),"")</f>
        <v>37.2912479161296</v>
      </c>
      <c r="AM26" s="4" t="n">
        <v>12000</v>
      </c>
      <c r="AN26" s="4" t="n">
        <v>2215796</v>
      </c>
      <c r="AO26" s="4" t="n">
        <v>3193568</v>
      </c>
      <c r="AP26" s="7" t="n">
        <v>0.279</v>
      </c>
      <c r="AQ26" s="9" t="n">
        <v>52</v>
      </c>
      <c r="AR26" s="9" t="n">
        <v>5</v>
      </c>
      <c r="AS26" s="7"/>
      <c r="AT26" s="3" t="s">
        <v>118</v>
      </c>
      <c r="AU26" s="6" t="n">
        <f aca="false">IFERROR(P26/AR26,"")</f>
        <v>326284.4</v>
      </c>
      <c r="AV26" s="4" t="n">
        <v>2135980</v>
      </c>
      <c r="AW26" s="4" t="n">
        <v>869492</v>
      </c>
      <c r="AX26" s="4" t="n">
        <v>557878</v>
      </c>
      <c r="AY26" s="9" t="n">
        <v>15179</v>
      </c>
      <c r="AZ26" s="7"/>
      <c r="BA26" s="7" t="n">
        <v>0.834</v>
      </c>
      <c r="BB26" s="3" t="s">
        <v>138</v>
      </c>
      <c r="BC26" s="3" t="s">
        <v>120</v>
      </c>
      <c r="BD26" s="3" t="s">
        <v>83</v>
      </c>
      <c r="BE26" s="4" t="n">
        <v>2460593</v>
      </c>
      <c r="BF26" s="5" t="n">
        <f aca="false">IFERROR(P26/BE26-1,"")</f>
        <v>-0.336980150719766</v>
      </c>
      <c r="BG26" s="7" t="n">
        <v>0.262</v>
      </c>
      <c r="BH26" s="7" t="n">
        <v>0.172</v>
      </c>
      <c r="BI26" s="6" t="n">
        <f aca="false">P26</f>
        <v>1631422</v>
      </c>
      <c r="BJ26" s="4" t="n">
        <v>-1001037</v>
      </c>
      <c r="BK26" s="3" t="s">
        <v>139</v>
      </c>
      <c r="BL26" s="3" t="s">
        <v>140</v>
      </c>
      <c r="BM26" s="6" t="n">
        <f aca="false">O26</f>
        <v>18178955</v>
      </c>
      <c r="BN26" s="3" t="s">
        <v>141</v>
      </c>
      <c r="BO26" s="5" t="n">
        <f aca="false">IFERROR(1-L26/M26,"")</f>
        <v>0.178078204340373</v>
      </c>
      <c r="BP26" s="3" t="s">
        <v>142</v>
      </c>
      <c r="BQ26" s="4" t="n">
        <v>1872836</v>
      </c>
      <c r="BR26" s="3" t="s">
        <v>88</v>
      </c>
      <c r="BS26" s="3" t="s">
        <v>89</v>
      </c>
      <c r="BT26" s="3" t="s">
        <v>90</v>
      </c>
    </row>
    <row r="27" customFormat="false" ht="15" hidden="false" customHeight="false" outlineLevel="0" collapsed="false">
      <c r="A27" s="11" t="s">
        <v>136</v>
      </c>
      <c r="B27" s="11" t="s">
        <v>91</v>
      </c>
      <c r="C27" s="11" t="s">
        <v>74</v>
      </c>
      <c r="D27" s="11" t="s">
        <v>75</v>
      </c>
      <c r="E27" s="11" t="s">
        <v>105</v>
      </c>
      <c r="F27" s="11" t="s">
        <v>137</v>
      </c>
      <c r="G27" s="11" t="s">
        <v>78</v>
      </c>
      <c r="H27" s="11" t="s">
        <v>79</v>
      </c>
      <c r="I27" s="11" t="s">
        <v>78</v>
      </c>
      <c r="J27" s="12" t="n">
        <v>5506000</v>
      </c>
      <c r="K27" s="13" t="n">
        <f aca="false">IFERROR(J27/M27,"")</f>
        <v>0.178078204340373</v>
      </c>
      <c r="L27" s="12" t="n">
        <v>25413000</v>
      </c>
      <c r="M27" s="14" t="n">
        <f aca="false">L27+J27</f>
        <v>30919000</v>
      </c>
      <c r="N27" s="12" t="n">
        <v>7558000</v>
      </c>
      <c r="O27" s="12" t="n">
        <v>18178955</v>
      </c>
      <c r="P27" s="12" t="n">
        <v>1409699</v>
      </c>
      <c r="Q27" s="13" t="n">
        <f aca="false">IFERROR(P27/P26-1,"")</f>
        <v>-0.1359078153905</v>
      </c>
      <c r="R27" s="12" t="n">
        <v>1698698</v>
      </c>
      <c r="S27" s="13" t="n">
        <f aca="false">IFERROR(R27/R26-1,"")</f>
        <v>-0.124639667726493</v>
      </c>
      <c r="T27" s="12" t="n">
        <v>651138</v>
      </c>
      <c r="U27" s="13" t="n">
        <f aca="false">IFERROR(T27/P27,"")</f>
        <v>0.461898603886362</v>
      </c>
      <c r="V27" s="14" t="n">
        <f aca="false">T27-AV27</f>
        <v>-1510494</v>
      </c>
      <c r="W27" s="14" t="n">
        <f aca="false">V27-AA27*0.1</f>
        <v>-1510494</v>
      </c>
      <c r="X27" s="12" t="n">
        <v>1486662</v>
      </c>
      <c r="Y27" s="12" t="n">
        <v>140800</v>
      </c>
      <c r="Z27" s="15" t="n">
        <f aca="false">IFERROR(X27/Y27,"")</f>
        <v>10.5586789772727</v>
      </c>
      <c r="AA27" s="12" t="n">
        <v>0</v>
      </c>
      <c r="AB27" s="14" t="n">
        <f aca="false">W27-0.02*P27</f>
        <v>-1538687.98</v>
      </c>
      <c r="AC27" s="16" t="n">
        <v>90</v>
      </c>
      <c r="AD27" s="13" t="n">
        <f aca="false">IFERROR(AC27/AC26-1,"")</f>
        <v>-0.108910891089109</v>
      </c>
      <c r="AE27" s="17" t="n">
        <v>0.234</v>
      </c>
      <c r="AF27" s="17" t="n">
        <v>0.243</v>
      </c>
      <c r="AG27" s="13" t="n">
        <f aca="false">1-AF27</f>
        <v>0.757</v>
      </c>
      <c r="AH27" s="17" t="n">
        <v>0.953</v>
      </c>
      <c r="AI27" s="12" t="n">
        <v>19404</v>
      </c>
      <c r="AJ27" s="14" t="n">
        <f aca="false">IFERROR(AM27*U27*MIN(1/AE27,5),"")</f>
        <v>24160.8500494405</v>
      </c>
      <c r="AK27" s="18" t="n">
        <f aca="false">IFERROR(AJ27/AI27,"")</f>
        <v>1.24514791019586</v>
      </c>
      <c r="AL27" s="15" t="n">
        <f aca="false">IFERROR(AI27/(AM27*U27/12),"")</f>
        <v>41.1855096588362</v>
      </c>
      <c r="AM27" s="12" t="n">
        <v>12240</v>
      </c>
      <c r="AN27" s="12" t="n">
        <v>1587676</v>
      </c>
      <c r="AO27" s="12" t="n">
        <v>6078403</v>
      </c>
      <c r="AP27" s="17" t="n">
        <v>0.279</v>
      </c>
      <c r="AQ27" s="16" t="n">
        <v>52</v>
      </c>
      <c r="AR27" s="16" t="n">
        <v>5</v>
      </c>
      <c r="AS27" s="13" t="n">
        <f aca="false">IFERROR(AR27/AR26-1,"")</f>
        <v>0</v>
      </c>
      <c r="AT27" s="11" t="s">
        <v>118</v>
      </c>
      <c r="AU27" s="14" t="n">
        <f aca="false">IFERROR(P27/AR27,"")</f>
        <v>281939.8</v>
      </c>
      <c r="AV27" s="12" t="n">
        <v>2161632</v>
      </c>
      <c r="AW27" s="12" t="n">
        <v>965351</v>
      </c>
      <c r="AX27" s="12" t="n">
        <v>411134</v>
      </c>
      <c r="AY27" s="16" t="n">
        <v>13427</v>
      </c>
      <c r="AZ27" s="13" t="n">
        <f aca="false">IFERROR(AY27/AY26-1,"")</f>
        <v>-0.115422623361223</v>
      </c>
      <c r="BA27" s="17" t="n">
        <v>0.787</v>
      </c>
      <c r="BB27" s="11" t="s">
        <v>138</v>
      </c>
      <c r="BC27" s="11" t="s">
        <v>120</v>
      </c>
      <c r="BD27" s="11" t="s">
        <v>83</v>
      </c>
      <c r="BE27" s="12" t="n">
        <v>1912941</v>
      </c>
      <c r="BF27" s="13" t="n">
        <f aca="false">IFERROR(P27/BE27-1,"")</f>
        <v>-0.263072410492535</v>
      </c>
      <c r="BG27" s="17" t="n">
        <v>0.223</v>
      </c>
      <c r="BH27" s="17" t="n">
        <v>0.247</v>
      </c>
      <c r="BI27" s="14" t="n">
        <f aca="false">P27*(1+IFERROR(Q27,0))^4</f>
        <v>785898.934834955</v>
      </c>
      <c r="BJ27" s="12" t="n">
        <v>-1570227</v>
      </c>
      <c r="BK27" s="11" t="s">
        <v>139</v>
      </c>
      <c r="BL27" s="11" t="s">
        <v>140</v>
      </c>
      <c r="BM27" s="14" t="n">
        <f aca="false">O27</f>
        <v>18178955</v>
      </c>
      <c r="BN27" s="11" t="s">
        <v>141</v>
      </c>
      <c r="BO27" s="13" t="n">
        <f aca="false">IFERROR(1-L27/M27,"")</f>
        <v>0.178078204340373</v>
      </c>
      <c r="BP27" s="11" t="s">
        <v>142</v>
      </c>
      <c r="BQ27" s="12" t="n">
        <v>2591649</v>
      </c>
      <c r="BR27" s="11" t="s">
        <v>88</v>
      </c>
      <c r="BS27" s="11" t="s">
        <v>89</v>
      </c>
      <c r="BT27" s="19" t="str">
        <f aca="false">IF(OR(Z27&lt;6,AH27&lt;0.9,S27&lt;0.02,AK27&lt;1),"REVIEW",IF(AND(S27&gt;0.25,AH27&gt;1.2),"ACCELERATING","STABLE"))</f>
        <v>REVIEW</v>
      </c>
    </row>
    <row r="28" customFormat="false" ht="15" hidden="false" customHeight="false" outlineLevel="0" collapsed="false">
      <c r="A28" s="11" t="s">
        <v>136</v>
      </c>
      <c r="B28" s="11" t="s">
        <v>92</v>
      </c>
      <c r="C28" s="11" t="s">
        <v>74</v>
      </c>
      <c r="D28" s="11" t="s">
        <v>75</v>
      </c>
      <c r="E28" s="11" t="s">
        <v>105</v>
      </c>
      <c r="F28" s="11" t="s">
        <v>137</v>
      </c>
      <c r="G28" s="11" t="s">
        <v>78</v>
      </c>
      <c r="H28" s="11" t="s">
        <v>79</v>
      </c>
      <c r="I28" s="11" t="s">
        <v>78</v>
      </c>
      <c r="J28" s="12" t="n">
        <v>5506000</v>
      </c>
      <c r="K28" s="13" t="n">
        <f aca="false">IFERROR(J28/M28,"")</f>
        <v>0.178078204340373</v>
      </c>
      <c r="L28" s="12" t="n">
        <v>25413000</v>
      </c>
      <c r="M28" s="14" t="n">
        <f aca="false">L28+J28</f>
        <v>30919000</v>
      </c>
      <c r="N28" s="12" t="n">
        <v>7558000</v>
      </c>
      <c r="O28" s="12" t="n">
        <v>18178955</v>
      </c>
      <c r="P28" s="12" t="n">
        <v>1231810</v>
      </c>
      <c r="Q28" s="13" t="n">
        <f aca="false">IFERROR(P28/P27-1,"")</f>
        <v>-0.126189349641306</v>
      </c>
      <c r="R28" s="12" t="n">
        <v>1486819</v>
      </c>
      <c r="S28" s="13" t="n">
        <f aca="false">IFERROR(R28/R27-1,"")</f>
        <v>-0.124730234567887</v>
      </c>
      <c r="T28" s="12" t="n">
        <v>558029</v>
      </c>
      <c r="U28" s="13" t="n">
        <f aca="false">IFERROR(T28/P28,"")</f>
        <v>0.45301548128364</v>
      </c>
      <c r="V28" s="14" t="n">
        <f aca="false">T28-AV28</f>
        <v>-1875908</v>
      </c>
      <c r="W28" s="14" t="n">
        <f aca="false">V28-AA28*0.1</f>
        <v>-1875908</v>
      </c>
      <c r="X28" s="12" t="n">
        <v>1053702</v>
      </c>
      <c r="Y28" s="12" t="n">
        <v>150400</v>
      </c>
      <c r="Z28" s="15" t="n">
        <f aca="false">IFERROR(X28/Y28,"")</f>
        <v>7.00599734042553</v>
      </c>
      <c r="AA28" s="12" t="n">
        <v>0</v>
      </c>
      <c r="AB28" s="14" t="n">
        <f aca="false">W28-0.02*P28</f>
        <v>-1900544.2</v>
      </c>
      <c r="AC28" s="16" t="n">
        <v>82</v>
      </c>
      <c r="AD28" s="13" t="n">
        <f aca="false">IFERROR(AC28/AC27-1,"")</f>
        <v>-0.0888888888888889</v>
      </c>
      <c r="AE28" s="17" t="n">
        <v>0.271</v>
      </c>
      <c r="AF28" s="17" t="n">
        <v>0.181</v>
      </c>
      <c r="AG28" s="13" t="n">
        <f aca="false">1-AF28</f>
        <v>0.819</v>
      </c>
      <c r="AH28" s="17" t="n">
        <v>0.913</v>
      </c>
      <c r="AI28" s="12" t="n">
        <v>21252</v>
      </c>
      <c r="AJ28" s="14" t="n">
        <f aca="false">IFERROR(AM28*U28*MIN(1/AE28,5),"")</f>
        <v>20862.1151528407</v>
      </c>
      <c r="AK28" s="18" t="n">
        <f aca="false">IFERROR(AJ28/AI28,"")</f>
        <v>0.981654204443848</v>
      </c>
      <c r="AL28" s="15" t="n">
        <f aca="false">IFERROR(AI28/(AM28*U28/12),"")</f>
        <v>45.1079846691177</v>
      </c>
      <c r="AM28" s="12" t="n">
        <v>12480</v>
      </c>
      <c r="AN28" s="12" t="n">
        <v>1416724</v>
      </c>
      <c r="AO28" s="12" t="n">
        <v>4607919</v>
      </c>
      <c r="AP28" s="17" t="n">
        <v>0.279</v>
      </c>
      <c r="AQ28" s="16" t="n">
        <v>52</v>
      </c>
      <c r="AR28" s="16" t="n">
        <v>5</v>
      </c>
      <c r="AS28" s="13" t="n">
        <f aca="false">IFERROR(AR28/AR27-1,"")</f>
        <v>0</v>
      </c>
      <c r="AT28" s="11" t="s">
        <v>118</v>
      </c>
      <c r="AU28" s="14" t="n">
        <f aca="false">IFERROR(P28/AR28,"")</f>
        <v>246362</v>
      </c>
      <c r="AV28" s="12" t="n">
        <v>2433937</v>
      </c>
      <c r="AW28" s="12" t="n">
        <v>1213192</v>
      </c>
      <c r="AX28" s="12" t="n">
        <v>773889</v>
      </c>
      <c r="AY28" s="16" t="n">
        <v>11638</v>
      </c>
      <c r="AZ28" s="13" t="n">
        <f aca="false">IFERROR(AY28/AY27-1,"")</f>
        <v>-0.13323899605273</v>
      </c>
      <c r="BA28" s="17" t="n">
        <v>0.771</v>
      </c>
      <c r="BB28" s="11" t="s">
        <v>138</v>
      </c>
      <c r="BC28" s="11" t="s">
        <v>120</v>
      </c>
      <c r="BD28" s="11" t="s">
        <v>83</v>
      </c>
      <c r="BE28" s="12" t="n">
        <v>1780681</v>
      </c>
      <c r="BF28" s="13" t="n">
        <f aca="false">IFERROR(P28/BE28-1,"")</f>
        <v>-0.308236567919802</v>
      </c>
      <c r="BG28" s="17" t="n">
        <v>0.155</v>
      </c>
      <c r="BH28" s="17" t="n">
        <v>0.295</v>
      </c>
      <c r="BI28" s="14" t="n">
        <f aca="false">P28*(1+IFERROR(Q28,0))^4</f>
        <v>718146.520287145</v>
      </c>
      <c r="BJ28" s="12" t="n">
        <v>-1514379</v>
      </c>
      <c r="BK28" s="11" t="s">
        <v>139</v>
      </c>
      <c r="BL28" s="11" t="s">
        <v>140</v>
      </c>
      <c r="BM28" s="14" t="n">
        <f aca="false">O28</f>
        <v>18178955</v>
      </c>
      <c r="BN28" s="11" t="s">
        <v>141</v>
      </c>
      <c r="BO28" s="13" t="n">
        <f aca="false">IFERROR(1-L28/M28,"")</f>
        <v>0.178078204340373</v>
      </c>
      <c r="BP28" s="11" t="s">
        <v>142</v>
      </c>
      <c r="BQ28" s="12" t="n">
        <v>1912502</v>
      </c>
      <c r="BR28" s="11" t="s">
        <v>88</v>
      </c>
      <c r="BS28" s="11" t="s">
        <v>89</v>
      </c>
      <c r="BT28" s="19" t="str">
        <f aca="false">IF(OR(Z28&lt;6,AH28&lt;0.9,S28&lt;0.02,AK28&lt;1),"REVIEW",IF(AND(S28&gt;0.25,AH28&gt;1.2),"ACCELERATING","STABLE"))</f>
        <v>REVIEW</v>
      </c>
    </row>
    <row r="29" customFormat="false" ht="15" hidden="false" customHeight="false" outlineLevel="0" collapsed="false">
      <c r="A29" s="11" t="s">
        <v>136</v>
      </c>
      <c r="B29" s="11" t="s">
        <v>93</v>
      </c>
      <c r="C29" s="11" t="s">
        <v>74</v>
      </c>
      <c r="D29" s="11" t="s">
        <v>75</v>
      </c>
      <c r="E29" s="11" t="s">
        <v>105</v>
      </c>
      <c r="F29" s="11" t="s">
        <v>137</v>
      </c>
      <c r="G29" s="11" t="s">
        <v>78</v>
      </c>
      <c r="H29" s="11" t="s">
        <v>79</v>
      </c>
      <c r="I29" s="11" t="s">
        <v>78</v>
      </c>
      <c r="J29" s="12" t="n">
        <v>5506000</v>
      </c>
      <c r="K29" s="13" t="n">
        <f aca="false">IFERROR(J29/M29,"")</f>
        <v>0.178078204340373</v>
      </c>
      <c r="L29" s="12" t="n">
        <v>25413000</v>
      </c>
      <c r="M29" s="14" t="n">
        <f aca="false">L29+J29</f>
        <v>30919000</v>
      </c>
      <c r="N29" s="12" t="n">
        <v>7558000</v>
      </c>
      <c r="O29" s="12" t="n">
        <v>18178955</v>
      </c>
      <c r="P29" s="12" t="n">
        <v>1100016</v>
      </c>
      <c r="Q29" s="13" t="n">
        <f aca="false">IFERROR(P29/P28-1,"")</f>
        <v>-0.106992149763356</v>
      </c>
      <c r="R29" s="12" t="n">
        <v>1291335</v>
      </c>
      <c r="S29" s="13" t="n">
        <f aca="false">IFERROR(R29/R28-1,"")</f>
        <v>-0.13147800774674</v>
      </c>
      <c r="T29" s="12" t="n">
        <v>488553</v>
      </c>
      <c r="U29" s="13" t="n">
        <f aca="false">IFERROR(T29/P29,"")</f>
        <v>0.444132630798098</v>
      </c>
      <c r="V29" s="14" t="n">
        <f aca="false">T29-AV29</f>
        <v>-1799065</v>
      </c>
      <c r="W29" s="14" t="n">
        <f aca="false">V29-AA29*0.1</f>
        <v>-1799065</v>
      </c>
      <c r="X29" s="12" t="n">
        <v>557382</v>
      </c>
      <c r="Y29" s="12" t="n">
        <v>160000</v>
      </c>
      <c r="Z29" s="15" t="n">
        <f aca="false">IFERROR(X29/Y29,"")</f>
        <v>3.4836375</v>
      </c>
      <c r="AA29" s="12" t="n">
        <v>0</v>
      </c>
      <c r="AB29" s="14" t="n">
        <f aca="false">W29-0.02*P29</f>
        <v>-1821065.32</v>
      </c>
      <c r="AC29" s="16" t="n">
        <v>73</v>
      </c>
      <c r="AD29" s="13" t="n">
        <f aca="false">IFERROR(AC29/AC28-1,"")</f>
        <v>-0.109756097560976</v>
      </c>
      <c r="AE29" s="17" t="n">
        <v>0.308</v>
      </c>
      <c r="AF29" s="17" t="n">
        <v>0.283</v>
      </c>
      <c r="AG29" s="13" t="n">
        <f aca="false">1-AF29</f>
        <v>0.717</v>
      </c>
      <c r="AH29" s="17" t="n">
        <v>0.873</v>
      </c>
      <c r="AI29" s="12" t="n">
        <v>23100</v>
      </c>
      <c r="AJ29" s="14" t="n">
        <f aca="false">IFERROR(AM29*U29*MIN(1/AE29,5),"")</f>
        <v>18342.100856337</v>
      </c>
      <c r="AK29" s="18" t="n">
        <f aca="false">IFERROR(AJ29/AI29,"")</f>
        <v>0.794030340101169</v>
      </c>
      <c r="AL29" s="15" t="n">
        <f aca="false">IFERROR(AI29/(AM29*U29/12),"")</f>
        <v>49.0674436395905</v>
      </c>
      <c r="AM29" s="12" t="n">
        <v>12720</v>
      </c>
      <c r="AN29" s="12" t="n">
        <v>1394778</v>
      </c>
      <c r="AO29" s="12" t="n">
        <v>1991711</v>
      </c>
      <c r="AP29" s="17" t="n">
        <v>0.279</v>
      </c>
      <c r="AQ29" s="16" t="n">
        <v>52</v>
      </c>
      <c r="AR29" s="16" t="n">
        <v>5</v>
      </c>
      <c r="AS29" s="13" t="n">
        <f aca="false">IFERROR(AR29/AR28-1,"")</f>
        <v>0</v>
      </c>
      <c r="AT29" s="11" t="s">
        <v>118</v>
      </c>
      <c r="AU29" s="14" t="n">
        <f aca="false">IFERROR(P29/AR29,"")</f>
        <v>220003.2</v>
      </c>
      <c r="AV29" s="12" t="n">
        <v>2287618</v>
      </c>
      <c r="AW29" s="12" t="n">
        <v>710656</v>
      </c>
      <c r="AX29" s="12" t="n">
        <v>636188</v>
      </c>
      <c r="AY29" s="16" t="n">
        <v>10393</v>
      </c>
      <c r="AZ29" s="13" t="n">
        <f aca="false">IFERROR(AY29/AY28-1,"")</f>
        <v>-0.106977143839148</v>
      </c>
      <c r="BA29" s="17" t="n">
        <v>0.745</v>
      </c>
      <c r="BB29" s="11" t="s">
        <v>138</v>
      </c>
      <c r="BC29" s="11" t="s">
        <v>120</v>
      </c>
      <c r="BD29" s="11" t="s">
        <v>83</v>
      </c>
      <c r="BE29" s="12" t="n">
        <v>1484000</v>
      </c>
      <c r="BF29" s="13" t="n">
        <f aca="false">IFERROR(P29/BE29-1,"")</f>
        <v>-0.258749326145553</v>
      </c>
      <c r="BG29" s="17" t="n">
        <v>0.299</v>
      </c>
      <c r="BH29" s="17" t="n">
        <v>0.25</v>
      </c>
      <c r="BI29" s="14" t="n">
        <f aca="false">P29*(1+IFERROR(Q29,0))^4</f>
        <v>699552.171275637</v>
      </c>
      <c r="BJ29" s="12" t="n">
        <v>-1809919</v>
      </c>
      <c r="BK29" s="11" t="s">
        <v>139</v>
      </c>
      <c r="BL29" s="11" t="s">
        <v>140</v>
      </c>
      <c r="BM29" s="14" t="n">
        <f aca="false">O29</f>
        <v>18178955</v>
      </c>
      <c r="BN29" s="11" t="s">
        <v>141</v>
      </c>
      <c r="BO29" s="13" t="n">
        <f aca="false">IFERROR(1-L29/M29,"")</f>
        <v>0.178078204340373</v>
      </c>
      <c r="BP29" s="11" t="s">
        <v>142</v>
      </c>
      <c r="BQ29" s="12" t="n">
        <v>2003232</v>
      </c>
      <c r="BR29" s="11" t="s">
        <v>88</v>
      </c>
      <c r="BS29" s="11" t="s">
        <v>89</v>
      </c>
      <c r="BT29" s="19" t="str">
        <f aca="false">IF(OR(Z29&lt;6,AH29&lt;0.9,S29&lt;0.02,AK29&lt;1),"REVIEW",IF(AND(S29&gt;0.25,AH29&gt;1.2),"ACCELERATING","STABLE"))</f>
        <v>REVIEW</v>
      </c>
    </row>
    <row r="30" customFormat="false" ht="15" hidden="false" customHeight="false" outlineLevel="0" collapsed="false">
      <c r="A30" s="3" t="s">
        <v>143</v>
      </c>
      <c r="B30" s="3" t="s">
        <v>73</v>
      </c>
      <c r="C30" s="3" t="s">
        <v>74</v>
      </c>
      <c r="D30" s="3" t="s">
        <v>132</v>
      </c>
      <c r="E30" s="3" t="s">
        <v>105</v>
      </c>
      <c r="F30" s="3" t="s">
        <v>144</v>
      </c>
      <c r="G30" s="3" t="s">
        <v>78</v>
      </c>
      <c r="H30" s="3" t="s">
        <v>79</v>
      </c>
      <c r="I30" s="3" t="s">
        <v>78</v>
      </c>
      <c r="J30" s="4" t="n">
        <v>2683000</v>
      </c>
      <c r="K30" s="5" t="n">
        <f aca="false">IFERROR(J30/M30,"")</f>
        <v>0.152581892629663</v>
      </c>
      <c r="L30" s="4" t="n">
        <v>14901000</v>
      </c>
      <c r="M30" s="6" t="n">
        <f aca="false">L30+J30</f>
        <v>17584000</v>
      </c>
      <c r="N30" s="4" t="n">
        <v>3714000</v>
      </c>
      <c r="O30" s="4" t="n">
        <v>12788048</v>
      </c>
      <c r="P30" s="4" t="n">
        <v>1086963</v>
      </c>
      <c r="Q30" s="7"/>
      <c r="R30" s="4" t="n">
        <v>1143531</v>
      </c>
      <c r="S30" s="7"/>
      <c r="T30" s="4" t="n">
        <v>629354</v>
      </c>
      <c r="U30" s="5" t="n">
        <f aca="false">IFERROR(T30/P30,"")</f>
        <v>0.579002229146714</v>
      </c>
      <c r="V30" s="6" t="n">
        <f aca="false">T30-AV30</f>
        <v>-1234806</v>
      </c>
      <c r="W30" s="6" t="n">
        <f aca="false">V30-AA30*0.1</f>
        <v>-1234806</v>
      </c>
      <c r="X30" s="4" t="n">
        <v>1787545</v>
      </c>
      <c r="Y30" s="4" t="n">
        <v>117260</v>
      </c>
      <c r="Z30" s="8" t="n">
        <f aca="false">IFERROR(X30/Y30,"")</f>
        <v>15.2442862016033</v>
      </c>
      <c r="AA30" s="4" t="n">
        <v>0</v>
      </c>
      <c r="AB30" s="6" t="n">
        <f aca="false">W30-0.02*P30</f>
        <v>-1256545.26</v>
      </c>
      <c r="AC30" s="9" t="n">
        <v>79</v>
      </c>
      <c r="AD30" s="7"/>
      <c r="AE30" s="7" t="n">
        <v>0.148</v>
      </c>
      <c r="AF30" s="7" t="n">
        <v>0.107</v>
      </c>
      <c r="AG30" s="5" t="n">
        <f aca="false">1-AF30</f>
        <v>0.893</v>
      </c>
      <c r="AH30" s="7" t="n">
        <v>0.965</v>
      </c>
      <c r="AI30" s="4" t="n">
        <v>47728</v>
      </c>
      <c r="AJ30" s="6" t="n">
        <f aca="false">IFERROR(AM30*U30*MIN(1/AE30,5),"")</f>
        <v>49215.1894774707</v>
      </c>
      <c r="AK30" s="10" t="n">
        <f aca="false">IFERROR(AJ30/AI30,"")</f>
        <v>1.03115968566608</v>
      </c>
      <c r="AL30" s="8" t="n">
        <f aca="false">IFERROR(AI30/(AM30*U30/12),"")</f>
        <v>58.1869140483734</v>
      </c>
      <c r="AM30" s="4" t="n">
        <v>17000</v>
      </c>
      <c r="AN30" s="4" t="n">
        <v>1464765</v>
      </c>
      <c r="AO30" s="4" t="n">
        <v>2309446</v>
      </c>
      <c r="AP30" s="7" t="n">
        <v>0.281</v>
      </c>
      <c r="AQ30" s="9" t="n">
        <v>63</v>
      </c>
      <c r="AR30" s="9" t="n">
        <v>2</v>
      </c>
      <c r="AS30" s="7"/>
      <c r="AT30" s="3" t="s">
        <v>145</v>
      </c>
      <c r="AU30" s="6" t="n">
        <f aca="false">IFERROR(P30/AR30,"")</f>
        <v>543481.5</v>
      </c>
      <c r="AV30" s="4" t="n">
        <v>1864160</v>
      </c>
      <c r="AW30" s="4" t="n">
        <v>631733</v>
      </c>
      <c r="AX30" s="4" t="n">
        <v>554355</v>
      </c>
      <c r="AY30" s="9" t="n">
        <v>23989</v>
      </c>
      <c r="AZ30" s="7"/>
      <c r="BA30" s="7" t="n">
        <v>0.847</v>
      </c>
      <c r="BB30" s="3" t="s">
        <v>146</v>
      </c>
      <c r="BC30" s="3" t="s">
        <v>120</v>
      </c>
      <c r="BD30" s="3" t="s">
        <v>83</v>
      </c>
      <c r="BE30" s="4" t="n">
        <v>1677233</v>
      </c>
      <c r="BF30" s="5" t="n">
        <f aca="false">IFERROR(P30/BE30-1,"")</f>
        <v>-0.351930828930745</v>
      </c>
      <c r="BG30" s="7" t="n">
        <v>0.198</v>
      </c>
      <c r="BH30" s="7" t="n">
        <v>0.269</v>
      </c>
      <c r="BI30" s="6" t="n">
        <f aca="false">P30</f>
        <v>1086963</v>
      </c>
      <c r="BJ30" s="4" t="n">
        <v>-1365704</v>
      </c>
      <c r="BK30" s="3" t="s">
        <v>147</v>
      </c>
      <c r="BL30" s="3" t="s">
        <v>148</v>
      </c>
      <c r="BM30" s="6" t="n">
        <f aca="false">O30</f>
        <v>12788048</v>
      </c>
      <c r="BN30" s="3" t="s">
        <v>149</v>
      </c>
      <c r="BO30" s="5" t="n">
        <f aca="false">IFERROR(1-L30/M30,"")</f>
        <v>0.152581892629663</v>
      </c>
      <c r="BP30" s="3" t="s">
        <v>113</v>
      </c>
      <c r="BQ30" s="4" t="n">
        <v>1823098</v>
      </c>
      <c r="BR30" s="3" t="s">
        <v>88</v>
      </c>
      <c r="BS30" s="3" t="s">
        <v>89</v>
      </c>
      <c r="BT30" s="3" t="s">
        <v>90</v>
      </c>
    </row>
    <row r="31" customFormat="false" ht="15" hidden="false" customHeight="false" outlineLevel="0" collapsed="false">
      <c r="A31" s="11" t="s">
        <v>143</v>
      </c>
      <c r="B31" s="11" t="s">
        <v>91</v>
      </c>
      <c r="C31" s="11" t="s">
        <v>74</v>
      </c>
      <c r="D31" s="11" t="s">
        <v>132</v>
      </c>
      <c r="E31" s="11" t="s">
        <v>105</v>
      </c>
      <c r="F31" s="11" t="s">
        <v>144</v>
      </c>
      <c r="G31" s="11" t="s">
        <v>78</v>
      </c>
      <c r="H31" s="11" t="s">
        <v>79</v>
      </c>
      <c r="I31" s="11" t="s">
        <v>78</v>
      </c>
      <c r="J31" s="12" t="n">
        <v>2683000</v>
      </c>
      <c r="K31" s="13" t="n">
        <f aca="false">IFERROR(J31/M31,"")</f>
        <v>0.152581892629663</v>
      </c>
      <c r="L31" s="12" t="n">
        <v>14901000</v>
      </c>
      <c r="M31" s="14" t="n">
        <f aca="false">L31+J31</f>
        <v>17584000</v>
      </c>
      <c r="N31" s="12" t="n">
        <v>3714000</v>
      </c>
      <c r="O31" s="12" t="n">
        <v>12788048</v>
      </c>
      <c r="P31" s="12" t="n">
        <v>1010176</v>
      </c>
      <c r="Q31" s="13" t="n">
        <f aca="false">IFERROR(P31/P30-1,"")</f>
        <v>-0.0706436189640309</v>
      </c>
      <c r="R31" s="12" t="n">
        <v>1042139</v>
      </c>
      <c r="S31" s="13" t="n">
        <f aca="false">IFERROR(R31/R30-1,"")</f>
        <v>-0.0886657204745652</v>
      </c>
      <c r="T31" s="12" t="n">
        <v>573858</v>
      </c>
      <c r="U31" s="13" t="n">
        <f aca="false">IFERROR(T31/P31,"")</f>
        <v>0.568077245945261</v>
      </c>
      <c r="V31" s="14" t="n">
        <f aca="false">T31-AV31</f>
        <v>-1487515</v>
      </c>
      <c r="W31" s="14" t="n">
        <f aca="false">V31-AA31*0.1</f>
        <v>-1487515</v>
      </c>
      <c r="X31" s="12" t="n">
        <v>1457215</v>
      </c>
      <c r="Y31" s="12" t="n">
        <v>125840</v>
      </c>
      <c r="Z31" s="15" t="n">
        <f aca="false">IFERROR(X31/Y31,"")</f>
        <v>11.579903051494</v>
      </c>
      <c r="AA31" s="12" t="n">
        <v>0</v>
      </c>
      <c r="AB31" s="14" t="n">
        <f aca="false">W31-0.02*P31</f>
        <v>-1507718.52</v>
      </c>
      <c r="AC31" s="16" t="n">
        <v>74</v>
      </c>
      <c r="AD31" s="13" t="n">
        <f aca="false">IFERROR(AC31/AC30-1,"")</f>
        <v>-0.0632911392405063</v>
      </c>
      <c r="AE31" s="17" t="n">
        <v>0.176</v>
      </c>
      <c r="AF31" s="17" t="n">
        <v>0.18</v>
      </c>
      <c r="AG31" s="13" t="n">
        <f aca="false">1-AF31</f>
        <v>0.82</v>
      </c>
      <c r="AH31" s="17" t="n">
        <v>0.925</v>
      </c>
      <c r="AI31" s="12" t="n">
        <v>52752</v>
      </c>
      <c r="AJ31" s="14" t="n">
        <f aca="false">IFERROR(AM31*U31*MIN(1/AE31,5),"")</f>
        <v>49252.2972234541</v>
      </c>
      <c r="AK31" s="18" t="n">
        <f aca="false">IFERROR(AJ31/AI31,"")</f>
        <v>0.933657439025139</v>
      </c>
      <c r="AL31" s="15" t="n">
        <f aca="false">IFERROR(AI31/(AM31*U31/12),"")</f>
        <v>64.2633984287084</v>
      </c>
      <c r="AM31" s="12" t="n">
        <v>17340</v>
      </c>
      <c r="AN31" s="12" t="n">
        <v>951252</v>
      </c>
      <c r="AO31" s="12" t="n">
        <v>2497962</v>
      </c>
      <c r="AP31" s="17" t="n">
        <v>0.281</v>
      </c>
      <c r="AQ31" s="16" t="n">
        <v>63</v>
      </c>
      <c r="AR31" s="16" t="n">
        <v>2</v>
      </c>
      <c r="AS31" s="13" t="n">
        <f aca="false">IFERROR(AR31/AR30-1,"")</f>
        <v>0</v>
      </c>
      <c r="AT31" s="11" t="s">
        <v>145</v>
      </c>
      <c r="AU31" s="14" t="n">
        <f aca="false">IFERROR(P31/AR31,"")</f>
        <v>505088</v>
      </c>
      <c r="AV31" s="12" t="n">
        <v>2061373</v>
      </c>
      <c r="AW31" s="12" t="n">
        <v>1002029</v>
      </c>
      <c r="AX31" s="12" t="n">
        <v>650044</v>
      </c>
      <c r="AY31" s="16" t="n">
        <v>22280</v>
      </c>
      <c r="AZ31" s="13" t="n">
        <f aca="false">IFERROR(AY31/AY30-1,"")</f>
        <v>-0.0712409854516654</v>
      </c>
      <c r="BA31" s="17" t="n">
        <v>0.82</v>
      </c>
      <c r="BB31" s="11" t="s">
        <v>146</v>
      </c>
      <c r="BC31" s="11" t="s">
        <v>120</v>
      </c>
      <c r="BD31" s="11" t="s">
        <v>83</v>
      </c>
      <c r="BE31" s="12" t="n">
        <v>1457572</v>
      </c>
      <c r="BF31" s="13" t="n">
        <f aca="false">IFERROR(P31/BE31-1,"")</f>
        <v>-0.306946071960768</v>
      </c>
      <c r="BG31" s="17" t="n">
        <v>0.191</v>
      </c>
      <c r="BH31" s="17" t="n">
        <v>0.291</v>
      </c>
      <c r="BI31" s="14" t="n">
        <f aca="false">P31*(1+IFERROR(Q31,0))^4</f>
        <v>753574.487698793</v>
      </c>
      <c r="BJ31" s="12" t="n">
        <v>-832902</v>
      </c>
      <c r="BK31" s="11" t="s">
        <v>147</v>
      </c>
      <c r="BL31" s="11" t="s">
        <v>148</v>
      </c>
      <c r="BM31" s="14" t="n">
        <f aca="false">O31</f>
        <v>12788048</v>
      </c>
      <c r="BN31" s="11" t="s">
        <v>149</v>
      </c>
      <c r="BO31" s="13" t="n">
        <f aca="false">IFERROR(1-L31/M31,"")</f>
        <v>0.152581892629663</v>
      </c>
      <c r="BP31" s="11" t="s">
        <v>113</v>
      </c>
      <c r="BQ31" s="12" t="n">
        <v>1718369</v>
      </c>
      <c r="BR31" s="11" t="s">
        <v>88</v>
      </c>
      <c r="BS31" s="11" t="s">
        <v>89</v>
      </c>
      <c r="BT31" s="19" t="str">
        <f aca="false">IF(OR(Z31&lt;6,AH31&lt;0.9,S31&lt;0.02,AK31&lt;1),"REVIEW",IF(AND(S31&gt;0.25,AH31&gt;1.2),"ACCELERATING","STABLE"))</f>
        <v>REVIEW</v>
      </c>
    </row>
    <row r="32" customFormat="false" ht="15" hidden="false" customHeight="false" outlineLevel="0" collapsed="false">
      <c r="A32" s="11" t="s">
        <v>143</v>
      </c>
      <c r="B32" s="11" t="s">
        <v>92</v>
      </c>
      <c r="C32" s="11" t="s">
        <v>74</v>
      </c>
      <c r="D32" s="11" t="s">
        <v>132</v>
      </c>
      <c r="E32" s="11" t="s">
        <v>105</v>
      </c>
      <c r="F32" s="11" t="s">
        <v>144</v>
      </c>
      <c r="G32" s="11" t="s">
        <v>78</v>
      </c>
      <c r="H32" s="11" t="s">
        <v>79</v>
      </c>
      <c r="I32" s="11" t="s">
        <v>78</v>
      </c>
      <c r="J32" s="12" t="n">
        <v>2683000</v>
      </c>
      <c r="K32" s="13" t="n">
        <f aca="false">IFERROR(J32/M32,"")</f>
        <v>0.152581892629663</v>
      </c>
      <c r="L32" s="12" t="n">
        <v>14901000</v>
      </c>
      <c r="M32" s="14" t="n">
        <f aca="false">L32+J32</f>
        <v>17584000</v>
      </c>
      <c r="N32" s="12" t="n">
        <v>3714000</v>
      </c>
      <c r="O32" s="12" t="n">
        <v>12788048</v>
      </c>
      <c r="P32" s="12" t="n">
        <v>921023</v>
      </c>
      <c r="Q32" s="13" t="n">
        <f aca="false">IFERROR(P32/P31-1,"")</f>
        <v>-0.088254917954891</v>
      </c>
      <c r="R32" s="12" t="n">
        <v>954731</v>
      </c>
      <c r="S32" s="13" t="n">
        <f aca="false">IFERROR(R32/R31-1,"")</f>
        <v>-0.0838736483328999</v>
      </c>
      <c r="T32" s="12" t="n">
        <v>513150</v>
      </c>
      <c r="U32" s="13" t="n">
        <f aca="false">IFERROR(T32/P32,"")</f>
        <v>0.557152210096816</v>
      </c>
      <c r="V32" s="14" t="n">
        <f aca="false">T32-AV32</f>
        <v>-1442211</v>
      </c>
      <c r="W32" s="14" t="n">
        <f aca="false">V32-AA32*0.1</f>
        <v>-1442211</v>
      </c>
      <c r="X32" s="12" t="n">
        <v>1070257</v>
      </c>
      <c r="Y32" s="12" t="n">
        <v>134420</v>
      </c>
      <c r="Z32" s="15" t="n">
        <f aca="false">IFERROR(X32/Y32,"")</f>
        <v>7.96203689927094</v>
      </c>
      <c r="AA32" s="12" t="n">
        <v>0</v>
      </c>
      <c r="AB32" s="14" t="n">
        <f aca="false">W32-0.02*P32</f>
        <v>-1460631.46</v>
      </c>
      <c r="AC32" s="16" t="n">
        <v>69</v>
      </c>
      <c r="AD32" s="13" t="n">
        <f aca="false">IFERROR(AC32/AC31-1,"")</f>
        <v>-0.0675675675675675</v>
      </c>
      <c r="AE32" s="17" t="n">
        <v>0.204</v>
      </c>
      <c r="AF32" s="17" t="n">
        <v>0.208</v>
      </c>
      <c r="AG32" s="13" t="n">
        <f aca="false">1-AF32</f>
        <v>0.792</v>
      </c>
      <c r="AH32" s="17" t="n">
        <v>0.885</v>
      </c>
      <c r="AI32" s="12" t="n">
        <v>57776</v>
      </c>
      <c r="AJ32" s="14" t="n">
        <f aca="false">IFERROR(AM32*U32*MIN(1/AE32,5),"")</f>
        <v>48286.5248750574</v>
      </c>
      <c r="AK32" s="18" t="n">
        <f aca="false">IFERROR(AJ32/AI32,"")</f>
        <v>0.83575403065386</v>
      </c>
      <c r="AL32" s="15" t="n">
        <f aca="false">IFERROR(AI32/(AM32*U32/12),"")</f>
        <v>70.3837818954263</v>
      </c>
      <c r="AM32" s="12" t="n">
        <v>17680</v>
      </c>
      <c r="AN32" s="12" t="n">
        <v>1314444</v>
      </c>
      <c r="AO32" s="12" t="n">
        <v>3525070</v>
      </c>
      <c r="AP32" s="17" t="n">
        <v>0.281</v>
      </c>
      <c r="AQ32" s="16" t="n">
        <v>63</v>
      </c>
      <c r="AR32" s="16" t="n">
        <v>2</v>
      </c>
      <c r="AS32" s="13" t="n">
        <f aca="false">IFERROR(AR32/AR31-1,"")</f>
        <v>0</v>
      </c>
      <c r="AT32" s="11" t="s">
        <v>145</v>
      </c>
      <c r="AU32" s="14" t="n">
        <f aca="false">IFERROR(P32/AR32,"")</f>
        <v>460511.5</v>
      </c>
      <c r="AV32" s="12" t="n">
        <v>1955361</v>
      </c>
      <c r="AW32" s="12" t="n">
        <v>761750</v>
      </c>
      <c r="AX32" s="12" t="n">
        <v>515284</v>
      </c>
      <c r="AY32" s="16" t="n">
        <v>20516</v>
      </c>
      <c r="AZ32" s="13" t="n">
        <f aca="false">IFERROR(AY32/AY31-1,"")</f>
        <v>-0.0791741472172352</v>
      </c>
      <c r="BA32" s="17" t="n">
        <v>0.822</v>
      </c>
      <c r="BB32" s="11" t="s">
        <v>146</v>
      </c>
      <c r="BC32" s="11" t="s">
        <v>120</v>
      </c>
      <c r="BD32" s="11" t="s">
        <v>83</v>
      </c>
      <c r="BE32" s="12" t="n">
        <v>1326717</v>
      </c>
      <c r="BF32" s="13" t="n">
        <f aca="false">IFERROR(P32/BE32-1,"")</f>
        <v>-0.305787895986861</v>
      </c>
      <c r="BG32" s="17" t="n">
        <v>0.257</v>
      </c>
      <c r="BH32" s="17" t="n">
        <v>0.173</v>
      </c>
      <c r="BI32" s="14" t="n">
        <f aca="false">P32*(1+IFERROR(Q32,0))^4</f>
        <v>636449.857027266</v>
      </c>
      <c r="BJ32" s="12" t="n">
        <v>-1425920</v>
      </c>
      <c r="BK32" s="11" t="s">
        <v>147</v>
      </c>
      <c r="BL32" s="11" t="s">
        <v>148</v>
      </c>
      <c r="BM32" s="14" t="n">
        <f aca="false">O32</f>
        <v>12788048</v>
      </c>
      <c r="BN32" s="11" t="s">
        <v>149</v>
      </c>
      <c r="BO32" s="13" t="n">
        <f aca="false">IFERROR(1-L32/M32,"")</f>
        <v>0.152581892629663</v>
      </c>
      <c r="BP32" s="11" t="s">
        <v>113</v>
      </c>
      <c r="BQ32" s="12" t="n">
        <v>2184972</v>
      </c>
      <c r="BR32" s="11" t="s">
        <v>88</v>
      </c>
      <c r="BS32" s="11" t="s">
        <v>89</v>
      </c>
      <c r="BT32" s="19" t="str">
        <f aca="false">IF(OR(Z32&lt;6,AH32&lt;0.9,S32&lt;0.02,AK32&lt;1),"REVIEW",IF(AND(S32&gt;0.25,AH32&gt;1.2),"ACCELERATING","STABLE"))</f>
        <v>REVIEW</v>
      </c>
    </row>
    <row r="33" customFormat="false" ht="15" hidden="false" customHeight="false" outlineLevel="0" collapsed="false">
      <c r="A33" s="11" t="s">
        <v>143</v>
      </c>
      <c r="B33" s="11" t="s">
        <v>93</v>
      </c>
      <c r="C33" s="11" t="s">
        <v>74</v>
      </c>
      <c r="D33" s="11" t="s">
        <v>132</v>
      </c>
      <c r="E33" s="11" t="s">
        <v>105</v>
      </c>
      <c r="F33" s="11" t="s">
        <v>144</v>
      </c>
      <c r="G33" s="11" t="s">
        <v>78</v>
      </c>
      <c r="H33" s="11" t="s">
        <v>79</v>
      </c>
      <c r="I33" s="11" t="s">
        <v>78</v>
      </c>
      <c r="J33" s="12" t="n">
        <v>2683000</v>
      </c>
      <c r="K33" s="13" t="n">
        <f aca="false">IFERROR(J33/M33,"")</f>
        <v>0.152581892629663</v>
      </c>
      <c r="L33" s="12" t="n">
        <v>14901000</v>
      </c>
      <c r="M33" s="14" t="n">
        <f aca="false">L33+J33</f>
        <v>17584000</v>
      </c>
      <c r="N33" s="12" t="n">
        <v>3714000</v>
      </c>
      <c r="O33" s="12" t="n">
        <v>12788048</v>
      </c>
      <c r="P33" s="12" t="n">
        <v>849596</v>
      </c>
      <c r="Q33" s="13" t="n">
        <f aca="false">IFERROR(P33/P32-1,"")</f>
        <v>-0.0775518092382058</v>
      </c>
      <c r="R33" s="12" t="n">
        <v>883109</v>
      </c>
      <c r="S33" s="13" t="n">
        <f aca="false">IFERROR(R33/R32-1,"")</f>
        <v>-0.0750179893603539</v>
      </c>
      <c r="T33" s="12" t="n">
        <v>464073</v>
      </c>
      <c r="U33" s="13" t="n">
        <f aca="false">IFERROR(T33/P33,"")</f>
        <v>0.546227854180104</v>
      </c>
      <c r="V33" s="14" t="n">
        <f aca="false">T33-AV33</f>
        <v>-1671976</v>
      </c>
      <c r="W33" s="14" t="n">
        <f aca="false">V33-AA33*0.1</f>
        <v>-1671976</v>
      </c>
      <c r="X33" s="12" t="n">
        <v>626671</v>
      </c>
      <c r="Y33" s="12" t="n">
        <v>143000</v>
      </c>
      <c r="Z33" s="15" t="n">
        <f aca="false">IFERROR(X33/Y33,"")</f>
        <v>4.38231468531469</v>
      </c>
      <c r="AA33" s="12" t="n">
        <v>0</v>
      </c>
      <c r="AB33" s="14" t="n">
        <f aca="false">W33-0.02*P33</f>
        <v>-1688967.92</v>
      </c>
      <c r="AC33" s="16" t="n">
        <v>64</v>
      </c>
      <c r="AD33" s="13" t="n">
        <f aca="false">IFERROR(AC33/AC32-1,"")</f>
        <v>-0.072463768115942</v>
      </c>
      <c r="AE33" s="17" t="n">
        <v>0.232</v>
      </c>
      <c r="AF33" s="17" t="n">
        <v>0.15</v>
      </c>
      <c r="AG33" s="13" t="n">
        <f aca="false">1-AF33</f>
        <v>0.85</v>
      </c>
      <c r="AH33" s="17" t="n">
        <v>0.845</v>
      </c>
      <c r="AI33" s="12" t="n">
        <v>62800</v>
      </c>
      <c r="AJ33" s="14" t="n">
        <f aca="false">IFERROR(AM33*U33*MIN(1/AE33,5),"")</f>
        <v>42426.835915196</v>
      </c>
      <c r="AK33" s="18" t="n">
        <f aca="false">IFERROR(AJ33/AI33,"")</f>
        <v>0.675586559159173</v>
      </c>
      <c r="AL33" s="15" t="n">
        <f aca="false">IFERROR(AI33/(AM33*U33/12),"")</f>
        <v>76.5618220637926</v>
      </c>
      <c r="AM33" s="12" t="n">
        <v>18020</v>
      </c>
      <c r="AN33" s="12" t="n">
        <v>1019777</v>
      </c>
      <c r="AO33" s="12" t="n">
        <v>3032793</v>
      </c>
      <c r="AP33" s="17" t="n">
        <v>0.281</v>
      </c>
      <c r="AQ33" s="16" t="n">
        <v>63</v>
      </c>
      <c r="AR33" s="16" t="n">
        <v>2</v>
      </c>
      <c r="AS33" s="13" t="n">
        <f aca="false">IFERROR(AR33/AR32-1,"")</f>
        <v>0</v>
      </c>
      <c r="AT33" s="11" t="s">
        <v>145</v>
      </c>
      <c r="AU33" s="14" t="n">
        <f aca="false">IFERROR(P33/AR33,"")</f>
        <v>424798</v>
      </c>
      <c r="AV33" s="12" t="n">
        <v>2136049</v>
      </c>
      <c r="AW33" s="12" t="n">
        <v>1057458</v>
      </c>
      <c r="AX33" s="12" t="n">
        <v>552032</v>
      </c>
      <c r="AY33" s="16" t="n">
        <v>18733</v>
      </c>
      <c r="AZ33" s="13" t="n">
        <f aca="false">IFERROR(AY33/AY32-1,"")</f>
        <v>-0.0869077792942095</v>
      </c>
      <c r="BA33" s="17" t="n">
        <v>0.781</v>
      </c>
      <c r="BB33" s="11" t="s">
        <v>146</v>
      </c>
      <c r="BC33" s="11" t="s">
        <v>120</v>
      </c>
      <c r="BD33" s="11" t="s">
        <v>83</v>
      </c>
      <c r="BE33" s="12" t="n">
        <v>1361701</v>
      </c>
      <c r="BF33" s="13" t="n">
        <f aca="false">IFERROR(P33/BE33-1,"")</f>
        <v>-0.376077420814114</v>
      </c>
      <c r="BG33" s="17" t="n">
        <v>0.285</v>
      </c>
      <c r="BH33" s="17" t="n">
        <v>0.327</v>
      </c>
      <c r="BI33" s="14" t="n">
        <f aca="false">P33*(1+IFERROR(Q33,0))^4</f>
        <v>615149.099538435</v>
      </c>
      <c r="BJ33" s="12" t="n">
        <v>-1069509</v>
      </c>
      <c r="BK33" s="11" t="s">
        <v>147</v>
      </c>
      <c r="BL33" s="11" t="s">
        <v>148</v>
      </c>
      <c r="BM33" s="14" t="n">
        <f aca="false">O33</f>
        <v>12788048</v>
      </c>
      <c r="BN33" s="11" t="s">
        <v>149</v>
      </c>
      <c r="BO33" s="13" t="n">
        <f aca="false">IFERROR(1-L33/M33,"")</f>
        <v>0.152581892629663</v>
      </c>
      <c r="BP33" s="11" t="s">
        <v>113</v>
      </c>
      <c r="BQ33" s="12" t="n">
        <v>2181583</v>
      </c>
      <c r="BR33" s="11" t="s">
        <v>88</v>
      </c>
      <c r="BS33" s="11" t="s">
        <v>89</v>
      </c>
      <c r="BT33" s="19" t="str">
        <f aca="false">IF(OR(Z33&lt;6,AH33&lt;0.9,S33&lt;0.02,AK33&lt;1),"REVIEW",IF(AND(S33&gt;0.25,AH33&gt;1.2),"ACCELERATING","STABLE"))</f>
        <v>REVIEW</v>
      </c>
    </row>
    <row r="34" customFormat="false" ht="15" hidden="false" customHeight="false" outlineLevel="0" collapsed="false">
      <c r="A34" s="3" t="s">
        <v>150</v>
      </c>
      <c r="B34" s="3" t="s">
        <v>73</v>
      </c>
      <c r="C34" s="3" t="s">
        <v>74</v>
      </c>
      <c r="D34" s="3" t="s">
        <v>151</v>
      </c>
      <c r="E34" s="3" t="s">
        <v>105</v>
      </c>
      <c r="F34" s="3" t="s">
        <v>152</v>
      </c>
      <c r="G34" s="3" t="s">
        <v>78</v>
      </c>
      <c r="H34" s="3" t="s">
        <v>79</v>
      </c>
      <c r="I34" s="3" t="s">
        <v>78</v>
      </c>
      <c r="J34" s="4" t="n">
        <v>2546000</v>
      </c>
      <c r="K34" s="5" t="n">
        <f aca="false">IFERROR(J34/M34,"")</f>
        <v>0.101791140252679</v>
      </c>
      <c r="L34" s="4" t="n">
        <v>22466000</v>
      </c>
      <c r="M34" s="6" t="n">
        <f aca="false">L34+J34</f>
        <v>25012000</v>
      </c>
      <c r="N34" s="4" t="n">
        <v>2666000</v>
      </c>
      <c r="O34" s="4" t="n">
        <v>48691079</v>
      </c>
      <c r="P34" s="4" t="n">
        <v>117450</v>
      </c>
      <c r="Q34" s="7"/>
      <c r="R34" s="4" t="n">
        <v>135637</v>
      </c>
      <c r="S34" s="7"/>
      <c r="T34" s="4" t="n">
        <v>71938</v>
      </c>
      <c r="U34" s="5" t="n">
        <f aca="false">IFERROR(T34/P34,"")</f>
        <v>0.612498935717327</v>
      </c>
      <c r="V34" s="6" t="n">
        <f aca="false">T34-AV34</f>
        <v>-1286935</v>
      </c>
      <c r="W34" s="6" t="n">
        <f aca="false">V34-AA34*0.1</f>
        <v>-1286935</v>
      </c>
      <c r="X34" s="4" t="n">
        <v>4235085</v>
      </c>
      <c r="Y34" s="4" t="n">
        <v>122850</v>
      </c>
      <c r="Z34" s="8" t="n">
        <f aca="false">IFERROR(X34/Y34,"")</f>
        <v>34.4736263736264</v>
      </c>
      <c r="AA34" s="4" t="n">
        <v>0</v>
      </c>
      <c r="AB34" s="6" t="n">
        <f aca="false">W34-0.02*P34</f>
        <v>-1289284</v>
      </c>
      <c r="AC34" s="9" t="n">
        <v>7</v>
      </c>
      <c r="AD34" s="7"/>
      <c r="AE34" s="7" t="n">
        <v>0.069</v>
      </c>
      <c r="AF34" s="7" t="n">
        <v>0.064</v>
      </c>
      <c r="AG34" s="5" t="n">
        <f aca="false">1-AF34</f>
        <v>0.936</v>
      </c>
      <c r="AH34" s="7" t="n">
        <v>1.183</v>
      </c>
      <c r="AI34" s="4" t="n">
        <v>76214</v>
      </c>
      <c r="AJ34" s="6" t="n">
        <f aca="false">IFERROR(AM34*U34*MIN(1/AE34,5),"")</f>
        <v>140874.755214985</v>
      </c>
      <c r="AK34" s="10" t="n">
        <f aca="false">IFERROR(AJ34/AI34,"")</f>
        <v>1.84841046546547</v>
      </c>
      <c r="AL34" s="8" t="n">
        <f aca="false">IFERROR(AI34/(AM34*U34/12),"")</f>
        <v>32.4603225966321</v>
      </c>
      <c r="AM34" s="4" t="n">
        <v>46000</v>
      </c>
      <c r="AN34" s="4" t="n">
        <v>164355</v>
      </c>
      <c r="AO34" s="4" t="n">
        <v>258106</v>
      </c>
      <c r="AP34" s="7" t="n">
        <v>0.217</v>
      </c>
      <c r="AQ34" s="9" t="n">
        <v>85</v>
      </c>
      <c r="AR34" s="9" t="n">
        <v>1</v>
      </c>
      <c r="AS34" s="7"/>
      <c r="AT34" s="3" t="s">
        <v>153</v>
      </c>
      <c r="AU34" s="6" t="n">
        <f aca="false">IFERROR(P34/AR34,"")</f>
        <v>117450</v>
      </c>
      <c r="AV34" s="4" t="n">
        <v>1358873</v>
      </c>
      <c r="AW34" s="4" t="n">
        <v>621368</v>
      </c>
      <c r="AX34" s="4" t="n">
        <v>450529</v>
      </c>
      <c r="AY34" s="9" t="n">
        <v>11232</v>
      </c>
      <c r="AZ34" s="7"/>
      <c r="BA34" s="7" t="n">
        <v>0.94</v>
      </c>
      <c r="BB34" s="3" t="s">
        <v>107</v>
      </c>
      <c r="BC34" s="3" t="s">
        <v>108</v>
      </c>
      <c r="BD34" s="3" t="s">
        <v>83</v>
      </c>
      <c r="BE34" s="4" t="n">
        <v>107716</v>
      </c>
      <c r="BF34" s="5" t="n">
        <f aca="false">IFERROR(P34/BE34-1,"")</f>
        <v>0.0903672620594898</v>
      </c>
      <c r="BG34" s="7" t="n">
        <v>0.083</v>
      </c>
      <c r="BH34" s="7" t="n">
        <v>-0.065</v>
      </c>
      <c r="BI34" s="6" t="n">
        <f aca="false">P34</f>
        <v>117450</v>
      </c>
      <c r="BJ34" s="4" t="n">
        <v>-780910</v>
      </c>
      <c r="BK34" s="3" t="s">
        <v>102</v>
      </c>
      <c r="BL34" s="3" t="s">
        <v>111</v>
      </c>
      <c r="BM34" s="6" t="n">
        <f aca="false">O34</f>
        <v>48691079</v>
      </c>
      <c r="BN34" s="3" t="s">
        <v>154</v>
      </c>
      <c r="BO34" s="5" t="n">
        <f aca="false">IFERROR(1-L34/M34,"")</f>
        <v>0.101791140252679</v>
      </c>
      <c r="BP34" s="3" t="s">
        <v>142</v>
      </c>
      <c r="BQ34" s="4" t="n">
        <v>1974628</v>
      </c>
      <c r="BR34" s="3" t="s">
        <v>88</v>
      </c>
      <c r="BS34" s="3" t="s">
        <v>89</v>
      </c>
      <c r="BT34" s="3" t="s">
        <v>90</v>
      </c>
    </row>
    <row r="35" customFormat="false" ht="15" hidden="false" customHeight="false" outlineLevel="0" collapsed="false">
      <c r="A35" s="11" t="s">
        <v>150</v>
      </c>
      <c r="B35" s="11" t="s">
        <v>91</v>
      </c>
      <c r="C35" s="11" t="s">
        <v>74</v>
      </c>
      <c r="D35" s="11" t="s">
        <v>151</v>
      </c>
      <c r="E35" s="11" t="s">
        <v>105</v>
      </c>
      <c r="F35" s="11" t="s">
        <v>152</v>
      </c>
      <c r="G35" s="11" t="s">
        <v>78</v>
      </c>
      <c r="H35" s="11" t="s">
        <v>79</v>
      </c>
      <c r="I35" s="11" t="s">
        <v>78</v>
      </c>
      <c r="J35" s="12" t="n">
        <v>2546000</v>
      </c>
      <c r="K35" s="13" t="n">
        <f aca="false">IFERROR(J35/M35,"")</f>
        <v>0.101791140252679</v>
      </c>
      <c r="L35" s="12" t="n">
        <v>22466000</v>
      </c>
      <c r="M35" s="14" t="n">
        <f aca="false">L35+J35</f>
        <v>25012000</v>
      </c>
      <c r="N35" s="12" t="n">
        <v>2666000</v>
      </c>
      <c r="O35" s="12" t="n">
        <v>48691079</v>
      </c>
      <c r="P35" s="12" t="n">
        <v>146865</v>
      </c>
      <c r="Q35" s="13" t="n">
        <f aca="false">IFERROR(P35/P34-1,"")</f>
        <v>0.250446998722861</v>
      </c>
      <c r="R35" s="12" t="n">
        <v>152946</v>
      </c>
      <c r="S35" s="13" t="n">
        <f aca="false">IFERROR(R35/R34-1,"")</f>
        <v>0.127612672058509</v>
      </c>
      <c r="T35" s="12" t="n">
        <v>90319</v>
      </c>
      <c r="U35" s="13" t="n">
        <f aca="false">IFERROR(T35/P35,"")</f>
        <v>0.614979743301672</v>
      </c>
      <c r="V35" s="14" t="n">
        <f aca="false">T35-AV35</f>
        <v>-1358488</v>
      </c>
      <c r="W35" s="14" t="n">
        <f aca="false">V35-AA35*0.1</f>
        <v>-1358488</v>
      </c>
      <c r="X35" s="12" t="n">
        <v>3925260</v>
      </c>
      <c r="Y35" s="12" t="n">
        <v>126900</v>
      </c>
      <c r="Z35" s="15" t="n">
        <f aca="false">IFERROR(X35/Y35,"")</f>
        <v>30.931914893617</v>
      </c>
      <c r="AA35" s="12" t="n">
        <v>0</v>
      </c>
      <c r="AB35" s="14" t="n">
        <f aca="false">W35-0.02*P35</f>
        <v>-1361425.3</v>
      </c>
      <c r="AC35" s="16" t="n">
        <v>8</v>
      </c>
      <c r="AD35" s="13" t="n">
        <f aca="false">IFERROR(AC35/AC34-1,"")</f>
        <v>0.142857142857143</v>
      </c>
      <c r="AE35" s="17" t="n">
        <v>0.067</v>
      </c>
      <c r="AF35" s="17" t="n">
        <v>0.044</v>
      </c>
      <c r="AG35" s="13" t="n">
        <f aca="false">1-AF35</f>
        <v>0.956</v>
      </c>
      <c r="AH35" s="17" t="n">
        <v>1.178</v>
      </c>
      <c r="AI35" s="12" t="n">
        <v>74776</v>
      </c>
      <c r="AJ35" s="14" t="n">
        <f aca="false">IFERROR(AM35*U35*MIN(1/AE35,5),"")</f>
        <v>144274.247778572</v>
      </c>
      <c r="AK35" s="18" t="n">
        <f aca="false">IFERROR(AJ35/AI35,"")</f>
        <v>1.92941916896561</v>
      </c>
      <c r="AL35" s="15" t="n">
        <f aca="false">IFERROR(AI35/(AM35*U35/12),"")</f>
        <v>31.0974416368875</v>
      </c>
      <c r="AM35" s="12" t="n">
        <v>46920</v>
      </c>
      <c r="AN35" s="12" t="n">
        <v>209506</v>
      </c>
      <c r="AO35" s="12" t="n">
        <v>388610</v>
      </c>
      <c r="AP35" s="17" t="n">
        <v>0.217</v>
      </c>
      <c r="AQ35" s="16" t="n">
        <v>85</v>
      </c>
      <c r="AR35" s="16" t="n">
        <v>1</v>
      </c>
      <c r="AS35" s="13" t="n">
        <f aca="false">IFERROR(AR35/AR34-1,"")</f>
        <v>0</v>
      </c>
      <c r="AT35" s="11" t="s">
        <v>153</v>
      </c>
      <c r="AU35" s="14" t="n">
        <f aca="false">IFERROR(P35/AR35,"")</f>
        <v>146865</v>
      </c>
      <c r="AV35" s="12" t="n">
        <v>1448807</v>
      </c>
      <c r="AW35" s="12" t="n">
        <v>462467</v>
      </c>
      <c r="AX35" s="12" t="n">
        <v>420219</v>
      </c>
      <c r="AY35" s="16" t="n">
        <v>13981</v>
      </c>
      <c r="AZ35" s="13" t="n">
        <f aca="false">IFERROR(AY35/AY34-1,"")</f>
        <v>0.244747150997151</v>
      </c>
      <c r="BA35" s="17" t="n">
        <v>0.937</v>
      </c>
      <c r="BB35" s="11" t="s">
        <v>107</v>
      </c>
      <c r="BC35" s="11" t="s">
        <v>108</v>
      </c>
      <c r="BD35" s="11" t="s">
        <v>83</v>
      </c>
      <c r="BE35" s="12" t="n">
        <v>169799</v>
      </c>
      <c r="BF35" s="13" t="n">
        <f aca="false">IFERROR(P35/BE35-1,"")</f>
        <v>-0.135065577535792</v>
      </c>
      <c r="BG35" s="17" t="n">
        <v>-0.032</v>
      </c>
      <c r="BH35" s="17" t="n">
        <v>0.019</v>
      </c>
      <c r="BI35" s="14" t="n">
        <f aca="false">P35*(1+IFERROR(Q35,0))^4</f>
        <v>359070.282730984</v>
      </c>
      <c r="BJ35" s="12" t="n">
        <v>-966215</v>
      </c>
      <c r="BK35" s="11" t="s">
        <v>102</v>
      </c>
      <c r="BL35" s="11" t="s">
        <v>111</v>
      </c>
      <c r="BM35" s="14" t="n">
        <f aca="false">O35</f>
        <v>48691079</v>
      </c>
      <c r="BN35" s="11" t="s">
        <v>154</v>
      </c>
      <c r="BO35" s="13" t="n">
        <f aca="false">IFERROR(1-L35/M35,"")</f>
        <v>0.101791140252679</v>
      </c>
      <c r="BP35" s="11" t="s">
        <v>142</v>
      </c>
      <c r="BQ35" s="12" t="n">
        <v>2461103</v>
      </c>
      <c r="BR35" s="11" t="s">
        <v>88</v>
      </c>
      <c r="BS35" s="11" t="s">
        <v>89</v>
      </c>
      <c r="BT35" s="19" t="str">
        <f aca="false">IF(OR(Z35&lt;6,AH35&lt;0.9,S35&lt;0.02,AK35&lt;1),"REVIEW",IF(AND(S35&gt;0.25,AH35&gt;1.2),"ACCELERATING","STABLE"))</f>
        <v>STABLE</v>
      </c>
    </row>
    <row r="36" customFormat="false" ht="15" hidden="false" customHeight="false" outlineLevel="0" collapsed="false">
      <c r="A36" s="11" t="s">
        <v>150</v>
      </c>
      <c r="B36" s="11" t="s">
        <v>92</v>
      </c>
      <c r="C36" s="11" t="s">
        <v>74</v>
      </c>
      <c r="D36" s="11" t="s">
        <v>151</v>
      </c>
      <c r="E36" s="11" t="s">
        <v>105</v>
      </c>
      <c r="F36" s="11" t="s">
        <v>152</v>
      </c>
      <c r="G36" s="11" t="s">
        <v>78</v>
      </c>
      <c r="H36" s="11" t="s">
        <v>79</v>
      </c>
      <c r="I36" s="11" t="s">
        <v>78</v>
      </c>
      <c r="J36" s="12" t="n">
        <v>2546000</v>
      </c>
      <c r="K36" s="13" t="n">
        <f aca="false">IFERROR(J36/M36,"")</f>
        <v>0.101791140252679</v>
      </c>
      <c r="L36" s="12" t="n">
        <v>22466000</v>
      </c>
      <c r="M36" s="14" t="n">
        <f aca="false">L36+J36</f>
        <v>25012000</v>
      </c>
      <c r="N36" s="12" t="n">
        <v>2666000</v>
      </c>
      <c r="O36" s="12" t="n">
        <v>48691079</v>
      </c>
      <c r="P36" s="12" t="n">
        <v>166414</v>
      </c>
      <c r="Q36" s="13" t="n">
        <f aca="false">IFERROR(P36/P35-1,"")</f>
        <v>0.133108637183808</v>
      </c>
      <c r="R36" s="12" t="n">
        <v>188112</v>
      </c>
      <c r="S36" s="13" t="n">
        <f aca="false">IFERROR(R36/R35-1,"")</f>
        <v>0.229924287003256</v>
      </c>
      <c r="T36" s="12" t="n">
        <v>102753</v>
      </c>
      <c r="U36" s="13" t="n">
        <f aca="false">IFERROR(T36/P36,"")</f>
        <v>0.617454060355499</v>
      </c>
      <c r="V36" s="14" t="n">
        <f aca="false">T36-AV36</f>
        <v>-1349936</v>
      </c>
      <c r="W36" s="14" t="n">
        <f aca="false">V36-AA36*0.1</f>
        <v>-1349936</v>
      </c>
      <c r="X36" s="12" t="n">
        <v>3593565</v>
      </c>
      <c r="Y36" s="12" t="n">
        <v>130950</v>
      </c>
      <c r="Z36" s="15" t="n">
        <f aca="false">IFERROR(X36/Y36,"")</f>
        <v>27.4422680412371</v>
      </c>
      <c r="AA36" s="12" t="n">
        <v>0</v>
      </c>
      <c r="AB36" s="14" t="n">
        <f aca="false">W36-0.02*P36</f>
        <v>-1353264.28</v>
      </c>
      <c r="AC36" s="16" t="n">
        <v>9</v>
      </c>
      <c r="AD36" s="13" t="n">
        <f aca="false">IFERROR(AC36/AC35-1,"")</f>
        <v>0.125</v>
      </c>
      <c r="AE36" s="17" t="n">
        <v>0.065</v>
      </c>
      <c r="AF36" s="17" t="n">
        <v>0.042</v>
      </c>
      <c r="AG36" s="13" t="n">
        <f aca="false">1-AF36</f>
        <v>0.958</v>
      </c>
      <c r="AH36" s="17" t="n">
        <v>1.173</v>
      </c>
      <c r="AI36" s="12" t="n">
        <v>73338</v>
      </c>
      <c r="AJ36" s="14" t="n">
        <f aca="false">IFERROR(AM36*U36*MIN(1/AE36,5),"")</f>
        <v>147695.011237035</v>
      </c>
      <c r="AK36" s="18" t="n">
        <f aca="false">IFERROR(AJ36/AI36,"")</f>
        <v>2.01389472356807</v>
      </c>
      <c r="AL36" s="15" t="n">
        <f aca="false">IFERROR(AI36/(AM36*U36/12),"")</f>
        <v>29.7930171313505</v>
      </c>
      <c r="AM36" s="12" t="n">
        <v>47840</v>
      </c>
      <c r="AN36" s="12" t="n">
        <v>217148</v>
      </c>
      <c r="AO36" s="12" t="n">
        <v>507907</v>
      </c>
      <c r="AP36" s="17" t="n">
        <v>0.217</v>
      </c>
      <c r="AQ36" s="16" t="n">
        <v>85</v>
      </c>
      <c r="AR36" s="16" t="n">
        <v>1</v>
      </c>
      <c r="AS36" s="13" t="n">
        <f aca="false">IFERROR(AR36/AR35-1,"")</f>
        <v>0</v>
      </c>
      <c r="AT36" s="11" t="s">
        <v>153</v>
      </c>
      <c r="AU36" s="14" t="n">
        <f aca="false">IFERROR(P36/AR36,"")</f>
        <v>166414</v>
      </c>
      <c r="AV36" s="12" t="n">
        <v>1452689</v>
      </c>
      <c r="AW36" s="12" t="n">
        <v>547362</v>
      </c>
      <c r="AX36" s="12" t="n">
        <v>459142</v>
      </c>
      <c r="AY36" s="16" t="n">
        <v>16590</v>
      </c>
      <c r="AZ36" s="13" t="n">
        <f aca="false">IFERROR(AY36/AY35-1,"")</f>
        <v>0.186610399828338</v>
      </c>
      <c r="BA36" s="17" t="n">
        <v>0.95</v>
      </c>
      <c r="BB36" s="11" t="s">
        <v>107</v>
      </c>
      <c r="BC36" s="11" t="s">
        <v>108</v>
      </c>
      <c r="BD36" s="11" t="s">
        <v>83</v>
      </c>
      <c r="BE36" s="12" t="n">
        <v>166720</v>
      </c>
      <c r="BF36" s="13" t="n">
        <f aca="false">IFERROR(P36/BE36-1,"")</f>
        <v>-0.00183541266794629</v>
      </c>
      <c r="BG36" s="17" t="n">
        <v>-0.024</v>
      </c>
      <c r="BH36" s="17" t="n">
        <v>0.083</v>
      </c>
      <c r="BI36" s="14" t="n">
        <f aca="false">P36*(1+IFERROR(Q36,0))^4</f>
        <v>274331.740945798</v>
      </c>
      <c r="BJ36" s="12" t="n">
        <v>-1188126</v>
      </c>
      <c r="BK36" s="11" t="s">
        <v>102</v>
      </c>
      <c r="BL36" s="11" t="s">
        <v>111</v>
      </c>
      <c r="BM36" s="14" t="n">
        <f aca="false">O36</f>
        <v>48691079</v>
      </c>
      <c r="BN36" s="11" t="s">
        <v>154</v>
      </c>
      <c r="BO36" s="13" t="n">
        <f aca="false">IFERROR(1-L36/M36,"")</f>
        <v>0.101791140252679</v>
      </c>
      <c r="BP36" s="11" t="s">
        <v>142</v>
      </c>
      <c r="BQ36" s="12" t="n">
        <v>2016585</v>
      </c>
      <c r="BR36" s="11" t="s">
        <v>88</v>
      </c>
      <c r="BS36" s="11" t="s">
        <v>89</v>
      </c>
      <c r="BT36" s="19" t="str">
        <f aca="false">IF(OR(Z36&lt;6,AH36&lt;0.9,S36&lt;0.02,AK36&lt;1),"REVIEW",IF(AND(S36&gt;0.25,AH36&gt;1.2),"ACCELERATING","STABLE"))</f>
        <v>STABLE</v>
      </c>
    </row>
    <row r="37" customFormat="false" ht="15" hidden="false" customHeight="false" outlineLevel="0" collapsed="false">
      <c r="A37" s="11" t="s">
        <v>150</v>
      </c>
      <c r="B37" s="11" t="s">
        <v>93</v>
      </c>
      <c r="C37" s="11" t="s">
        <v>74</v>
      </c>
      <c r="D37" s="11" t="s">
        <v>151</v>
      </c>
      <c r="E37" s="11" t="s">
        <v>105</v>
      </c>
      <c r="F37" s="11" t="s">
        <v>152</v>
      </c>
      <c r="G37" s="11" t="s">
        <v>78</v>
      </c>
      <c r="H37" s="11" t="s">
        <v>79</v>
      </c>
      <c r="I37" s="11" t="s">
        <v>78</v>
      </c>
      <c r="J37" s="12" t="n">
        <v>2546000</v>
      </c>
      <c r="K37" s="13" t="n">
        <f aca="false">IFERROR(J37/M37,"")</f>
        <v>0.101791140252679</v>
      </c>
      <c r="L37" s="12" t="n">
        <v>22466000</v>
      </c>
      <c r="M37" s="14" t="n">
        <f aca="false">L37+J37</f>
        <v>25012000</v>
      </c>
      <c r="N37" s="12" t="n">
        <v>2666000</v>
      </c>
      <c r="O37" s="12" t="n">
        <v>48691079</v>
      </c>
      <c r="P37" s="12" t="n">
        <v>212677</v>
      </c>
      <c r="Q37" s="13" t="n">
        <f aca="false">IFERROR(P37/P36-1,"")</f>
        <v>0.277999447161897</v>
      </c>
      <c r="R37" s="12" t="n">
        <v>226742</v>
      </c>
      <c r="S37" s="13" t="n">
        <f aca="false">IFERROR(R37/R36-1,"")</f>
        <v>0.205356383431147</v>
      </c>
      <c r="T37" s="12" t="n">
        <v>131846</v>
      </c>
      <c r="U37" s="13" t="n">
        <f aca="false">IFERROR(T37/P37,"")</f>
        <v>0.619935394988645</v>
      </c>
      <c r="V37" s="14" t="n">
        <f aca="false">T37-AV37</f>
        <v>-1240164</v>
      </c>
      <c r="W37" s="14" t="n">
        <f aca="false">V37-AA37*0.1</f>
        <v>-1240164</v>
      </c>
      <c r="X37" s="12" t="n">
        <v>3240000</v>
      </c>
      <c r="Y37" s="12" t="n">
        <v>135000</v>
      </c>
      <c r="Z37" s="15" t="n">
        <f aca="false">IFERROR(X37/Y37,"")</f>
        <v>24</v>
      </c>
      <c r="AA37" s="12" t="n">
        <v>0</v>
      </c>
      <c r="AB37" s="14" t="n">
        <f aca="false">W37-0.02*P37</f>
        <v>-1244417.54</v>
      </c>
      <c r="AC37" s="16" t="n">
        <v>11</v>
      </c>
      <c r="AD37" s="13" t="n">
        <f aca="false">IFERROR(AC37/AC36-1,"")</f>
        <v>0.222222222222222</v>
      </c>
      <c r="AE37" s="17" t="n">
        <v>0.063</v>
      </c>
      <c r="AF37" s="17" t="n">
        <v>0.066</v>
      </c>
      <c r="AG37" s="13" t="n">
        <f aca="false">1-AF37</f>
        <v>0.934</v>
      </c>
      <c r="AH37" s="17" t="n">
        <v>1.168</v>
      </c>
      <c r="AI37" s="12" t="n">
        <v>71900</v>
      </c>
      <c r="AJ37" s="14" t="n">
        <f aca="false">IFERROR(AM37*U37*MIN(1/AE37,5),"")</f>
        <v>151140.249298232</v>
      </c>
      <c r="AK37" s="18" t="n">
        <f aca="false">IFERROR(AJ37/AI37,"")</f>
        <v>2.10208969816734</v>
      </c>
      <c r="AL37" s="15" t="n">
        <f aca="false">IFERROR(AI37/(AM37*U37/12),"")</f>
        <v>28.5430255675149</v>
      </c>
      <c r="AM37" s="12" t="n">
        <v>48760</v>
      </c>
      <c r="AN37" s="12" t="n">
        <v>230747</v>
      </c>
      <c r="AO37" s="12" t="n">
        <v>453109</v>
      </c>
      <c r="AP37" s="17" t="n">
        <v>0.217</v>
      </c>
      <c r="AQ37" s="16" t="n">
        <v>85</v>
      </c>
      <c r="AR37" s="16" t="n">
        <v>1</v>
      </c>
      <c r="AS37" s="13" t="n">
        <f aca="false">IFERROR(AR37/AR36-1,"")</f>
        <v>0</v>
      </c>
      <c r="AT37" s="11" t="s">
        <v>153</v>
      </c>
      <c r="AU37" s="14" t="n">
        <f aca="false">IFERROR(P37/AR37,"")</f>
        <v>212677</v>
      </c>
      <c r="AV37" s="12" t="n">
        <v>1372010</v>
      </c>
      <c r="AW37" s="12" t="n">
        <v>622795</v>
      </c>
      <c r="AX37" s="12" t="n">
        <v>431943</v>
      </c>
      <c r="AY37" s="16" t="n">
        <v>19163</v>
      </c>
      <c r="AZ37" s="13" t="n">
        <f aca="false">IFERROR(AY37/AY36-1,"")</f>
        <v>0.155093429776974</v>
      </c>
      <c r="BA37" s="17" t="n">
        <v>0.954</v>
      </c>
      <c r="BB37" s="11" t="s">
        <v>107</v>
      </c>
      <c r="BC37" s="11" t="s">
        <v>108</v>
      </c>
      <c r="BD37" s="11" t="s">
        <v>83</v>
      </c>
      <c r="BE37" s="12" t="n">
        <v>210687</v>
      </c>
      <c r="BF37" s="13" t="n">
        <f aca="false">IFERROR(P37/BE37-1,"")</f>
        <v>0.00944529088173463</v>
      </c>
      <c r="BG37" s="17" t="n">
        <v>0.07</v>
      </c>
      <c r="BH37" s="17" t="n">
        <v>0.097</v>
      </c>
      <c r="BI37" s="14" t="n">
        <f aca="false">P37*(1+IFERROR(Q37,0))^4</f>
        <v>567339.719200108</v>
      </c>
      <c r="BJ37" s="12" t="n">
        <v>-1056035</v>
      </c>
      <c r="BK37" s="11" t="s">
        <v>102</v>
      </c>
      <c r="BL37" s="11" t="s">
        <v>111</v>
      </c>
      <c r="BM37" s="14" t="n">
        <f aca="false">O37</f>
        <v>48691079</v>
      </c>
      <c r="BN37" s="11" t="s">
        <v>154</v>
      </c>
      <c r="BO37" s="13" t="n">
        <f aca="false">IFERROR(1-L37/M37,"")</f>
        <v>0.101791140252679</v>
      </c>
      <c r="BP37" s="11" t="s">
        <v>142</v>
      </c>
      <c r="BQ37" s="12" t="n">
        <v>2622021</v>
      </c>
      <c r="BR37" s="11" t="s">
        <v>88</v>
      </c>
      <c r="BS37" s="11" t="s">
        <v>89</v>
      </c>
      <c r="BT37" s="19" t="str">
        <f aca="false">IF(OR(Z37&lt;6,AH37&lt;0.9,S37&lt;0.02,AK37&lt;1),"REVIEW",IF(AND(S37&gt;0.25,AH37&gt;1.2),"ACCELERATING","STABLE"))</f>
        <v>STABLE</v>
      </c>
    </row>
    <row r="38" customFormat="false" ht="15" hidden="false" customHeight="false" outlineLevel="0" collapsed="false">
      <c r="A38" s="3" t="s">
        <v>155</v>
      </c>
      <c r="B38" s="3" t="s">
        <v>73</v>
      </c>
      <c r="C38" s="3" t="s">
        <v>74</v>
      </c>
      <c r="D38" s="3" t="s">
        <v>75</v>
      </c>
      <c r="E38" s="3" t="s">
        <v>105</v>
      </c>
      <c r="F38" s="3" t="s">
        <v>156</v>
      </c>
      <c r="G38" s="3" t="s">
        <v>78</v>
      </c>
      <c r="H38" s="3" t="s">
        <v>79</v>
      </c>
      <c r="I38" s="3" t="s">
        <v>78</v>
      </c>
      <c r="J38" s="4" t="n">
        <v>6643000</v>
      </c>
      <c r="K38" s="5" t="n">
        <f aca="false">IFERROR(J38/M38,"")</f>
        <v>0.196666469299544</v>
      </c>
      <c r="L38" s="4" t="n">
        <v>27135000</v>
      </c>
      <c r="M38" s="6" t="n">
        <f aca="false">L38+J38</f>
        <v>33778000</v>
      </c>
      <c r="N38" s="4" t="n">
        <v>6643000</v>
      </c>
      <c r="O38" s="4" t="n">
        <v>27938098</v>
      </c>
      <c r="P38" s="4" t="n">
        <v>1426452</v>
      </c>
      <c r="Q38" s="7"/>
      <c r="R38" s="4" t="n">
        <v>1740711</v>
      </c>
      <c r="S38" s="7"/>
      <c r="T38" s="4" t="n">
        <v>693268</v>
      </c>
      <c r="U38" s="5" t="n">
        <f aca="false">IFERROR(T38/P38,"")</f>
        <v>0.486008642421897</v>
      </c>
      <c r="V38" s="6" t="n">
        <f aca="false">T38-AV38</f>
        <v>-935271</v>
      </c>
      <c r="W38" s="6" t="n">
        <f aca="false">V38-AA38*0.1</f>
        <v>-935271</v>
      </c>
      <c r="X38" s="4" t="n">
        <v>1439225</v>
      </c>
      <c r="Y38" s="4" t="n">
        <v>98400</v>
      </c>
      <c r="Z38" s="8" t="n">
        <f aca="false">IFERROR(X38/Y38,"")</f>
        <v>14.6262703252033</v>
      </c>
      <c r="AA38" s="4" t="n">
        <v>0</v>
      </c>
      <c r="AB38" s="6" t="n">
        <f aca="false">W38-0.02*P38</f>
        <v>-963800.04</v>
      </c>
      <c r="AC38" s="9" t="n">
        <v>80</v>
      </c>
      <c r="AD38" s="7"/>
      <c r="AE38" s="7" t="n">
        <v>0.148</v>
      </c>
      <c r="AF38" s="7" t="n">
        <v>0.113</v>
      </c>
      <c r="AG38" s="5" t="n">
        <f aca="false">1-AF38</f>
        <v>0.887</v>
      </c>
      <c r="AH38" s="7" t="n">
        <v>0.862</v>
      </c>
      <c r="AI38" s="4" t="n">
        <v>48716</v>
      </c>
      <c r="AJ38" s="6" t="n">
        <f aca="false">IFERROR(AM38*U38*MIN(1/AE38,5),"")</f>
        <v>70471.2531511751</v>
      </c>
      <c r="AK38" s="10" t="n">
        <f aca="false">IFERROR(AJ38/AI38,"")</f>
        <v>1.44657305918333</v>
      </c>
      <c r="AL38" s="8" t="n">
        <f aca="false">IFERROR(AI38/(AM38*U38/12),"")</f>
        <v>41.47733819533</v>
      </c>
      <c r="AM38" s="4" t="n">
        <v>29000</v>
      </c>
      <c r="AN38" s="4" t="n">
        <v>1805774</v>
      </c>
      <c r="AO38" s="4" t="n">
        <v>4451997</v>
      </c>
      <c r="AP38" s="7" t="n">
        <v>0.163</v>
      </c>
      <c r="AQ38" s="9" t="n">
        <v>34</v>
      </c>
      <c r="AR38" s="9" t="n">
        <v>3</v>
      </c>
      <c r="AS38" s="7"/>
      <c r="AT38" s="3" t="s">
        <v>145</v>
      </c>
      <c r="AU38" s="6" t="n">
        <f aca="false">IFERROR(P38/AR38,"")</f>
        <v>475484</v>
      </c>
      <c r="AV38" s="4" t="n">
        <v>1628539</v>
      </c>
      <c r="AW38" s="4" t="n">
        <v>625636</v>
      </c>
      <c r="AX38" s="4" t="n">
        <v>374696</v>
      </c>
      <c r="AY38" s="9" t="n">
        <v>38176</v>
      </c>
      <c r="AZ38" s="7"/>
      <c r="BA38" s="7" t="n">
        <v>0.891</v>
      </c>
      <c r="BB38" s="3" t="s">
        <v>119</v>
      </c>
      <c r="BC38" s="3" t="s">
        <v>120</v>
      </c>
      <c r="BD38" s="3" t="s">
        <v>157</v>
      </c>
      <c r="BE38" s="4" t="n">
        <v>2328759</v>
      </c>
      <c r="BF38" s="5" t="n">
        <f aca="false">IFERROR(P38/BE38-1,"")</f>
        <v>-0.387462592737162</v>
      </c>
      <c r="BG38" s="7" t="n">
        <v>0.299</v>
      </c>
      <c r="BH38" s="7" t="n">
        <v>0.187</v>
      </c>
      <c r="BI38" s="6" t="n">
        <f aca="false">P38</f>
        <v>1426452</v>
      </c>
      <c r="BJ38" s="4" t="n">
        <v>-1138604</v>
      </c>
      <c r="BK38" s="3" t="s">
        <v>121</v>
      </c>
      <c r="BL38" s="3" t="s">
        <v>148</v>
      </c>
      <c r="BM38" s="6" t="n">
        <f aca="false">O38</f>
        <v>27938098</v>
      </c>
      <c r="BN38" s="3" t="s">
        <v>158</v>
      </c>
      <c r="BO38" s="5" t="n">
        <f aca="false">IFERROR(1-L38/M38,"")</f>
        <v>0.196666469299544</v>
      </c>
      <c r="BP38" s="3" t="s">
        <v>142</v>
      </c>
      <c r="BQ38" s="4" t="n">
        <v>1608573</v>
      </c>
      <c r="BR38" s="3" t="s">
        <v>88</v>
      </c>
      <c r="BS38" s="3" t="s">
        <v>89</v>
      </c>
      <c r="BT38" s="3" t="s">
        <v>90</v>
      </c>
    </row>
    <row r="39" customFormat="false" ht="15" hidden="false" customHeight="false" outlineLevel="0" collapsed="false">
      <c r="A39" s="11" t="s">
        <v>155</v>
      </c>
      <c r="B39" s="11" t="s">
        <v>91</v>
      </c>
      <c r="C39" s="11" t="s">
        <v>74</v>
      </c>
      <c r="D39" s="11" t="s">
        <v>75</v>
      </c>
      <c r="E39" s="11" t="s">
        <v>105</v>
      </c>
      <c r="F39" s="11" t="s">
        <v>156</v>
      </c>
      <c r="G39" s="11" t="s">
        <v>78</v>
      </c>
      <c r="H39" s="11" t="s">
        <v>79</v>
      </c>
      <c r="I39" s="11" t="s">
        <v>78</v>
      </c>
      <c r="J39" s="12" t="n">
        <v>6643000</v>
      </c>
      <c r="K39" s="13" t="n">
        <f aca="false">IFERROR(J39/M39,"")</f>
        <v>0.196666469299544</v>
      </c>
      <c r="L39" s="12" t="n">
        <v>27135000</v>
      </c>
      <c r="M39" s="14" t="n">
        <f aca="false">L39+J39</f>
        <v>33778000</v>
      </c>
      <c r="N39" s="12" t="n">
        <v>6643000</v>
      </c>
      <c r="O39" s="12" t="n">
        <v>27938098</v>
      </c>
      <c r="P39" s="12" t="n">
        <v>1291978</v>
      </c>
      <c r="Q39" s="13" t="n">
        <f aca="false">IFERROR(P39/P38-1,"")</f>
        <v>-0.0942716614369078</v>
      </c>
      <c r="R39" s="12" t="n">
        <v>1623322</v>
      </c>
      <c r="S39" s="13" t="n">
        <f aca="false">IFERROR(R39/R38-1,"")</f>
        <v>-0.0674373862174709</v>
      </c>
      <c r="T39" s="12" t="n">
        <v>616065</v>
      </c>
      <c r="U39" s="13" t="n">
        <f aca="false">IFERROR(T39/P39,"")</f>
        <v>0.476838614899015</v>
      </c>
      <c r="V39" s="14" t="n">
        <f aca="false">T39-AV39</f>
        <v>-1309914</v>
      </c>
      <c r="W39" s="14" t="n">
        <f aca="false">V39-AA39*0.1</f>
        <v>-1309914</v>
      </c>
      <c r="X39" s="12" t="n">
        <v>1162025</v>
      </c>
      <c r="Y39" s="12" t="n">
        <v>105600</v>
      </c>
      <c r="Z39" s="15" t="n">
        <f aca="false">IFERROR(X39/Y39,"")</f>
        <v>11.0040246212121</v>
      </c>
      <c r="AA39" s="12" t="n">
        <v>0</v>
      </c>
      <c r="AB39" s="14" t="n">
        <f aca="false">W39-0.02*P39</f>
        <v>-1335753.56</v>
      </c>
      <c r="AC39" s="16" t="n">
        <v>73</v>
      </c>
      <c r="AD39" s="13" t="n">
        <f aca="false">IFERROR(AC39/AC38-1,"")</f>
        <v>-0.0875</v>
      </c>
      <c r="AE39" s="17" t="n">
        <v>0.176</v>
      </c>
      <c r="AF39" s="17" t="n">
        <v>0.152</v>
      </c>
      <c r="AG39" s="13" t="n">
        <f aca="false">1-AF39</f>
        <v>0.848</v>
      </c>
      <c r="AH39" s="17" t="n">
        <v>0.822</v>
      </c>
      <c r="AI39" s="12" t="n">
        <v>53844</v>
      </c>
      <c r="AJ39" s="14" t="n">
        <f aca="false">IFERROR(AM39*U39*MIN(1/AE39,5),"")</f>
        <v>70524.4311435644</v>
      </c>
      <c r="AK39" s="18" t="n">
        <f aca="false">IFERROR(AJ39/AI39,"")</f>
        <v>1.30979182719643</v>
      </c>
      <c r="AL39" s="15" t="n">
        <f aca="false">IFERROR(AI39/(AM39*U39/12),"")</f>
        <v>45.8088062195566</v>
      </c>
      <c r="AM39" s="12" t="n">
        <v>29580</v>
      </c>
      <c r="AN39" s="12" t="n">
        <v>2029067</v>
      </c>
      <c r="AO39" s="12" t="n">
        <v>4622685</v>
      </c>
      <c r="AP39" s="17" t="n">
        <v>0.163</v>
      </c>
      <c r="AQ39" s="16" t="n">
        <v>34</v>
      </c>
      <c r="AR39" s="16" t="n">
        <v>3</v>
      </c>
      <c r="AS39" s="13" t="n">
        <f aca="false">IFERROR(AR39/AR38-1,"")</f>
        <v>0</v>
      </c>
      <c r="AT39" s="11" t="s">
        <v>145</v>
      </c>
      <c r="AU39" s="14" t="n">
        <f aca="false">IFERROR(P39/AR39,"")</f>
        <v>430659.333333333</v>
      </c>
      <c r="AV39" s="12" t="n">
        <v>1925979</v>
      </c>
      <c r="AW39" s="12" t="n">
        <v>637190</v>
      </c>
      <c r="AX39" s="12" t="n">
        <v>353127</v>
      </c>
      <c r="AY39" s="16" t="n">
        <v>35531</v>
      </c>
      <c r="AZ39" s="13" t="n">
        <f aca="false">IFERROR(AY39/AY38-1,"")</f>
        <v>-0.0692843671416596</v>
      </c>
      <c r="BA39" s="17" t="n">
        <v>0.816</v>
      </c>
      <c r="BB39" s="11" t="s">
        <v>119</v>
      </c>
      <c r="BC39" s="11" t="s">
        <v>120</v>
      </c>
      <c r="BD39" s="11" t="s">
        <v>157</v>
      </c>
      <c r="BE39" s="12" t="n">
        <v>1666685</v>
      </c>
      <c r="BF39" s="13" t="n">
        <f aca="false">IFERROR(P39/BE39-1,"")</f>
        <v>-0.224821726961003</v>
      </c>
      <c r="BG39" s="17" t="n">
        <v>0.137</v>
      </c>
      <c r="BH39" s="17" t="n">
        <v>0.35</v>
      </c>
      <c r="BI39" s="14" t="n">
        <f aca="false">P39*(1+IFERROR(Q39,0))^4</f>
        <v>869454.667788919</v>
      </c>
      <c r="BJ39" s="12" t="n">
        <v>-640559</v>
      </c>
      <c r="BK39" s="11" t="s">
        <v>121</v>
      </c>
      <c r="BL39" s="11" t="s">
        <v>148</v>
      </c>
      <c r="BM39" s="14" t="n">
        <f aca="false">O39</f>
        <v>27938098</v>
      </c>
      <c r="BN39" s="11" t="s">
        <v>158</v>
      </c>
      <c r="BO39" s="13" t="n">
        <f aca="false">IFERROR(1-L39/M39,"")</f>
        <v>0.196666469299544</v>
      </c>
      <c r="BP39" s="11" t="s">
        <v>142</v>
      </c>
      <c r="BQ39" s="12" t="n">
        <v>1494092</v>
      </c>
      <c r="BR39" s="11" t="s">
        <v>88</v>
      </c>
      <c r="BS39" s="11" t="s">
        <v>89</v>
      </c>
      <c r="BT39" s="19" t="str">
        <f aca="false">IF(OR(Z39&lt;6,AH39&lt;0.9,S39&lt;0.02,AK39&lt;1),"REVIEW",IF(AND(S39&gt;0.25,AH39&gt;1.2),"ACCELERATING","STABLE"))</f>
        <v>REVIEW</v>
      </c>
    </row>
    <row r="40" customFormat="false" ht="15" hidden="false" customHeight="false" outlineLevel="0" collapsed="false">
      <c r="A40" s="11" t="s">
        <v>155</v>
      </c>
      <c r="B40" s="11" t="s">
        <v>92</v>
      </c>
      <c r="C40" s="11" t="s">
        <v>74</v>
      </c>
      <c r="D40" s="11" t="s">
        <v>75</v>
      </c>
      <c r="E40" s="11" t="s">
        <v>105</v>
      </c>
      <c r="F40" s="11" t="s">
        <v>156</v>
      </c>
      <c r="G40" s="11" t="s">
        <v>78</v>
      </c>
      <c r="H40" s="11" t="s">
        <v>79</v>
      </c>
      <c r="I40" s="11" t="s">
        <v>78</v>
      </c>
      <c r="J40" s="12" t="n">
        <v>6643000</v>
      </c>
      <c r="K40" s="13" t="n">
        <f aca="false">IFERROR(J40/M40,"")</f>
        <v>0.196666469299544</v>
      </c>
      <c r="L40" s="12" t="n">
        <v>27135000</v>
      </c>
      <c r="M40" s="14" t="n">
        <f aca="false">L40+J40</f>
        <v>33778000</v>
      </c>
      <c r="N40" s="12" t="n">
        <v>6643000</v>
      </c>
      <c r="O40" s="12" t="n">
        <v>27938098</v>
      </c>
      <c r="P40" s="12" t="n">
        <v>1187154</v>
      </c>
      <c r="Q40" s="13" t="n">
        <f aca="false">IFERROR(P40/P39-1,"")</f>
        <v>-0.0811345084823426</v>
      </c>
      <c r="R40" s="12" t="n">
        <v>1488158</v>
      </c>
      <c r="S40" s="13" t="n">
        <f aca="false">IFERROR(R40/R39-1,"")</f>
        <v>-0.0832638256612058</v>
      </c>
      <c r="T40" s="12" t="n">
        <v>555195</v>
      </c>
      <c r="U40" s="13" t="n">
        <f aca="false">IFERROR(T40/P40,"")</f>
        <v>0.467668895526612</v>
      </c>
      <c r="V40" s="14" t="n">
        <f aca="false">T40-AV40</f>
        <v>-1356248</v>
      </c>
      <c r="W40" s="14" t="n">
        <f aca="false">V40-AA40*0.1</f>
        <v>-1356248</v>
      </c>
      <c r="X40" s="12" t="n">
        <v>837305</v>
      </c>
      <c r="Y40" s="12" t="n">
        <v>112800</v>
      </c>
      <c r="Z40" s="15" t="n">
        <f aca="false">IFERROR(X40/Y40,"")</f>
        <v>7.42291666666667</v>
      </c>
      <c r="AA40" s="12" t="n">
        <v>0</v>
      </c>
      <c r="AB40" s="14" t="n">
        <f aca="false">W40-0.02*P40</f>
        <v>-1379991.08</v>
      </c>
      <c r="AC40" s="16" t="n">
        <v>68</v>
      </c>
      <c r="AD40" s="13" t="n">
        <f aca="false">IFERROR(AC40/AC39-1,"")</f>
        <v>-0.0684931506849316</v>
      </c>
      <c r="AE40" s="17" t="n">
        <v>0.204</v>
      </c>
      <c r="AF40" s="17" t="n">
        <v>0.222</v>
      </c>
      <c r="AG40" s="13" t="n">
        <f aca="false">1-AF40</f>
        <v>0.778</v>
      </c>
      <c r="AH40" s="17" t="n">
        <v>0.782</v>
      </c>
      <c r="AI40" s="12" t="n">
        <v>58972</v>
      </c>
      <c r="AJ40" s="14" t="n">
        <f aca="false">IFERROR(AM40*U40*MIN(1/AE40,5),"")</f>
        <v>69141.6367111894</v>
      </c>
      <c r="AK40" s="18" t="n">
        <f aca="false">IFERROR(AJ40/AI40,"")</f>
        <v>1.1724485639149</v>
      </c>
      <c r="AL40" s="15" t="n">
        <f aca="false">IFERROR(AI40/(AM40*U40/12),"")</f>
        <v>50.1715224208628</v>
      </c>
      <c r="AM40" s="12" t="n">
        <v>30160</v>
      </c>
      <c r="AN40" s="12" t="n">
        <v>1437231</v>
      </c>
      <c r="AO40" s="12" t="n">
        <v>5906043</v>
      </c>
      <c r="AP40" s="17" t="n">
        <v>0.163</v>
      </c>
      <c r="AQ40" s="16" t="n">
        <v>34</v>
      </c>
      <c r="AR40" s="16" t="n">
        <v>3</v>
      </c>
      <c r="AS40" s="13" t="n">
        <f aca="false">IFERROR(AR40/AR39-1,"")</f>
        <v>0</v>
      </c>
      <c r="AT40" s="11" t="s">
        <v>145</v>
      </c>
      <c r="AU40" s="14" t="n">
        <f aca="false">IFERROR(P40/AR40,"")</f>
        <v>395718</v>
      </c>
      <c r="AV40" s="12" t="n">
        <v>1911443</v>
      </c>
      <c r="AW40" s="12" t="n">
        <v>635424</v>
      </c>
      <c r="AX40" s="12" t="n">
        <v>406149</v>
      </c>
      <c r="AY40" s="16" t="n">
        <v>32190</v>
      </c>
      <c r="AZ40" s="13" t="n">
        <f aca="false">IFERROR(AY40/AY39-1,"")</f>
        <v>-0.0940305648588556</v>
      </c>
      <c r="BA40" s="17" t="n">
        <v>0.837</v>
      </c>
      <c r="BB40" s="11" t="s">
        <v>119</v>
      </c>
      <c r="BC40" s="11" t="s">
        <v>120</v>
      </c>
      <c r="BD40" s="11" t="s">
        <v>157</v>
      </c>
      <c r="BE40" s="12" t="n">
        <v>1669193</v>
      </c>
      <c r="BF40" s="13" t="n">
        <f aca="false">IFERROR(P40/BE40-1,"")</f>
        <v>-0.288785658698545</v>
      </c>
      <c r="BG40" s="17" t="n">
        <v>0.284</v>
      </c>
      <c r="BH40" s="17" t="n">
        <v>0.325</v>
      </c>
      <c r="BI40" s="14" t="n">
        <f aca="false">P40*(1+IFERROR(Q40,0))^4</f>
        <v>846281.460433677</v>
      </c>
      <c r="BJ40" s="12" t="n">
        <v>-1081797</v>
      </c>
      <c r="BK40" s="11" t="s">
        <v>121</v>
      </c>
      <c r="BL40" s="11" t="s">
        <v>148</v>
      </c>
      <c r="BM40" s="14" t="n">
        <f aca="false">O40</f>
        <v>27938098</v>
      </c>
      <c r="BN40" s="11" t="s">
        <v>158</v>
      </c>
      <c r="BO40" s="13" t="n">
        <f aca="false">IFERROR(1-L40/M40,"")</f>
        <v>0.196666469299544</v>
      </c>
      <c r="BP40" s="11" t="s">
        <v>142</v>
      </c>
      <c r="BQ40" s="12" t="n">
        <v>1508898</v>
      </c>
      <c r="BR40" s="11" t="s">
        <v>88</v>
      </c>
      <c r="BS40" s="11" t="s">
        <v>89</v>
      </c>
      <c r="BT40" s="19" t="str">
        <f aca="false">IF(OR(Z40&lt;6,AH40&lt;0.9,S40&lt;0.02,AK40&lt;1),"REVIEW",IF(AND(S40&gt;0.25,AH40&gt;1.2),"ACCELERATING","STABLE"))</f>
        <v>REVIEW</v>
      </c>
    </row>
    <row r="41" customFormat="false" ht="15" hidden="false" customHeight="false" outlineLevel="0" collapsed="false">
      <c r="A41" s="11" t="s">
        <v>155</v>
      </c>
      <c r="B41" s="11" t="s">
        <v>93</v>
      </c>
      <c r="C41" s="11" t="s">
        <v>74</v>
      </c>
      <c r="D41" s="11" t="s">
        <v>75</v>
      </c>
      <c r="E41" s="11" t="s">
        <v>105</v>
      </c>
      <c r="F41" s="11" t="s">
        <v>156</v>
      </c>
      <c r="G41" s="11" t="s">
        <v>78</v>
      </c>
      <c r="H41" s="11" t="s">
        <v>79</v>
      </c>
      <c r="I41" s="11" t="s">
        <v>78</v>
      </c>
      <c r="J41" s="12" t="n">
        <v>6643000</v>
      </c>
      <c r="K41" s="13" t="n">
        <f aca="false">IFERROR(J41/M41,"")</f>
        <v>0.196666469299544</v>
      </c>
      <c r="L41" s="12" t="n">
        <v>27135000</v>
      </c>
      <c r="M41" s="14" t="n">
        <f aca="false">L41+J41</f>
        <v>33778000</v>
      </c>
      <c r="N41" s="12" t="n">
        <v>6643000</v>
      </c>
      <c r="O41" s="12" t="n">
        <v>27938098</v>
      </c>
      <c r="P41" s="12" t="n">
        <v>1092833</v>
      </c>
      <c r="Q41" s="13" t="n">
        <f aca="false">IFERROR(P41/P40-1,"")</f>
        <v>-0.0794513601436714</v>
      </c>
      <c r="R41" s="12" t="n">
        <v>1349299</v>
      </c>
      <c r="S41" s="13" t="n">
        <f aca="false">IFERROR(R41/R40-1,"")</f>
        <v>-0.0933093125864324</v>
      </c>
      <c r="T41" s="12" t="n">
        <v>501062</v>
      </c>
      <c r="U41" s="13" t="n">
        <f aca="false">IFERROR(T41/P41,"")</f>
        <v>0.458498233490387</v>
      </c>
      <c r="V41" s="14" t="n">
        <f aca="false">T41-AV41</f>
        <v>-1519514</v>
      </c>
      <c r="W41" s="14" t="n">
        <f aca="false">V41-AA41*0.1</f>
        <v>-1519514</v>
      </c>
      <c r="X41" s="12" t="n">
        <v>465065</v>
      </c>
      <c r="Y41" s="12" t="n">
        <v>120000</v>
      </c>
      <c r="Z41" s="15" t="n">
        <f aca="false">IFERROR(X41/Y41,"")</f>
        <v>3.87554166666667</v>
      </c>
      <c r="AA41" s="12" t="n">
        <v>0</v>
      </c>
      <c r="AB41" s="14" t="n">
        <f aca="false">W41-0.02*P41</f>
        <v>-1541370.66</v>
      </c>
      <c r="AC41" s="16" t="n">
        <v>64</v>
      </c>
      <c r="AD41" s="13" t="n">
        <f aca="false">IFERROR(AC41/AC40-1,"")</f>
        <v>-0.0588235294117647</v>
      </c>
      <c r="AE41" s="17" t="n">
        <v>0.232</v>
      </c>
      <c r="AF41" s="17" t="n">
        <v>0.148</v>
      </c>
      <c r="AG41" s="13" t="n">
        <f aca="false">1-AF41</f>
        <v>0.852</v>
      </c>
      <c r="AH41" s="17" t="n">
        <v>0.742</v>
      </c>
      <c r="AI41" s="12" t="n">
        <v>64100</v>
      </c>
      <c r="AJ41" s="14" t="n">
        <f aca="false">IFERROR(AM41*U41*MIN(1/AE41,5),"")</f>
        <v>60751.0159374763</v>
      </c>
      <c r="AK41" s="18" t="n">
        <f aca="false">IFERROR(AJ41/AI41,"")</f>
        <v>0.947753758774981</v>
      </c>
      <c r="AL41" s="15" t="n">
        <f aca="false">IFERROR(AI41/(AM41*U41/12),"")</f>
        <v>54.5755028161434</v>
      </c>
      <c r="AM41" s="12" t="n">
        <v>30740</v>
      </c>
      <c r="AN41" s="12" t="n">
        <v>1508606</v>
      </c>
      <c r="AO41" s="12" t="n">
        <v>3951243</v>
      </c>
      <c r="AP41" s="17" t="n">
        <v>0.163</v>
      </c>
      <c r="AQ41" s="16" t="n">
        <v>34</v>
      </c>
      <c r="AR41" s="16" t="n">
        <v>3</v>
      </c>
      <c r="AS41" s="13" t="n">
        <f aca="false">IFERROR(AR41/AR40-1,"")</f>
        <v>0</v>
      </c>
      <c r="AT41" s="11" t="s">
        <v>145</v>
      </c>
      <c r="AU41" s="14" t="n">
        <f aca="false">IFERROR(P41/AR41,"")</f>
        <v>364277.666666667</v>
      </c>
      <c r="AV41" s="12" t="n">
        <v>2020576</v>
      </c>
      <c r="AW41" s="12" t="n">
        <v>790729</v>
      </c>
      <c r="AX41" s="12" t="n">
        <v>422436</v>
      </c>
      <c r="AY41" s="16" t="n">
        <v>30226</v>
      </c>
      <c r="AZ41" s="13" t="n">
        <f aca="false">IFERROR(AY41/AY40-1,"")</f>
        <v>-0.0610127368748058</v>
      </c>
      <c r="BA41" s="17" t="n">
        <v>0.782</v>
      </c>
      <c r="BB41" s="11" t="s">
        <v>119</v>
      </c>
      <c r="BC41" s="11" t="s">
        <v>120</v>
      </c>
      <c r="BD41" s="11" t="s">
        <v>157</v>
      </c>
      <c r="BE41" s="12" t="n">
        <v>1721401</v>
      </c>
      <c r="BF41" s="13" t="n">
        <f aca="false">IFERROR(P41/BE41-1,"")</f>
        <v>-0.365149084960448</v>
      </c>
      <c r="BG41" s="17" t="n">
        <v>0.268</v>
      </c>
      <c r="BH41" s="17" t="n">
        <v>0.345</v>
      </c>
      <c r="BI41" s="14" t="n">
        <f aca="false">P41*(1+IFERROR(Q41,0))^4</f>
        <v>784767.056130945</v>
      </c>
      <c r="BJ41" s="12" t="n">
        <v>-1379548</v>
      </c>
      <c r="BK41" s="11" t="s">
        <v>121</v>
      </c>
      <c r="BL41" s="11" t="s">
        <v>148</v>
      </c>
      <c r="BM41" s="14" t="n">
        <f aca="false">O41</f>
        <v>27938098</v>
      </c>
      <c r="BN41" s="11" t="s">
        <v>158</v>
      </c>
      <c r="BO41" s="13" t="n">
        <f aca="false">IFERROR(1-L41/M41,"")</f>
        <v>0.196666469299544</v>
      </c>
      <c r="BP41" s="11" t="s">
        <v>142</v>
      </c>
      <c r="BQ41" s="12" t="n">
        <v>2180104</v>
      </c>
      <c r="BR41" s="11" t="s">
        <v>88</v>
      </c>
      <c r="BS41" s="11" t="s">
        <v>89</v>
      </c>
      <c r="BT41" s="19" t="str">
        <f aca="false">IF(OR(Z41&lt;6,AH41&lt;0.9,S41&lt;0.02,AK41&lt;1),"REVIEW",IF(AND(S41&gt;0.25,AH41&gt;1.2),"ACCELERATING","STABLE"))</f>
        <v>REVIEW</v>
      </c>
    </row>
    <row r="42" customFormat="false" ht="15" hidden="false" customHeight="false" outlineLevel="0" collapsed="false">
      <c r="A42" s="3" t="s">
        <v>159</v>
      </c>
      <c r="B42" s="3" t="s">
        <v>73</v>
      </c>
      <c r="C42" s="3" t="s">
        <v>74</v>
      </c>
      <c r="D42" s="3" t="s">
        <v>115</v>
      </c>
      <c r="E42" s="3" t="s">
        <v>105</v>
      </c>
      <c r="F42" s="3" t="s">
        <v>160</v>
      </c>
      <c r="G42" s="3" t="s">
        <v>78</v>
      </c>
      <c r="H42" s="3" t="s">
        <v>79</v>
      </c>
      <c r="I42" s="3" t="s">
        <v>78</v>
      </c>
      <c r="J42" s="4" t="n">
        <v>5697000</v>
      </c>
      <c r="K42" s="5" t="n">
        <f aca="false">IFERROR(J42/M42,"")</f>
        <v>0.160442717134167</v>
      </c>
      <c r="L42" s="4" t="n">
        <v>29811000</v>
      </c>
      <c r="M42" s="6" t="n">
        <f aca="false">L42+J42</f>
        <v>35508000</v>
      </c>
      <c r="N42" s="4" t="n">
        <v>5697000</v>
      </c>
      <c r="O42" s="4" t="n">
        <v>75463270</v>
      </c>
      <c r="P42" s="4" t="n">
        <v>551482</v>
      </c>
      <c r="Q42" s="7"/>
      <c r="R42" s="4" t="n">
        <v>632118</v>
      </c>
      <c r="S42" s="7"/>
      <c r="T42" s="4" t="n">
        <v>302222</v>
      </c>
      <c r="U42" s="5" t="n">
        <f aca="false">IFERROR(T42/P42,"")</f>
        <v>0.548017886349872</v>
      </c>
      <c r="V42" s="6" t="n">
        <f aca="false">T42-AV42</f>
        <v>-1557050</v>
      </c>
      <c r="W42" s="6" t="n">
        <f aca="false">V42-AA42*0.1</f>
        <v>-1586950</v>
      </c>
      <c r="X42" s="4" t="n">
        <v>4297827</v>
      </c>
      <c r="Y42" s="4" t="n">
        <v>124670</v>
      </c>
      <c r="Z42" s="8" t="n">
        <f aca="false">IFERROR(X42/Y42,"")</f>
        <v>34.4736263736264</v>
      </c>
      <c r="AA42" s="4" t="n">
        <v>299000</v>
      </c>
      <c r="AB42" s="6" t="n">
        <f aca="false">W42-0.02*P42</f>
        <v>-1597979.64</v>
      </c>
      <c r="AC42" s="9" t="n">
        <v>20</v>
      </c>
      <c r="AD42" s="7"/>
      <c r="AE42" s="7" t="n">
        <v>0.138</v>
      </c>
      <c r="AF42" s="7" t="n">
        <v>0.151</v>
      </c>
      <c r="AG42" s="5" t="n">
        <f aca="false">1-AF42</f>
        <v>0.849</v>
      </c>
      <c r="AH42" s="7" t="n">
        <v>1.124</v>
      </c>
      <c r="AI42" s="4" t="n">
        <v>31270</v>
      </c>
      <c r="AJ42" s="6" t="n">
        <f aca="false">IFERROR(AM42*U42*MIN(1/AE42,5),"")</f>
        <v>109603.577269974</v>
      </c>
      <c r="AK42" s="10" t="n">
        <f aca="false">IFERROR(AJ42/AI42,"")</f>
        <v>3.50507122705386</v>
      </c>
      <c r="AL42" s="8" t="n">
        <f aca="false">IFERROR(AI42/(AM42*U42/12),"")</f>
        <v>17.1180544169518</v>
      </c>
      <c r="AM42" s="4" t="n">
        <v>40000</v>
      </c>
      <c r="AN42" s="4" t="n">
        <v>605603</v>
      </c>
      <c r="AO42" s="4" t="n">
        <v>1408395</v>
      </c>
      <c r="AP42" s="7" t="n">
        <v>0.273</v>
      </c>
      <c r="AQ42" s="9" t="n">
        <v>83</v>
      </c>
      <c r="AR42" s="9" t="n">
        <v>2</v>
      </c>
      <c r="AS42" s="7"/>
      <c r="AT42" s="3" t="s">
        <v>153</v>
      </c>
      <c r="AU42" s="6" t="n">
        <f aca="false">IFERROR(P42/AR42,"")</f>
        <v>275741</v>
      </c>
      <c r="AV42" s="4" t="n">
        <v>1859272</v>
      </c>
      <c r="AW42" s="4" t="n">
        <v>907658</v>
      </c>
      <c r="AX42" s="4" t="n">
        <v>589365</v>
      </c>
      <c r="AY42" s="9" t="n">
        <v>3859</v>
      </c>
      <c r="AZ42" s="7"/>
      <c r="BA42" s="7" t="n">
        <v>0.859</v>
      </c>
      <c r="BB42" s="3" t="s">
        <v>161</v>
      </c>
      <c r="BC42" s="3" t="s">
        <v>108</v>
      </c>
      <c r="BD42" s="3" t="s">
        <v>83</v>
      </c>
      <c r="BE42" s="4" t="n">
        <v>641998</v>
      </c>
      <c r="BF42" s="5" t="n">
        <f aca="false">IFERROR(P42/BE42-1,"")</f>
        <v>-0.140991093430198</v>
      </c>
      <c r="BG42" s="7" t="n">
        <v>-0.029</v>
      </c>
      <c r="BH42" s="7" t="n">
        <v>0.004</v>
      </c>
      <c r="BI42" s="6" t="n">
        <f aca="false">P42</f>
        <v>551482</v>
      </c>
      <c r="BJ42" s="4" t="n">
        <v>-815002</v>
      </c>
      <c r="BK42" s="3" t="s">
        <v>127</v>
      </c>
      <c r="BL42" s="3" t="s">
        <v>162</v>
      </c>
      <c r="BM42" s="6" t="n">
        <f aca="false">O42</f>
        <v>75463270</v>
      </c>
      <c r="BN42" s="3" t="s">
        <v>163</v>
      </c>
      <c r="BO42" s="5" t="n">
        <f aca="false">IFERROR(1-L42/M42,"")</f>
        <v>0.160442717134167</v>
      </c>
      <c r="BP42" s="3" t="s">
        <v>142</v>
      </c>
      <c r="BQ42" s="4" t="n">
        <v>1604095</v>
      </c>
      <c r="BR42" s="3" t="s">
        <v>88</v>
      </c>
      <c r="BS42" s="3" t="s">
        <v>89</v>
      </c>
      <c r="BT42" s="3" t="s">
        <v>90</v>
      </c>
    </row>
    <row r="43" customFormat="false" ht="15" hidden="false" customHeight="false" outlineLevel="0" collapsed="false">
      <c r="A43" s="11" t="s">
        <v>159</v>
      </c>
      <c r="B43" s="11" t="s">
        <v>91</v>
      </c>
      <c r="C43" s="11" t="s">
        <v>74</v>
      </c>
      <c r="D43" s="11" t="s">
        <v>115</v>
      </c>
      <c r="E43" s="11" t="s">
        <v>105</v>
      </c>
      <c r="F43" s="11" t="s">
        <v>160</v>
      </c>
      <c r="G43" s="11" t="s">
        <v>78</v>
      </c>
      <c r="H43" s="11" t="s">
        <v>79</v>
      </c>
      <c r="I43" s="11" t="s">
        <v>78</v>
      </c>
      <c r="J43" s="12" t="n">
        <v>5697000</v>
      </c>
      <c r="K43" s="13" t="n">
        <f aca="false">IFERROR(J43/M43,"")</f>
        <v>0.160442717134167</v>
      </c>
      <c r="L43" s="12" t="n">
        <v>29811000</v>
      </c>
      <c r="M43" s="14" t="n">
        <f aca="false">L43+J43</f>
        <v>35508000</v>
      </c>
      <c r="N43" s="12" t="n">
        <v>5697000</v>
      </c>
      <c r="O43" s="12" t="n">
        <v>75463270</v>
      </c>
      <c r="P43" s="12" t="n">
        <v>654312</v>
      </c>
      <c r="Q43" s="13" t="n">
        <f aca="false">IFERROR(P43/P42-1,"")</f>
        <v>0.186461208162732</v>
      </c>
      <c r="R43" s="12" t="n">
        <v>740408</v>
      </c>
      <c r="S43" s="13" t="n">
        <f aca="false">IFERROR(R43/R42-1,"")</f>
        <v>0.171312951062935</v>
      </c>
      <c r="T43" s="12" t="n">
        <v>360027</v>
      </c>
      <c r="U43" s="13" t="n">
        <f aca="false">IFERROR(T43/P43,"")</f>
        <v>0.550237501375491</v>
      </c>
      <c r="V43" s="14" t="n">
        <f aca="false">T43-AV43</f>
        <v>-1438481</v>
      </c>
      <c r="W43" s="14" t="n">
        <f aca="false">V43-AA43*0.1</f>
        <v>-1468381</v>
      </c>
      <c r="X43" s="12" t="n">
        <v>3983412</v>
      </c>
      <c r="Y43" s="12" t="n">
        <v>128779</v>
      </c>
      <c r="Z43" s="15" t="n">
        <f aca="false">IFERROR(X43/Y43,"")</f>
        <v>30.9321550873978</v>
      </c>
      <c r="AA43" s="12" t="n">
        <v>299000</v>
      </c>
      <c r="AB43" s="14" t="n">
        <f aca="false">W43-0.02*P43</f>
        <v>-1481467.24</v>
      </c>
      <c r="AC43" s="16" t="n">
        <v>25</v>
      </c>
      <c r="AD43" s="13" t="n">
        <f aca="false">IFERROR(AC43/AC42-1,"")</f>
        <v>0.25</v>
      </c>
      <c r="AE43" s="17" t="n">
        <v>0.135</v>
      </c>
      <c r="AF43" s="17" t="n">
        <v>0.085</v>
      </c>
      <c r="AG43" s="13" t="n">
        <f aca="false">1-AF43</f>
        <v>0.915</v>
      </c>
      <c r="AH43" s="17" t="n">
        <v>1.119</v>
      </c>
      <c r="AI43" s="12" t="n">
        <v>30680</v>
      </c>
      <c r="AJ43" s="14" t="n">
        <f aca="false">IFERROR(AM43*U43*MIN(1/AE43,5),"")</f>
        <v>112248.4502806</v>
      </c>
      <c r="AK43" s="18" t="n">
        <f aca="false">IFERROR(AJ43/AI43,"")</f>
        <v>3.65868482009779</v>
      </c>
      <c r="AL43" s="15" t="n">
        <f aca="false">IFERROR(AI43/(AM43*U43/12),"")</f>
        <v>16.3993355400306</v>
      </c>
      <c r="AM43" s="12" t="n">
        <v>40800</v>
      </c>
      <c r="AN43" s="12" t="n">
        <v>897329</v>
      </c>
      <c r="AO43" s="12" t="n">
        <v>2456881</v>
      </c>
      <c r="AP43" s="17" t="n">
        <v>0.273</v>
      </c>
      <c r="AQ43" s="16" t="n">
        <v>83</v>
      </c>
      <c r="AR43" s="16" t="n">
        <v>2</v>
      </c>
      <c r="AS43" s="13" t="n">
        <f aca="false">IFERROR(AR43/AR42-1,"")</f>
        <v>0</v>
      </c>
      <c r="AT43" s="11" t="s">
        <v>153</v>
      </c>
      <c r="AU43" s="14" t="n">
        <f aca="false">IFERROR(P43/AR43,"")</f>
        <v>327156</v>
      </c>
      <c r="AV43" s="12" t="n">
        <v>1798508</v>
      </c>
      <c r="AW43" s="12" t="n">
        <v>705997</v>
      </c>
      <c r="AX43" s="12" t="n">
        <v>546396</v>
      </c>
      <c r="AY43" s="16" t="n">
        <v>4439</v>
      </c>
      <c r="AZ43" s="13" t="n">
        <f aca="false">IFERROR(AY43/AY42-1,"")</f>
        <v>0.150298004664421</v>
      </c>
      <c r="BA43" s="17" t="n">
        <v>0.902</v>
      </c>
      <c r="BB43" s="11" t="s">
        <v>161</v>
      </c>
      <c r="BC43" s="11" t="s">
        <v>108</v>
      </c>
      <c r="BD43" s="11" t="s">
        <v>83</v>
      </c>
      <c r="BE43" s="12" t="n">
        <v>744258</v>
      </c>
      <c r="BF43" s="13" t="n">
        <f aca="false">IFERROR(P43/BE43-1,"")</f>
        <v>-0.120853252501149</v>
      </c>
      <c r="BG43" s="17" t="n">
        <v>-0.044</v>
      </c>
      <c r="BH43" s="17" t="n">
        <v>-0.057</v>
      </c>
      <c r="BI43" s="14" t="n">
        <f aca="false">P43*(1+IFERROR(Q43,0))^4</f>
        <v>1296579.22506196</v>
      </c>
      <c r="BJ43" s="12" t="n">
        <v>-1059074</v>
      </c>
      <c r="BK43" s="11" t="s">
        <v>127</v>
      </c>
      <c r="BL43" s="11" t="s">
        <v>162</v>
      </c>
      <c r="BM43" s="14" t="n">
        <f aca="false">O43</f>
        <v>75463270</v>
      </c>
      <c r="BN43" s="11" t="s">
        <v>163</v>
      </c>
      <c r="BO43" s="13" t="n">
        <f aca="false">IFERROR(1-L43/M43,"")</f>
        <v>0.160442717134167</v>
      </c>
      <c r="BP43" s="11" t="s">
        <v>142</v>
      </c>
      <c r="BQ43" s="12" t="n">
        <v>1600682</v>
      </c>
      <c r="BR43" s="11" t="s">
        <v>88</v>
      </c>
      <c r="BS43" s="11" t="s">
        <v>89</v>
      </c>
      <c r="BT43" s="19" t="str">
        <f aca="false">IF(OR(Z43&lt;6,AH43&lt;0.9,S43&lt;0.02,AK43&lt;1),"REVIEW",IF(AND(S43&gt;0.25,AH43&gt;1.2),"ACCELERATING","STABLE"))</f>
        <v>STABLE</v>
      </c>
    </row>
    <row r="44" customFormat="false" ht="15" hidden="false" customHeight="false" outlineLevel="0" collapsed="false">
      <c r="A44" s="11" t="s">
        <v>159</v>
      </c>
      <c r="B44" s="11" t="s">
        <v>92</v>
      </c>
      <c r="C44" s="11" t="s">
        <v>74</v>
      </c>
      <c r="D44" s="11" t="s">
        <v>115</v>
      </c>
      <c r="E44" s="11" t="s">
        <v>105</v>
      </c>
      <c r="F44" s="11" t="s">
        <v>160</v>
      </c>
      <c r="G44" s="11" t="s">
        <v>78</v>
      </c>
      <c r="H44" s="11" t="s">
        <v>79</v>
      </c>
      <c r="I44" s="11" t="s">
        <v>78</v>
      </c>
      <c r="J44" s="12" t="n">
        <v>5697000</v>
      </c>
      <c r="K44" s="13" t="n">
        <f aca="false">IFERROR(J44/M44,"")</f>
        <v>0.160442717134167</v>
      </c>
      <c r="L44" s="12" t="n">
        <v>29811000</v>
      </c>
      <c r="M44" s="14" t="n">
        <f aca="false">L44+J44</f>
        <v>35508000</v>
      </c>
      <c r="N44" s="12" t="n">
        <v>5697000</v>
      </c>
      <c r="O44" s="12" t="n">
        <v>75463270</v>
      </c>
      <c r="P44" s="12" t="n">
        <v>794738</v>
      </c>
      <c r="Q44" s="13" t="n">
        <f aca="false">IFERROR(P44/P43-1,"")</f>
        <v>0.214616268691389</v>
      </c>
      <c r="R44" s="12" t="n">
        <v>943409</v>
      </c>
      <c r="S44" s="13" t="n">
        <f aca="false">IFERROR(R44/R43-1,"")</f>
        <v>0.274174509189528</v>
      </c>
      <c r="T44" s="12" t="n">
        <v>439058</v>
      </c>
      <c r="U44" s="13" t="n">
        <f aca="false">IFERROR(T44/P44,"")</f>
        <v>0.552456281189524</v>
      </c>
      <c r="V44" s="14" t="n">
        <f aca="false">T44-AV44</f>
        <v>-1676206</v>
      </c>
      <c r="W44" s="14" t="n">
        <f aca="false">V44-AA44*0.1</f>
        <v>-1706106</v>
      </c>
      <c r="X44" s="12" t="n">
        <v>3646803</v>
      </c>
      <c r="Y44" s="12" t="n">
        <v>132890</v>
      </c>
      <c r="Z44" s="15" t="n">
        <f aca="false">IFERROR(X44/Y44,"")</f>
        <v>27.4422680412371</v>
      </c>
      <c r="AA44" s="12" t="n">
        <v>299000</v>
      </c>
      <c r="AB44" s="14" t="n">
        <f aca="false">W44-0.02*P44</f>
        <v>-1722000.76</v>
      </c>
      <c r="AC44" s="16" t="n">
        <v>28</v>
      </c>
      <c r="AD44" s="13" t="n">
        <f aca="false">IFERROR(AC44/AC43-1,"")</f>
        <v>0.12</v>
      </c>
      <c r="AE44" s="17" t="n">
        <v>0.131</v>
      </c>
      <c r="AF44" s="17" t="n">
        <v>0.1</v>
      </c>
      <c r="AG44" s="13" t="n">
        <f aca="false">1-AF44</f>
        <v>0.9</v>
      </c>
      <c r="AH44" s="17" t="n">
        <v>1.114</v>
      </c>
      <c r="AI44" s="12" t="n">
        <v>30090</v>
      </c>
      <c r="AJ44" s="14" t="n">
        <f aca="false">IFERROR(AM44*U44*MIN(1/AE44,5),"")</f>
        <v>114910.906487421</v>
      </c>
      <c r="AK44" s="18" t="n">
        <f aca="false">IFERROR(AJ44/AI44,"")</f>
        <v>3.81890682909342</v>
      </c>
      <c r="AL44" s="15" t="n">
        <f aca="false">IFERROR(AI44/(AM44*U44/12),"")</f>
        <v>15.7113023923246</v>
      </c>
      <c r="AM44" s="12" t="n">
        <v>41600</v>
      </c>
      <c r="AN44" s="12" t="n">
        <v>884774</v>
      </c>
      <c r="AO44" s="12" t="n">
        <v>2490233</v>
      </c>
      <c r="AP44" s="17" t="n">
        <v>0.273</v>
      </c>
      <c r="AQ44" s="16" t="n">
        <v>83</v>
      </c>
      <c r="AR44" s="16" t="n">
        <v>3</v>
      </c>
      <c r="AS44" s="13" t="n">
        <f aca="false">IFERROR(AR44/AR43-1,"")</f>
        <v>0.5</v>
      </c>
      <c r="AT44" s="11" t="s">
        <v>153</v>
      </c>
      <c r="AU44" s="14" t="n">
        <f aca="false">IFERROR(P44/AR44,"")</f>
        <v>264912.666666667</v>
      </c>
      <c r="AV44" s="12" t="n">
        <v>2115264</v>
      </c>
      <c r="AW44" s="12" t="n">
        <v>705476</v>
      </c>
      <c r="AX44" s="12" t="n">
        <v>642324</v>
      </c>
      <c r="AY44" s="16" t="n">
        <v>5065</v>
      </c>
      <c r="AZ44" s="13" t="n">
        <f aca="false">IFERROR(AY44/AY43-1,"")</f>
        <v>0.141022752872269</v>
      </c>
      <c r="BA44" s="17" t="n">
        <v>0.881</v>
      </c>
      <c r="BB44" s="11" t="s">
        <v>161</v>
      </c>
      <c r="BC44" s="11" t="s">
        <v>108</v>
      </c>
      <c r="BD44" s="11" t="s">
        <v>83</v>
      </c>
      <c r="BE44" s="12" t="n">
        <v>846867</v>
      </c>
      <c r="BF44" s="13" t="n">
        <f aca="false">IFERROR(P44/BE44-1,"")</f>
        <v>-0.0615551202254899</v>
      </c>
      <c r="BG44" s="17" t="n">
        <v>-0.057</v>
      </c>
      <c r="BH44" s="17" t="n">
        <v>-0.05</v>
      </c>
      <c r="BI44" s="14" t="n">
        <f aca="false">P44*(1+IFERROR(Q44,0))^4</f>
        <v>1729738.1112843</v>
      </c>
      <c r="BJ44" s="12" t="n">
        <v>-866971</v>
      </c>
      <c r="BK44" s="11" t="s">
        <v>127</v>
      </c>
      <c r="BL44" s="11" t="s">
        <v>162</v>
      </c>
      <c r="BM44" s="14" t="n">
        <f aca="false">O44</f>
        <v>75463270</v>
      </c>
      <c r="BN44" s="11" t="s">
        <v>163</v>
      </c>
      <c r="BO44" s="13" t="n">
        <f aca="false">IFERROR(1-L44/M44,"")</f>
        <v>0.160442717134167</v>
      </c>
      <c r="BP44" s="11" t="s">
        <v>142</v>
      </c>
      <c r="BQ44" s="12" t="n">
        <v>2286955</v>
      </c>
      <c r="BR44" s="11" t="s">
        <v>88</v>
      </c>
      <c r="BS44" s="11" t="s">
        <v>89</v>
      </c>
      <c r="BT44" s="19" t="str">
        <f aca="false">IF(OR(Z44&lt;6,AH44&lt;0.9,S44&lt;0.02,AK44&lt;1),"REVIEW",IF(AND(S44&gt;0.25,AH44&gt;1.2),"ACCELERATING","STABLE"))</f>
        <v>STABLE</v>
      </c>
    </row>
    <row r="45" customFormat="false" ht="15" hidden="false" customHeight="false" outlineLevel="0" collapsed="false">
      <c r="A45" s="11" t="s">
        <v>159</v>
      </c>
      <c r="B45" s="11" t="s">
        <v>93</v>
      </c>
      <c r="C45" s="11" t="s">
        <v>74</v>
      </c>
      <c r="D45" s="11" t="s">
        <v>115</v>
      </c>
      <c r="E45" s="11" t="s">
        <v>105</v>
      </c>
      <c r="F45" s="11" t="s">
        <v>160</v>
      </c>
      <c r="G45" s="11" t="s">
        <v>78</v>
      </c>
      <c r="H45" s="11" t="s">
        <v>79</v>
      </c>
      <c r="I45" s="11" t="s">
        <v>78</v>
      </c>
      <c r="J45" s="12" t="n">
        <v>5697000</v>
      </c>
      <c r="K45" s="13" t="n">
        <f aca="false">IFERROR(J45/M45,"")</f>
        <v>0.160442717134167</v>
      </c>
      <c r="L45" s="12" t="n">
        <v>29811000</v>
      </c>
      <c r="M45" s="14" t="n">
        <f aca="false">L45+J45</f>
        <v>35508000</v>
      </c>
      <c r="N45" s="12" t="n">
        <v>5697000</v>
      </c>
      <c r="O45" s="12" t="n">
        <v>75463270</v>
      </c>
      <c r="P45" s="12" t="n">
        <v>992232</v>
      </c>
      <c r="Q45" s="13" t="n">
        <f aca="false">IFERROR(P45/P44-1,"")</f>
        <v>0.248502022050034</v>
      </c>
      <c r="R45" s="12" t="n">
        <v>1108165</v>
      </c>
      <c r="S45" s="13" t="n">
        <f aca="false">IFERROR(R45/R44-1,"")</f>
        <v>0.174638995388003</v>
      </c>
      <c r="T45" s="12" t="n">
        <v>550365</v>
      </c>
      <c r="U45" s="13" t="n">
        <f aca="false">IFERROR(T45/P45,"")</f>
        <v>0.554673705343105</v>
      </c>
      <c r="V45" s="14" t="n">
        <f aca="false">T45-AV45</f>
        <v>-1329222</v>
      </c>
      <c r="W45" s="14" t="n">
        <f aca="false">V45-AA45*0.1</f>
        <v>-1359122</v>
      </c>
      <c r="X45" s="12" t="n">
        <v>3288000</v>
      </c>
      <c r="Y45" s="12" t="n">
        <v>137000</v>
      </c>
      <c r="Z45" s="15" t="n">
        <f aca="false">IFERROR(X45/Y45,"")</f>
        <v>24</v>
      </c>
      <c r="AA45" s="12" t="n">
        <v>299000</v>
      </c>
      <c r="AB45" s="14" t="n">
        <f aca="false">W45-0.02*P45</f>
        <v>-1378966.64</v>
      </c>
      <c r="AC45" s="16" t="n">
        <v>32</v>
      </c>
      <c r="AD45" s="13" t="n">
        <f aca="false">IFERROR(AC45/AC44-1,"")</f>
        <v>0.142857142857143</v>
      </c>
      <c r="AE45" s="17" t="n">
        <v>0.127</v>
      </c>
      <c r="AF45" s="17" t="n">
        <v>0.127</v>
      </c>
      <c r="AG45" s="13" t="n">
        <f aca="false">1-AF45</f>
        <v>0.873</v>
      </c>
      <c r="AH45" s="17" t="n">
        <v>1.109</v>
      </c>
      <c r="AI45" s="12" t="n">
        <v>29500</v>
      </c>
      <c r="AJ45" s="14" t="n">
        <f aca="false">IFERROR(AM45*U45*MIN(1/AE45,5),"")</f>
        <v>117590.825532738</v>
      </c>
      <c r="AK45" s="18" t="n">
        <f aca="false">IFERROR(AJ45/AI45,"")</f>
        <v>3.98612967907587</v>
      </c>
      <c r="AL45" s="15" t="n">
        <f aca="false">IFERROR(AI45/(AM45*U45/12),"")</f>
        <v>15.0521946927502</v>
      </c>
      <c r="AM45" s="12" t="n">
        <v>42400</v>
      </c>
      <c r="AN45" s="12" t="n">
        <v>1470704</v>
      </c>
      <c r="AO45" s="12" t="n">
        <v>3447858</v>
      </c>
      <c r="AP45" s="17" t="n">
        <v>0.273</v>
      </c>
      <c r="AQ45" s="16" t="n">
        <v>83</v>
      </c>
      <c r="AR45" s="16" t="n">
        <v>3</v>
      </c>
      <c r="AS45" s="13" t="n">
        <f aca="false">IFERROR(AR45/AR44-1,"")</f>
        <v>0</v>
      </c>
      <c r="AT45" s="11" t="s">
        <v>153</v>
      </c>
      <c r="AU45" s="14" t="n">
        <f aca="false">IFERROR(P45/AR45,"")</f>
        <v>330744</v>
      </c>
      <c r="AV45" s="12" t="n">
        <v>1879587</v>
      </c>
      <c r="AW45" s="12" t="n">
        <v>660187</v>
      </c>
      <c r="AX45" s="12" t="n">
        <v>521453</v>
      </c>
      <c r="AY45" s="16" t="n">
        <v>6130</v>
      </c>
      <c r="AZ45" s="13" t="n">
        <f aca="false">IFERROR(AY45/AY44-1,"")</f>
        <v>0.210266535044423</v>
      </c>
      <c r="BA45" s="17" t="n">
        <v>0.889</v>
      </c>
      <c r="BB45" s="11" t="s">
        <v>161</v>
      </c>
      <c r="BC45" s="11" t="s">
        <v>108</v>
      </c>
      <c r="BD45" s="11" t="s">
        <v>83</v>
      </c>
      <c r="BE45" s="12" t="n">
        <v>1198892</v>
      </c>
      <c r="BF45" s="13" t="n">
        <f aca="false">IFERROR(P45/BE45-1,"")</f>
        <v>-0.172375827013609</v>
      </c>
      <c r="BG45" s="17" t="n">
        <v>0.035</v>
      </c>
      <c r="BH45" s="17" t="n">
        <v>0.02</v>
      </c>
      <c r="BI45" s="14" t="n">
        <f aca="false">P45*(1+IFERROR(Q45,0))^4</f>
        <v>2410850.21888483</v>
      </c>
      <c r="BJ45" s="12" t="n">
        <v>-945664</v>
      </c>
      <c r="BK45" s="11" t="s">
        <v>127</v>
      </c>
      <c r="BL45" s="11" t="s">
        <v>162</v>
      </c>
      <c r="BM45" s="14" t="n">
        <f aca="false">O45</f>
        <v>75463270</v>
      </c>
      <c r="BN45" s="11" t="s">
        <v>163</v>
      </c>
      <c r="BO45" s="13" t="n">
        <f aca="false">IFERROR(1-L45/M45,"")</f>
        <v>0.160442717134167</v>
      </c>
      <c r="BP45" s="11" t="s">
        <v>142</v>
      </c>
      <c r="BQ45" s="12" t="n">
        <v>2106147</v>
      </c>
      <c r="BR45" s="11" t="s">
        <v>88</v>
      </c>
      <c r="BS45" s="11" t="s">
        <v>89</v>
      </c>
      <c r="BT45" s="19" t="str">
        <f aca="false">IF(OR(Z45&lt;6,AH45&lt;0.9,S45&lt;0.02,AK45&lt;1),"REVIEW",IF(AND(S45&gt;0.25,AH45&gt;1.2),"ACCELERATING","STABLE"))</f>
        <v>STABLE</v>
      </c>
    </row>
    <row r="46" customFormat="false" ht="15" hidden="false" customHeight="false" outlineLevel="0" collapsed="false">
      <c r="A46" s="3" t="s">
        <v>164</v>
      </c>
      <c r="B46" s="3" t="s">
        <v>73</v>
      </c>
      <c r="C46" s="3" t="s">
        <v>74</v>
      </c>
      <c r="D46" s="3" t="s">
        <v>165</v>
      </c>
      <c r="E46" s="3" t="s">
        <v>105</v>
      </c>
      <c r="F46" s="3" t="s">
        <v>166</v>
      </c>
      <c r="G46" s="3" t="s">
        <v>78</v>
      </c>
      <c r="H46" s="3" t="s">
        <v>79</v>
      </c>
      <c r="I46" s="3" t="s">
        <v>78</v>
      </c>
      <c r="J46" s="4" t="n">
        <v>1991000</v>
      </c>
      <c r="K46" s="5" t="n">
        <f aca="false">IFERROR(J46/M46,"")</f>
        <v>0.198168607544541</v>
      </c>
      <c r="L46" s="4" t="n">
        <v>8056000</v>
      </c>
      <c r="M46" s="6" t="n">
        <f aca="false">L46+J46</f>
        <v>10047000</v>
      </c>
      <c r="N46" s="4" t="n">
        <v>2876000</v>
      </c>
      <c r="O46" s="4" t="n">
        <v>10833472</v>
      </c>
      <c r="P46" s="4" t="n">
        <v>1126749</v>
      </c>
      <c r="Q46" s="7"/>
      <c r="R46" s="4" t="n">
        <v>1339018</v>
      </c>
      <c r="S46" s="7"/>
      <c r="T46" s="4" t="n">
        <v>777292</v>
      </c>
      <c r="U46" s="5" t="n">
        <f aca="false">IFERROR(T46/P46,"")</f>
        <v>0.6898537296239</v>
      </c>
      <c r="V46" s="6" t="n">
        <f aca="false">T46-AV46</f>
        <v>-1500524</v>
      </c>
      <c r="W46" s="6" t="n">
        <f aca="false">V46-AA46*0.1</f>
        <v>-1501224</v>
      </c>
      <c r="X46" s="4" t="n">
        <v>2628601</v>
      </c>
      <c r="Y46" s="4" t="n">
        <v>119210</v>
      </c>
      <c r="Z46" s="8" t="n">
        <f aca="false">IFERROR(X46/Y46,"")</f>
        <v>22.0501719654391</v>
      </c>
      <c r="AA46" s="4" t="n">
        <v>7000</v>
      </c>
      <c r="AB46" s="6" t="n">
        <f aca="false">W46-0.02*P46</f>
        <v>-1523758.98</v>
      </c>
      <c r="AC46" s="9" t="n">
        <v>42</v>
      </c>
      <c r="AD46" s="7"/>
      <c r="AE46" s="7" t="n">
        <v>0.11</v>
      </c>
      <c r="AF46" s="7" t="n">
        <v>0.11</v>
      </c>
      <c r="AG46" s="5" t="n">
        <f aca="false">1-AF46</f>
        <v>0.89</v>
      </c>
      <c r="AH46" s="7" t="n">
        <v>1.113</v>
      </c>
      <c r="AI46" s="4" t="n">
        <v>69218</v>
      </c>
      <c r="AJ46" s="6" t="n">
        <f aca="false">IFERROR(AM46*U46*MIN(1/AE46,5),"")</f>
        <v>172463.432405975</v>
      </c>
      <c r="AK46" s="10" t="n">
        <f aca="false">IFERROR(AJ46/AI46,"")</f>
        <v>2.49159802950064</v>
      </c>
      <c r="AL46" s="8" t="n">
        <f aca="false">IFERROR(AI46/(AM46*U46/12),"")</f>
        <v>24.080930908436</v>
      </c>
      <c r="AM46" s="4" t="n">
        <v>50000</v>
      </c>
      <c r="AN46" s="4" t="n">
        <v>1830342</v>
      </c>
      <c r="AO46" s="4" t="n">
        <v>4676629</v>
      </c>
      <c r="AP46" s="7" t="n">
        <v>0.175</v>
      </c>
      <c r="AQ46" s="9" t="n">
        <v>58</v>
      </c>
      <c r="AR46" s="9" t="n">
        <v>1</v>
      </c>
      <c r="AS46" s="7"/>
      <c r="AT46" s="3" t="s">
        <v>134</v>
      </c>
      <c r="AU46" s="6" t="n">
        <f aca="false">IFERROR(P46/AR46,"")</f>
        <v>1126749</v>
      </c>
      <c r="AV46" s="4" t="n">
        <v>2277816</v>
      </c>
      <c r="AW46" s="4" t="n">
        <v>772524</v>
      </c>
      <c r="AX46" s="4" t="n">
        <v>452337</v>
      </c>
      <c r="AY46" s="9" t="n">
        <v>3550</v>
      </c>
      <c r="AZ46" s="7"/>
      <c r="BA46" s="7" t="n">
        <v>0.918</v>
      </c>
      <c r="BB46" s="3" t="s">
        <v>81</v>
      </c>
      <c r="BC46" s="3" t="s">
        <v>100</v>
      </c>
      <c r="BD46" s="3" t="s">
        <v>157</v>
      </c>
      <c r="BE46" s="4" t="n">
        <v>1195963</v>
      </c>
      <c r="BF46" s="5" t="n">
        <f aca="false">IFERROR(P46/BE46-1,"")</f>
        <v>-0.0578730278445069</v>
      </c>
      <c r="BG46" s="7" t="n">
        <v>0.031</v>
      </c>
      <c r="BH46" s="7" t="n">
        <v>-0.027</v>
      </c>
      <c r="BI46" s="6" t="n">
        <f aca="false">P46</f>
        <v>1126749</v>
      </c>
      <c r="BJ46" s="4" t="n">
        <v>-986931</v>
      </c>
      <c r="BK46" s="3" t="s">
        <v>127</v>
      </c>
      <c r="BL46" s="3" t="s">
        <v>128</v>
      </c>
      <c r="BM46" s="6" t="n">
        <f aca="false">O46</f>
        <v>10833472</v>
      </c>
      <c r="BN46" s="3" t="s">
        <v>167</v>
      </c>
      <c r="BO46" s="5" t="n">
        <f aca="false">IFERROR(1-L46/M46,"")</f>
        <v>0.198168607544541</v>
      </c>
      <c r="BP46" s="3" t="s">
        <v>87</v>
      </c>
      <c r="BQ46" s="4" t="n">
        <v>2084653</v>
      </c>
      <c r="BR46" s="3" t="s">
        <v>88</v>
      </c>
      <c r="BS46" s="3" t="s">
        <v>89</v>
      </c>
      <c r="BT46" s="3" t="s">
        <v>90</v>
      </c>
    </row>
    <row r="47" customFormat="false" ht="15" hidden="false" customHeight="false" outlineLevel="0" collapsed="false">
      <c r="A47" s="11" t="s">
        <v>164</v>
      </c>
      <c r="B47" s="11" t="s">
        <v>91</v>
      </c>
      <c r="C47" s="11" t="s">
        <v>74</v>
      </c>
      <c r="D47" s="11" t="s">
        <v>165</v>
      </c>
      <c r="E47" s="11" t="s">
        <v>105</v>
      </c>
      <c r="F47" s="11" t="s">
        <v>166</v>
      </c>
      <c r="G47" s="11" t="s">
        <v>78</v>
      </c>
      <c r="H47" s="11" t="s">
        <v>79</v>
      </c>
      <c r="I47" s="11" t="s">
        <v>78</v>
      </c>
      <c r="J47" s="12" t="n">
        <v>1991000</v>
      </c>
      <c r="K47" s="13" t="n">
        <f aca="false">IFERROR(J47/M47,"")</f>
        <v>0.198168607544541</v>
      </c>
      <c r="L47" s="12" t="n">
        <v>8056000</v>
      </c>
      <c r="M47" s="14" t="n">
        <f aca="false">L47+J47</f>
        <v>10047000</v>
      </c>
      <c r="N47" s="12" t="n">
        <v>2876000</v>
      </c>
      <c r="O47" s="12" t="n">
        <v>10833472</v>
      </c>
      <c r="P47" s="12" t="n">
        <v>1431974</v>
      </c>
      <c r="Q47" s="13" t="n">
        <f aca="false">IFERROR(P47/P46-1,"")</f>
        <v>0.270889967508292</v>
      </c>
      <c r="R47" s="12" t="n">
        <v>1647554</v>
      </c>
      <c r="S47" s="13" t="n">
        <f aca="false">IFERROR(R47/R46-1,"")</f>
        <v>0.230419606009777</v>
      </c>
      <c r="T47" s="12" t="n">
        <v>991852</v>
      </c>
      <c r="U47" s="13" t="n">
        <f aca="false">IFERROR(T47/P47,"")</f>
        <v>0.692646654199029</v>
      </c>
      <c r="V47" s="14" t="n">
        <f aca="false">T47-AV47</f>
        <v>-1363804</v>
      </c>
      <c r="W47" s="14" t="n">
        <f aca="false">V47-AA47*0.1</f>
        <v>-1364504</v>
      </c>
      <c r="X47" s="12" t="n">
        <v>2327956</v>
      </c>
      <c r="Y47" s="12" t="n">
        <v>123140</v>
      </c>
      <c r="Z47" s="15" t="n">
        <f aca="false">IFERROR(X47/Y47,"")</f>
        <v>18.904953711223</v>
      </c>
      <c r="AA47" s="12" t="n">
        <v>7000</v>
      </c>
      <c r="AB47" s="14" t="n">
        <f aca="false">W47-0.02*P47</f>
        <v>-1393143.48</v>
      </c>
      <c r="AC47" s="16" t="n">
        <v>47</v>
      </c>
      <c r="AD47" s="13" t="n">
        <f aca="false">IFERROR(AC47/AC46-1,"")</f>
        <v>0.119047619047619</v>
      </c>
      <c r="AE47" s="17" t="n">
        <v>0.107</v>
      </c>
      <c r="AF47" s="17" t="n">
        <v>0.098</v>
      </c>
      <c r="AG47" s="13" t="n">
        <f aca="false">1-AF47</f>
        <v>0.902</v>
      </c>
      <c r="AH47" s="17" t="n">
        <v>1.108</v>
      </c>
      <c r="AI47" s="12" t="n">
        <v>67912</v>
      </c>
      <c r="AJ47" s="14" t="n">
        <f aca="false">IFERROR(AM47*U47*MIN(1/AE47,5),"")</f>
        <v>176624.896820752</v>
      </c>
      <c r="AK47" s="18" t="n">
        <f aca="false">IFERROR(AJ47/AI47,"")</f>
        <v>2.60079068236471</v>
      </c>
      <c r="AL47" s="15" t="n">
        <f aca="false">IFERROR(AI47/(AM47*U47/12),"")</f>
        <v>23.0699073196642</v>
      </c>
      <c r="AM47" s="12" t="n">
        <v>51000</v>
      </c>
      <c r="AN47" s="12" t="n">
        <v>1824876</v>
      </c>
      <c r="AO47" s="12" t="n">
        <v>4022779</v>
      </c>
      <c r="AP47" s="17" t="n">
        <v>0.175</v>
      </c>
      <c r="AQ47" s="16" t="n">
        <v>58</v>
      </c>
      <c r="AR47" s="16" t="n">
        <v>2</v>
      </c>
      <c r="AS47" s="13" t="n">
        <f aca="false">IFERROR(AR47/AR46-1,"")</f>
        <v>1</v>
      </c>
      <c r="AT47" s="11" t="s">
        <v>134</v>
      </c>
      <c r="AU47" s="14" t="n">
        <f aca="false">IFERROR(P47/AR47,"")</f>
        <v>715987</v>
      </c>
      <c r="AV47" s="12" t="n">
        <v>2355656</v>
      </c>
      <c r="AW47" s="12" t="n">
        <v>920988</v>
      </c>
      <c r="AX47" s="12" t="n">
        <v>758531</v>
      </c>
      <c r="AY47" s="16" t="n">
        <v>4128</v>
      </c>
      <c r="AZ47" s="13" t="n">
        <f aca="false">IFERROR(AY47/AY46-1,"")</f>
        <v>0.162816901408451</v>
      </c>
      <c r="BA47" s="17" t="n">
        <v>0.913</v>
      </c>
      <c r="BB47" s="11" t="s">
        <v>81</v>
      </c>
      <c r="BC47" s="11" t="s">
        <v>100</v>
      </c>
      <c r="BD47" s="11" t="s">
        <v>157</v>
      </c>
      <c r="BE47" s="12" t="n">
        <v>1292541</v>
      </c>
      <c r="BF47" s="13" t="n">
        <f aca="false">IFERROR(P47/BE47-1,"")</f>
        <v>0.107875108023653</v>
      </c>
      <c r="BG47" s="17" t="n">
        <v>0.084</v>
      </c>
      <c r="BH47" s="17" t="n">
        <v>0.009</v>
      </c>
      <c r="BI47" s="14" t="n">
        <f aca="false">P47*(1+IFERROR(Q47,0))^4</f>
        <v>3735656.52443438</v>
      </c>
      <c r="BJ47" s="12" t="n">
        <v>-847950</v>
      </c>
      <c r="BK47" s="11" t="s">
        <v>127</v>
      </c>
      <c r="BL47" s="11" t="s">
        <v>128</v>
      </c>
      <c r="BM47" s="14" t="n">
        <f aca="false">O47</f>
        <v>10833472</v>
      </c>
      <c r="BN47" s="11" t="s">
        <v>167</v>
      </c>
      <c r="BO47" s="13" t="n">
        <f aca="false">IFERROR(1-L47/M47,"")</f>
        <v>0.198168607544541</v>
      </c>
      <c r="BP47" s="11" t="s">
        <v>87</v>
      </c>
      <c r="BQ47" s="12" t="n">
        <v>1551715</v>
      </c>
      <c r="BR47" s="11" t="s">
        <v>88</v>
      </c>
      <c r="BS47" s="11" t="s">
        <v>89</v>
      </c>
      <c r="BT47" s="19" t="str">
        <f aca="false">IF(OR(Z47&lt;6,AH47&lt;0.9,S47&lt;0.02,AK47&lt;1),"REVIEW",IF(AND(S47&gt;0.25,AH47&gt;1.2),"ACCELERATING","STABLE"))</f>
        <v>STABLE</v>
      </c>
    </row>
    <row r="48" customFormat="false" ht="15" hidden="false" customHeight="false" outlineLevel="0" collapsed="false">
      <c r="A48" s="11" t="s">
        <v>164</v>
      </c>
      <c r="B48" s="11" t="s">
        <v>92</v>
      </c>
      <c r="C48" s="11" t="s">
        <v>74</v>
      </c>
      <c r="D48" s="11" t="s">
        <v>165</v>
      </c>
      <c r="E48" s="11" t="s">
        <v>105</v>
      </c>
      <c r="F48" s="11" t="s">
        <v>166</v>
      </c>
      <c r="G48" s="11" t="s">
        <v>78</v>
      </c>
      <c r="H48" s="11" t="s">
        <v>79</v>
      </c>
      <c r="I48" s="11" t="s">
        <v>78</v>
      </c>
      <c r="J48" s="12" t="n">
        <v>1991000</v>
      </c>
      <c r="K48" s="13" t="n">
        <f aca="false">IFERROR(J48/M48,"")</f>
        <v>0.198168607544541</v>
      </c>
      <c r="L48" s="12" t="n">
        <v>8056000</v>
      </c>
      <c r="M48" s="14" t="n">
        <f aca="false">L48+J48</f>
        <v>10047000</v>
      </c>
      <c r="N48" s="12" t="n">
        <v>2876000</v>
      </c>
      <c r="O48" s="12" t="n">
        <v>10833472</v>
      </c>
      <c r="P48" s="12" t="n">
        <v>1615790</v>
      </c>
      <c r="Q48" s="13" t="n">
        <f aca="false">IFERROR(P48/P47-1,"")</f>
        <v>0.128365459149398</v>
      </c>
      <c r="R48" s="12" t="n">
        <v>1858121</v>
      </c>
      <c r="S48" s="13" t="n">
        <f aca="false">IFERROR(R48/R47-1,"")</f>
        <v>0.127805826091284</v>
      </c>
      <c r="T48" s="12" t="n">
        <v>1123685</v>
      </c>
      <c r="U48" s="13" t="n">
        <f aca="false">IFERROR(T48/P48,"")</f>
        <v>0.695440001485342</v>
      </c>
      <c r="V48" s="14" t="n">
        <f aca="false">T48-AV48</f>
        <v>-1256044</v>
      </c>
      <c r="W48" s="14" t="n">
        <f aca="false">V48-AA48*0.1</f>
        <v>-1256744</v>
      </c>
      <c r="X48" s="12" t="n">
        <v>2006089</v>
      </c>
      <c r="Y48" s="12" t="n">
        <v>127070</v>
      </c>
      <c r="Z48" s="15" t="n">
        <f aca="false">IFERROR(X48/Y48,"")</f>
        <v>15.7872747304635</v>
      </c>
      <c r="AA48" s="12" t="n">
        <v>7000</v>
      </c>
      <c r="AB48" s="14" t="n">
        <f aca="false">W48-0.02*P48</f>
        <v>-1289059.8</v>
      </c>
      <c r="AC48" s="16" t="n">
        <v>54</v>
      </c>
      <c r="AD48" s="13" t="n">
        <f aca="false">IFERROR(AC48/AC47-1,"")</f>
        <v>0.148936170212766</v>
      </c>
      <c r="AE48" s="17" t="n">
        <v>0.104</v>
      </c>
      <c r="AF48" s="17" t="n">
        <v>0.074</v>
      </c>
      <c r="AG48" s="13" t="n">
        <f aca="false">1-AF48</f>
        <v>0.926</v>
      </c>
      <c r="AH48" s="17" t="n">
        <v>1.103</v>
      </c>
      <c r="AI48" s="12" t="n">
        <v>66606</v>
      </c>
      <c r="AJ48" s="14" t="n">
        <f aca="false">IFERROR(AM48*U48*MIN(1/AE48,5),"")</f>
        <v>180814.400386189</v>
      </c>
      <c r="AK48" s="18" t="n">
        <f aca="false">IFERROR(AJ48/AI48,"")</f>
        <v>2.71468637038989</v>
      </c>
      <c r="AL48" s="15" t="n">
        <f aca="false">IFERROR(AI48/(AM48*U48/12),"")</f>
        <v>22.1020006783998</v>
      </c>
      <c r="AM48" s="12" t="n">
        <v>52000</v>
      </c>
      <c r="AN48" s="12" t="n">
        <v>2259203</v>
      </c>
      <c r="AO48" s="12" t="n">
        <v>3474417</v>
      </c>
      <c r="AP48" s="17" t="n">
        <v>0.175</v>
      </c>
      <c r="AQ48" s="16" t="n">
        <v>58</v>
      </c>
      <c r="AR48" s="16" t="n">
        <v>2</v>
      </c>
      <c r="AS48" s="13" t="n">
        <f aca="false">IFERROR(AR48/AR47-1,"")</f>
        <v>0</v>
      </c>
      <c r="AT48" s="11" t="s">
        <v>134</v>
      </c>
      <c r="AU48" s="14" t="n">
        <f aca="false">IFERROR(P48/AR48,"")</f>
        <v>807895</v>
      </c>
      <c r="AV48" s="12" t="n">
        <v>2379729</v>
      </c>
      <c r="AW48" s="12" t="n">
        <v>822264</v>
      </c>
      <c r="AX48" s="12" t="n">
        <v>660000</v>
      </c>
      <c r="AY48" s="16" t="n">
        <v>4657</v>
      </c>
      <c r="AZ48" s="13" t="n">
        <f aca="false">IFERROR(AY48/AY47-1,"")</f>
        <v>0.128149224806202</v>
      </c>
      <c r="BA48" s="17" t="n">
        <v>0.904</v>
      </c>
      <c r="BB48" s="11" t="s">
        <v>81</v>
      </c>
      <c r="BC48" s="11" t="s">
        <v>100</v>
      </c>
      <c r="BD48" s="11" t="s">
        <v>157</v>
      </c>
      <c r="BE48" s="12" t="n">
        <v>1726779</v>
      </c>
      <c r="BF48" s="13" t="n">
        <f aca="false">IFERROR(P48/BE48-1,"")</f>
        <v>-0.0642751620213126</v>
      </c>
      <c r="BG48" s="17" t="n">
        <v>-0.054</v>
      </c>
      <c r="BH48" s="17" t="n">
        <v>0.063</v>
      </c>
      <c r="BI48" s="14" t="n">
        <f aca="false">P48*(1+IFERROR(Q48,0))^4</f>
        <v>2619292.8008609</v>
      </c>
      <c r="BJ48" s="12" t="n">
        <v>-1296475</v>
      </c>
      <c r="BK48" s="11" t="s">
        <v>127</v>
      </c>
      <c r="BL48" s="11" t="s">
        <v>128</v>
      </c>
      <c r="BM48" s="14" t="n">
        <f aca="false">O48</f>
        <v>10833472</v>
      </c>
      <c r="BN48" s="11" t="s">
        <v>167</v>
      </c>
      <c r="BO48" s="13" t="n">
        <f aca="false">IFERROR(1-L48/M48,"")</f>
        <v>0.198168607544541</v>
      </c>
      <c r="BP48" s="11" t="s">
        <v>87</v>
      </c>
      <c r="BQ48" s="12" t="n">
        <v>1752241</v>
      </c>
      <c r="BR48" s="11" t="s">
        <v>88</v>
      </c>
      <c r="BS48" s="11" t="s">
        <v>89</v>
      </c>
      <c r="BT48" s="19" t="str">
        <f aca="false">IF(OR(Z48&lt;6,AH48&lt;0.9,S48&lt;0.02,AK48&lt;1),"REVIEW",IF(AND(S48&gt;0.25,AH48&gt;1.2),"ACCELERATING","STABLE"))</f>
        <v>STABLE</v>
      </c>
    </row>
    <row r="49" customFormat="false" ht="15" hidden="false" customHeight="false" outlineLevel="0" collapsed="false">
      <c r="A49" s="11" t="s">
        <v>164</v>
      </c>
      <c r="B49" s="11" t="s">
        <v>93</v>
      </c>
      <c r="C49" s="11" t="s">
        <v>74</v>
      </c>
      <c r="D49" s="11" t="s">
        <v>165</v>
      </c>
      <c r="E49" s="11" t="s">
        <v>105</v>
      </c>
      <c r="F49" s="11" t="s">
        <v>166</v>
      </c>
      <c r="G49" s="11" t="s">
        <v>78</v>
      </c>
      <c r="H49" s="11" t="s">
        <v>79</v>
      </c>
      <c r="I49" s="11" t="s">
        <v>78</v>
      </c>
      <c r="J49" s="12" t="n">
        <v>1991000</v>
      </c>
      <c r="K49" s="13" t="n">
        <f aca="false">IFERROR(J49/M49,"")</f>
        <v>0.198168607544541</v>
      </c>
      <c r="L49" s="12" t="n">
        <v>8056000</v>
      </c>
      <c r="M49" s="14" t="n">
        <f aca="false">L49+J49</f>
        <v>10047000</v>
      </c>
      <c r="N49" s="12" t="n">
        <v>2876000</v>
      </c>
      <c r="O49" s="12" t="n">
        <v>10833472</v>
      </c>
      <c r="P49" s="12" t="n">
        <v>2108190</v>
      </c>
      <c r="Q49" s="13" t="n">
        <f aca="false">IFERROR(P49/P48-1,"")</f>
        <v>0.304742571745091</v>
      </c>
      <c r="R49" s="12" t="n">
        <v>2253937</v>
      </c>
      <c r="S49" s="13" t="n">
        <f aca="false">IFERROR(R49/R48-1,"")</f>
        <v>0.213019496577457</v>
      </c>
      <c r="T49" s="12" t="n">
        <v>1472008</v>
      </c>
      <c r="U49" s="13" t="n">
        <f aca="false">IFERROR(T49/P49,"")</f>
        <v>0.698233081458502</v>
      </c>
      <c r="V49" s="14" t="n">
        <f aca="false">T49-AV49</f>
        <v>-1543766</v>
      </c>
      <c r="W49" s="14" t="n">
        <f aca="false">V49-AA49*0.1</f>
        <v>-1544466</v>
      </c>
      <c r="X49" s="12" t="n">
        <v>1663000</v>
      </c>
      <c r="Y49" s="12" t="n">
        <v>131000</v>
      </c>
      <c r="Z49" s="15" t="n">
        <f aca="false">IFERROR(X49/Y49,"")</f>
        <v>12.6946564885496</v>
      </c>
      <c r="AA49" s="12" t="n">
        <v>7000</v>
      </c>
      <c r="AB49" s="14" t="n">
        <f aca="false">W49-0.02*P49</f>
        <v>-1586629.8</v>
      </c>
      <c r="AC49" s="16" t="n">
        <v>65</v>
      </c>
      <c r="AD49" s="13" t="n">
        <f aca="false">IFERROR(AC49/AC48-1,"")</f>
        <v>0.203703703703704</v>
      </c>
      <c r="AE49" s="17" t="n">
        <v>0.101</v>
      </c>
      <c r="AF49" s="17" t="n">
        <v>0.08</v>
      </c>
      <c r="AG49" s="13" t="n">
        <f aca="false">1-AF49</f>
        <v>0.92</v>
      </c>
      <c r="AH49" s="17" t="n">
        <v>1.098</v>
      </c>
      <c r="AI49" s="12" t="n">
        <v>65300</v>
      </c>
      <c r="AJ49" s="14" t="n">
        <f aca="false">IFERROR(AM49*U49*MIN(1/AE49,5),"")</f>
        <v>185031.766586503</v>
      </c>
      <c r="AK49" s="18" t="n">
        <f aca="false">IFERROR(AJ49/AI49,"")</f>
        <v>2.8335645725345</v>
      </c>
      <c r="AL49" s="15" t="n">
        <f aca="false">IFERROR(AI49/(AM49*U49/12),"")</f>
        <v>21.174742436285</v>
      </c>
      <c r="AM49" s="12" t="n">
        <v>53000</v>
      </c>
      <c r="AN49" s="12" t="n">
        <v>3102422</v>
      </c>
      <c r="AO49" s="12" t="n">
        <v>4371968</v>
      </c>
      <c r="AP49" s="17" t="n">
        <v>0.175</v>
      </c>
      <c r="AQ49" s="16" t="n">
        <v>58</v>
      </c>
      <c r="AR49" s="16" t="n">
        <v>2</v>
      </c>
      <c r="AS49" s="13" t="n">
        <f aca="false">IFERROR(AR49/AR48-1,"")</f>
        <v>0</v>
      </c>
      <c r="AT49" s="11" t="s">
        <v>134</v>
      </c>
      <c r="AU49" s="14" t="n">
        <f aca="false">IFERROR(P49/AR49,"")</f>
        <v>1054095</v>
      </c>
      <c r="AV49" s="12" t="n">
        <v>3015774</v>
      </c>
      <c r="AW49" s="12" t="n">
        <v>1212933</v>
      </c>
      <c r="AX49" s="12" t="n">
        <v>562329</v>
      </c>
      <c r="AY49" s="16" t="n">
        <v>5588</v>
      </c>
      <c r="AZ49" s="13" t="n">
        <f aca="false">IFERROR(AY49/AY48-1,"")</f>
        <v>0.199914107794718</v>
      </c>
      <c r="BA49" s="17" t="n">
        <v>0.922</v>
      </c>
      <c r="BB49" s="11" t="s">
        <v>81</v>
      </c>
      <c r="BC49" s="11" t="s">
        <v>100</v>
      </c>
      <c r="BD49" s="11" t="s">
        <v>157</v>
      </c>
      <c r="BE49" s="12" t="n">
        <v>2020409</v>
      </c>
      <c r="BF49" s="13" t="n">
        <f aca="false">IFERROR(P49/BE49-1,"")</f>
        <v>0.0434471436229</v>
      </c>
      <c r="BG49" s="17" t="n">
        <v>0.029</v>
      </c>
      <c r="BH49" s="17" t="n">
        <v>0.075</v>
      </c>
      <c r="BI49" s="14" t="n">
        <f aca="false">P49*(1+IFERROR(Q49,0))^4</f>
        <v>6109547.99526545</v>
      </c>
      <c r="BJ49" s="12" t="n">
        <v>-947541</v>
      </c>
      <c r="BK49" s="11" t="s">
        <v>127</v>
      </c>
      <c r="BL49" s="11" t="s">
        <v>128</v>
      </c>
      <c r="BM49" s="14" t="n">
        <f aca="false">O49</f>
        <v>10833472</v>
      </c>
      <c r="BN49" s="11" t="s">
        <v>167</v>
      </c>
      <c r="BO49" s="13" t="n">
        <f aca="false">IFERROR(1-L49/M49,"")</f>
        <v>0.198168607544541</v>
      </c>
      <c r="BP49" s="11" t="s">
        <v>87</v>
      </c>
      <c r="BQ49" s="12" t="n">
        <v>2076205</v>
      </c>
      <c r="BR49" s="11" t="s">
        <v>88</v>
      </c>
      <c r="BS49" s="11" t="s">
        <v>89</v>
      </c>
      <c r="BT49" s="19" t="str">
        <f aca="false">IF(OR(Z49&lt;6,AH49&lt;0.9,S49&lt;0.02,AK49&lt;1),"REVIEW",IF(AND(S49&gt;0.25,AH49&gt;1.2),"ACCELERATING","STABLE"))</f>
        <v>STABLE</v>
      </c>
    </row>
    <row r="50" customFormat="false" ht="15" hidden="false" customHeight="false" outlineLevel="0" collapsed="false">
      <c r="A50" s="3" t="s">
        <v>168</v>
      </c>
      <c r="B50" s="3" t="s">
        <v>73</v>
      </c>
      <c r="C50" s="3" t="s">
        <v>74</v>
      </c>
      <c r="D50" s="3" t="s">
        <v>151</v>
      </c>
      <c r="E50" s="3" t="s">
        <v>105</v>
      </c>
      <c r="F50" s="3" t="s">
        <v>169</v>
      </c>
      <c r="G50" s="3" t="s">
        <v>78</v>
      </c>
      <c r="H50" s="3" t="s">
        <v>79</v>
      </c>
      <c r="I50" s="3" t="s">
        <v>78</v>
      </c>
      <c r="J50" s="4" t="n">
        <v>2905000</v>
      </c>
      <c r="K50" s="5" t="n">
        <f aca="false">IFERROR(J50/M50,"")</f>
        <v>0.182143081070914</v>
      </c>
      <c r="L50" s="4" t="n">
        <v>13044000</v>
      </c>
      <c r="M50" s="6" t="n">
        <f aca="false">L50+J50</f>
        <v>15949000</v>
      </c>
      <c r="N50" s="4" t="n">
        <v>4751000</v>
      </c>
      <c r="O50" s="4" t="n">
        <v>9144461</v>
      </c>
      <c r="P50" s="4" t="n">
        <v>442151</v>
      </c>
      <c r="Q50" s="7"/>
      <c r="R50" s="4" t="n">
        <v>545159</v>
      </c>
      <c r="S50" s="7"/>
      <c r="T50" s="4" t="n">
        <v>264408</v>
      </c>
      <c r="U50" s="5" t="n">
        <f aca="false">IFERROR(T50/P50,"")</f>
        <v>0.598003849363679</v>
      </c>
      <c r="V50" s="6" t="n">
        <f aca="false">T50-AV50</f>
        <v>-1452400</v>
      </c>
      <c r="W50" s="6" t="n">
        <f aca="false">V50-AA50*0.1</f>
        <v>-1533500</v>
      </c>
      <c r="X50" s="4" t="n">
        <v>1792643</v>
      </c>
      <c r="Y50" s="4" t="n">
        <v>123000</v>
      </c>
      <c r="Z50" s="8" t="n">
        <f aca="false">IFERROR(X50/Y50,"")</f>
        <v>14.5743333333333</v>
      </c>
      <c r="AA50" s="4" t="n">
        <v>811000</v>
      </c>
      <c r="AB50" s="6" t="n">
        <f aca="false">W50-0.02*P50</f>
        <v>-1542343.02</v>
      </c>
      <c r="AC50" s="9" t="n">
        <v>14</v>
      </c>
      <c r="AD50" s="7"/>
      <c r="AE50" s="7" t="n">
        <v>0.195</v>
      </c>
      <c r="AF50" s="7" t="n">
        <v>0.174</v>
      </c>
      <c r="AG50" s="5" t="n">
        <f aca="false">1-AF50</f>
        <v>0.826</v>
      </c>
      <c r="AH50" s="7" t="n">
        <v>0.944</v>
      </c>
      <c r="AI50" s="4" t="n">
        <v>80788</v>
      </c>
      <c r="AJ50" s="6" t="n">
        <f aca="false">IFERROR(AM50*U50*MIN(1/AE50,5),"")</f>
        <v>122590.789119554</v>
      </c>
      <c r="AK50" s="10" t="n">
        <f aca="false">IFERROR(AJ50/AI50,"")</f>
        <v>1.51743809872202</v>
      </c>
      <c r="AL50" s="8" t="n">
        <f aca="false">IFERROR(AI50/(AM50*U50/12),"")</f>
        <v>39.5403279056536</v>
      </c>
      <c r="AM50" s="4" t="n">
        <v>41000</v>
      </c>
      <c r="AN50" s="4" t="n">
        <v>605529</v>
      </c>
      <c r="AO50" s="4" t="n">
        <v>1757661</v>
      </c>
      <c r="AP50" s="7" t="n">
        <v>0.224</v>
      </c>
      <c r="AQ50" s="9" t="n">
        <v>32</v>
      </c>
      <c r="AR50" s="9" t="n">
        <v>7</v>
      </c>
      <c r="AS50" s="7"/>
      <c r="AT50" s="3" t="s">
        <v>170</v>
      </c>
      <c r="AU50" s="6" t="n">
        <f aca="false">IFERROR(P50/AR50,"")</f>
        <v>63164.4285714286</v>
      </c>
      <c r="AV50" s="4" t="n">
        <v>1716808</v>
      </c>
      <c r="AW50" s="4" t="n">
        <v>722356</v>
      </c>
      <c r="AX50" s="4" t="n">
        <v>343902</v>
      </c>
      <c r="AY50" s="9" t="n">
        <v>23720</v>
      </c>
      <c r="AZ50" s="7"/>
      <c r="BA50" s="7" t="n">
        <v>0.813</v>
      </c>
      <c r="BB50" s="3" t="s">
        <v>171</v>
      </c>
      <c r="BC50" s="3" t="s">
        <v>120</v>
      </c>
      <c r="BD50" s="3" t="s">
        <v>83</v>
      </c>
      <c r="BE50" s="4" t="n">
        <v>695437</v>
      </c>
      <c r="BF50" s="5" t="n">
        <f aca="false">IFERROR(P50/BE50-1,"")</f>
        <v>-0.364211280101576</v>
      </c>
      <c r="BG50" s="7" t="n">
        <v>0.21</v>
      </c>
      <c r="BH50" s="7" t="n">
        <v>0.182</v>
      </c>
      <c r="BI50" s="6" t="n">
        <f aca="false">P50</f>
        <v>442151</v>
      </c>
      <c r="BJ50" s="4" t="n">
        <v>-930974</v>
      </c>
      <c r="BK50" s="3" t="s">
        <v>147</v>
      </c>
      <c r="BL50" s="3" t="s">
        <v>148</v>
      </c>
      <c r="BM50" s="6" t="n">
        <f aca="false">O50</f>
        <v>9144461</v>
      </c>
      <c r="BN50" s="3" t="s">
        <v>172</v>
      </c>
      <c r="BO50" s="5" t="n">
        <f aca="false">IFERROR(1-L50/M50,"")</f>
        <v>0.182143081070913</v>
      </c>
      <c r="BP50" s="3" t="s">
        <v>142</v>
      </c>
      <c r="BQ50" s="4" t="n">
        <v>1717430</v>
      </c>
      <c r="BR50" s="3" t="s">
        <v>88</v>
      </c>
      <c r="BS50" s="3" t="s">
        <v>89</v>
      </c>
      <c r="BT50" s="3" t="s">
        <v>90</v>
      </c>
    </row>
    <row r="51" customFormat="false" ht="15" hidden="false" customHeight="false" outlineLevel="0" collapsed="false">
      <c r="A51" s="11" t="s">
        <v>168</v>
      </c>
      <c r="B51" s="11" t="s">
        <v>91</v>
      </c>
      <c r="C51" s="11" t="s">
        <v>74</v>
      </c>
      <c r="D51" s="11" t="s">
        <v>151</v>
      </c>
      <c r="E51" s="11" t="s">
        <v>105</v>
      </c>
      <c r="F51" s="11" t="s">
        <v>169</v>
      </c>
      <c r="G51" s="11" t="s">
        <v>78</v>
      </c>
      <c r="H51" s="11" t="s">
        <v>79</v>
      </c>
      <c r="I51" s="11" t="s">
        <v>78</v>
      </c>
      <c r="J51" s="12" t="n">
        <v>2905000</v>
      </c>
      <c r="K51" s="13" t="n">
        <f aca="false">IFERROR(J51/M51,"")</f>
        <v>0.182143081070914</v>
      </c>
      <c r="L51" s="12" t="n">
        <v>13044000</v>
      </c>
      <c r="M51" s="14" t="n">
        <f aca="false">L51+J51</f>
        <v>15949000</v>
      </c>
      <c r="N51" s="12" t="n">
        <v>4751000</v>
      </c>
      <c r="O51" s="12" t="n">
        <v>9144461</v>
      </c>
      <c r="P51" s="12" t="n">
        <v>409647</v>
      </c>
      <c r="Q51" s="13" t="n">
        <f aca="false">IFERROR(P51/P50-1,"")</f>
        <v>-0.0735133472501476</v>
      </c>
      <c r="R51" s="12" t="n">
        <v>503910</v>
      </c>
      <c r="S51" s="13" t="n">
        <f aca="false">IFERROR(R51/R50-1,"")</f>
        <v>-0.0756641640328785</v>
      </c>
      <c r="T51" s="12" t="n">
        <v>240348</v>
      </c>
      <c r="U51" s="13" t="n">
        <f aca="false">IFERROR(T51/P51,"")</f>
        <v>0.58671978557148</v>
      </c>
      <c r="V51" s="14" t="n">
        <f aca="false">T51-AV51</f>
        <v>-1512326</v>
      </c>
      <c r="W51" s="14" t="n">
        <f aca="false">V51-AA51*0.1</f>
        <v>-1593426</v>
      </c>
      <c r="X51" s="12" t="n">
        <v>1446143</v>
      </c>
      <c r="Y51" s="12" t="n">
        <v>132000</v>
      </c>
      <c r="Z51" s="15" t="n">
        <f aca="false">IFERROR(X51/Y51,"")</f>
        <v>10.9556287878788</v>
      </c>
      <c r="AA51" s="12" t="n">
        <v>811000</v>
      </c>
      <c r="AB51" s="14" t="n">
        <f aca="false">W51-0.02*P51</f>
        <v>-1601618.94</v>
      </c>
      <c r="AC51" s="16" t="n">
        <v>14</v>
      </c>
      <c r="AD51" s="13" t="n">
        <f aca="false">IFERROR(AC51/AC50-1,"")</f>
        <v>0</v>
      </c>
      <c r="AE51" s="17" t="n">
        <v>0.231</v>
      </c>
      <c r="AF51" s="17" t="n">
        <v>0.174</v>
      </c>
      <c r="AG51" s="13" t="n">
        <f aca="false">1-AF51</f>
        <v>0.826</v>
      </c>
      <c r="AH51" s="17" t="n">
        <v>0.904</v>
      </c>
      <c r="AI51" s="12" t="n">
        <v>89292</v>
      </c>
      <c r="AJ51" s="14" t="n">
        <f aca="false">IFERROR(AM51*U51*MIN(1/AE51,5),"")</f>
        <v>106219.140400863</v>
      </c>
      <c r="AK51" s="18" t="n">
        <f aca="false">IFERROR(AJ51/AI51,"")</f>
        <v>1.18957062671754</v>
      </c>
      <c r="AL51" s="15" t="n">
        <f aca="false">IFERROR(AI51/(AM51*U51/12),"")</f>
        <v>43.6695819325966</v>
      </c>
      <c r="AM51" s="12" t="n">
        <v>41820</v>
      </c>
      <c r="AN51" s="12" t="n">
        <v>556224</v>
      </c>
      <c r="AO51" s="12" t="n">
        <v>1174198</v>
      </c>
      <c r="AP51" s="17" t="n">
        <v>0.224</v>
      </c>
      <c r="AQ51" s="16" t="n">
        <v>32</v>
      </c>
      <c r="AR51" s="16" t="n">
        <v>6</v>
      </c>
      <c r="AS51" s="13" t="n">
        <f aca="false">IFERROR(AR51/AR50-1,"")</f>
        <v>-0.142857142857143</v>
      </c>
      <c r="AT51" s="11" t="s">
        <v>170</v>
      </c>
      <c r="AU51" s="14" t="n">
        <f aca="false">IFERROR(P51/AR51,"")</f>
        <v>68274.5</v>
      </c>
      <c r="AV51" s="12" t="n">
        <v>1752674</v>
      </c>
      <c r="AW51" s="12" t="n">
        <v>731660</v>
      </c>
      <c r="AX51" s="12" t="n">
        <v>381756</v>
      </c>
      <c r="AY51" s="16" t="n">
        <v>22194</v>
      </c>
      <c r="AZ51" s="13" t="n">
        <f aca="false">IFERROR(AY51/AY50-1,"")</f>
        <v>-0.0643338954468803</v>
      </c>
      <c r="BA51" s="17" t="n">
        <v>0.777</v>
      </c>
      <c r="BB51" s="11" t="s">
        <v>171</v>
      </c>
      <c r="BC51" s="11" t="s">
        <v>120</v>
      </c>
      <c r="BD51" s="11" t="s">
        <v>83</v>
      </c>
      <c r="BE51" s="12" t="n">
        <v>538346</v>
      </c>
      <c r="BF51" s="13" t="n">
        <f aca="false">IFERROR(P51/BE51-1,"")</f>
        <v>-0.239063724816382</v>
      </c>
      <c r="BG51" s="17" t="n">
        <v>0.306</v>
      </c>
      <c r="BH51" s="17" t="n">
        <v>0.292</v>
      </c>
      <c r="BI51" s="14" t="n">
        <f aca="false">P51*(1+IFERROR(Q51,0))^4</f>
        <v>301832.810179768</v>
      </c>
      <c r="BJ51" s="12" t="n">
        <v>-1232684</v>
      </c>
      <c r="BK51" s="11" t="s">
        <v>147</v>
      </c>
      <c r="BL51" s="11" t="s">
        <v>148</v>
      </c>
      <c r="BM51" s="14" t="n">
        <f aca="false">O51</f>
        <v>9144461</v>
      </c>
      <c r="BN51" s="11" t="s">
        <v>172</v>
      </c>
      <c r="BO51" s="13" t="n">
        <f aca="false">IFERROR(1-L51/M51,"")</f>
        <v>0.182143081070913</v>
      </c>
      <c r="BP51" s="11" t="s">
        <v>142</v>
      </c>
      <c r="BQ51" s="12" t="n">
        <v>1628966</v>
      </c>
      <c r="BR51" s="11" t="s">
        <v>88</v>
      </c>
      <c r="BS51" s="11" t="s">
        <v>89</v>
      </c>
      <c r="BT51" s="19" t="str">
        <f aca="false">IF(OR(Z51&lt;6,AH51&lt;0.9,S51&lt;0.02,AK51&lt;1),"REVIEW",IF(AND(S51&gt;0.25,AH51&gt;1.2),"ACCELERATING","STABLE"))</f>
        <v>REVIEW</v>
      </c>
    </row>
    <row r="52" customFormat="false" ht="15" hidden="false" customHeight="false" outlineLevel="0" collapsed="false">
      <c r="A52" s="11" t="s">
        <v>168</v>
      </c>
      <c r="B52" s="11" t="s">
        <v>92</v>
      </c>
      <c r="C52" s="11" t="s">
        <v>74</v>
      </c>
      <c r="D52" s="11" t="s">
        <v>151</v>
      </c>
      <c r="E52" s="11" t="s">
        <v>105</v>
      </c>
      <c r="F52" s="11" t="s">
        <v>169</v>
      </c>
      <c r="G52" s="11" t="s">
        <v>78</v>
      </c>
      <c r="H52" s="11" t="s">
        <v>79</v>
      </c>
      <c r="I52" s="11" t="s">
        <v>78</v>
      </c>
      <c r="J52" s="12" t="n">
        <v>2905000</v>
      </c>
      <c r="K52" s="13" t="n">
        <f aca="false">IFERROR(J52/M52,"")</f>
        <v>0.182143081070914</v>
      </c>
      <c r="L52" s="12" t="n">
        <v>13044000</v>
      </c>
      <c r="M52" s="14" t="n">
        <f aca="false">L52+J52</f>
        <v>15949000</v>
      </c>
      <c r="N52" s="12" t="n">
        <v>4751000</v>
      </c>
      <c r="O52" s="12" t="n">
        <v>9144461</v>
      </c>
      <c r="P52" s="12" t="n">
        <v>379101</v>
      </c>
      <c r="Q52" s="13" t="n">
        <f aca="false">IFERROR(P52/P51-1,"")</f>
        <v>-0.0745666390819413</v>
      </c>
      <c r="R52" s="12" t="n">
        <v>460327</v>
      </c>
      <c r="S52" s="13" t="n">
        <f aca="false">IFERROR(R52/R51-1,"")</f>
        <v>-0.0864896509297295</v>
      </c>
      <c r="T52" s="12" t="n">
        <v>218149</v>
      </c>
      <c r="U52" s="13" t="n">
        <f aca="false">IFERROR(T52/P52,"")</f>
        <v>0.575437680196043</v>
      </c>
      <c r="V52" s="14" t="n">
        <f aca="false">T52-AV52</f>
        <v>-1547429</v>
      </c>
      <c r="W52" s="14" t="n">
        <f aca="false">V52-AA52*0.1</f>
        <v>-1628529</v>
      </c>
      <c r="X52" s="12" t="n">
        <v>1040243</v>
      </c>
      <c r="Y52" s="12" t="n">
        <v>141000</v>
      </c>
      <c r="Z52" s="15" t="n">
        <f aca="false">IFERROR(X52/Y52,"")</f>
        <v>7.37760992907801</v>
      </c>
      <c r="AA52" s="12" t="n">
        <v>811000</v>
      </c>
      <c r="AB52" s="14" t="n">
        <f aca="false">W52-0.02*P52</f>
        <v>-1636111.02</v>
      </c>
      <c r="AC52" s="16" t="n">
        <v>13</v>
      </c>
      <c r="AD52" s="13" t="n">
        <f aca="false">IFERROR(AC52/AC51-1,"")</f>
        <v>-0.0714285714285714</v>
      </c>
      <c r="AE52" s="17" t="n">
        <v>0.268</v>
      </c>
      <c r="AF52" s="17" t="n">
        <v>0.207</v>
      </c>
      <c r="AG52" s="13" t="n">
        <f aca="false">1-AF52</f>
        <v>0.793</v>
      </c>
      <c r="AH52" s="17" t="n">
        <v>0.864</v>
      </c>
      <c r="AI52" s="12" t="n">
        <v>97796</v>
      </c>
      <c r="AJ52" s="14" t="n">
        <f aca="false">IFERROR(AM52*U52*MIN(1/AE52,5),"")</f>
        <v>91554.7115058181</v>
      </c>
      <c r="AK52" s="18" t="n">
        <f aca="false">IFERROR(AJ52/AI52,"")</f>
        <v>0.936180534028162</v>
      </c>
      <c r="AL52" s="15" t="n">
        <f aca="false">IFERROR(AI52/(AM52*U52/12),"")</f>
        <v>47.8285093264267</v>
      </c>
      <c r="AM52" s="12" t="n">
        <v>42640</v>
      </c>
      <c r="AN52" s="12" t="n">
        <v>645243</v>
      </c>
      <c r="AO52" s="12" t="n">
        <v>1794332</v>
      </c>
      <c r="AP52" s="17" t="n">
        <v>0.224</v>
      </c>
      <c r="AQ52" s="16" t="n">
        <v>32</v>
      </c>
      <c r="AR52" s="16" t="n">
        <v>5</v>
      </c>
      <c r="AS52" s="13" t="n">
        <f aca="false">IFERROR(AR52/AR51-1,"")</f>
        <v>-0.166666666666667</v>
      </c>
      <c r="AT52" s="11" t="s">
        <v>170</v>
      </c>
      <c r="AU52" s="14" t="n">
        <f aca="false">IFERROR(P52/AR52,"")</f>
        <v>75820.2</v>
      </c>
      <c r="AV52" s="12" t="n">
        <v>1765578</v>
      </c>
      <c r="AW52" s="12" t="n">
        <v>825184</v>
      </c>
      <c r="AX52" s="12" t="n">
        <v>394089</v>
      </c>
      <c r="AY52" s="16" t="n">
        <v>20577</v>
      </c>
      <c r="AZ52" s="13" t="n">
        <f aca="false">IFERROR(AY52/AY51-1,"")</f>
        <v>-0.0728575290619087</v>
      </c>
      <c r="BA52" s="17" t="n">
        <v>0.813</v>
      </c>
      <c r="BB52" s="11" t="s">
        <v>171</v>
      </c>
      <c r="BC52" s="11" t="s">
        <v>120</v>
      </c>
      <c r="BD52" s="11" t="s">
        <v>83</v>
      </c>
      <c r="BE52" s="12" t="n">
        <v>588020</v>
      </c>
      <c r="BF52" s="13" t="n">
        <f aca="false">IFERROR(P52/BE52-1,"")</f>
        <v>-0.35529233699534</v>
      </c>
      <c r="BG52" s="17" t="n">
        <v>0.261</v>
      </c>
      <c r="BH52" s="17" t="n">
        <v>0.217</v>
      </c>
      <c r="BI52" s="14" t="n">
        <f aca="false">P52*(1+IFERROR(Q52,0))^4</f>
        <v>278058.090023524</v>
      </c>
      <c r="BJ52" s="12" t="n">
        <v>-1168771</v>
      </c>
      <c r="BK52" s="11" t="s">
        <v>147</v>
      </c>
      <c r="BL52" s="11" t="s">
        <v>148</v>
      </c>
      <c r="BM52" s="14" t="n">
        <f aca="false">O52</f>
        <v>9144461</v>
      </c>
      <c r="BN52" s="11" t="s">
        <v>172</v>
      </c>
      <c r="BO52" s="13" t="n">
        <f aca="false">IFERROR(1-L52/M52,"")</f>
        <v>0.182143081070913</v>
      </c>
      <c r="BP52" s="11" t="s">
        <v>142</v>
      </c>
      <c r="BQ52" s="12" t="n">
        <v>2583684</v>
      </c>
      <c r="BR52" s="11" t="s">
        <v>88</v>
      </c>
      <c r="BS52" s="11" t="s">
        <v>89</v>
      </c>
      <c r="BT52" s="19" t="str">
        <f aca="false">IF(OR(Z52&lt;6,AH52&lt;0.9,S52&lt;0.02,AK52&lt;1),"REVIEW",IF(AND(S52&gt;0.25,AH52&gt;1.2),"ACCELERATING","STABLE"))</f>
        <v>REVIEW</v>
      </c>
    </row>
    <row r="53" customFormat="false" ht="15" hidden="false" customHeight="false" outlineLevel="0" collapsed="false">
      <c r="A53" s="11" t="s">
        <v>168</v>
      </c>
      <c r="B53" s="11" t="s">
        <v>93</v>
      </c>
      <c r="C53" s="11" t="s">
        <v>74</v>
      </c>
      <c r="D53" s="11" t="s">
        <v>151</v>
      </c>
      <c r="E53" s="11" t="s">
        <v>105</v>
      </c>
      <c r="F53" s="11" t="s">
        <v>169</v>
      </c>
      <c r="G53" s="11" t="s">
        <v>78</v>
      </c>
      <c r="H53" s="11" t="s">
        <v>79</v>
      </c>
      <c r="I53" s="11" t="s">
        <v>78</v>
      </c>
      <c r="J53" s="12" t="n">
        <v>2905000</v>
      </c>
      <c r="K53" s="13" t="n">
        <f aca="false">IFERROR(J53/M53,"")</f>
        <v>0.182143081070914</v>
      </c>
      <c r="L53" s="12" t="n">
        <v>13044000</v>
      </c>
      <c r="M53" s="14" t="n">
        <f aca="false">L53+J53</f>
        <v>15949000</v>
      </c>
      <c r="N53" s="12" t="n">
        <v>4751000</v>
      </c>
      <c r="O53" s="12" t="n">
        <v>9144461</v>
      </c>
      <c r="P53" s="12" t="n">
        <v>342693</v>
      </c>
      <c r="Q53" s="13" t="n">
        <f aca="false">IFERROR(P53/P52-1,"")</f>
        <v>-0.0960377313697405</v>
      </c>
      <c r="R53" s="12" t="n">
        <v>417777</v>
      </c>
      <c r="S53" s="13" t="n">
        <f aca="false">IFERROR(R53/R52-1,"")</f>
        <v>-0.0924342912755498</v>
      </c>
      <c r="T53" s="12" t="n">
        <v>193331</v>
      </c>
      <c r="U53" s="13" t="n">
        <f aca="false">IFERROR(T53/P53,"")</f>
        <v>0.564152171185288</v>
      </c>
      <c r="V53" s="14" t="n">
        <f aca="false">T53-AV53</f>
        <v>-1803039</v>
      </c>
      <c r="W53" s="14" t="n">
        <f aca="false">V53-AA53*0.1</f>
        <v>-1884139</v>
      </c>
      <c r="X53" s="12" t="n">
        <v>574943</v>
      </c>
      <c r="Y53" s="12" t="n">
        <v>150000</v>
      </c>
      <c r="Z53" s="15" t="n">
        <f aca="false">IFERROR(X53/Y53,"")</f>
        <v>3.83295333333333</v>
      </c>
      <c r="AA53" s="12" t="n">
        <v>811000</v>
      </c>
      <c r="AB53" s="14" t="n">
        <f aca="false">W53-0.02*P53</f>
        <v>-1890992.86</v>
      </c>
      <c r="AC53" s="16" t="n">
        <v>12</v>
      </c>
      <c r="AD53" s="13" t="n">
        <f aca="false">IFERROR(AC53/AC52-1,"")</f>
        <v>-0.0769230769230769</v>
      </c>
      <c r="AE53" s="17" t="n">
        <v>0.304</v>
      </c>
      <c r="AF53" s="17" t="n">
        <v>0.243</v>
      </c>
      <c r="AG53" s="13" t="n">
        <f aca="false">1-AF53</f>
        <v>0.757</v>
      </c>
      <c r="AH53" s="17" t="n">
        <v>0.824</v>
      </c>
      <c r="AI53" s="12" t="n">
        <v>106300</v>
      </c>
      <c r="AJ53" s="14" t="n">
        <f aca="false">IFERROR(AM53*U53*MIN(1/AE53,5),"")</f>
        <v>80651.4913148442</v>
      </c>
      <c r="AK53" s="18" t="n">
        <f aca="false">IFERROR(AJ53/AI53,"")</f>
        <v>0.758715816696559</v>
      </c>
      <c r="AL53" s="15" t="n">
        <f aca="false">IFERROR(AI53/(AM53*U53/12),"")</f>
        <v>52.0269689149152</v>
      </c>
      <c r="AM53" s="12" t="n">
        <v>43460</v>
      </c>
      <c r="AN53" s="12" t="n">
        <v>581617</v>
      </c>
      <c r="AO53" s="12" t="n">
        <v>1477807</v>
      </c>
      <c r="AP53" s="17" t="n">
        <v>0.224</v>
      </c>
      <c r="AQ53" s="16" t="n">
        <v>32</v>
      </c>
      <c r="AR53" s="16" t="n">
        <v>5</v>
      </c>
      <c r="AS53" s="13" t="n">
        <f aca="false">IFERROR(AR53/AR52-1,"")</f>
        <v>0</v>
      </c>
      <c r="AT53" s="11" t="s">
        <v>170</v>
      </c>
      <c r="AU53" s="14" t="n">
        <f aca="false">IFERROR(P53/AR53,"")</f>
        <v>68538.6</v>
      </c>
      <c r="AV53" s="12" t="n">
        <v>1996370</v>
      </c>
      <c r="AW53" s="12" t="n">
        <v>793849</v>
      </c>
      <c r="AX53" s="12" t="n">
        <v>598418</v>
      </c>
      <c r="AY53" s="16" t="n">
        <v>18958</v>
      </c>
      <c r="AZ53" s="13" t="n">
        <f aca="false">IFERROR(AY53/AY52-1,"")</f>
        <v>-0.0786800797006366</v>
      </c>
      <c r="BA53" s="17" t="n">
        <v>0.757</v>
      </c>
      <c r="BB53" s="11" t="s">
        <v>171</v>
      </c>
      <c r="BC53" s="11" t="s">
        <v>120</v>
      </c>
      <c r="BD53" s="11" t="s">
        <v>83</v>
      </c>
      <c r="BE53" s="12" t="n">
        <v>461777</v>
      </c>
      <c r="BF53" s="13" t="n">
        <f aca="false">IFERROR(P53/BE53-1,"")</f>
        <v>-0.257882051293157</v>
      </c>
      <c r="BG53" s="17" t="n">
        <v>0.172</v>
      </c>
      <c r="BH53" s="17" t="n">
        <v>0.347</v>
      </c>
      <c r="BI53" s="14" t="n">
        <f aca="false">P53*(1+IFERROR(Q53,0))^4</f>
        <v>228826.568043548</v>
      </c>
      <c r="BJ53" s="12" t="n">
        <v>-1100238</v>
      </c>
      <c r="BK53" s="11" t="s">
        <v>147</v>
      </c>
      <c r="BL53" s="11" t="s">
        <v>148</v>
      </c>
      <c r="BM53" s="14" t="n">
        <f aca="false">O53</f>
        <v>9144461</v>
      </c>
      <c r="BN53" s="11" t="s">
        <v>172</v>
      </c>
      <c r="BO53" s="13" t="n">
        <f aca="false">IFERROR(1-L53/M53,"")</f>
        <v>0.182143081070913</v>
      </c>
      <c r="BP53" s="11" t="s">
        <v>142</v>
      </c>
      <c r="BQ53" s="12" t="n">
        <v>2381108</v>
      </c>
      <c r="BR53" s="11" t="s">
        <v>88</v>
      </c>
      <c r="BS53" s="11" t="s">
        <v>89</v>
      </c>
      <c r="BT53" s="19" t="str">
        <f aca="false">IF(OR(Z53&lt;6,AH53&lt;0.9,S53&lt;0.02,AK53&lt;1),"REVIEW",IF(AND(S53&gt;0.25,AH53&gt;1.2),"ACCELERATING","STABLE"))</f>
        <v>REVIEW</v>
      </c>
    </row>
    <row r="54" customFormat="false" ht="15" hidden="false" customHeight="false" outlineLevel="0" collapsed="false">
      <c r="A54" s="3" t="s">
        <v>173</v>
      </c>
      <c r="B54" s="3" t="s">
        <v>73</v>
      </c>
      <c r="C54" s="3" t="s">
        <v>74</v>
      </c>
      <c r="D54" s="3" t="s">
        <v>132</v>
      </c>
      <c r="E54" s="3" t="s">
        <v>96</v>
      </c>
      <c r="F54" s="3" t="s">
        <v>174</v>
      </c>
      <c r="G54" s="3" t="s">
        <v>78</v>
      </c>
      <c r="H54" s="3" t="s">
        <v>79</v>
      </c>
      <c r="I54" s="3" t="s">
        <v>78</v>
      </c>
      <c r="J54" s="4" t="n">
        <v>3529000</v>
      </c>
      <c r="K54" s="5" t="n">
        <f aca="false">IFERROR(J54/M54,"")</f>
        <v>0.13780849734458</v>
      </c>
      <c r="L54" s="4" t="n">
        <v>22079000</v>
      </c>
      <c r="M54" s="6" t="n">
        <f aca="false">L54+J54</f>
        <v>25608000</v>
      </c>
      <c r="N54" s="4" t="n">
        <v>3529000</v>
      </c>
      <c r="O54" s="4" t="n">
        <v>31795327</v>
      </c>
      <c r="P54" s="4" t="n">
        <v>357624</v>
      </c>
      <c r="Q54" s="7"/>
      <c r="R54" s="4" t="n">
        <v>358215</v>
      </c>
      <c r="S54" s="7"/>
      <c r="T54" s="4" t="n">
        <v>201801</v>
      </c>
      <c r="U54" s="5" t="n">
        <f aca="false">IFERROR(T54/P54,"")</f>
        <v>0.564282598483323</v>
      </c>
      <c r="V54" s="6" t="n">
        <f aca="false">T54-AV54</f>
        <v>-1574588</v>
      </c>
      <c r="W54" s="6" t="n">
        <f aca="false">V54-AA54*0.1</f>
        <v>-1574588</v>
      </c>
      <c r="X54" s="4" t="n">
        <v>4737780</v>
      </c>
      <c r="Y54" s="4" t="n">
        <v>163800</v>
      </c>
      <c r="Z54" s="8" t="n">
        <f aca="false">IFERROR(X54/Y54,"")</f>
        <v>28.9241758241758</v>
      </c>
      <c r="AA54" s="4" t="n">
        <v>0</v>
      </c>
      <c r="AB54" s="6" t="n">
        <f aca="false">W54-0.02*P54</f>
        <v>-1581740.48</v>
      </c>
      <c r="AC54" s="9" t="n">
        <v>20</v>
      </c>
      <c r="AD54" s="7"/>
      <c r="AE54" s="7" t="n">
        <v>0.113</v>
      </c>
      <c r="AF54" s="7" t="n">
        <v>0.108</v>
      </c>
      <c r="AG54" s="5" t="n">
        <f aca="false">1-AF54</f>
        <v>0.892</v>
      </c>
      <c r="AH54" s="7" t="n">
        <v>1.097</v>
      </c>
      <c r="AI54" s="4" t="n">
        <v>10812</v>
      </c>
      <c r="AJ54" s="6" t="n">
        <f aca="false">IFERROR(AM54*U54*MIN(1/AE54,5),"")</f>
        <v>25392.7169317495</v>
      </c>
      <c r="AK54" s="10" t="n">
        <f aca="false">IFERROR(AJ54/AI54,"")</f>
        <v>2.34856797370973</v>
      </c>
      <c r="AL54" s="8" t="n">
        <f aca="false">IFERROR(AI54/(AM54*U54/12),"")</f>
        <v>25.5474828370523</v>
      </c>
      <c r="AM54" s="4" t="n">
        <v>9000</v>
      </c>
      <c r="AN54" s="4" t="n">
        <v>463300</v>
      </c>
      <c r="AO54" s="4" t="n">
        <v>817787</v>
      </c>
      <c r="AP54" s="7" t="n">
        <v>0.333</v>
      </c>
      <c r="AQ54" s="9" t="n">
        <v>65</v>
      </c>
      <c r="AR54" s="9" t="n">
        <v>15</v>
      </c>
      <c r="AS54" s="7"/>
      <c r="AT54" s="3" t="s">
        <v>80</v>
      </c>
      <c r="AU54" s="6" t="n">
        <f aca="false">IFERROR(P54/AR54,"")</f>
        <v>23841.6</v>
      </c>
      <c r="AV54" s="4" t="n">
        <v>1776389</v>
      </c>
      <c r="AW54" s="4" t="n">
        <v>558209</v>
      </c>
      <c r="AX54" s="4" t="n">
        <v>417073</v>
      </c>
      <c r="AY54" s="9" t="n">
        <v>9980</v>
      </c>
      <c r="AZ54" s="7"/>
      <c r="BA54" s="7" t="n">
        <v>0.914</v>
      </c>
      <c r="BB54" s="3" t="s">
        <v>81</v>
      </c>
      <c r="BC54" s="3" t="s">
        <v>82</v>
      </c>
      <c r="BD54" s="3" t="s">
        <v>175</v>
      </c>
      <c r="BE54" s="4" t="n">
        <v>365757</v>
      </c>
      <c r="BF54" s="5" t="n">
        <f aca="false">IFERROR(P54/BE54-1,"")</f>
        <v>-0.0222360747709545</v>
      </c>
      <c r="BG54" s="7" t="n">
        <v>0.076</v>
      </c>
      <c r="BH54" s="7" t="n">
        <v>0.015</v>
      </c>
      <c r="BI54" s="6" t="n">
        <f aca="false">P54</f>
        <v>357624</v>
      </c>
      <c r="BJ54" s="4" t="n">
        <v>-1404257</v>
      </c>
      <c r="BK54" s="3" t="s">
        <v>102</v>
      </c>
      <c r="BL54" s="3" t="s">
        <v>162</v>
      </c>
      <c r="BM54" s="6" t="n">
        <f aca="false">O54</f>
        <v>31795327</v>
      </c>
      <c r="BN54" s="3" t="s">
        <v>176</v>
      </c>
      <c r="BO54" s="5" t="n">
        <f aca="false">IFERROR(1-L54/M54,"")</f>
        <v>0.13780849734458</v>
      </c>
      <c r="BP54" s="3" t="s">
        <v>113</v>
      </c>
      <c r="BQ54" s="4" t="n">
        <v>3068255</v>
      </c>
      <c r="BR54" s="3" t="s">
        <v>88</v>
      </c>
      <c r="BS54" s="3" t="s">
        <v>89</v>
      </c>
      <c r="BT54" s="3" t="s">
        <v>90</v>
      </c>
    </row>
    <row r="55" customFormat="false" ht="15" hidden="false" customHeight="false" outlineLevel="0" collapsed="false">
      <c r="A55" s="11" t="s">
        <v>173</v>
      </c>
      <c r="B55" s="11" t="s">
        <v>91</v>
      </c>
      <c r="C55" s="11" t="s">
        <v>74</v>
      </c>
      <c r="D55" s="11" t="s">
        <v>132</v>
      </c>
      <c r="E55" s="11" t="s">
        <v>96</v>
      </c>
      <c r="F55" s="11" t="s">
        <v>174</v>
      </c>
      <c r="G55" s="11" t="s">
        <v>78</v>
      </c>
      <c r="H55" s="11" t="s">
        <v>79</v>
      </c>
      <c r="I55" s="11" t="s">
        <v>78</v>
      </c>
      <c r="J55" s="12" t="n">
        <v>3529000</v>
      </c>
      <c r="K55" s="13" t="n">
        <f aca="false">IFERROR(J55/M55,"")</f>
        <v>0.13780849734458</v>
      </c>
      <c r="L55" s="12" t="n">
        <v>22079000</v>
      </c>
      <c r="M55" s="14" t="n">
        <f aca="false">L55+J55</f>
        <v>25608000</v>
      </c>
      <c r="N55" s="12" t="n">
        <v>3529000</v>
      </c>
      <c r="O55" s="12" t="n">
        <v>31795327</v>
      </c>
      <c r="P55" s="12" t="n">
        <v>453714</v>
      </c>
      <c r="Q55" s="13" t="n">
        <f aca="false">IFERROR(P55/P54-1,"")</f>
        <v>0.268690020803973</v>
      </c>
      <c r="R55" s="12" t="n">
        <v>450807</v>
      </c>
      <c r="S55" s="13" t="n">
        <f aca="false">IFERROR(R55/R54-1,"")</f>
        <v>0.258481638122357</v>
      </c>
      <c r="T55" s="12" t="n">
        <v>257060</v>
      </c>
      <c r="U55" s="13" t="n">
        <f aca="false">IFERROR(T55/P55,"")</f>
        <v>0.566568366856654</v>
      </c>
      <c r="V55" s="14" t="n">
        <f aca="false">T55-AV55</f>
        <v>-1634798</v>
      </c>
      <c r="W55" s="14" t="n">
        <f aca="false">V55-AA55*0.1</f>
        <v>-1634798</v>
      </c>
      <c r="X55" s="12" t="n">
        <v>4324680</v>
      </c>
      <c r="Y55" s="12" t="n">
        <v>169200</v>
      </c>
      <c r="Z55" s="15" t="n">
        <f aca="false">IFERROR(X55/Y55,"")</f>
        <v>25.5595744680851</v>
      </c>
      <c r="AA55" s="12" t="n">
        <v>0</v>
      </c>
      <c r="AB55" s="14" t="n">
        <f aca="false">W55-0.02*P55</f>
        <v>-1643872.28</v>
      </c>
      <c r="AC55" s="16" t="n">
        <v>23</v>
      </c>
      <c r="AD55" s="13" t="n">
        <f aca="false">IFERROR(AC55/AC54-1,"")</f>
        <v>0.15</v>
      </c>
      <c r="AE55" s="17" t="n">
        <v>0.11</v>
      </c>
      <c r="AF55" s="17" t="n">
        <v>0.094</v>
      </c>
      <c r="AG55" s="13" t="n">
        <f aca="false">1-AF55</f>
        <v>0.906</v>
      </c>
      <c r="AH55" s="17" t="n">
        <v>1.092</v>
      </c>
      <c r="AI55" s="12" t="n">
        <v>10608</v>
      </c>
      <c r="AJ55" s="14" t="n">
        <f aca="false">IFERROR(AM55*U55*MIN(1/AE55,5),"")</f>
        <v>26005.4880387204</v>
      </c>
      <c r="AK55" s="18" t="n">
        <f aca="false">IFERROR(AJ55/AI55,"")</f>
        <v>2.45149774120668</v>
      </c>
      <c r="AL55" s="15" t="n">
        <f aca="false">IFERROR(AI55/(AM55*U55/12),"")</f>
        <v>24.4748338909204</v>
      </c>
      <c r="AM55" s="12" t="n">
        <v>9180</v>
      </c>
      <c r="AN55" s="12" t="n">
        <v>656363</v>
      </c>
      <c r="AO55" s="12" t="n">
        <v>1329387</v>
      </c>
      <c r="AP55" s="17" t="n">
        <v>0.333</v>
      </c>
      <c r="AQ55" s="16" t="n">
        <v>65</v>
      </c>
      <c r="AR55" s="16" t="n">
        <v>17</v>
      </c>
      <c r="AS55" s="13" t="n">
        <f aca="false">IFERROR(AR55/AR54-1,"")</f>
        <v>0.133333333333333</v>
      </c>
      <c r="AT55" s="11" t="s">
        <v>80</v>
      </c>
      <c r="AU55" s="14" t="n">
        <f aca="false">IFERROR(P55/AR55,"")</f>
        <v>26689.0588235294</v>
      </c>
      <c r="AV55" s="12" t="n">
        <v>1891858</v>
      </c>
      <c r="AW55" s="12" t="n">
        <v>770228</v>
      </c>
      <c r="AX55" s="12" t="n">
        <v>507833</v>
      </c>
      <c r="AY55" s="16" t="n">
        <v>13254</v>
      </c>
      <c r="AZ55" s="13" t="n">
        <f aca="false">IFERROR(AY55/AY54-1,"")</f>
        <v>0.328056112224449</v>
      </c>
      <c r="BA55" s="17" t="n">
        <v>0.905</v>
      </c>
      <c r="BB55" s="11" t="s">
        <v>81</v>
      </c>
      <c r="BC55" s="11" t="s">
        <v>82</v>
      </c>
      <c r="BD55" s="11" t="s">
        <v>175</v>
      </c>
      <c r="BE55" s="12" t="n">
        <v>507296</v>
      </c>
      <c r="BF55" s="13" t="n">
        <f aca="false">IFERROR(P55/BE55-1,"")</f>
        <v>-0.10562275279127</v>
      </c>
      <c r="BG55" s="17" t="n">
        <v>0.038</v>
      </c>
      <c r="BH55" s="17" t="n">
        <v>0.033</v>
      </c>
      <c r="BI55" s="14" t="n">
        <f aca="false">P55*(1+IFERROR(Q55,0))^4</f>
        <v>1175450.31195725</v>
      </c>
      <c r="BJ55" s="12" t="n">
        <v>-1215411</v>
      </c>
      <c r="BK55" s="11" t="s">
        <v>102</v>
      </c>
      <c r="BL55" s="11" t="s">
        <v>162</v>
      </c>
      <c r="BM55" s="14" t="n">
        <f aca="false">O55</f>
        <v>31795327</v>
      </c>
      <c r="BN55" s="11" t="s">
        <v>176</v>
      </c>
      <c r="BO55" s="13" t="n">
        <f aca="false">IFERROR(1-L55/M55,"")</f>
        <v>0.13780849734458</v>
      </c>
      <c r="BP55" s="11" t="s">
        <v>113</v>
      </c>
      <c r="BQ55" s="12" t="n">
        <v>2310433</v>
      </c>
      <c r="BR55" s="11" t="s">
        <v>88</v>
      </c>
      <c r="BS55" s="11" t="s">
        <v>89</v>
      </c>
      <c r="BT55" s="19" t="str">
        <f aca="false">IF(OR(Z55&lt;6,AH55&lt;0.9,S55&lt;0.02,AK55&lt;1),"REVIEW",IF(AND(S55&gt;0.25,AH55&gt;1.2),"ACCELERATING","STABLE"))</f>
        <v>STABLE</v>
      </c>
    </row>
    <row r="56" customFormat="false" ht="15" hidden="false" customHeight="false" outlineLevel="0" collapsed="false">
      <c r="A56" s="11" t="s">
        <v>173</v>
      </c>
      <c r="B56" s="11" t="s">
        <v>92</v>
      </c>
      <c r="C56" s="11" t="s">
        <v>74</v>
      </c>
      <c r="D56" s="11" t="s">
        <v>132</v>
      </c>
      <c r="E56" s="11" t="s">
        <v>96</v>
      </c>
      <c r="F56" s="11" t="s">
        <v>174</v>
      </c>
      <c r="G56" s="11" t="s">
        <v>78</v>
      </c>
      <c r="H56" s="11" t="s">
        <v>79</v>
      </c>
      <c r="I56" s="11" t="s">
        <v>78</v>
      </c>
      <c r="J56" s="12" t="n">
        <v>3529000</v>
      </c>
      <c r="K56" s="13" t="n">
        <f aca="false">IFERROR(J56/M56,"")</f>
        <v>0.13780849734458</v>
      </c>
      <c r="L56" s="12" t="n">
        <v>22079000</v>
      </c>
      <c r="M56" s="14" t="n">
        <f aca="false">L56+J56</f>
        <v>25608000</v>
      </c>
      <c r="N56" s="12" t="n">
        <v>3529000</v>
      </c>
      <c r="O56" s="12" t="n">
        <v>31795327</v>
      </c>
      <c r="P56" s="12" t="n">
        <v>557183</v>
      </c>
      <c r="Q56" s="13" t="n">
        <f aca="false">IFERROR(P56/P55-1,"")</f>
        <v>0.228048947134098</v>
      </c>
      <c r="R56" s="12" t="n">
        <v>566020</v>
      </c>
      <c r="S56" s="13" t="n">
        <f aca="false">IFERROR(R56/R55-1,"")</f>
        <v>0.255570565674446</v>
      </c>
      <c r="T56" s="12" t="n">
        <v>316955</v>
      </c>
      <c r="U56" s="13" t="n">
        <f aca="false">IFERROR(T56/P56,"")</f>
        <v>0.568852603184232</v>
      </c>
      <c r="V56" s="14" t="n">
        <f aca="false">T56-AV56</f>
        <v>-1683349</v>
      </c>
      <c r="W56" s="14" t="n">
        <f aca="false">V56-AA56*0.1</f>
        <v>-1683349</v>
      </c>
      <c r="X56" s="12" t="n">
        <v>3882420</v>
      </c>
      <c r="Y56" s="12" t="n">
        <v>174600</v>
      </c>
      <c r="Z56" s="15" t="n">
        <f aca="false">IFERROR(X56/Y56,"")</f>
        <v>22.2360824742268</v>
      </c>
      <c r="AA56" s="12" t="n">
        <v>0</v>
      </c>
      <c r="AB56" s="14" t="n">
        <f aca="false">W56-0.02*P56</f>
        <v>-1694492.66</v>
      </c>
      <c r="AC56" s="16" t="n">
        <v>26</v>
      </c>
      <c r="AD56" s="13" t="n">
        <f aca="false">IFERROR(AC56/AC55-1,"")</f>
        <v>0.130434782608696</v>
      </c>
      <c r="AE56" s="17" t="n">
        <v>0.107</v>
      </c>
      <c r="AF56" s="17" t="n">
        <v>0.08</v>
      </c>
      <c r="AG56" s="13" t="n">
        <f aca="false">1-AF56</f>
        <v>0.92</v>
      </c>
      <c r="AH56" s="17" t="n">
        <v>1.087</v>
      </c>
      <c r="AI56" s="12" t="n">
        <v>10404</v>
      </c>
      <c r="AJ56" s="14" t="n">
        <f aca="false">IFERROR(AM56*U56*MIN(1/AE56,5),"")</f>
        <v>26622.3018290221</v>
      </c>
      <c r="AK56" s="18" t="n">
        <f aca="false">IFERROR(AJ56/AI56,"")</f>
        <v>2.55885254027509</v>
      </c>
      <c r="AL56" s="15" t="n">
        <f aca="false">IFERROR(AI56/(AM56*U56/12),"")</f>
        <v>23.4480100184083</v>
      </c>
      <c r="AM56" s="12" t="n">
        <v>9360</v>
      </c>
      <c r="AN56" s="12" t="n">
        <v>523260</v>
      </c>
      <c r="AO56" s="12" t="n">
        <v>1725268</v>
      </c>
      <c r="AP56" s="17" t="n">
        <v>0.333</v>
      </c>
      <c r="AQ56" s="16" t="n">
        <v>65</v>
      </c>
      <c r="AR56" s="16" t="n">
        <v>19</v>
      </c>
      <c r="AS56" s="13" t="n">
        <f aca="false">IFERROR(AR56/AR55-1,"")</f>
        <v>0.117647058823529</v>
      </c>
      <c r="AT56" s="11" t="s">
        <v>80</v>
      </c>
      <c r="AU56" s="14" t="n">
        <f aca="false">IFERROR(P56/AR56,"")</f>
        <v>29325.4210526316</v>
      </c>
      <c r="AV56" s="12" t="n">
        <v>2000304</v>
      </c>
      <c r="AW56" s="12" t="n">
        <v>958637</v>
      </c>
      <c r="AX56" s="12" t="n">
        <v>528662</v>
      </c>
      <c r="AY56" s="16" t="n">
        <v>15531</v>
      </c>
      <c r="AZ56" s="13" t="n">
        <f aca="false">IFERROR(AY56/AY55-1,"")</f>
        <v>0.171797193300136</v>
      </c>
      <c r="BA56" s="17" t="n">
        <v>0.889</v>
      </c>
      <c r="BB56" s="11" t="s">
        <v>81</v>
      </c>
      <c r="BC56" s="11" t="s">
        <v>82</v>
      </c>
      <c r="BD56" s="11" t="s">
        <v>175</v>
      </c>
      <c r="BE56" s="12" t="n">
        <v>563339</v>
      </c>
      <c r="BF56" s="13" t="n">
        <f aca="false">IFERROR(P56/BE56-1,"")</f>
        <v>-0.0109277007272708</v>
      </c>
      <c r="BG56" s="17" t="n">
        <v>-0.035</v>
      </c>
      <c r="BH56" s="17" t="n">
        <v>-0.079</v>
      </c>
      <c r="BI56" s="14" t="n">
        <f aca="false">P56*(1+IFERROR(Q56,0))^4</f>
        <v>1267244.93992863</v>
      </c>
      <c r="BJ56" s="12" t="n">
        <v>-1847530</v>
      </c>
      <c r="BK56" s="11" t="s">
        <v>102</v>
      </c>
      <c r="BL56" s="11" t="s">
        <v>162</v>
      </c>
      <c r="BM56" s="14" t="n">
        <f aca="false">O56</f>
        <v>31795327</v>
      </c>
      <c r="BN56" s="11" t="s">
        <v>176</v>
      </c>
      <c r="BO56" s="13" t="n">
        <f aca="false">IFERROR(1-L56/M56,"")</f>
        <v>0.13780849734458</v>
      </c>
      <c r="BP56" s="11" t="s">
        <v>113</v>
      </c>
      <c r="BQ56" s="12" t="n">
        <v>2510248</v>
      </c>
      <c r="BR56" s="11" t="s">
        <v>88</v>
      </c>
      <c r="BS56" s="11" t="s">
        <v>89</v>
      </c>
      <c r="BT56" s="19" t="str">
        <f aca="false">IF(OR(Z56&lt;6,AH56&lt;0.9,S56&lt;0.02,AK56&lt;1),"REVIEW",IF(AND(S56&gt;0.25,AH56&gt;1.2),"ACCELERATING","STABLE"))</f>
        <v>STABLE</v>
      </c>
    </row>
    <row r="57" customFormat="false" ht="15" hidden="false" customHeight="false" outlineLevel="0" collapsed="false">
      <c r="A57" s="11" t="s">
        <v>173</v>
      </c>
      <c r="B57" s="11" t="s">
        <v>93</v>
      </c>
      <c r="C57" s="11" t="s">
        <v>74</v>
      </c>
      <c r="D57" s="11" t="s">
        <v>132</v>
      </c>
      <c r="E57" s="11" t="s">
        <v>96</v>
      </c>
      <c r="F57" s="11" t="s">
        <v>174</v>
      </c>
      <c r="G57" s="11" t="s">
        <v>78</v>
      </c>
      <c r="H57" s="11" t="s">
        <v>79</v>
      </c>
      <c r="I57" s="11" t="s">
        <v>78</v>
      </c>
      <c r="J57" s="12" t="n">
        <v>3529000</v>
      </c>
      <c r="K57" s="13" t="n">
        <f aca="false">IFERROR(J57/M57,"")</f>
        <v>0.13780849734458</v>
      </c>
      <c r="L57" s="12" t="n">
        <v>22079000</v>
      </c>
      <c r="M57" s="14" t="n">
        <f aca="false">L57+J57</f>
        <v>25608000</v>
      </c>
      <c r="N57" s="12" t="n">
        <v>3529000</v>
      </c>
      <c r="O57" s="12" t="n">
        <v>31795327</v>
      </c>
      <c r="P57" s="12" t="n">
        <v>661715</v>
      </c>
      <c r="Q57" s="13" t="n">
        <f aca="false">IFERROR(P57/P56-1,"")</f>
        <v>0.187608021063098</v>
      </c>
      <c r="R57" s="12" t="n">
        <v>700832</v>
      </c>
      <c r="S57" s="13" t="n">
        <f aca="false">IFERROR(R57/R56-1,"")</f>
        <v>0.238175329493658</v>
      </c>
      <c r="T57" s="12" t="n">
        <v>377930</v>
      </c>
      <c r="U57" s="13" t="n">
        <f aca="false">IFERROR(T57/P57,"")</f>
        <v>0.571137120965975</v>
      </c>
      <c r="V57" s="14" t="n">
        <f aca="false">T57-AV57</f>
        <v>-2203097</v>
      </c>
      <c r="W57" s="14" t="n">
        <f aca="false">V57-AA57*0.1</f>
        <v>-2203097</v>
      </c>
      <c r="X57" s="12" t="n">
        <v>3411000</v>
      </c>
      <c r="Y57" s="12" t="n">
        <v>180000</v>
      </c>
      <c r="Z57" s="15" t="n">
        <f aca="false">IFERROR(X57/Y57,"")</f>
        <v>18.95</v>
      </c>
      <c r="AA57" s="12" t="n">
        <v>0</v>
      </c>
      <c r="AB57" s="14" t="n">
        <f aca="false">W57-0.02*P57</f>
        <v>-2216331.3</v>
      </c>
      <c r="AC57" s="16" t="n">
        <v>32</v>
      </c>
      <c r="AD57" s="13" t="n">
        <f aca="false">IFERROR(AC57/AC56-1,"")</f>
        <v>0.230769230769231</v>
      </c>
      <c r="AE57" s="17" t="n">
        <v>0.104</v>
      </c>
      <c r="AF57" s="17" t="n">
        <v>0.106</v>
      </c>
      <c r="AG57" s="13" t="n">
        <f aca="false">1-AF57</f>
        <v>0.894</v>
      </c>
      <c r="AH57" s="17" t="n">
        <v>1.082</v>
      </c>
      <c r="AI57" s="12" t="n">
        <v>10200</v>
      </c>
      <c r="AJ57" s="14" t="n">
        <f aca="false">IFERROR(AM57*U57*MIN(1/AE57,5),"")</f>
        <v>27243.240670077</v>
      </c>
      <c r="AK57" s="18" t="n">
        <f aca="false">IFERROR(AJ57/AI57,"")</f>
        <v>2.67090594804676</v>
      </c>
      <c r="AL57" s="15" t="n">
        <f aca="false">IFERROR(AI57/(AM57*U57/12),"")</f>
        <v>22.4642878360723</v>
      </c>
      <c r="AM57" s="12" t="n">
        <v>9540</v>
      </c>
      <c r="AN57" s="12" t="n">
        <v>645940</v>
      </c>
      <c r="AO57" s="12" t="n">
        <v>1564086</v>
      </c>
      <c r="AP57" s="17" t="n">
        <v>0.333</v>
      </c>
      <c r="AQ57" s="16" t="n">
        <v>65</v>
      </c>
      <c r="AR57" s="16" t="n">
        <v>21</v>
      </c>
      <c r="AS57" s="13" t="n">
        <f aca="false">IFERROR(AR57/AR56-1,"")</f>
        <v>0.105263157894737</v>
      </c>
      <c r="AT57" s="11" t="s">
        <v>80</v>
      </c>
      <c r="AU57" s="14" t="n">
        <f aca="false">IFERROR(P57/AR57,"")</f>
        <v>31510.2380952381</v>
      </c>
      <c r="AV57" s="12" t="n">
        <v>2581027</v>
      </c>
      <c r="AW57" s="12" t="n">
        <v>1054956</v>
      </c>
      <c r="AX57" s="12" t="n">
        <v>810904</v>
      </c>
      <c r="AY57" s="16" t="n">
        <v>18976</v>
      </c>
      <c r="AZ57" s="13" t="n">
        <f aca="false">IFERROR(AY57/AY56-1,"")</f>
        <v>0.221814435644839</v>
      </c>
      <c r="BA57" s="17" t="n">
        <v>0.919</v>
      </c>
      <c r="BB57" s="11" t="s">
        <v>81</v>
      </c>
      <c r="BC57" s="11" t="s">
        <v>82</v>
      </c>
      <c r="BD57" s="11" t="s">
        <v>175</v>
      </c>
      <c r="BE57" s="12" t="n">
        <v>728953</v>
      </c>
      <c r="BF57" s="13" t="n">
        <f aca="false">IFERROR(P57/BE57-1,"")</f>
        <v>-0.0922391429900145</v>
      </c>
      <c r="BG57" s="17" t="n">
        <v>0.039</v>
      </c>
      <c r="BH57" s="17" t="n">
        <v>0.021</v>
      </c>
      <c r="BI57" s="14" t="n">
        <f aca="false">P57*(1+IFERROR(Q57,0))^4</f>
        <v>1316326.02587013</v>
      </c>
      <c r="BJ57" s="12" t="n">
        <v>-1717674</v>
      </c>
      <c r="BK57" s="11" t="s">
        <v>102</v>
      </c>
      <c r="BL57" s="11" t="s">
        <v>162</v>
      </c>
      <c r="BM57" s="14" t="n">
        <f aca="false">O57</f>
        <v>31795327</v>
      </c>
      <c r="BN57" s="11" t="s">
        <v>176</v>
      </c>
      <c r="BO57" s="13" t="n">
        <f aca="false">IFERROR(1-L57/M57,"")</f>
        <v>0.13780849734458</v>
      </c>
      <c r="BP57" s="11" t="s">
        <v>113</v>
      </c>
      <c r="BQ57" s="12" t="n">
        <v>2238718</v>
      </c>
      <c r="BR57" s="11" t="s">
        <v>88</v>
      </c>
      <c r="BS57" s="11" t="s">
        <v>89</v>
      </c>
      <c r="BT57" s="19" t="str">
        <f aca="false">IF(OR(Z57&lt;6,AH57&lt;0.9,S57&lt;0.02,AK57&lt;1),"REVIEW",IF(AND(S57&gt;0.25,AH57&gt;1.2),"ACCELERATING","STABLE"))</f>
        <v>STABLE</v>
      </c>
    </row>
    <row r="58" customFormat="false" ht="15" hidden="false" customHeight="false" outlineLevel="0" collapsed="false">
      <c r="A58" s="3" t="s">
        <v>177</v>
      </c>
      <c r="B58" s="3" t="s">
        <v>73</v>
      </c>
      <c r="C58" s="3" t="s">
        <v>74</v>
      </c>
      <c r="D58" s="3" t="s">
        <v>75</v>
      </c>
      <c r="E58" s="3" t="s">
        <v>105</v>
      </c>
      <c r="F58" s="3" t="s">
        <v>178</v>
      </c>
      <c r="G58" s="3" t="s">
        <v>78</v>
      </c>
      <c r="H58" s="3" t="s">
        <v>79</v>
      </c>
      <c r="I58" s="3" t="s">
        <v>78</v>
      </c>
      <c r="J58" s="4" t="n">
        <v>2350000</v>
      </c>
      <c r="K58" s="5" t="n">
        <f aca="false">IFERROR(J58/M58,"")</f>
        <v>0.121102808554496</v>
      </c>
      <c r="L58" s="4" t="n">
        <v>17055000</v>
      </c>
      <c r="M58" s="6" t="n">
        <f aca="false">L58+J58</f>
        <v>19405000</v>
      </c>
      <c r="N58" s="4" t="n">
        <v>7293000</v>
      </c>
      <c r="O58" s="4" t="n">
        <v>13063243</v>
      </c>
      <c r="P58" s="4" t="n">
        <v>942846</v>
      </c>
      <c r="Q58" s="7"/>
      <c r="R58" s="4" t="n">
        <v>1168508</v>
      </c>
      <c r="S58" s="7"/>
      <c r="T58" s="4" t="n">
        <v>639239</v>
      </c>
      <c r="U58" s="5" t="n">
        <f aca="false">IFERROR(T58/P58,"")</f>
        <v>0.677988770170314</v>
      </c>
      <c r="V58" s="6" t="n">
        <f aca="false">T58-AV58</f>
        <v>-804922</v>
      </c>
      <c r="W58" s="6" t="n">
        <f aca="false">V58-AA58*0.1</f>
        <v>-804922</v>
      </c>
      <c r="X58" s="4" t="n">
        <v>1009776</v>
      </c>
      <c r="Y58" s="4" t="n">
        <v>67240</v>
      </c>
      <c r="Z58" s="8" t="n">
        <f aca="false">IFERROR(X58/Y58,"")</f>
        <v>15.01748958953</v>
      </c>
      <c r="AA58" s="4" t="n">
        <v>0</v>
      </c>
      <c r="AB58" s="6" t="n">
        <f aca="false">W58-0.02*P58</f>
        <v>-823778.92</v>
      </c>
      <c r="AC58" s="9" t="n">
        <v>92</v>
      </c>
      <c r="AD58" s="7"/>
      <c r="AE58" s="7" t="n">
        <v>0.233</v>
      </c>
      <c r="AF58" s="7" t="n">
        <v>0.217</v>
      </c>
      <c r="AG58" s="5" t="n">
        <f aca="false">1-AF58</f>
        <v>0.783</v>
      </c>
      <c r="AH58" s="7" t="n">
        <v>0.87</v>
      </c>
      <c r="AI58" s="4" t="n">
        <v>45524</v>
      </c>
      <c r="AJ58" s="6" t="n">
        <f aca="false">IFERROR(AM58*U58*MIN(1/AE58,5),"")</f>
        <v>49466.9918150015</v>
      </c>
      <c r="AK58" s="10" t="n">
        <f aca="false">IFERROR(AJ58/AI58,"")</f>
        <v>1.08661347454093</v>
      </c>
      <c r="AL58" s="8" t="n">
        <f aca="false">IFERROR(AI58/(AM58*U58/12),"")</f>
        <v>47.3969328831534</v>
      </c>
      <c r="AM58" s="4" t="n">
        <v>17000</v>
      </c>
      <c r="AN58" s="4" t="n">
        <v>1619525</v>
      </c>
      <c r="AO58" s="4" t="n">
        <v>4077967</v>
      </c>
      <c r="AP58" s="7" t="n">
        <v>0.417</v>
      </c>
      <c r="AQ58" s="9" t="n">
        <v>22</v>
      </c>
      <c r="AR58" s="9" t="n">
        <v>4</v>
      </c>
      <c r="AS58" s="7"/>
      <c r="AT58" s="3" t="s">
        <v>145</v>
      </c>
      <c r="AU58" s="6" t="n">
        <f aca="false">IFERROR(P58/AR58,"")</f>
        <v>235711.5</v>
      </c>
      <c r="AV58" s="4" t="n">
        <v>1444161</v>
      </c>
      <c r="AW58" s="4" t="n">
        <v>641843</v>
      </c>
      <c r="AX58" s="4" t="n">
        <v>330481</v>
      </c>
      <c r="AY58" s="9" t="n">
        <v>42138</v>
      </c>
      <c r="AZ58" s="7"/>
      <c r="BA58" s="7" t="n">
        <v>0.782</v>
      </c>
      <c r="BB58" s="3" t="s">
        <v>119</v>
      </c>
      <c r="BC58" s="3" t="s">
        <v>120</v>
      </c>
      <c r="BD58" s="3" t="s">
        <v>175</v>
      </c>
      <c r="BE58" s="4" t="n">
        <v>1467783</v>
      </c>
      <c r="BF58" s="5" t="n">
        <f aca="false">IFERROR(P58/BE58-1,"")</f>
        <v>-0.357639378572991</v>
      </c>
      <c r="BG58" s="7" t="n">
        <v>0.289</v>
      </c>
      <c r="BH58" s="7" t="n">
        <v>0.365</v>
      </c>
      <c r="BI58" s="6" t="n">
        <f aca="false">P58</f>
        <v>942846</v>
      </c>
      <c r="BJ58" s="4" t="n">
        <v>-504071</v>
      </c>
      <c r="BK58" s="3" t="s">
        <v>147</v>
      </c>
      <c r="BL58" s="3" t="s">
        <v>122</v>
      </c>
      <c r="BM58" s="6" t="n">
        <f aca="false">O58</f>
        <v>13063243</v>
      </c>
      <c r="BN58" s="3" t="s">
        <v>179</v>
      </c>
      <c r="BO58" s="5" t="n">
        <f aca="false">IFERROR(1-L58/M58,"")</f>
        <v>0.121102808554496</v>
      </c>
      <c r="BP58" s="3" t="s">
        <v>87</v>
      </c>
      <c r="BQ58" s="4" t="n">
        <v>1303986</v>
      </c>
      <c r="BR58" s="3" t="s">
        <v>88</v>
      </c>
      <c r="BS58" s="3" t="s">
        <v>89</v>
      </c>
      <c r="BT58" s="3" t="s">
        <v>90</v>
      </c>
    </row>
    <row r="59" customFormat="false" ht="15" hidden="false" customHeight="false" outlineLevel="0" collapsed="false">
      <c r="A59" s="11" t="s">
        <v>177</v>
      </c>
      <c r="B59" s="11" t="s">
        <v>91</v>
      </c>
      <c r="C59" s="11" t="s">
        <v>74</v>
      </c>
      <c r="D59" s="11" t="s">
        <v>75</v>
      </c>
      <c r="E59" s="11" t="s">
        <v>105</v>
      </c>
      <c r="F59" s="11" t="s">
        <v>178</v>
      </c>
      <c r="G59" s="11" t="s">
        <v>78</v>
      </c>
      <c r="H59" s="11" t="s">
        <v>79</v>
      </c>
      <c r="I59" s="11" t="s">
        <v>78</v>
      </c>
      <c r="J59" s="12" t="n">
        <v>2350000</v>
      </c>
      <c r="K59" s="13" t="n">
        <f aca="false">IFERROR(J59/M59,"")</f>
        <v>0.121102808554496</v>
      </c>
      <c r="L59" s="12" t="n">
        <v>17055000</v>
      </c>
      <c r="M59" s="14" t="n">
        <f aca="false">L59+J59</f>
        <v>19405000</v>
      </c>
      <c r="N59" s="12" t="n">
        <v>7293000</v>
      </c>
      <c r="O59" s="12" t="n">
        <v>13063243</v>
      </c>
      <c r="P59" s="12" t="n">
        <v>878714</v>
      </c>
      <c r="Q59" s="13" t="n">
        <f aca="false">IFERROR(P59/P58-1,"")</f>
        <v>-0.0680195917466904</v>
      </c>
      <c r="R59" s="12" t="n">
        <v>1087414</v>
      </c>
      <c r="S59" s="13" t="n">
        <f aca="false">IFERROR(R59/R58-1,"")</f>
        <v>-0.069399610443403</v>
      </c>
      <c r="T59" s="12" t="n">
        <v>584518</v>
      </c>
      <c r="U59" s="13" t="n">
        <f aca="false">IFERROR(T59/P59,"")</f>
        <v>0.665197094845422</v>
      </c>
      <c r="V59" s="14" t="n">
        <f aca="false">T59-AV59</f>
        <v>-891086</v>
      </c>
      <c r="W59" s="14" t="n">
        <f aca="false">V59-AA59*0.1</f>
        <v>-891086</v>
      </c>
      <c r="X59" s="12" t="n">
        <v>820356</v>
      </c>
      <c r="Y59" s="12" t="n">
        <v>72160</v>
      </c>
      <c r="Z59" s="15" t="n">
        <f aca="false">IFERROR(X59/Y59,"")</f>
        <v>11.3685698447894</v>
      </c>
      <c r="AA59" s="12" t="n">
        <v>0</v>
      </c>
      <c r="AB59" s="14" t="n">
        <f aca="false">W59-0.02*P59</f>
        <v>-908660.28</v>
      </c>
      <c r="AC59" s="16" t="n">
        <v>85</v>
      </c>
      <c r="AD59" s="13" t="n">
        <f aca="false">IFERROR(AC59/AC58-1,"")</f>
        <v>-0.0760869565217391</v>
      </c>
      <c r="AE59" s="17" t="n">
        <v>0.277</v>
      </c>
      <c r="AF59" s="17" t="n">
        <v>0.215</v>
      </c>
      <c r="AG59" s="13" t="n">
        <f aca="false">1-AF59</f>
        <v>0.785</v>
      </c>
      <c r="AH59" s="17" t="n">
        <v>0.83</v>
      </c>
      <c r="AI59" s="12" t="n">
        <v>50316</v>
      </c>
      <c r="AJ59" s="14" t="n">
        <f aca="false">IFERROR(AM59*U59*MIN(1/AE59,5),"")</f>
        <v>41640.8578506123</v>
      </c>
      <c r="AK59" s="18" t="n">
        <f aca="false">IFERROR(AJ59/AI59,"")</f>
        <v>0.827586808383264</v>
      </c>
      <c r="AL59" s="15" t="n">
        <f aca="false">IFERROR(AI59/(AM59*U59/12),"")</f>
        <v>52.3465323518383</v>
      </c>
      <c r="AM59" s="12" t="n">
        <v>17340</v>
      </c>
      <c r="AN59" s="12" t="n">
        <v>1588156</v>
      </c>
      <c r="AO59" s="12" t="n">
        <v>2812915</v>
      </c>
      <c r="AP59" s="17" t="n">
        <v>0.417</v>
      </c>
      <c r="AQ59" s="16" t="n">
        <v>22</v>
      </c>
      <c r="AR59" s="16" t="n">
        <v>4</v>
      </c>
      <c r="AS59" s="13" t="n">
        <f aca="false">IFERROR(AR59/AR58-1,"")</f>
        <v>0</v>
      </c>
      <c r="AT59" s="11" t="s">
        <v>145</v>
      </c>
      <c r="AU59" s="14" t="n">
        <f aca="false">IFERROR(P59/AR59,"")</f>
        <v>219678.5</v>
      </c>
      <c r="AV59" s="12" t="n">
        <v>1475604</v>
      </c>
      <c r="AW59" s="12" t="n">
        <v>648440</v>
      </c>
      <c r="AX59" s="12" t="n">
        <v>385128</v>
      </c>
      <c r="AY59" s="16" t="n">
        <v>39323</v>
      </c>
      <c r="AZ59" s="13" t="n">
        <f aca="false">IFERROR(AY59/AY58-1,"")</f>
        <v>-0.0668043096492477</v>
      </c>
      <c r="BA59" s="17" t="n">
        <v>0.712</v>
      </c>
      <c r="BB59" s="11" t="s">
        <v>119</v>
      </c>
      <c r="BC59" s="11" t="s">
        <v>120</v>
      </c>
      <c r="BD59" s="11" t="s">
        <v>175</v>
      </c>
      <c r="BE59" s="12" t="n">
        <v>1251811</v>
      </c>
      <c r="BF59" s="13" t="n">
        <f aca="false">IFERROR(P59/BE59-1,"")</f>
        <v>-0.298045791257626</v>
      </c>
      <c r="BG59" s="17" t="n">
        <v>0.13</v>
      </c>
      <c r="BH59" s="17" t="n">
        <v>0.224</v>
      </c>
      <c r="BI59" s="14" t="n">
        <f aca="false">P59*(1+IFERROR(Q59,0))^4</f>
        <v>662940.691996863</v>
      </c>
      <c r="BJ59" s="12" t="n">
        <v>-523414</v>
      </c>
      <c r="BK59" s="11" t="s">
        <v>147</v>
      </c>
      <c r="BL59" s="11" t="s">
        <v>122</v>
      </c>
      <c r="BM59" s="14" t="n">
        <f aca="false">O59</f>
        <v>13063243</v>
      </c>
      <c r="BN59" s="11" t="s">
        <v>179</v>
      </c>
      <c r="BO59" s="13" t="n">
        <f aca="false">IFERROR(1-L59/M59,"")</f>
        <v>0.121102808554496</v>
      </c>
      <c r="BP59" s="11" t="s">
        <v>87</v>
      </c>
      <c r="BQ59" s="12" t="n">
        <v>929660</v>
      </c>
      <c r="BR59" s="11" t="s">
        <v>88</v>
      </c>
      <c r="BS59" s="11" t="s">
        <v>89</v>
      </c>
      <c r="BT59" s="19" t="str">
        <f aca="false">IF(OR(Z59&lt;6,AH59&lt;0.9,S59&lt;0.02,AK59&lt;1),"REVIEW",IF(AND(S59&gt;0.25,AH59&gt;1.2),"ACCELERATING","STABLE"))</f>
        <v>REVIEW</v>
      </c>
    </row>
    <row r="60" customFormat="false" ht="15" hidden="false" customHeight="false" outlineLevel="0" collapsed="false">
      <c r="A60" s="11" t="s">
        <v>177</v>
      </c>
      <c r="B60" s="11" t="s">
        <v>92</v>
      </c>
      <c r="C60" s="11" t="s">
        <v>74</v>
      </c>
      <c r="D60" s="11" t="s">
        <v>75</v>
      </c>
      <c r="E60" s="11" t="s">
        <v>105</v>
      </c>
      <c r="F60" s="11" t="s">
        <v>178</v>
      </c>
      <c r="G60" s="11" t="s">
        <v>78</v>
      </c>
      <c r="H60" s="11" t="s">
        <v>79</v>
      </c>
      <c r="I60" s="11" t="s">
        <v>78</v>
      </c>
      <c r="J60" s="12" t="n">
        <v>2350000</v>
      </c>
      <c r="K60" s="13" t="n">
        <f aca="false">IFERROR(J60/M60,"")</f>
        <v>0.121102808554496</v>
      </c>
      <c r="L60" s="12" t="n">
        <v>17055000</v>
      </c>
      <c r="M60" s="14" t="n">
        <f aca="false">L60+J60</f>
        <v>19405000</v>
      </c>
      <c r="N60" s="12" t="n">
        <v>7293000</v>
      </c>
      <c r="O60" s="12" t="n">
        <v>13063243</v>
      </c>
      <c r="P60" s="12" t="n">
        <v>821801</v>
      </c>
      <c r="Q60" s="13" t="n">
        <f aca="false">IFERROR(P60/P59-1,"")</f>
        <v>-0.0647685139874863</v>
      </c>
      <c r="R60" s="12" t="n">
        <v>1036926</v>
      </c>
      <c r="S60" s="13" t="n">
        <f aca="false">IFERROR(R60/R59-1,"")</f>
        <v>-0.0464294187862213</v>
      </c>
      <c r="T60" s="12" t="n">
        <v>536147</v>
      </c>
      <c r="U60" s="13" t="n">
        <f aca="false">IFERROR(T60/P60,"")</f>
        <v>0.652404900943172</v>
      </c>
      <c r="V60" s="14" t="n">
        <f aca="false">T60-AV60</f>
        <v>-707776</v>
      </c>
      <c r="W60" s="14" t="n">
        <f aca="false">V60-AA60*0.1</f>
        <v>-707776</v>
      </c>
      <c r="X60" s="12" t="n">
        <v>598464</v>
      </c>
      <c r="Y60" s="12" t="n">
        <v>77080</v>
      </c>
      <c r="Z60" s="15" t="n">
        <f aca="false">IFERROR(X60/Y60,"")</f>
        <v>7.76419304618578</v>
      </c>
      <c r="AA60" s="12" t="n">
        <v>0</v>
      </c>
      <c r="AB60" s="14" t="n">
        <f aca="false">W60-0.02*P60</f>
        <v>-724212.02</v>
      </c>
      <c r="AC60" s="16" t="n">
        <v>82</v>
      </c>
      <c r="AD60" s="13" t="n">
        <f aca="false">IFERROR(AC60/AC59-1,"")</f>
        <v>-0.0352941176470588</v>
      </c>
      <c r="AE60" s="17" t="n">
        <v>0.32</v>
      </c>
      <c r="AF60" s="17" t="n">
        <v>0.314</v>
      </c>
      <c r="AG60" s="13" t="n">
        <f aca="false">1-AF60</f>
        <v>0.686</v>
      </c>
      <c r="AH60" s="17" t="n">
        <v>0.79</v>
      </c>
      <c r="AI60" s="12" t="n">
        <v>55108</v>
      </c>
      <c r="AJ60" s="14" t="n">
        <f aca="false">IFERROR(AM60*U60*MIN(1/AE60,5),"")</f>
        <v>36045.3707771103</v>
      </c>
      <c r="AK60" s="18" t="n">
        <f aca="false">IFERROR(AJ60/AI60,"")</f>
        <v>0.6540859907293</v>
      </c>
      <c r="AL60" s="15" t="n">
        <f aca="false">IFERROR(AI60/(AM60*U60/12),"")</f>
        <v>57.3319112953143</v>
      </c>
      <c r="AM60" s="12" t="n">
        <v>17680</v>
      </c>
      <c r="AN60" s="12" t="n">
        <v>1275338</v>
      </c>
      <c r="AO60" s="12" t="n">
        <v>2978634</v>
      </c>
      <c r="AP60" s="17" t="n">
        <v>0.417</v>
      </c>
      <c r="AQ60" s="16" t="n">
        <v>22</v>
      </c>
      <c r="AR60" s="16" t="n">
        <v>3</v>
      </c>
      <c r="AS60" s="13" t="n">
        <f aca="false">IFERROR(AR60/AR59-1,"")</f>
        <v>-0.25</v>
      </c>
      <c r="AT60" s="11" t="s">
        <v>145</v>
      </c>
      <c r="AU60" s="14" t="n">
        <f aca="false">IFERROR(P60/AR60,"")</f>
        <v>273933.666666667</v>
      </c>
      <c r="AV60" s="12" t="n">
        <v>1243923</v>
      </c>
      <c r="AW60" s="12" t="n">
        <v>484290</v>
      </c>
      <c r="AX60" s="12" t="n">
        <v>411029</v>
      </c>
      <c r="AY60" s="16" t="n">
        <v>37223</v>
      </c>
      <c r="AZ60" s="13" t="n">
        <f aca="false">IFERROR(AY60/AY59-1,"")</f>
        <v>-0.05340386033619</v>
      </c>
      <c r="BA60" s="17" t="n">
        <v>0.711</v>
      </c>
      <c r="BB60" s="11" t="s">
        <v>119</v>
      </c>
      <c r="BC60" s="11" t="s">
        <v>120</v>
      </c>
      <c r="BD60" s="11" t="s">
        <v>175</v>
      </c>
      <c r="BE60" s="12" t="n">
        <v>1369207</v>
      </c>
      <c r="BF60" s="13" t="n">
        <f aca="false">IFERROR(P60/BE60-1,"")</f>
        <v>-0.399797839187208</v>
      </c>
      <c r="BG60" s="17" t="n">
        <v>0.126</v>
      </c>
      <c r="BH60" s="17" t="n">
        <v>0.35</v>
      </c>
      <c r="BI60" s="14" t="n">
        <f aca="false">P60*(1+IFERROR(Q60,0))^4</f>
        <v>628699.541708518</v>
      </c>
      <c r="BJ60" s="12" t="n">
        <v>-771377</v>
      </c>
      <c r="BK60" s="11" t="s">
        <v>147</v>
      </c>
      <c r="BL60" s="11" t="s">
        <v>122</v>
      </c>
      <c r="BM60" s="14" t="n">
        <f aca="false">O60</f>
        <v>13063243</v>
      </c>
      <c r="BN60" s="11" t="s">
        <v>179</v>
      </c>
      <c r="BO60" s="13" t="n">
        <f aca="false">IFERROR(1-L60/M60,"")</f>
        <v>0.121102808554496</v>
      </c>
      <c r="BP60" s="11" t="s">
        <v>87</v>
      </c>
      <c r="BQ60" s="12" t="n">
        <v>1192722</v>
      </c>
      <c r="BR60" s="11" t="s">
        <v>88</v>
      </c>
      <c r="BS60" s="11" t="s">
        <v>89</v>
      </c>
      <c r="BT60" s="19" t="str">
        <f aca="false">IF(OR(Z60&lt;6,AH60&lt;0.9,S60&lt;0.02,AK60&lt;1),"REVIEW",IF(AND(S60&gt;0.25,AH60&gt;1.2),"ACCELERATING","STABLE"))</f>
        <v>REVIEW</v>
      </c>
    </row>
    <row r="61" customFormat="false" ht="15" hidden="false" customHeight="false" outlineLevel="0" collapsed="false">
      <c r="A61" s="11" t="s">
        <v>177</v>
      </c>
      <c r="B61" s="11" t="s">
        <v>93</v>
      </c>
      <c r="C61" s="11" t="s">
        <v>74</v>
      </c>
      <c r="D61" s="11" t="s">
        <v>75</v>
      </c>
      <c r="E61" s="11" t="s">
        <v>105</v>
      </c>
      <c r="F61" s="11" t="s">
        <v>178</v>
      </c>
      <c r="G61" s="11" t="s">
        <v>78</v>
      </c>
      <c r="H61" s="11" t="s">
        <v>79</v>
      </c>
      <c r="I61" s="11" t="s">
        <v>78</v>
      </c>
      <c r="J61" s="12" t="n">
        <v>2350000</v>
      </c>
      <c r="K61" s="13" t="n">
        <f aca="false">IFERROR(J61/M61,"")</f>
        <v>0.121102808554496</v>
      </c>
      <c r="L61" s="12" t="n">
        <v>17055000</v>
      </c>
      <c r="M61" s="14" t="n">
        <f aca="false">L61+J61</f>
        <v>19405000</v>
      </c>
      <c r="N61" s="12" t="n">
        <v>7293000</v>
      </c>
      <c r="O61" s="12" t="n">
        <v>13063243</v>
      </c>
      <c r="P61" s="12" t="n">
        <v>773573</v>
      </c>
      <c r="Q61" s="13" t="n">
        <f aca="false">IFERROR(P61/P60-1,"")</f>
        <v>-0.0586857402217812</v>
      </c>
      <c r="R61" s="12" t="n">
        <v>948279</v>
      </c>
      <c r="S61" s="13" t="n">
        <f aca="false">IFERROR(R61/R60-1,"")</f>
        <v>-0.0854901892709798</v>
      </c>
      <c r="T61" s="12" t="n">
        <v>494787</v>
      </c>
      <c r="U61" s="13" t="n">
        <f aca="false">IFERROR(T61/P61,"")</f>
        <v>0.639612551110238</v>
      </c>
      <c r="V61" s="14" t="n">
        <f aca="false">T61-AV61</f>
        <v>-930984</v>
      </c>
      <c r="W61" s="14" t="n">
        <f aca="false">V61-AA61*0.1</f>
        <v>-930984</v>
      </c>
      <c r="X61" s="12" t="n">
        <v>344100</v>
      </c>
      <c r="Y61" s="12" t="n">
        <v>82000</v>
      </c>
      <c r="Z61" s="15" t="n">
        <f aca="false">IFERROR(X61/Y61,"")</f>
        <v>4.19634146341463</v>
      </c>
      <c r="AA61" s="12" t="n">
        <v>0</v>
      </c>
      <c r="AB61" s="14" t="n">
        <f aca="false">W61-0.02*P61</f>
        <v>-946455.46</v>
      </c>
      <c r="AC61" s="16" t="n">
        <v>76</v>
      </c>
      <c r="AD61" s="13" t="n">
        <f aca="false">IFERROR(AC61/AC60-1,"")</f>
        <v>-0.073170731707317</v>
      </c>
      <c r="AE61" s="17" t="n">
        <v>0.364</v>
      </c>
      <c r="AF61" s="17" t="n">
        <v>0.391</v>
      </c>
      <c r="AG61" s="13" t="n">
        <f aca="false">1-AF61</f>
        <v>0.609</v>
      </c>
      <c r="AH61" s="17" t="n">
        <v>0.75</v>
      </c>
      <c r="AI61" s="12" t="n">
        <v>59900</v>
      </c>
      <c r="AJ61" s="14" t="n">
        <f aca="false">IFERROR(AM61*U61*MIN(1/AE61,5),"")</f>
        <v>31664.3356346332</v>
      </c>
      <c r="AK61" s="18" t="n">
        <f aca="false">IFERROR(AJ61/AI61,"")</f>
        <v>0.528619960511406</v>
      </c>
      <c r="AL61" s="15" t="n">
        <f aca="false">IFERROR(AI61/(AM61*U61/12),"")</f>
        <v>62.3643362523418</v>
      </c>
      <c r="AM61" s="12" t="n">
        <v>18020</v>
      </c>
      <c r="AN61" s="12" t="n">
        <v>1217948</v>
      </c>
      <c r="AO61" s="12" t="n">
        <v>3641073</v>
      </c>
      <c r="AP61" s="17" t="n">
        <v>0.417</v>
      </c>
      <c r="AQ61" s="16" t="n">
        <v>22</v>
      </c>
      <c r="AR61" s="16" t="n">
        <v>3</v>
      </c>
      <c r="AS61" s="13" t="n">
        <f aca="false">IFERROR(AR61/AR60-1,"")</f>
        <v>0</v>
      </c>
      <c r="AT61" s="11" t="s">
        <v>145</v>
      </c>
      <c r="AU61" s="14" t="n">
        <f aca="false">IFERROR(P61/AR61,"")</f>
        <v>257857.666666667</v>
      </c>
      <c r="AV61" s="12" t="n">
        <v>1425771</v>
      </c>
      <c r="AW61" s="12" t="n">
        <v>528028</v>
      </c>
      <c r="AX61" s="12" t="n">
        <v>438394</v>
      </c>
      <c r="AY61" s="16" t="n">
        <v>35050</v>
      </c>
      <c r="AZ61" s="13" t="n">
        <f aca="false">IFERROR(AY61/AY60-1,"")</f>
        <v>-0.0583778846412164</v>
      </c>
      <c r="BA61" s="17" t="n">
        <v>0.682</v>
      </c>
      <c r="BB61" s="11" t="s">
        <v>119</v>
      </c>
      <c r="BC61" s="11" t="s">
        <v>120</v>
      </c>
      <c r="BD61" s="11" t="s">
        <v>175</v>
      </c>
      <c r="BE61" s="12" t="n">
        <v>1012381</v>
      </c>
      <c r="BF61" s="13" t="n">
        <f aca="false">IFERROR(P61/BE61-1,"")</f>
        <v>-0.235887477145462</v>
      </c>
      <c r="BG61" s="17" t="n">
        <v>0.182</v>
      </c>
      <c r="BH61" s="17" t="n">
        <v>0.268</v>
      </c>
      <c r="BI61" s="14" t="n">
        <f aca="false">P61*(1+IFERROR(Q61,0))^4</f>
        <v>607351.1445856</v>
      </c>
      <c r="BJ61" s="12" t="n">
        <v>-633233</v>
      </c>
      <c r="BK61" s="11" t="s">
        <v>147</v>
      </c>
      <c r="BL61" s="11" t="s">
        <v>122</v>
      </c>
      <c r="BM61" s="14" t="n">
        <f aca="false">O61</f>
        <v>13063243</v>
      </c>
      <c r="BN61" s="11" t="s">
        <v>179</v>
      </c>
      <c r="BO61" s="13" t="n">
        <f aca="false">IFERROR(1-L61/M61,"")</f>
        <v>0.121102808554496</v>
      </c>
      <c r="BP61" s="11" t="s">
        <v>87</v>
      </c>
      <c r="BQ61" s="12" t="n">
        <v>1320580</v>
      </c>
      <c r="BR61" s="11" t="s">
        <v>88</v>
      </c>
      <c r="BS61" s="11" t="s">
        <v>89</v>
      </c>
      <c r="BT61" s="19" t="str">
        <f aca="false">IF(OR(Z61&lt;6,AH61&lt;0.9,S61&lt;0.02,AK61&lt;1),"REVIEW",IF(AND(S61&gt;0.25,AH61&gt;1.2),"ACCELERATING","STABLE"))</f>
        <v>REVIEW</v>
      </c>
    </row>
    <row r="62" customFormat="false" ht="15" hidden="false" customHeight="false" outlineLevel="0" collapsed="false">
      <c r="A62" s="3" t="s">
        <v>180</v>
      </c>
      <c r="B62" s="3" t="s">
        <v>73</v>
      </c>
      <c r="C62" s="3" t="s">
        <v>74</v>
      </c>
      <c r="D62" s="3" t="s">
        <v>75</v>
      </c>
      <c r="E62" s="3" t="s">
        <v>105</v>
      </c>
      <c r="F62" s="3" t="s">
        <v>181</v>
      </c>
      <c r="G62" s="3" t="s">
        <v>78</v>
      </c>
      <c r="H62" s="3" t="s">
        <v>79</v>
      </c>
      <c r="I62" s="3" t="s">
        <v>78</v>
      </c>
      <c r="J62" s="4" t="n">
        <v>3911000</v>
      </c>
      <c r="K62" s="5" t="n">
        <f aca="false">IFERROR(J62/M62,"")</f>
        <v>0.132155166587822</v>
      </c>
      <c r="L62" s="4" t="n">
        <v>25683000</v>
      </c>
      <c r="M62" s="6" t="n">
        <f aca="false">L62+J62</f>
        <v>29594000</v>
      </c>
      <c r="N62" s="4" t="n">
        <v>5079000</v>
      </c>
      <c r="O62" s="4" t="n">
        <v>22607113</v>
      </c>
      <c r="P62" s="4" t="n">
        <v>1517718</v>
      </c>
      <c r="Q62" s="7"/>
      <c r="R62" s="4" t="n">
        <v>1647828</v>
      </c>
      <c r="S62" s="7"/>
      <c r="T62" s="4" t="n">
        <v>835382</v>
      </c>
      <c r="U62" s="5" t="n">
        <f aca="false">IFERROR(T62/P62,"")</f>
        <v>0.550419774951605</v>
      </c>
      <c r="V62" s="6" t="n">
        <f aca="false">T62-AV62</f>
        <v>-1941589</v>
      </c>
      <c r="W62" s="6" t="n">
        <f aca="false">V62-AA62*0.1</f>
        <v>-1941589</v>
      </c>
      <c r="X62" s="4" t="n">
        <v>2260966</v>
      </c>
      <c r="Y62" s="4" t="n">
        <v>164820</v>
      </c>
      <c r="Z62" s="8" t="n">
        <f aca="false">IFERROR(X62/Y62,"")</f>
        <v>13.7177891032642</v>
      </c>
      <c r="AA62" s="4" t="n">
        <v>0</v>
      </c>
      <c r="AB62" s="6" t="n">
        <f aca="false">W62-0.02*P62</f>
        <v>-1971943.36</v>
      </c>
      <c r="AC62" s="9" t="n">
        <v>76</v>
      </c>
      <c r="AD62" s="7"/>
      <c r="AE62" s="7" t="n">
        <v>0.237</v>
      </c>
      <c r="AF62" s="7" t="n">
        <v>0.247</v>
      </c>
      <c r="AG62" s="5" t="n">
        <f aca="false">1-AF62</f>
        <v>0.753</v>
      </c>
      <c r="AH62" s="7" t="n">
        <v>0.9</v>
      </c>
      <c r="AI62" s="4" t="n">
        <v>51680</v>
      </c>
      <c r="AJ62" s="6" t="n">
        <f aca="false">IFERROR(AM62*U62*MIN(1/AE62,5),"")</f>
        <v>67350.9429265677</v>
      </c>
      <c r="AK62" s="10" t="n">
        <f aca="false">IFERROR(AJ62/AI62,"")</f>
        <v>1.30323031978653</v>
      </c>
      <c r="AL62" s="8" t="n">
        <f aca="false">IFERROR(AI62/(AM62*U62/12),"")</f>
        <v>38.8518519126373</v>
      </c>
      <c r="AM62" s="4" t="n">
        <v>29000</v>
      </c>
      <c r="AN62" s="4" t="n">
        <v>2377139</v>
      </c>
      <c r="AO62" s="4" t="n">
        <v>5092346</v>
      </c>
      <c r="AP62" s="7" t="n">
        <v>0.202</v>
      </c>
      <c r="AQ62" s="9" t="n">
        <v>58</v>
      </c>
      <c r="AR62" s="9" t="n">
        <v>2</v>
      </c>
      <c r="AS62" s="7"/>
      <c r="AT62" s="3" t="s">
        <v>170</v>
      </c>
      <c r="AU62" s="6" t="n">
        <f aca="false">IFERROR(P62/AR62,"")</f>
        <v>758859</v>
      </c>
      <c r="AV62" s="4" t="n">
        <v>2776971</v>
      </c>
      <c r="AW62" s="4" t="n">
        <v>1214611</v>
      </c>
      <c r="AX62" s="4" t="n">
        <v>935463</v>
      </c>
      <c r="AY62" s="9" t="n">
        <v>33392</v>
      </c>
      <c r="AZ62" s="7"/>
      <c r="BA62" s="7" t="n">
        <v>0.803</v>
      </c>
      <c r="BB62" s="3" t="s">
        <v>171</v>
      </c>
      <c r="BC62" s="3" t="s">
        <v>120</v>
      </c>
      <c r="BD62" s="3" t="s">
        <v>157</v>
      </c>
      <c r="BE62" s="4" t="n">
        <v>2418023</v>
      </c>
      <c r="BF62" s="5" t="n">
        <f aca="false">IFERROR(P62/BE62-1,"")</f>
        <v>-0.372331032417806</v>
      </c>
      <c r="BG62" s="7" t="n">
        <v>0.167</v>
      </c>
      <c r="BH62" s="7" t="n">
        <v>0.244</v>
      </c>
      <c r="BI62" s="6" t="n">
        <f aca="false">P62</f>
        <v>1517718</v>
      </c>
      <c r="BJ62" s="4" t="n">
        <v>-1923642</v>
      </c>
      <c r="BK62" s="3" t="s">
        <v>139</v>
      </c>
      <c r="BL62" s="3" t="s">
        <v>122</v>
      </c>
      <c r="BM62" s="6" t="n">
        <f aca="false">O62</f>
        <v>22607113</v>
      </c>
      <c r="BN62" s="3" t="s">
        <v>182</v>
      </c>
      <c r="BO62" s="5" t="n">
        <f aca="false">IFERROR(1-L62/M62,"")</f>
        <v>0.132155166587822</v>
      </c>
      <c r="BP62" s="3" t="s">
        <v>87</v>
      </c>
      <c r="BQ62" s="4" t="n">
        <v>2838413</v>
      </c>
      <c r="BR62" s="3" t="s">
        <v>88</v>
      </c>
      <c r="BS62" s="3" t="s">
        <v>89</v>
      </c>
      <c r="BT62" s="3" t="s">
        <v>90</v>
      </c>
    </row>
    <row r="63" customFormat="false" ht="15" hidden="false" customHeight="false" outlineLevel="0" collapsed="false">
      <c r="A63" s="11" t="s">
        <v>180</v>
      </c>
      <c r="B63" s="11" t="s">
        <v>91</v>
      </c>
      <c r="C63" s="11" t="s">
        <v>74</v>
      </c>
      <c r="D63" s="11" t="s">
        <v>75</v>
      </c>
      <c r="E63" s="11" t="s">
        <v>105</v>
      </c>
      <c r="F63" s="11" t="s">
        <v>181</v>
      </c>
      <c r="G63" s="11" t="s">
        <v>78</v>
      </c>
      <c r="H63" s="11" t="s">
        <v>79</v>
      </c>
      <c r="I63" s="11" t="s">
        <v>78</v>
      </c>
      <c r="J63" s="12" t="n">
        <v>3911000</v>
      </c>
      <c r="K63" s="13" t="n">
        <f aca="false">IFERROR(J63/M63,"")</f>
        <v>0.132155166587822</v>
      </c>
      <c r="L63" s="12" t="n">
        <v>25683000</v>
      </c>
      <c r="M63" s="14" t="n">
        <f aca="false">L63+J63</f>
        <v>29594000</v>
      </c>
      <c r="N63" s="12" t="n">
        <v>5079000</v>
      </c>
      <c r="O63" s="12" t="n">
        <v>22607113</v>
      </c>
      <c r="P63" s="12" t="n">
        <v>1397655</v>
      </c>
      <c r="Q63" s="13" t="n">
        <f aca="false">IFERROR(P63/P62-1,"")</f>
        <v>-0.0791075812502718</v>
      </c>
      <c r="R63" s="12" t="n">
        <v>1532168</v>
      </c>
      <c r="S63" s="13" t="n">
        <f aca="false">IFERROR(R63/R62-1,"")</f>
        <v>-0.0701893644239569</v>
      </c>
      <c r="T63" s="12" t="n">
        <v>754782</v>
      </c>
      <c r="U63" s="13" t="n">
        <f aca="false">IFERROR(T63/P63,"")</f>
        <v>0.540034557884456</v>
      </c>
      <c r="V63" s="14" t="n">
        <f aca="false">T63-AV63</f>
        <v>-1705975</v>
      </c>
      <c r="W63" s="14" t="n">
        <f aca="false">V63-AA63*0.1</f>
        <v>-1705975</v>
      </c>
      <c r="X63" s="12" t="n">
        <v>1796656</v>
      </c>
      <c r="Y63" s="12" t="n">
        <v>176880</v>
      </c>
      <c r="Z63" s="15" t="n">
        <f aca="false">IFERROR(X63/Y63,"")</f>
        <v>10.1574853007689</v>
      </c>
      <c r="AA63" s="12" t="n">
        <v>0</v>
      </c>
      <c r="AB63" s="14" t="n">
        <f aca="false">W63-0.02*P63</f>
        <v>-1733928.1</v>
      </c>
      <c r="AC63" s="16" t="n">
        <v>72</v>
      </c>
      <c r="AD63" s="13" t="n">
        <f aca="false">IFERROR(AC63/AC62-1,"")</f>
        <v>-0.0526315789473685</v>
      </c>
      <c r="AE63" s="17" t="n">
        <v>0.282</v>
      </c>
      <c r="AF63" s="17" t="n">
        <v>0.269</v>
      </c>
      <c r="AG63" s="13" t="n">
        <f aca="false">1-AF63</f>
        <v>0.731</v>
      </c>
      <c r="AH63" s="17" t="n">
        <v>0.86</v>
      </c>
      <c r="AI63" s="12" t="n">
        <v>57120</v>
      </c>
      <c r="AJ63" s="14" t="n">
        <f aca="false">IFERROR(AM63*U63*MIN(1/AE63,5),"")</f>
        <v>56646.1780929866</v>
      </c>
      <c r="AK63" s="18" t="n">
        <f aca="false">IFERROR(AJ63/AI63,"")</f>
        <v>0.991704798546684</v>
      </c>
      <c r="AL63" s="15" t="n">
        <f aca="false">IFERROR(AI63/(AM63*U63/12),"")</f>
        <v>42.9091313783318</v>
      </c>
      <c r="AM63" s="12" t="n">
        <v>29580</v>
      </c>
      <c r="AN63" s="12" t="n">
        <v>2070154</v>
      </c>
      <c r="AO63" s="12" t="n">
        <v>4419275</v>
      </c>
      <c r="AP63" s="17" t="n">
        <v>0.202</v>
      </c>
      <c r="AQ63" s="16" t="n">
        <v>58</v>
      </c>
      <c r="AR63" s="16" t="n">
        <v>2</v>
      </c>
      <c r="AS63" s="13" t="n">
        <f aca="false">IFERROR(AR63/AR62-1,"")</f>
        <v>0</v>
      </c>
      <c r="AT63" s="11" t="s">
        <v>170</v>
      </c>
      <c r="AU63" s="14" t="n">
        <f aca="false">IFERROR(P63/AR63,"")</f>
        <v>698827.5</v>
      </c>
      <c r="AV63" s="12" t="n">
        <v>2460757</v>
      </c>
      <c r="AW63" s="12" t="n">
        <v>788942</v>
      </c>
      <c r="AX63" s="12" t="n">
        <v>660443</v>
      </c>
      <c r="AY63" s="16" t="n">
        <v>30666</v>
      </c>
      <c r="AZ63" s="13" t="n">
        <f aca="false">IFERROR(AY63/AY62-1,"")</f>
        <v>-0.0816363200766651</v>
      </c>
      <c r="BA63" s="17" t="n">
        <v>0.712</v>
      </c>
      <c r="BB63" s="11" t="s">
        <v>171</v>
      </c>
      <c r="BC63" s="11" t="s">
        <v>120</v>
      </c>
      <c r="BD63" s="11" t="s">
        <v>157</v>
      </c>
      <c r="BE63" s="12" t="n">
        <v>1788541</v>
      </c>
      <c r="BF63" s="13" t="n">
        <f aca="false">IFERROR(P63/BE63-1,"")</f>
        <v>-0.218550203769441</v>
      </c>
      <c r="BG63" s="17" t="n">
        <v>0.244</v>
      </c>
      <c r="BH63" s="17" t="n">
        <v>0.186</v>
      </c>
      <c r="BI63" s="14" t="n">
        <f aca="false">P63*(1+IFERROR(Q63,0))^4</f>
        <v>1005160.86898341</v>
      </c>
      <c r="BJ63" s="12" t="n">
        <v>-1832277</v>
      </c>
      <c r="BK63" s="11" t="s">
        <v>139</v>
      </c>
      <c r="BL63" s="11" t="s">
        <v>122</v>
      </c>
      <c r="BM63" s="14" t="n">
        <f aca="false">O63</f>
        <v>22607113</v>
      </c>
      <c r="BN63" s="11" t="s">
        <v>182</v>
      </c>
      <c r="BO63" s="13" t="n">
        <f aca="false">IFERROR(1-L63/M63,"")</f>
        <v>0.132155166587822</v>
      </c>
      <c r="BP63" s="11" t="s">
        <v>87</v>
      </c>
      <c r="BQ63" s="12" t="n">
        <v>3506570</v>
      </c>
      <c r="BR63" s="11" t="s">
        <v>88</v>
      </c>
      <c r="BS63" s="11" t="s">
        <v>89</v>
      </c>
      <c r="BT63" s="19" t="str">
        <f aca="false">IF(OR(Z63&lt;6,AH63&lt;0.9,S63&lt;0.02,AK63&lt;1),"REVIEW",IF(AND(S63&gt;0.25,AH63&gt;1.2),"ACCELERATING","STABLE"))</f>
        <v>REVIEW</v>
      </c>
    </row>
    <row r="64" customFormat="false" ht="15" hidden="false" customHeight="false" outlineLevel="0" collapsed="false">
      <c r="A64" s="11" t="s">
        <v>180</v>
      </c>
      <c r="B64" s="11" t="s">
        <v>92</v>
      </c>
      <c r="C64" s="11" t="s">
        <v>74</v>
      </c>
      <c r="D64" s="11" t="s">
        <v>75</v>
      </c>
      <c r="E64" s="11" t="s">
        <v>105</v>
      </c>
      <c r="F64" s="11" t="s">
        <v>181</v>
      </c>
      <c r="G64" s="11" t="s">
        <v>78</v>
      </c>
      <c r="H64" s="11" t="s">
        <v>79</v>
      </c>
      <c r="I64" s="11" t="s">
        <v>78</v>
      </c>
      <c r="J64" s="12" t="n">
        <v>3911000</v>
      </c>
      <c r="K64" s="13" t="n">
        <f aca="false">IFERROR(J64/M64,"")</f>
        <v>0.132155166587822</v>
      </c>
      <c r="L64" s="12" t="n">
        <v>25683000</v>
      </c>
      <c r="M64" s="14" t="n">
        <f aca="false">L64+J64</f>
        <v>29594000</v>
      </c>
      <c r="N64" s="12" t="n">
        <v>5079000</v>
      </c>
      <c r="O64" s="12" t="n">
        <v>22607113</v>
      </c>
      <c r="P64" s="12" t="n">
        <v>1272691</v>
      </c>
      <c r="Q64" s="13" t="n">
        <f aca="false">IFERROR(P64/P63-1,"")</f>
        <v>-0.0894097613502617</v>
      </c>
      <c r="R64" s="12" t="n">
        <v>1399197</v>
      </c>
      <c r="S64" s="13" t="n">
        <f aca="false">IFERROR(R64/R63-1,"")</f>
        <v>-0.0867861748842164</v>
      </c>
      <c r="T64" s="12" t="n">
        <v>674080</v>
      </c>
      <c r="U64" s="13" t="n">
        <f aca="false">IFERROR(T64/P64,"")</f>
        <v>0.529649380721636</v>
      </c>
      <c r="V64" s="14" t="n">
        <f aca="false">T64-AV64</f>
        <v>-2173697</v>
      </c>
      <c r="W64" s="14" t="n">
        <f aca="false">V64-AA64*0.1</f>
        <v>-2173697</v>
      </c>
      <c r="X64" s="12" t="n">
        <v>1252750</v>
      </c>
      <c r="Y64" s="12" t="n">
        <v>188940</v>
      </c>
      <c r="Z64" s="15" t="n">
        <f aca="false">IFERROR(X64/Y64,"")</f>
        <v>6.63041177093257</v>
      </c>
      <c r="AA64" s="12" t="n">
        <v>0</v>
      </c>
      <c r="AB64" s="14" t="n">
        <f aca="false">W64-0.02*P64</f>
        <v>-2199150.82</v>
      </c>
      <c r="AC64" s="16" t="n">
        <v>67</v>
      </c>
      <c r="AD64" s="13" t="n">
        <f aca="false">IFERROR(AC64/AC63-1,"")</f>
        <v>-0.0694444444444444</v>
      </c>
      <c r="AE64" s="17" t="n">
        <v>0.326</v>
      </c>
      <c r="AF64" s="17" t="n">
        <v>0.228</v>
      </c>
      <c r="AG64" s="13" t="n">
        <f aca="false">1-AF64</f>
        <v>0.772</v>
      </c>
      <c r="AH64" s="17" t="n">
        <v>0.82</v>
      </c>
      <c r="AI64" s="12" t="n">
        <v>62560</v>
      </c>
      <c r="AJ64" s="14" t="n">
        <f aca="false">IFERROR(AM64*U64*MIN(1/AE64,5),"")</f>
        <v>49000.6911735109</v>
      </c>
      <c r="AK64" s="18" t="n">
        <f aca="false">IFERROR(AJ64/AI64,"")</f>
        <v>0.783259130011363</v>
      </c>
      <c r="AL64" s="15" t="n">
        <f aca="false">IFERROR(AI64/(AM64*U64/12),"")</f>
        <v>46.9957061980066</v>
      </c>
      <c r="AM64" s="12" t="n">
        <v>30160</v>
      </c>
      <c r="AN64" s="12" t="n">
        <v>1431716</v>
      </c>
      <c r="AO64" s="12" t="n">
        <v>2428571</v>
      </c>
      <c r="AP64" s="17" t="n">
        <v>0.202</v>
      </c>
      <c r="AQ64" s="16" t="n">
        <v>58</v>
      </c>
      <c r="AR64" s="16" t="n">
        <v>2</v>
      </c>
      <c r="AS64" s="13" t="n">
        <f aca="false">IFERROR(AR64/AR63-1,"")</f>
        <v>0</v>
      </c>
      <c r="AT64" s="11" t="s">
        <v>170</v>
      </c>
      <c r="AU64" s="14" t="n">
        <f aca="false">IFERROR(P64/AR64,"")</f>
        <v>636345.5</v>
      </c>
      <c r="AV64" s="12" t="n">
        <v>2847777</v>
      </c>
      <c r="AW64" s="12" t="n">
        <v>1086693</v>
      </c>
      <c r="AX64" s="12" t="n">
        <v>828367</v>
      </c>
      <c r="AY64" s="16" t="n">
        <v>28205</v>
      </c>
      <c r="AZ64" s="13" t="n">
        <f aca="false">IFERROR(AY64/AY63-1,"")</f>
        <v>-0.0802517446031436</v>
      </c>
      <c r="BA64" s="17" t="n">
        <v>0.667</v>
      </c>
      <c r="BB64" s="11" t="s">
        <v>171</v>
      </c>
      <c r="BC64" s="11" t="s">
        <v>120</v>
      </c>
      <c r="BD64" s="11" t="s">
        <v>157</v>
      </c>
      <c r="BE64" s="12" t="n">
        <v>1815350</v>
      </c>
      <c r="BF64" s="13" t="n">
        <f aca="false">IFERROR(P64/BE64-1,"")</f>
        <v>-0.29892803040736</v>
      </c>
      <c r="BG64" s="17" t="n">
        <v>0.21</v>
      </c>
      <c r="BH64" s="17" t="n">
        <v>0.372</v>
      </c>
      <c r="BI64" s="14" t="n">
        <f aca="false">P64*(1+IFERROR(Q64,0))^4</f>
        <v>875013.865112423</v>
      </c>
      <c r="BJ64" s="12" t="n">
        <v>-1491162</v>
      </c>
      <c r="BK64" s="11" t="s">
        <v>139</v>
      </c>
      <c r="BL64" s="11" t="s">
        <v>122</v>
      </c>
      <c r="BM64" s="14" t="n">
        <f aca="false">O64</f>
        <v>22607113</v>
      </c>
      <c r="BN64" s="11" t="s">
        <v>182</v>
      </c>
      <c r="BO64" s="13" t="n">
        <f aca="false">IFERROR(1-L64/M64,"")</f>
        <v>0.132155166587822</v>
      </c>
      <c r="BP64" s="11" t="s">
        <v>87</v>
      </c>
      <c r="BQ64" s="12" t="n">
        <v>2367027</v>
      </c>
      <c r="BR64" s="11" t="s">
        <v>88</v>
      </c>
      <c r="BS64" s="11" t="s">
        <v>89</v>
      </c>
      <c r="BT64" s="19" t="str">
        <f aca="false">IF(OR(Z64&lt;6,AH64&lt;0.9,S64&lt;0.02,AK64&lt;1),"REVIEW",IF(AND(S64&gt;0.25,AH64&gt;1.2),"ACCELERATING","STABLE"))</f>
        <v>REVIEW</v>
      </c>
    </row>
    <row r="65" customFormat="false" ht="15" hidden="false" customHeight="false" outlineLevel="0" collapsed="false">
      <c r="A65" s="11" t="s">
        <v>180</v>
      </c>
      <c r="B65" s="11" t="s">
        <v>93</v>
      </c>
      <c r="C65" s="11" t="s">
        <v>74</v>
      </c>
      <c r="D65" s="11" t="s">
        <v>75</v>
      </c>
      <c r="E65" s="11" t="s">
        <v>105</v>
      </c>
      <c r="F65" s="11" t="s">
        <v>181</v>
      </c>
      <c r="G65" s="11" t="s">
        <v>78</v>
      </c>
      <c r="H65" s="11" t="s">
        <v>79</v>
      </c>
      <c r="I65" s="11" t="s">
        <v>78</v>
      </c>
      <c r="J65" s="12" t="n">
        <v>3911000</v>
      </c>
      <c r="K65" s="13" t="n">
        <f aca="false">IFERROR(J65/M65,"")</f>
        <v>0.132155166587822</v>
      </c>
      <c r="L65" s="12" t="n">
        <v>25683000</v>
      </c>
      <c r="M65" s="14" t="n">
        <f aca="false">L65+J65</f>
        <v>29594000</v>
      </c>
      <c r="N65" s="12" t="n">
        <v>5079000</v>
      </c>
      <c r="O65" s="12" t="n">
        <v>22607113</v>
      </c>
      <c r="P65" s="12" t="n">
        <v>1161019</v>
      </c>
      <c r="Q65" s="13" t="n">
        <f aca="false">IFERROR(P65/P64-1,"")</f>
        <v>-0.0877447864406993</v>
      </c>
      <c r="R65" s="12" t="n">
        <v>1283994</v>
      </c>
      <c r="S65" s="13" t="n">
        <f aca="false">IFERROR(R65/R64-1,"")</f>
        <v>-0.0823350821935724</v>
      </c>
      <c r="T65" s="12" t="n">
        <v>602875</v>
      </c>
      <c r="U65" s="13" t="n">
        <f aca="false">IFERROR(T65/P65,"")</f>
        <v>0.519263681300651</v>
      </c>
      <c r="V65" s="14" t="n">
        <f aca="false">T65-AV65</f>
        <v>-1955551</v>
      </c>
      <c r="W65" s="14" t="n">
        <f aca="false">V65-AA65*0.1</f>
        <v>-1955551</v>
      </c>
      <c r="X65" s="12" t="n">
        <v>629248</v>
      </c>
      <c r="Y65" s="12" t="n">
        <v>201000</v>
      </c>
      <c r="Z65" s="15" t="n">
        <f aca="false">IFERROR(X65/Y65,"")</f>
        <v>3.13058706467662</v>
      </c>
      <c r="AA65" s="12" t="n">
        <v>0</v>
      </c>
      <c r="AB65" s="14" t="n">
        <f aca="false">W65-0.02*P65</f>
        <v>-1978771.38</v>
      </c>
      <c r="AC65" s="16" t="n">
        <v>62</v>
      </c>
      <c r="AD65" s="13" t="n">
        <f aca="false">IFERROR(AC65/AC64-1,"")</f>
        <v>-0.0746268656716418</v>
      </c>
      <c r="AE65" s="17" t="n">
        <v>0.371</v>
      </c>
      <c r="AF65" s="17" t="n">
        <v>0.263</v>
      </c>
      <c r="AG65" s="13" t="n">
        <f aca="false">1-AF65</f>
        <v>0.737</v>
      </c>
      <c r="AH65" s="17" t="n">
        <v>0.78</v>
      </c>
      <c r="AI65" s="12" t="n">
        <v>68000</v>
      </c>
      <c r="AJ65" s="14" t="n">
        <f aca="false">IFERROR(AM65*U65*MIN(1/AE65,5),"")</f>
        <v>43024.7050220539</v>
      </c>
      <c r="AK65" s="18" t="n">
        <f aca="false">IFERROR(AJ65/AI65,"")</f>
        <v>0.632716250324322</v>
      </c>
      <c r="AL65" s="15" t="n">
        <f aca="false">IFERROR(AI65/(AM65*U65/12),"")</f>
        <v>51.1208831138908</v>
      </c>
      <c r="AM65" s="12" t="n">
        <v>30740</v>
      </c>
      <c r="AN65" s="12" t="n">
        <v>1876775</v>
      </c>
      <c r="AO65" s="12" t="n">
        <v>1955394</v>
      </c>
      <c r="AP65" s="17" t="n">
        <v>0.202</v>
      </c>
      <c r="AQ65" s="16" t="n">
        <v>58</v>
      </c>
      <c r="AR65" s="16" t="n">
        <v>2</v>
      </c>
      <c r="AS65" s="13" t="n">
        <f aca="false">IFERROR(AR65/AR64-1,"")</f>
        <v>0</v>
      </c>
      <c r="AT65" s="11" t="s">
        <v>170</v>
      </c>
      <c r="AU65" s="14" t="n">
        <f aca="false">IFERROR(P65/AR65,"")</f>
        <v>580509.5</v>
      </c>
      <c r="AV65" s="12" t="n">
        <v>2558426</v>
      </c>
      <c r="AW65" s="12" t="n">
        <v>852653</v>
      </c>
      <c r="AX65" s="12" t="n">
        <v>707214</v>
      </c>
      <c r="AY65" s="16" t="n">
        <v>26096</v>
      </c>
      <c r="AZ65" s="13" t="n">
        <f aca="false">IFERROR(AY65/AY64-1,"")</f>
        <v>-0.0747739762453465</v>
      </c>
      <c r="BA65" s="17" t="n">
        <v>0.726</v>
      </c>
      <c r="BB65" s="11" t="s">
        <v>171</v>
      </c>
      <c r="BC65" s="11" t="s">
        <v>120</v>
      </c>
      <c r="BD65" s="11" t="s">
        <v>157</v>
      </c>
      <c r="BE65" s="12" t="n">
        <v>1615318</v>
      </c>
      <c r="BF65" s="13" t="n">
        <f aca="false">IFERROR(P65/BE65-1,"")</f>
        <v>-0.281244312265449</v>
      </c>
      <c r="BG65" s="17" t="n">
        <v>0.257</v>
      </c>
      <c r="BH65" s="17" t="n">
        <v>0.219</v>
      </c>
      <c r="BI65" s="14" t="n">
        <f aca="false">P65*(1+IFERROR(Q65,0))^4</f>
        <v>804090.152011442</v>
      </c>
      <c r="BJ65" s="12" t="n">
        <v>-2342497</v>
      </c>
      <c r="BK65" s="11" t="s">
        <v>139</v>
      </c>
      <c r="BL65" s="11" t="s">
        <v>122</v>
      </c>
      <c r="BM65" s="14" t="n">
        <f aca="false">O65</f>
        <v>22607113</v>
      </c>
      <c r="BN65" s="11" t="s">
        <v>182</v>
      </c>
      <c r="BO65" s="13" t="n">
        <f aca="false">IFERROR(1-L65/M65,"")</f>
        <v>0.132155166587822</v>
      </c>
      <c r="BP65" s="11" t="s">
        <v>87</v>
      </c>
      <c r="BQ65" s="12" t="n">
        <v>3216182</v>
      </c>
      <c r="BR65" s="11" t="s">
        <v>88</v>
      </c>
      <c r="BS65" s="11" t="s">
        <v>89</v>
      </c>
      <c r="BT65" s="19" t="str">
        <f aca="false">IF(OR(Z65&lt;6,AH65&lt;0.9,S65&lt;0.02,AK65&lt;1),"REVIEW",IF(AND(S65&gt;0.25,AH65&gt;1.2),"ACCELERATING","STABLE"))</f>
        <v>REVIEW</v>
      </c>
    </row>
    <row r="66" customFormat="false" ht="15" hidden="false" customHeight="false" outlineLevel="0" collapsed="false">
      <c r="A66" s="3" t="s">
        <v>183</v>
      </c>
      <c r="B66" s="3" t="s">
        <v>73</v>
      </c>
      <c r="C66" s="3" t="s">
        <v>74</v>
      </c>
      <c r="D66" s="3" t="s">
        <v>151</v>
      </c>
      <c r="E66" s="3" t="s">
        <v>105</v>
      </c>
      <c r="F66" s="3" t="s">
        <v>184</v>
      </c>
      <c r="G66" s="3" t="s">
        <v>78</v>
      </c>
      <c r="H66" s="3" t="s">
        <v>79</v>
      </c>
      <c r="I66" s="3" t="s">
        <v>78</v>
      </c>
      <c r="J66" s="4" t="n">
        <v>2102000</v>
      </c>
      <c r="K66" s="5" t="n">
        <f aca="false">IFERROR(J66/M66,"")</f>
        <v>0.171354039292411</v>
      </c>
      <c r="L66" s="4" t="n">
        <v>10165000</v>
      </c>
      <c r="M66" s="6" t="n">
        <f aca="false">L66+J66</f>
        <v>12267000</v>
      </c>
      <c r="N66" s="4" t="n">
        <v>2102000</v>
      </c>
      <c r="O66" s="4" t="n">
        <v>7072219</v>
      </c>
      <c r="P66" s="4" t="n">
        <v>769914</v>
      </c>
      <c r="Q66" s="7"/>
      <c r="R66" s="4" t="n">
        <v>861972</v>
      </c>
      <c r="S66" s="7"/>
      <c r="T66" s="4" t="n">
        <v>526100</v>
      </c>
      <c r="U66" s="5" t="n">
        <f aca="false">IFERROR(T66/P66,"")</f>
        <v>0.683323072447053</v>
      </c>
      <c r="V66" s="6" t="n">
        <f aca="false">T66-AV66</f>
        <v>-737271</v>
      </c>
      <c r="W66" s="6" t="n">
        <f aca="false">V66-AA66*0.1</f>
        <v>-747771</v>
      </c>
      <c r="X66" s="4" t="n">
        <v>1110073</v>
      </c>
      <c r="Y66" s="4" t="n">
        <v>71340</v>
      </c>
      <c r="Z66" s="8" t="n">
        <f aca="false">IFERROR(X66/Y66,"")</f>
        <v>15.5603167928231</v>
      </c>
      <c r="AA66" s="4" t="n">
        <v>105000</v>
      </c>
      <c r="AB66" s="6" t="n">
        <f aca="false">W66-0.02*P66</f>
        <v>-763169.28</v>
      </c>
      <c r="AC66" s="9" t="n">
        <v>45</v>
      </c>
      <c r="AD66" s="7"/>
      <c r="AE66" s="7" t="n">
        <v>0.225</v>
      </c>
      <c r="AF66" s="7" t="n">
        <v>0.206</v>
      </c>
      <c r="AG66" s="5" t="n">
        <f aca="false">1-AF66</f>
        <v>0.794</v>
      </c>
      <c r="AH66" s="7" t="n">
        <v>0.866</v>
      </c>
      <c r="AI66" s="4" t="n">
        <v>29336</v>
      </c>
      <c r="AJ66" s="6" t="n">
        <f aca="false">IFERROR(AM66*U66*MIN(1/AE66,5),"")</f>
        <v>42517.8800633722</v>
      </c>
      <c r="AK66" s="10" t="n">
        <f aca="false">IFERROR(AJ66/AI66,"")</f>
        <v>1.44934142566717</v>
      </c>
      <c r="AL66" s="8" t="n">
        <f aca="false">IFERROR(AI66/(AM66*U66/12),"")</f>
        <v>36.7983225959215</v>
      </c>
      <c r="AM66" s="4" t="n">
        <v>14000</v>
      </c>
      <c r="AN66" s="4" t="n">
        <v>897803</v>
      </c>
      <c r="AO66" s="4" t="n">
        <v>1349459</v>
      </c>
      <c r="AP66" s="7" t="n">
        <v>0.191</v>
      </c>
      <c r="AQ66" s="9" t="n">
        <v>81</v>
      </c>
      <c r="AR66" s="9" t="n">
        <v>5</v>
      </c>
      <c r="AS66" s="7"/>
      <c r="AT66" s="3" t="s">
        <v>118</v>
      </c>
      <c r="AU66" s="6" t="n">
        <f aca="false">IFERROR(P66/AR66,"")</f>
        <v>153982.8</v>
      </c>
      <c r="AV66" s="4" t="n">
        <v>1263371</v>
      </c>
      <c r="AW66" s="4" t="n">
        <v>584917</v>
      </c>
      <c r="AX66" s="4" t="n">
        <v>357294</v>
      </c>
      <c r="AY66" s="9" t="n">
        <v>27564</v>
      </c>
      <c r="AZ66" s="7"/>
      <c r="BA66" s="7" t="n">
        <v>0.821</v>
      </c>
      <c r="BB66" s="3" t="s">
        <v>138</v>
      </c>
      <c r="BC66" s="3" t="s">
        <v>120</v>
      </c>
      <c r="BD66" s="3" t="s">
        <v>83</v>
      </c>
      <c r="BE66" s="4" t="n">
        <v>1130212</v>
      </c>
      <c r="BF66" s="5" t="n">
        <f aca="false">IFERROR(P66/BE66-1,"")</f>
        <v>-0.318787979600287</v>
      </c>
      <c r="BG66" s="7" t="n">
        <v>0.237</v>
      </c>
      <c r="BH66" s="7" t="n">
        <v>0.297</v>
      </c>
      <c r="BI66" s="6" t="n">
        <f aca="false">P66</f>
        <v>769914</v>
      </c>
      <c r="BJ66" s="4" t="n">
        <v>-453540</v>
      </c>
      <c r="BK66" s="3" t="s">
        <v>139</v>
      </c>
      <c r="BL66" s="3" t="s">
        <v>148</v>
      </c>
      <c r="BM66" s="6" t="n">
        <f aca="false">O66</f>
        <v>7072219</v>
      </c>
      <c r="BN66" s="3" t="s">
        <v>185</v>
      </c>
      <c r="BO66" s="5" t="n">
        <f aca="false">IFERROR(1-L66/M66,"")</f>
        <v>0.171354039292411</v>
      </c>
      <c r="BP66" s="3" t="s">
        <v>87</v>
      </c>
      <c r="BQ66" s="4" t="n">
        <v>1399201</v>
      </c>
      <c r="BR66" s="3" t="s">
        <v>88</v>
      </c>
      <c r="BS66" s="3" t="s">
        <v>89</v>
      </c>
      <c r="BT66" s="3" t="s">
        <v>90</v>
      </c>
    </row>
    <row r="67" customFormat="false" ht="15" hidden="false" customHeight="false" outlineLevel="0" collapsed="false">
      <c r="A67" s="11" t="s">
        <v>183</v>
      </c>
      <c r="B67" s="11" t="s">
        <v>91</v>
      </c>
      <c r="C67" s="11" t="s">
        <v>74</v>
      </c>
      <c r="D67" s="11" t="s">
        <v>151</v>
      </c>
      <c r="E67" s="11" t="s">
        <v>105</v>
      </c>
      <c r="F67" s="11" t="s">
        <v>184</v>
      </c>
      <c r="G67" s="11" t="s">
        <v>78</v>
      </c>
      <c r="H67" s="11" t="s">
        <v>79</v>
      </c>
      <c r="I67" s="11" t="s">
        <v>78</v>
      </c>
      <c r="J67" s="12" t="n">
        <v>2102000</v>
      </c>
      <c r="K67" s="13" t="n">
        <f aca="false">IFERROR(J67/M67,"")</f>
        <v>0.171354039292411</v>
      </c>
      <c r="L67" s="12" t="n">
        <v>10165000</v>
      </c>
      <c r="M67" s="14" t="n">
        <f aca="false">L67+J67</f>
        <v>12267000</v>
      </c>
      <c r="N67" s="12" t="n">
        <v>2102000</v>
      </c>
      <c r="O67" s="12" t="n">
        <v>7072219</v>
      </c>
      <c r="P67" s="12" t="n">
        <v>737142</v>
      </c>
      <c r="Q67" s="13" t="n">
        <f aca="false">IFERROR(P67/P66-1,"")</f>
        <v>-0.0425657930626018</v>
      </c>
      <c r="R67" s="12" t="n">
        <v>813794</v>
      </c>
      <c r="S67" s="13" t="n">
        <f aca="false">IFERROR(R67/R66-1,"")</f>
        <v>-0.0558927668184117</v>
      </c>
      <c r="T67" s="12" t="n">
        <v>494202</v>
      </c>
      <c r="U67" s="13" t="n">
        <f aca="false">IFERROR(T67/P67,"")</f>
        <v>0.670429849337034</v>
      </c>
      <c r="V67" s="14" t="n">
        <f aca="false">T67-AV67</f>
        <v>-745549</v>
      </c>
      <c r="W67" s="14" t="n">
        <f aca="false">V67-AA67*0.1</f>
        <v>-756049</v>
      </c>
      <c r="X67" s="12" t="n">
        <v>909103</v>
      </c>
      <c r="Y67" s="12" t="n">
        <v>76560</v>
      </c>
      <c r="Z67" s="15" t="n">
        <f aca="false">IFERROR(X67/Y67,"")</f>
        <v>11.8743861024033</v>
      </c>
      <c r="AA67" s="12" t="n">
        <v>105000</v>
      </c>
      <c r="AB67" s="14" t="n">
        <f aca="false">W67-0.02*P67</f>
        <v>-770791.84</v>
      </c>
      <c r="AC67" s="16" t="n">
        <v>43</v>
      </c>
      <c r="AD67" s="13" t="n">
        <f aca="false">IFERROR(AC67/AC66-1,"")</f>
        <v>-0.0444444444444444</v>
      </c>
      <c r="AE67" s="17" t="n">
        <v>0.268</v>
      </c>
      <c r="AF67" s="17" t="n">
        <v>0.174</v>
      </c>
      <c r="AG67" s="13" t="n">
        <f aca="false">1-AF67</f>
        <v>0.826</v>
      </c>
      <c r="AH67" s="17" t="n">
        <v>0.826</v>
      </c>
      <c r="AI67" s="12" t="n">
        <v>32424</v>
      </c>
      <c r="AJ67" s="14" t="n">
        <f aca="false">IFERROR(AM67*U67*MIN(1/AE67,5),"")</f>
        <v>35722.903912436</v>
      </c>
      <c r="AK67" s="18" t="n">
        <f aca="false">IFERROR(AJ67/AI67,"")</f>
        <v>1.10174265705761</v>
      </c>
      <c r="AL67" s="15" t="n">
        <f aca="false">IFERROR(AI67/(AM67*U67/12),"")</f>
        <v>40.6411779703322</v>
      </c>
      <c r="AM67" s="12" t="n">
        <v>14280</v>
      </c>
      <c r="AN67" s="12" t="n">
        <v>787891</v>
      </c>
      <c r="AO67" s="12" t="n">
        <v>1607579</v>
      </c>
      <c r="AP67" s="17" t="n">
        <v>0.191</v>
      </c>
      <c r="AQ67" s="16" t="n">
        <v>81</v>
      </c>
      <c r="AR67" s="16" t="n">
        <v>5</v>
      </c>
      <c r="AS67" s="13" t="n">
        <f aca="false">IFERROR(AR67/AR66-1,"")</f>
        <v>0</v>
      </c>
      <c r="AT67" s="11" t="s">
        <v>118</v>
      </c>
      <c r="AU67" s="14" t="n">
        <f aca="false">IFERROR(P67/AR67,"")</f>
        <v>147428.4</v>
      </c>
      <c r="AV67" s="12" t="n">
        <v>1239751</v>
      </c>
      <c r="AW67" s="12" t="n">
        <v>608302</v>
      </c>
      <c r="AX67" s="12" t="n">
        <v>293673</v>
      </c>
      <c r="AY67" s="16" t="n">
        <v>25700</v>
      </c>
      <c r="AZ67" s="13" t="n">
        <f aca="false">IFERROR(AY67/AY66-1,"")</f>
        <v>-0.0676244376723262</v>
      </c>
      <c r="BA67" s="17" t="n">
        <v>0.725</v>
      </c>
      <c r="BB67" s="11" t="s">
        <v>138</v>
      </c>
      <c r="BC67" s="11" t="s">
        <v>120</v>
      </c>
      <c r="BD67" s="11" t="s">
        <v>83</v>
      </c>
      <c r="BE67" s="12" t="n">
        <v>1090151</v>
      </c>
      <c r="BF67" s="13" t="n">
        <f aca="false">IFERROR(P67/BE67-1,"")</f>
        <v>-0.323816608891796</v>
      </c>
      <c r="BG67" s="17" t="n">
        <v>0.135</v>
      </c>
      <c r="BH67" s="17" t="n">
        <v>0.174</v>
      </c>
      <c r="BI67" s="14" t="n">
        <f aca="false">P67*(1+IFERROR(Q67,0))^4</f>
        <v>619422.41303014</v>
      </c>
      <c r="BJ67" s="12" t="n">
        <v>-772892</v>
      </c>
      <c r="BK67" s="11" t="s">
        <v>139</v>
      </c>
      <c r="BL67" s="11" t="s">
        <v>148</v>
      </c>
      <c r="BM67" s="14" t="n">
        <f aca="false">O67</f>
        <v>7072219</v>
      </c>
      <c r="BN67" s="11" t="s">
        <v>185</v>
      </c>
      <c r="BO67" s="13" t="n">
        <f aca="false">IFERROR(1-L67/M67,"")</f>
        <v>0.171354039292411</v>
      </c>
      <c r="BP67" s="11" t="s">
        <v>87</v>
      </c>
      <c r="BQ67" s="12" t="n">
        <v>1079964</v>
      </c>
      <c r="BR67" s="11" t="s">
        <v>88</v>
      </c>
      <c r="BS67" s="11" t="s">
        <v>89</v>
      </c>
      <c r="BT67" s="19" t="str">
        <f aca="false">IF(OR(Z67&lt;6,AH67&lt;0.9,S67&lt;0.02,AK67&lt;1),"REVIEW",IF(AND(S67&gt;0.25,AH67&gt;1.2),"ACCELERATING","STABLE"))</f>
        <v>REVIEW</v>
      </c>
    </row>
    <row r="68" customFormat="false" ht="15" hidden="false" customHeight="false" outlineLevel="0" collapsed="false">
      <c r="A68" s="11" t="s">
        <v>183</v>
      </c>
      <c r="B68" s="11" t="s">
        <v>92</v>
      </c>
      <c r="C68" s="11" t="s">
        <v>74</v>
      </c>
      <c r="D68" s="11" t="s">
        <v>151</v>
      </c>
      <c r="E68" s="11" t="s">
        <v>105</v>
      </c>
      <c r="F68" s="11" t="s">
        <v>184</v>
      </c>
      <c r="G68" s="11" t="s">
        <v>78</v>
      </c>
      <c r="H68" s="11" t="s">
        <v>79</v>
      </c>
      <c r="I68" s="11" t="s">
        <v>78</v>
      </c>
      <c r="J68" s="12" t="n">
        <v>2102000</v>
      </c>
      <c r="K68" s="13" t="n">
        <f aca="false">IFERROR(J68/M68,"")</f>
        <v>0.171354039292411</v>
      </c>
      <c r="L68" s="12" t="n">
        <v>10165000</v>
      </c>
      <c r="M68" s="14" t="n">
        <f aca="false">L68+J68</f>
        <v>12267000</v>
      </c>
      <c r="N68" s="12" t="n">
        <v>2102000</v>
      </c>
      <c r="O68" s="12" t="n">
        <v>7072219</v>
      </c>
      <c r="P68" s="12" t="n">
        <v>686857</v>
      </c>
      <c r="Q68" s="13" t="n">
        <f aca="false">IFERROR(P68/P67-1,"")</f>
        <v>-0.0682161645924394</v>
      </c>
      <c r="R68" s="12" t="n">
        <v>773140</v>
      </c>
      <c r="S68" s="13" t="n">
        <f aca="false">IFERROR(R68/R67-1,"")</f>
        <v>-0.049956131404262</v>
      </c>
      <c r="T68" s="12" t="n">
        <v>451634</v>
      </c>
      <c r="U68" s="13" t="n">
        <f aca="false">IFERROR(T68/P68,"")</f>
        <v>0.657537158389592</v>
      </c>
      <c r="V68" s="14" t="n">
        <f aca="false">T68-AV68</f>
        <v>-986989</v>
      </c>
      <c r="W68" s="14" t="n">
        <f aca="false">V68-AA68*0.1</f>
        <v>-997489</v>
      </c>
      <c r="X68" s="12" t="n">
        <v>673681</v>
      </c>
      <c r="Y68" s="12" t="n">
        <v>81780</v>
      </c>
      <c r="Z68" s="15" t="n">
        <f aca="false">IFERROR(X68/Y68,"")</f>
        <v>8.23772315969675</v>
      </c>
      <c r="AA68" s="12" t="n">
        <v>105000</v>
      </c>
      <c r="AB68" s="14" t="n">
        <f aca="false">W68-0.02*P68</f>
        <v>-1011226.14</v>
      </c>
      <c r="AC68" s="16" t="n">
        <v>41</v>
      </c>
      <c r="AD68" s="13" t="n">
        <f aca="false">IFERROR(AC68/AC67-1,"")</f>
        <v>-0.0465116279069767</v>
      </c>
      <c r="AE68" s="17" t="n">
        <v>0.31</v>
      </c>
      <c r="AF68" s="17" t="n">
        <v>0.252</v>
      </c>
      <c r="AG68" s="13" t="n">
        <f aca="false">1-AF68</f>
        <v>0.748</v>
      </c>
      <c r="AH68" s="17" t="n">
        <v>0.786</v>
      </c>
      <c r="AI68" s="12" t="n">
        <v>35512</v>
      </c>
      <c r="AJ68" s="14" t="n">
        <f aca="false">IFERROR(AM68*U68*MIN(1/AE68,5),"")</f>
        <v>30883.0355682337</v>
      </c>
      <c r="AK68" s="18" t="n">
        <f aca="false">IFERROR(AJ68/AI68,"")</f>
        <v>0.869650697460964</v>
      </c>
      <c r="AL68" s="15" t="n">
        <f aca="false">IFERROR(AI68/(AM68*U68/12),"")</f>
        <v>44.5117534343062</v>
      </c>
      <c r="AM68" s="12" t="n">
        <v>14560</v>
      </c>
      <c r="AN68" s="12" t="n">
        <v>890012</v>
      </c>
      <c r="AO68" s="12" t="n">
        <v>2765545</v>
      </c>
      <c r="AP68" s="17" t="n">
        <v>0.191</v>
      </c>
      <c r="AQ68" s="16" t="n">
        <v>81</v>
      </c>
      <c r="AR68" s="16" t="n">
        <v>4</v>
      </c>
      <c r="AS68" s="13" t="n">
        <f aca="false">IFERROR(AR68/AR67-1,"")</f>
        <v>-0.2</v>
      </c>
      <c r="AT68" s="11" t="s">
        <v>118</v>
      </c>
      <c r="AU68" s="14" t="n">
        <f aca="false">IFERROR(P68/AR68,"")</f>
        <v>171714.25</v>
      </c>
      <c r="AV68" s="12" t="n">
        <v>1438623</v>
      </c>
      <c r="AW68" s="12" t="n">
        <v>708581</v>
      </c>
      <c r="AX68" s="12" t="n">
        <v>347490</v>
      </c>
      <c r="AY68" s="16" t="n">
        <v>24321</v>
      </c>
      <c r="AZ68" s="13" t="n">
        <f aca="false">IFERROR(AY68/AY67-1,"")</f>
        <v>-0.0536575875486381</v>
      </c>
      <c r="BA68" s="17" t="n">
        <v>0.748</v>
      </c>
      <c r="BB68" s="11" t="s">
        <v>138</v>
      </c>
      <c r="BC68" s="11" t="s">
        <v>120</v>
      </c>
      <c r="BD68" s="11" t="s">
        <v>83</v>
      </c>
      <c r="BE68" s="12" t="n">
        <v>922348</v>
      </c>
      <c r="BF68" s="13" t="n">
        <f aca="false">IFERROR(P68/BE68-1,"")</f>
        <v>-0.2553168652179</v>
      </c>
      <c r="BG68" s="17" t="n">
        <v>0.203</v>
      </c>
      <c r="BH68" s="17" t="n">
        <v>0.231</v>
      </c>
      <c r="BI68" s="14" t="n">
        <f aca="false">P68*(1+IFERROR(Q68,0))^4</f>
        <v>517758.23698844</v>
      </c>
      <c r="BJ68" s="12" t="n">
        <v>-670430</v>
      </c>
      <c r="BK68" s="11" t="s">
        <v>139</v>
      </c>
      <c r="BL68" s="11" t="s">
        <v>148</v>
      </c>
      <c r="BM68" s="14" t="n">
        <f aca="false">O68</f>
        <v>7072219</v>
      </c>
      <c r="BN68" s="11" t="s">
        <v>185</v>
      </c>
      <c r="BO68" s="13" t="n">
        <f aca="false">IFERROR(1-L68/M68,"")</f>
        <v>0.171354039292411</v>
      </c>
      <c r="BP68" s="11" t="s">
        <v>87</v>
      </c>
      <c r="BQ68" s="12" t="n">
        <v>1605851</v>
      </c>
      <c r="BR68" s="11" t="s">
        <v>88</v>
      </c>
      <c r="BS68" s="11" t="s">
        <v>89</v>
      </c>
      <c r="BT68" s="19" t="str">
        <f aca="false">IF(OR(Z68&lt;6,AH68&lt;0.9,S68&lt;0.02,AK68&lt;1),"REVIEW",IF(AND(S68&gt;0.25,AH68&gt;1.2),"ACCELERATING","STABLE"))</f>
        <v>REVIEW</v>
      </c>
    </row>
    <row r="69" customFormat="false" ht="15" hidden="false" customHeight="false" outlineLevel="0" collapsed="false">
      <c r="A69" s="11" t="s">
        <v>183</v>
      </c>
      <c r="B69" s="11" t="s">
        <v>93</v>
      </c>
      <c r="C69" s="11" t="s">
        <v>74</v>
      </c>
      <c r="D69" s="11" t="s">
        <v>151</v>
      </c>
      <c r="E69" s="11" t="s">
        <v>105</v>
      </c>
      <c r="F69" s="11" t="s">
        <v>184</v>
      </c>
      <c r="G69" s="11" t="s">
        <v>78</v>
      </c>
      <c r="H69" s="11" t="s">
        <v>79</v>
      </c>
      <c r="I69" s="11" t="s">
        <v>78</v>
      </c>
      <c r="J69" s="12" t="n">
        <v>2102000</v>
      </c>
      <c r="K69" s="13" t="n">
        <f aca="false">IFERROR(J69/M69,"")</f>
        <v>0.171354039292411</v>
      </c>
      <c r="L69" s="12" t="n">
        <v>10165000</v>
      </c>
      <c r="M69" s="14" t="n">
        <f aca="false">L69+J69</f>
        <v>12267000</v>
      </c>
      <c r="N69" s="12" t="n">
        <v>2102000</v>
      </c>
      <c r="O69" s="12" t="n">
        <v>7072219</v>
      </c>
      <c r="P69" s="12" t="n">
        <v>649254</v>
      </c>
      <c r="Q69" s="13" t="n">
        <f aca="false">IFERROR(P69/P68-1,"")</f>
        <v>-0.0547464756128278</v>
      </c>
      <c r="R69" s="12" t="n">
        <v>712706</v>
      </c>
      <c r="S69" s="13" t="n">
        <f aca="false">IFERROR(R69/R68-1,"")</f>
        <v>-0.0781669555319865</v>
      </c>
      <c r="T69" s="12" t="n">
        <v>418538</v>
      </c>
      <c r="U69" s="13" t="n">
        <f aca="false">IFERROR(T69/P69,"")</f>
        <v>0.644644468882749</v>
      </c>
      <c r="V69" s="14" t="n">
        <f aca="false">T69-AV69</f>
        <v>-1116503</v>
      </c>
      <c r="W69" s="14" t="n">
        <f aca="false">V69-AA69*0.1</f>
        <v>-1127003</v>
      </c>
      <c r="X69" s="12" t="n">
        <v>403807</v>
      </c>
      <c r="Y69" s="12" t="n">
        <v>87000</v>
      </c>
      <c r="Z69" s="15" t="n">
        <f aca="false">IFERROR(X69/Y69,"")</f>
        <v>4.64145977011494</v>
      </c>
      <c r="AA69" s="12" t="n">
        <v>105000</v>
      </c>
      <c r="AB69" s="14" t="n">
        <f aca="false">W69-0.02*P69</f>
        <v>-1139988.08</v>
      </c>
      <c r="AC69" s="16" t="n">
        <v>39</v>
      </c>
      <c r="AD69" s="13" t="n">
        <f aca="false">IFERROR(AC69/AC68-1,"")</f>
        <v>-0.0487804878048781</v>
      </c>
      <c r="AE69" s="17" t="n">
        <v>0.352</v>
      </c>
      <c r="AF69" s="17" t="n">
        <v>0.223</v>
      </c>
      <c r="AG69" s="13" t="n">
        <f aca="false">1-AF69</f>
        <v>0.777</v>
      </c>
      <c r="AH69" s="17" t="n">
        <v>0.746</v>
      </c>
      <c r="AI69" s="12" t="n">
        <v>38600</v>
      </c>
      <c r="AJ69" s="14" t="n">
        <f aca="false">IFERROR(AM69*U69*MIN(1/AE69,5),"")</f>
        <v>27177.6247676704</v>
      </c>
      <c r="AK69" s="18" t="n">
        <f aca="false">IFERROR(AJ69/AI69,"")</f>
        <v>0.704083543203897</v>
      </c>
      <c r="AL69" s="15" t="n">
        <f aca="false">IFERROR(AI69/(AM69*U69/12),"")</f>
        <v>48.4188409457493</v>
      </c>
      <c r="AM69" s="12" t="n">
        <v>14840</v>
      </c>
      <c r="AN69" s="12" t="n">
        <v>727963</v>
      </c>
      <c r="AO69" s="12" t="n">
        <v>1774852</v>
      </c>
      <c r="AP69" s="17" t="n">
        <v>0.191</v>
      </c>
      <c r="AQ69" s="16" t="n">
        <v>81</v>
      </c>
      <c r="AR69" s="16" t="n">
        <v>4</v>
      </c>
      <c r="AS69" s="13" t="n">
        <f aca="false">IFERROR(AR69/AR68-1,"")</f>
        <v>0</v>
      </c>
      <c r="AT69" s="11" t="s">
        <v>118</v>
      </c>
      <c r="AU69" s="14" t="n">
        <f aca="false">IFERROR(P69/AR69,"")</f>
        <v>162313.5</v>
      </c>
      <c r="AV69" s="12" t="n">
        <v>1535041</v>
      </c>
      <c r="AW69" s="12" t="n">
        <v>534153</v>
      </c>
      <c r="AX69" s="12" t="n">
        <v>383028</v>
      </c>
      <c r="AY69" s="16" t="n">
        <v>23503</v>
      </c>
      <c r="AZ69" s="13" t="n">
        <f aca="false">IFERROR(AY69/AY68-1,"")</f>
        <v>-0.0336334854652358</v>
      </c>
      <c r="BA69" s="17" t="n">
        <v>0.703</v>
      </c>
      <c r="BB69" s="11" t="s">
        <v>138</v>
      </c>
      <c r="BC69" s="11" t="s">
        <v>120</v>
      </c>
      <c r="BD69" s="11" t="s">
        <v>83</v>
      </c>
      <c r="BE69" s="12" t="n">
        <v>1054855</v>
      </c>
      <c r="BF69" s="13" t="n">
        <f aca="false">IFERROR(P69/BE69-1,"")</f>
        <v>-0.384508771347721</v>
      </c>
      <c r="BG69" s="17" t="n">
        <v>0.287</v>
      </c>
      <c r="BH69" s="17" t="n">
        <v>0.228</v>
      </c>
      <c r="BI69" s="14" t="n">
        <f aca="false">P69*(1+IFERROR(Q69,0))^4</f>
        <v>518331.801534555</v>
      </c>
      <c r="BJ69" s="12" t="n">
        <v>-736906</v>
      </c>
      <c r="BK69" s="11" t="s">
        <v>139</v>
      </c>
      <c r="BL69" s="11" t="s">
        <v>148</v>
      </c>
      <c r="BM69" s="14" t="n">
        <f aca="false">O69</f>
        <v>7072219</v>
      </c>
      <c r="BN69" s="11" t="s">
        <v>185</v>
      </c>
      <c r="BO69" s="13" t="n">
        <f aca="false">IFERROR(1-L69/M69,"")</f>
        <v>0.171354039292411</v>
      </c>
      <c r="BP69" s="11" t="s">
        <v>87</v>
      </c>
      <c r="BQ69" s="12" t="n">
        <v>1249171</v>
      </c>
      <c r="BR69" s="11" t="s">
        <v>88</v>
      </c>
      <c r="BS69" s="11" t="s">
        <v>89</v>
      </c>
      <c r="BT69" s="19" t="str">
        <f aca="false">IF(OR(Z69&lt;6,AH69&lt;0.9,S69&lt;0.02,AK69&lt;1),"REVIEW",IF(AND(S69&gt;0.25,AH69&gt;1.2),"ACCELERATING","STABLE"))</f>
        <v>REVIEW</v>
      </c>
    </row>
    <row r="70" customFormat="false" ht="15" hidden="false" customHeight="false" outlineLevel="0" collapsed="false">
      <c r="A70" s="3" t="s">
        <v>186</v>
      </c>
      <c r="B70" s="3" t="s">
        <v>73</v>
      </c>
      <c r="C70" s="3" t="s">
        <v>74</v>
      </c>
      <c r="D70" s="3" t="s">
        <v>115</v>
      </c>
      <c r="E70" s="3" t="s">
        <v>187</v>
      </c>
      <c r="F70" s="3" t="s">
        <v>188</v>
      </c>
      <c r="G70" s="3" t="s">
        <v>78</v>
      </c>
      <c r="H70" s="3" t="s">
        <v>79</v>
      </c>
      <c r="I70" s="3" t="s">
        <v>78</v>
      </c>
      <c r="J70" s="4" t="n">
        <v>2346000</v>
      </c>
      <c r="K70" s="5" t="n">
        <f aca="false">IFERROR(J70/M70,"")</f>
        <v>0.183697439511393</v>
      </c>
      <c r="L70" s="4" t="n">
        <v>10425000</v>
      </c>
      <c r="M70" s="6" t="n">
        <f aca="false">L70+J70</f>
        <v>12771000</v>
      </c>
      <c r="N70" s="4" t="n">
        <v>2860000</v>
      </c>
      <c r="O70" s="4" t="n">
        <v>15746501</v>
      </c>
      <c r="P70" s="4" t="n">
        <v>782867</v>
      </c>
      <c r="Q70" s="7"/>
      <c r="R70" s="4" t="n">
        <v>862426</v>
      </c>
      <c r="S70" s="7"/>
      <c r="T70" s="4" t="n">
        <v>455867</v>
      </c>
      <c r="U70" s="5" t="n">
        <f aca="false">IFERROR(T70/P70,"")</f>
        <v>0.582304529377276</v>
      </c>
      <c r="V70" s="6" t="n">
        <f aca="false">T70-AV70</f>
        <v>-1403028</v>
      </c>
      <c r="W70" s="6" t="n">
        <f aca="false">V70-AA70*0.1</f>
        <v>-1487628</v>
      </c>
      <c r="X70" s="4" t="n">
        <v>3702940</v>
      </c>
      <c r="Y70" s="4" t="n">
        <v>127400</v>
      </c>
      <c r="Z70" s="8" t="n">
        <f aca="false">IFERROR(X70/Y70,"")</f>
        <v>29.0654631083203</v>
      </c>
      <c r="AA70" s="4" t="n">
        <v>846000</v>
      </c>
      <c r="AB70" s="6" t="n">
        <f aca="false">W70-0.02*P70</f>
        <v>-1503285.34</v>
      </c>
      <c r="AC70" s="9" t="n">
        <v>15</v>
      </c>
      <c r="AD70" s="7"/>
      <c r="AE70" s="7" t="n">
        <v>0.137</v>
      </c>
      <c r="AF70" s="7" t="n">
        <v>0.117</v>
      </c>
      <c r="AG70" s="5" t="n">
        <f aca="false">1-AF70</f>
        <v>0.883</v>
      </c>
      <c r="AH70" s="7" t="n">
        <v>1.165</v>
      </c>
      <c r="AI70" s="4" t="n">
        <v>44520</v>
      </c>
      <c r="AJ70" s="6" t="n">
        <f aca="false">IFERROR(AM70*U70*MIN(1/AE70,5),"")</f>
        <v>107726.337934796</v>
      </c>
      <c r="AK70" s="10" t="n">
        <f aca="false">IFERROR(AJ70/AI70,"")</f>
        <v>2.4197290641239</v>
      </c>
      <c r="AL70" s="8" t="n">
        <f aca="false">IFERROR(AI70/(AM70*U70/12),"")</f>
        <v>24.79616453329</v>
      </c>
      <c r="AM70" s="4" t="n">
        <v>37000</v>
      </c>
      <c r="AN70" s="4" t="n">
        <v>1176379</v>
      </c>
      <c r="AO70" s="4" t="n">
        <v>1921014</v>
      </c>
      <c r="AP70" s="7" t="n">
        <v>0.317</v>
      </c>
      <c r="AQ70" s="9" t="n">
        <v>23</v>
      </c>
      <c r="AR70" s="9" t="n">
        <v>3</v>
      </c>
      <c r="AS70" s="7"/>
      <c r="AT70" s="3" t="s">
        <v>153</v>
      </c>
      <c r="AU70" s="6" t="n">
        <f aca="false">IFERROR(P70/AR70,"")</f>
        <v>260955.666666667</v>
      </c>
      <c r="AV70" s="4" t="n">
        <v>1858895</v>
      </c>
      <c r="AW70" s="4" t="n">
        <v>765598</v>
      </c>
      <c r="AX70" s="4" t="n">
        <v>435236</v>
      </c>
      <c r="AY70" s="9" t="n">
        <v>12194</v>
      </c>
      <c r="AZ70" s="7"/>
      <c r="BA70" s="7" t="n">
        <v>0.88</v>
      </c>
      <c r="BB70" s="3" t="s">
        <v>107</v>
      </c>
      <c r="BC70" s="3" t="s">
        <v>108</v>
      </c>
      <c r="BD70" s="3" t="s">
        <v>101</v>
      </c>
      <c r="BE70" s="4" t="n">
        <v>877888</v>
      </c>
      <c r="BF70" s="5" t="n">
        <f aca="false">IFERROR(P70/BE70-1,"")</f>
        <v>-0.108238180724648</v>
      </c>
      <c r="BG70" s="7" t="n">
        <v>0.007</v>
      </c>
      <c r="BH70" s="7" t="n">
        <v>-0.052</v>
      </c>
      <c r="BI70" s="6" t="n">
        <f aca="false">P70</f>
        <v>782867</v>
      </c>
      <c r="BJ70" s="4" t="n">
        <v>-1112218</v>
      </c>
      <c r="BK70" s="3" t="s">
        <v>84</v>
      </c>
      <c r="BL70" s="3" t="s">
        <v>111</v>
      </c>
      <c r="BM70" s="6" t="n">
        <f aca="false">O70</f>
        <v>15746501</v>
      </c>
      <c r="BN70" s="3" t="s">
        <v>189</v>
      </c>
      <c r="BO70" s="5" t="n">
        <f aca="false">IFERROR(1-L70/M70,"")</f>
        <v>0.183697439511393</v>
      </c>
      <c r="BP70" s="3" t="s">
        <v>142</v>
      </c>
      <c r="BQ70" s="4" t="n">
        <v>2275076</v>
      </c>
      <c r="BR70" s="3" t="s">
        <v>88</v>
      </c>
      <c r="BS70" s="3" t="s">
        <v>89</v>
      </c>
      <c r="BT70" s="3" t="s">
        <v>90</v>
      </c>
    </row>
    <row r="71" customFormat="false" ht="15" hidden="false" customHeight="false" outlineLevel="0" collapsed="false">
      <c r="A71" s="11" t="s">
        <v>186</v>
      </c>
      <c r="B71" s="11" t="s">
        <v>91</v>
      </c>
      <c r="C71" s="11" t="s">
        <v>74</v>
      </c>
      <c r="D71" s="11" t="s">
        <v>115</v>
      </c>
      <c r="E71" s="11" t="s">
        <v>187</v>
      </c>
      <c r="F71" s="11" t="s">
        <v>188</v>
      </c>
      <c r="G71" s="11" t="s">
        <v>78</v>
      </c>
      <c r="H71" s="11" t="s">
        <v>79</v>
      </c>
      <c r="I71" s="11" t="s">
        <v>78</v>
      </c>
      <c r="J71" s="12" t="n">
        <v>2346000</v>
      </c>
      <c r="K71" s="13" t="n">
        <f aca="false">IFERROR(J71/M71,"")</f>
        <v>0.183697439511393</v>
      </c>
      <c r="L71" s="12" t="n">
        <v>10425000</v>
      </c>
      <c r="M71" s="14" t="n">
        <f aca="false">L71+J71</f>
        <v>12771000</v>
      </c>
      <c r="N71" s="12" t="n">
        <v>2860000</v>
      </c>
      <c r="O71" s="12" t="n">
        <v>15746501</v>
      </c>
      <c r="P71" s="12" t="n">
        <v>849136</v>
      </c>
      <c r="Q71" s="13" t="n">
        <f aca="false">IFERROR(P71/P70-1,"")</f>
        <v>0.0846491166443342</v>
      </c>
      <c r="R71" s="12" t="n">
        <v>951698</v>
      </c>
      <c r="S71" s="13" t="n">
        <f aca="false">IFERROR(R71/R70-1,"")</f>
        <v>0.103512649201207</v>
      </c>
      <c r="T71" s="12" t="n">
        <v>496457</v>
      </c>
      <c r="U71" s="13" t="n">
        <f aca="false">IFERROR(T71/P71,"")</f>
        <v>0.58466134988977</v>
      </c>
      <c r="V71" s="14" t="n">
        <f aca="false">T71-AV71</f>
        <v>-1658946</v>
      </c>
      <c r="W71" s="14" t="n">
        <f aca="false">V71-AA71*0.1</f>
        <v>-1743546</v>
      </c>
      <c r="X71" s="12" t="n">
        <v>3381640</v>
      </c>
      <c r="Y71" s="12" t="n">
        <v>131600</v>
      </c>
      <c r="Z71" s="15" t="n">
        <f aca="false">IFERROR(X71/Y71,"")</f>
        <v>25.6963525835866</v>
      </c>
      <c r="AA71" s="12" t="n">
        <v>846000</v>
      </c>
      <c r="AB71" s="14" t="n">
        <f aca="false">W71-0.02*P71</f>
        <v>-1760528.72</v>
      </c>
      <c r="AC71" s="16" t="n">
        <v>16</v>
      </c>
      <c r="AD71" s="13" t="n">
        <f aca="false">IFERROR(AC71/AC70-1,"")</f>
        <v>0.0666666666666667</v>
      </c>
      <c r="AE71" s="17" t="n">
        <v>0.134</v>
      </c>
      <c r="AF71" s="17" t="n">
        <v>0.098</v>
      </c>
      <c r="AG71" s="13" t="n">
        <f aca="false">1-AF71</f>
        <v>0.902</v>
      </c>
      <c r="AH71" s="17" t="n">
        <v>1.16</v>
      </c>
      <c r="AI71" s="12" t="n">
        <v>43680</v>
      </c>
      <c r="AJ71" s="14" t="n">
        <f aca="false">IFERROR(AM71*U71*MIN(1/AE71,5),"")</f>
        <v>110325.5967242</v>
      </c>
      <c r="AK71" s="18" t="n">
        <f aca="false">IFERROR(AJ71/AI71,"")</f>
        <v>2.5257691557738</v>
      </c>
      <c r="AL71" s="15" t="n">
        <f aca="false">IFERROR(AI71/(AM71*U71/12),"")</f>
        <v>23.7551400383691</v>
      </c>
      <c r="AM71" s="12" t="n">
        <v>37740</v>
      </c>
      <c r="AN71" s="12" t="n">
        <v>1339326</v>
      </c>
      <c r="AO71" s="12" t="n">
        <v>3370384</v>
      </c>
      <c r="AP71" s="17" t="n">
        <v>0.317</v>
      </c>
      <c r="AQ71" s="16" t="n">
        <v>23</v>
      </c>
      <c r="AR71" s="16" t="n">
        <v>3</v>
      </c>
      <c r="AS71" s="13" t="n">
        <f aca="false">IFERROR(AR71/AR70-1,"")</f>
        <v>0</v>
      </c>
      <c r="AT71" s="11" t="s">
        <v>153</v>
      </c>
      <c r="AU71" s="14" t="n">
        <f aca="false">IFERROR(P71/AR71,"")</f>
        <v>283045.333333333</v>
      </c>
      <c r="AV71" s="12" t="n">
        <v>2155403</v>
      </c>
      <c r="AW71" s="12" t="n">
        <v>829277</v>
      </c>
      <c r="AX71" s="12" t="n">
        <v>588177</v>
      </c>
      <c r="AY71" s="16" t="n">
        <v>13557</v>
      </c>
      <c r="AZ71" s="13" t="n">
        <f aca="false">IFERROR(AY71/AY70-1,"")</f>
        <v>0.111776283418074</v>
      </c>
      <c r="BA71" s="17" t="n">
        <v>0.856</v>
      </c>
      <c r="BB71" s="11" t="s">
        <v>107</v>
      </c>
      <c r="BC71" s="11" t="s">
        <v>108</v>
      </c>
      <c r="BD71" s="11" t="s">
        <v>101</v>
      </c>
      <c r="BE71" s="12" t="n">
        <v>893113</v>
      </c>
      <c r="BF71" s="13" t="n">
        <f aca="false">IFERROR(P71/BE71-1,"")</f>
        <v>-0.0492401297484193</v>
      </c>
      <c r="BG71" s="17" t="n">
        <v>0.09</v>
      </c>
      <c r="BH71" s="17" t="n">
        <v>0.098</v>
      </c>
      <c r="BI71" s="14" t="n">
        <f aca="false">P71*(1+IFERROR(Q71,0))^4</f>
        <v>1175260.99051942</v>
      </c>
      <c r="BJ71" s="12" t="n">
        <v>-1537518</v>
      </c>
      <c r="BK71" s="11" t="s">
        <v>84</v>
      </c>
      <c r="BL71" s="11" t="s">
        <v>111</v>
      </c>
      <c r="BM71" s="14" t="n">
        <f aca="false">O71</f>
        <v>15746501</v>
      </c>
      <c r="BN71" s="11" t="s">
        <v>189</v>
      </c>
      <c r="BO71" s="13" t="n">
        <f aca="false">IFERROR(1-L71/M71,"")</f>
        <v>0.183697439511393</v>
      </c>
      <c r="BP71" s="11" t="s">
        <v>142</v>
      </c>
      <c r="BQ71" s="12" t="n">
        <v>2141177</v>
      </c>
      <c r="BR71" s="11" t="s">
        <v>88</v>
      </c>
      <c r="BS71" s="11" t="s">
        <v>89</v>
      </c>
      <c r="BT71" s="19" t="str">
        <f aca="false">IF(OR(Z71&lt;6,AH71&lt;0.9,S71&lt;0.02,AK71&lt;1),"REVIEW",IF(AND(S71&gt;0.25,AH71&gt;1.2),"ACCELERATING","STABLE"))</f>
        <v>STABLE</v>
      </c>
    </row>
    <row r="72" customFormat="false" ht="15" hidden="false" customHeight="false" outlineLevel="0" collapsed="false">
      <c r="A72" s="11" t="s">
        <v>186</v>
      </c>
      <c r="B72" s="11" t="s">
        <v>92</v>
      </c>
      <c r="C72" s="11" t="s">
        <v>74</v>
      </c>
      <c r="D72" s="11" t="s">
        <v>115</v>
      </c>
      <c r="E72" s="11" t="s">
        <v>187</v>
      </c>
      <c r="F72" s="11" t="s">
        <v>188</v>
      </c>
      <c r="G72" s="11" t="s">
        <v>78</v>
      </c>
      <c r="H72" s="11" t="s">
        <v>79</v>
      </c>
      <c r="I72" s="11" t="s">
        <v>78</v>
      </c>
      <c r="J72" s="12" t="n">
        <v>2346000</v>
      </c>
      <c r="K72" s="13" t="n">
        <f aca="false">IFERROR(J72/M72,"")</f>
        <v>0.183697439511393</v>
      </c>
      <c r="L72" s="12" t="n">
        <v>10425000</v>
      </c>
      <c r="M72" s="14" t="n">
        <f aca="false">L72+J72</f>
        <v>12771000</v>
      </c>
      <c r="N72" s="12" t="n">
        <v>2860000</v>
      </c>
      <c r="O72" s="12" t="n">
        <v>15746501</v>
      </c>
      <c r="P72" s="12" t="n">
        <v>1027901</v>
      </c>
      <c r="Q72" s="13" t="n">
        <f aca="false">IFERROR(P72/P71-1,"")</f>
        <v>0.210525757946901</v>
      </c>
      <c r="R72" s="12" t="n">
        <v>1027129</v>
      </c>
      <c r="S72" s="13" t="n">
        <f aca="false">IFERROR(R72/R71-1,"")</f>
        <v>0.0792593869063505</v>
      </c>
      <c r="T72" s="12" t="n">
        <v>603398</v>
      </c>
      <c r="U72" s="13" t="n">
        <f aca="false">IFERROR(T72/P72,"")</f>
        <v>0.587019567059474</v>
      </c>
      <c r="V72" s="14" t="n">
        <f aca="false">T72-AV72</f>
        <v>-1644721</v>
      </c>
      <c r="W72" s="14" t="n">
        <f aca="false">V72-AA72*0.1</f>
        <v>-1729321</v>
      </c>
      <c r="X72" s="12" t="n">
        <v>3037660</v>
      </c>
      <c r="Y72" s="12" t="n">
        <v>135800</v>
      </c>
      <c r="Z72" s="15" t="n">
        <f aca="false">IFERROR(X72/Y72,"")</f>
        <v>22.3686303387334</v>
      </c>
      <c r="AA72" s="12" t="n">
        <v>846000</v>
      </c>
      <c r="AB72" s="14" t="n">
        <f aca="false">W72-0.02*P72</f>
        <v>-1749879.02</v>
      </c>
      <c r="AC72" s="16" t="n">
        <v>16</v>
      </c>
      <c r="AD72" s="13" t="n">
        <f aca="false">IFERROR(AC72/AC71-1,"")</f>
        <v>0</v>
      </c>
      <c r="AE72" s="17" t="n">
        <v>0.13</v>
      </c>
      <c r="AF72" s="17" t="n">
        <v>0.132</v>
      </c>
      <c r="AG72" s="13" t="n">
        <f aca="false">1-AF72</f>
        <v>0.868</v>
      </c>
      <c r="AH72" s="17" t="n">
        <v>1.155</v>
      </c>
      <c r="AI72" s="12" t="n">
        <v>42840</v>
      </c>
      <c r="AJ72" s="14" t="n">
        <f aca="false">IFERROR(AM72*U72*MIN(1/AE72,5),"")</f>
        <v>112942.564702243</v>
      </c>
      <c r="AK72" s="18" t="n">
        <f aca="false">IFERROR(AJ72/AI72,"")</f>
        <v>2.63638106214385</v>
      </c>
      <c r="AL72" s="15" t="n">
        <f aca="false">IFERROR(AI72/(AM72*U72/12),"")</f>
        <v>22.7584702612031</v>
      </c>
      <c r="AM72" s="12" t="n">
        <v>38480</v>
      </c>
      <c r="AN72" s="12" t="n">
        <v>1061988</v>
      </c>
      <c r="AO72" s="12" t="n">
        <v>2730112</v>
      </c>
      <c r="AP72" s="17" t="n">
        <v>0.317</v>
      </c>
      <c r="AQ72" s="16" t="n">
        <v>23</v>
      </c>
      <c r="AR72" s="16" t="n">
        <v>4</v>
      </c>
      <c r="AS72" s="13" t="n">
        <f aca="false">IFERROR(AR72/AR71-1,"")</f>
        <v>0.333333333333333</v>
      </c>
      <c r="AT72" s="11" t="s">
        <v>153</v>
      </c>
      <c r="AU72" s="14" t="n">
        <f aca="false">IFERROR(P72/AR72,"")</f>
        <v>256975.25</v>
      </c>
      <c r="AV72" s="12" t="n">
        <v>2248119</v>
      </c>
      <c r="AW72" s="12" t="n">
        <v>1053237</v>
      </c>
      <c r="AX72" s="12" t="n">
        <v>458288</v>
      </c>
      <c r="AY72" s="16" t="n">
        <v>14612</v>
      </c>
      <c r="AZ72" s="13" t="n">
        <f aca="false">IFERROR(AY72/AY71-1,"")</f>
        <v>0.0778195766024932</v>
      </c>
      <c r="BA72" s="17" t="n">
        <v>0.887</v>
      </c>
      <c r="BB72" s="11" t="s">
        <v>107</v>
      </c>
      <c r="BC72" s="11" t="s">
        <v>108</v>
      </c>
      <c r="BD72" s="11" t="s">
        <v>101</v>
      </c>
      <c r="BE72" s="12" t="n">
        <v>1177800</v>
      </c>
      <c r="BF72" s="13" t="n">
        <f aca="false">IFERROR(P72/BE72-1,"")</f>
        <v>-0.12727033452199</v>
      </c>
      <c r="BG72" s="17" t="n">
        <v>0.006</v>
      </c>
      <c r="BH72" s="17" t="n">
        <v>0.055</v>
      </c>
      <c r="BI72" s="14" t="n">
        <f aca="false">P72*(1+IFERROR(Q72,0))^4</f>
        <v>2207229.17654529</v>
      </c>
      <c r="BJ72" s="12" t="n">
        <v>-1522321</v>
      </c>
      <c r="BK72" s="11" t="s">
        <v>84</v>
      </c>
      <c r="BL72" s="11" t="s">
        <v>111</v>
      </c>
      <c r="BM72" s="14" t="n">
        <f aca="false">O72</f>
        <v>15746501</v>
      </c>
      <c r="BN72" s="11" t="s">
        <v>189</v>
      </c>
      <c r="BO72" s="13" t="n">
        <f aca="false">IFERROR(1-L72/M72,"")</f>
        <v>0.183697439511393</v>
      </c>
      <c r="BP72" s="11" t="s">
        <v>142</v>
      </c>
      <c r="BQ72" s="12" t="n">
        <v>1886019</v>
      </c>
      <c r="BR72" s="11" t="s">
        <v>88</v>
      </c>
      <c r="BS72" s="11" t="s">
        <v>89</v>
      </c>
      <c r="BT72" s="19" t="str">
        <f aca="false">IF(OR(Z72&lt;6,AH72&lt;0.9,S72&lt;0.02,AK72&lt;1),"REVIEW",IF(AND(S72&gt;0.25,AH72&gt;1.2),"ACCELERATING","STABLE"))</f>
        <v>STABLE</v>
      </c>
    </row>
    <row r="73" customFormat="false" ht="15" hidden="false" customHeight="false" outlineLevel="0" collapsed="false">
      <c r="A73" s="11" t="s">
        <v>186</v>
      </c>
      <c r="B73" s="11" t="s">
        <v>93</v>
      </c>
      <c r="C73" s="11" t="s">
        <v>74</v>
      </c>
      <c r="D73" s="11" t="s">
        <v>115</v>
      </c>
      <c r="E73" s="11" t="s">
        <v>187</v>
      </c>
      <c r="F73" s="11" t="s">
        <v>188</v>
      </c>
      <c r="G73" s="11" t="s">
        <v>78</v>
      </c>
      <c r="H73" s="11" t="s">
        <v>79</v>
      </c>
      <c r="I73" s="11" t="s">
        <v>78</v>
      </c>
      <c r="J73" s="12" t="n">
        <v>2346000</v>
      </c>
      <c r="K73" s="13" t="n">
        <f aca="false">IFERROR(J73/M73,"")</f>
        <v>0.183697439511393</v>
      </c>
      <c r="L73" s="12" t="n">
        <v>10425000</v>
      </c>
      <c r="M73" s="14" t="n">
        <f aca="false">L73+J73</f>
        <v>12771000</v>
      </c>
      <c r="N73" s="12" t="n">
        <v>2860000</v>
      </c>
      <c r="O73" s="12" t="n">
        <v>15746501</v>
      </c>
      <c r="P73" s="12" t="n">
        <v>1051626</v>
      </c>
      <c r="Q73" s="13" t="n">
        <f aca="false">IFERROR(P73/P72-1,"")</f>
        <v>0.0230810165570419</v>
      </c>
      <c r="R73" s="12" t="n">
        <v>1131827</v>
      </c>
      <c r="S73" s="13" t="n">
        <f aca="false">IFERROR(R73/R72-1,"")</f>
        <v>0.101932668632664</v>
      </c>
      <c r="T73" s="12" t="n">
        <v>619804</v>
      </c>
      <c r="U73" s="13" t="n">
        <f aca="false">IFERROR(T73/P73,"")</f>
        <v>0.589376831687311</v>
      </c>
      <c r="V73" s="14" t="n">
        <f aca="false">T73-AV73</f>
        <v>-1291152</v>
      </c>
      <c r="W73" s="14" t="n">
        <f aca="false">V73-AA73*0.1</f>
        <v>-1375752</v>
      </c>
      <c r="X73" s="12" t="n">
        <v>2671000</v>
      </c>
      <c r="Y73" s="12" t="n">
        <v>140000</v>
      </c>
      <c r="Z73" s="15" t="n">
        <f aca="false">IFERROR(X73/Y73,"")</f>
        <v>19.0785714285714</v>
      </c>
      <c r="AA73" s="12" t="n">
        <v>846000</v>
      </c>
      <c r="AB73" s="14" t="n">
        <f aca="false">W73-0.02*P73</f>
        <v>-1396784.52</v>
      </c>
      <c r="AC73" s="16" t="n">
        <v>18</v>
      </c>
      <c r="AD73" s="13" t="n">
        <f aca="false">IFERROR(AC73/AC72-1,"")</f>
        <v>0.125</v>
      </c>
      <c r="AE73" s="17" t="n">
        <v>0.126</v>
      </c>
      <c r="AF73" s="17" t="n">
        <v>0.077</v>
      </c>
      <c r="AG73" s="13" t="n">
        <f aca="false">1-AF73</f>
        <v>0.923</v>
      </c>
      <c r="AH73" s="17" t="n">
        <v>1.15</v>
      </c>
      <c r="AI73" s="12" t="n">
        <v>42000</v>
      </c>
      <c r="AJ73" s="14" t="n">
        <f aca="false">IFERROR(AM73*U73*MIN(1/AE73,5),"")</f>
        <v>115576.796693882</v>
      </c>
      <c r="AK73" s="18" t="n">
        <f aca="false">IFERROR(AJ73/AI73,"")</f>
        <v>2.75182849271147</v>
      </c>
      <c r="AL73" s="15" t="n">
        <f aca="false">IFERROR(AI73/(AM73*U73/12),"")</f>
        <v>21.8036844079916</v>
      </c>
      <c r="AM73" s="12" t="n">
        <v>39220</v>
      </c>
      <c r="AN73" s="12" t="n">
        <v>1310342</v>
      </c>
      <c r="AO73" s="12" t="n">
        <v>3596011</v>
      </c>
      <c r="AP73" s="17" t="n">
        <v>0.317</v>
      </c>
      <c r="AQ73" s="16" t="n">
        <v>23</v>
      </c>
      <c r="AR73" s="16" t="n">
        <v>4</v>
      </c>
      <c r="AS73" s="13" t="n">
        <f aca="false">IFERROR(AR73/AR72-1,"")</f>
        <v>0</v>
      </c>
      <c r="AT73" s="11" t="s">
        <v>153</v>
      </c>
      <c r="AU73" s="14" t="n">
        <f aca="false">IFERROR(P73/AR73,"")</f>
        <v>262906.5</v>
      </c>
      <c r="AV73" s="12" t="n">
        <v>1910956</v>
      </c>
      <c r="AW73" s="12" t="n">
        <v>887221</v>
      </c>
      <c r="AX73" s="12" t="n">
        <v>636393</v>
      </c>
      <c r="AY73" s="16" t="n">
        <v>15936</v>
      </c>
      <c r="AZ73" s="13" t="n">
        <f aca="false">IFERROR(AY73/AY72-1,"")</f>
        <v>0.0906104571584998</v>
      </c>
      <c r="BA73" s="17" t="n">
        <v>0.861</v>
      </c>
      <c r="BB73" s="11" t="s">
        <v>107</v>
      </c>
      <c r="BC73" s="11" t="s">
        <v>108</v>
      </c>
      <c r="BD73" s="11" t="s">
        <v>101</v>
      </c>
      <c r="BE73" s="12" t="n">
        <v>977463</v>
      </c>
      <c r="BF73" s="13" t="n">
        <f aca="false">IFERROR(P73/BE73-1,"")</f>
        <v>0.0758729486435803</v>
      </c>
      <c r="BG73" s="17" t="n">
        <v>-0.016</v>
      </c>
      <c r="BH73" s="17" t="n">
        <v>0.057</v>
      </c>
      <c r="BI73" s="14" t="n">
        <f aca="false">P73*(1+IFERROR(Q73,0))^4</f>
        <v>1152129.82750902</v>
      </c>
      <c r="BJ73" s="12" t="n">
        <v>-1330684</v>
      </c>
      <c r="BK73" s="11" t="s">
        <v>84</v>
      </c>
      <c r="BL73" s="11" t="s">
        <v>111</v>
      </c>
      <c r="BM73" s="14" t="n">
        <f aca="false">O73</f>
        <v>15746501</v>
      </c>
      <c r="BN73" s="11" t="s">
        <v>189</v>
      </c>
      <c r="BO73" s="13" t="n">
        <f aca="false">IFERROR(1-L73/M73,"")</f>
        <v>0.183697439511393</v>
      </c>
      <c r="BP73" s="11" t="s">
        <v>142</v>
      </c>
      <c r="BQ73" s="12" t="n">
        <v>2622728</v>
      </c>
      <c r="BR73" s="11" t="s">
        <v>88</v>
      </c>
      <c r="BS73" s="11" t="s">
        <v>89</v>
      </c>
      <c r="BT73" s="19" t="str">
        <f aca="false">IF(OR(Z73&lt;6,AH73&lt;0.9,S73&lt;0.02,AK73&lt;1),"REVIEW",IF(AND(S73&gt;0.25,AH73&gt;1.2),"ACCELERATING","STABLE"))</f>
        <v>STABLE</v>
      </c>
    </row>
    <row r="74" customFormat="false" ht="15" hidden="false" customHeight="false" outlineLevel="0" collapsed="false">
      <c r="A74" s="3" t="s">
        <v>190</v>
      </c>
      <c r="B74" s="3" t="s">
        <v>73</v>
      </c>
      <c r="C74" s="3" t="s">
        <v>74</v>
      </c>
      <c r="D74" s="3" t="s">
        <v>132</v>
      </c>
      <c r="E74" s="3" t="s">
        <v>105</v>
      </c>
      <c r="F74" s="3" t="s">
        <v>191</v>
      </c>
      <c r="G74" s="3" t="s">
        <v>78</v>
      </c>
      <c r="H74" s="3" t="s">
        <v>79</v>
      </c>
      <c r="I74" s="3" t="s">
        <v>78</v>
      </c>
      <c r="J74" s="4" t="n">
        <v>2923000</v>
      </c>
      <c r="K74" s="5" t="n">
        <f aca="false">IFERROR(J74/M74,"")</f>
        <v>0.147365767582556</v>
      </c>
      <c r="L74" s="4" t="n">
        <v>16912000</v>
      </c>
      <c r="M74" s="6" t="n">
        <f aca="false">L74+J74</f>
        <v>19835000</v>
      </c>
      <c r="N74" s="4" t="n">
        <v>6431000</v>
      </c>
      <c r="O74" s="4" t="n">
        <v>24378954</v>
      </c>
      <c r="P74" s="4" t="n">
        <v>1446880</v>
      </c>
      <c r="Q74" s="7"/>
      <c r="R74" s="4" t="n">
        <v>1507446</v>
      </c>
      <c r="S74" s="7"/>
      <c r="T74" s="4" t="n">
        <v>799481</v>
      </c>
      <c r="U74" s="5" t="n">
        <f aca="false">IFERROR(T74/P74,"")</f>
        <v>0.552555153157138</v>
      </c>
      <c r="V74" s="6" t="n">
        <f aca="false">T74-AV74</f>
        <v>-2379426</v>
      </c>
      <c r="W74" s="6" t="n">
        <f aca="false">V74-AA74*0.1</f>
        <v>-2379426</v>
      </c>
      <c r="X74" s="4" t="n">
        <v>4871795</v>
      </c>
      <c r="Y74" s="4" t="n">
        <v>211120</v>
      </c>
      <c r="Z74" s="8" t="n">
        <f aca="false">IFERROR(X74/Y74,"")</f>
        <v>23.0759520651762</v>
      </c>
      <c r="AA74" s="4" t="n">
        <v>0</v>
      </c>
      <c r="AB74" s="6" t="n">
        <f aca="false">W74-0.02*P74</f>
        <v>-2408363.6</v>
      </c>
      <c r="AC74" s="9" t="n">
        <v>21</v>
      </c>
      <c r="AD74" s="7"/>
      <c r="AE74" s="7" t="n">
        <v>0.113</v>
      </c>
      <c r="AF74" s="7" t="n">
        <v>0.082</v>
      </c>
      <c r="AG74" s="5" t="n">
        <f aca="false">1-AF74</f>
        <v>0.918</v>
      </c>
      <c r="AH74" s="7" t="n">
        <v>1.09</v>
      </c>
      <c r="AI74" s="4" t="n">
        <v>22684</v>
      </c>
      <c r="AJ74" s="6" t="n">
        <f aca="false">IFERROR(AM74*U74*MIN(1/AE74,5),"")</f>
        <v>69069.3941446423</v>
      </c>
      <c r="AK74" s="10" t="n">
        <f aca="false">IFERROR(AJ74/AI74,"")</f>
        <v>3.04485073816974</v>
      </c>
      <c r="AL74" s="8" t="n">
        <f aca="false">IFERROR(AI74/(AM74*U74/12),"")</f>
        <v>19.7053994298801</v>
      </c>
      <c r="AM74" s="4" t="n">
        <v>25000</v>
      </c>
      <c r="AN74" s="4" t="n">
        <v>2053912</v>
      </c>
      <c r="AO74" s="4" t="n">
        <v>3423071</v>
      </c>
      <c r="AP74" s="7" t="n">
        <v>0.217</v>
      </c>
      <c r="AQ74" s="9" t="n">
        <v>68</v>
      </c>
      <c r="AR74" s="9" t="n">
        <v>2</v>
      </c>
      <c r="AS74" s="7"/>
      <c r="AT74" s="3" t="s">
        <v>153</v>
      </c>
      <c r="AU74" s="6" t="n">
        <f aca="false">IFERROR(P74/AR74,"")</f>
        <v>723440</v>
      </c>
      <c r="AV74" s="4" t="n">
        <v>3178907</v>
      </c>
      <c r="AW74" s="4" t="n">
        <v>1107254</v>
      </c>
      <c r="AX74" s="4" t="n">
        <v>697307</v>
      </c>
      <c r="AY74" s="9" t="n">
        <v>14032</v>
      </c>
      <c r="AZ74" s="7"/>
      <c r="BA74" s="7" t="n">
        <v>0.893</v>
      </c>
      <c r="BB74" s="3" t="s">
        <v>107</v>
      </c>
      <c r="BC74" s="3" t="s">
        <v>108</v>
      </c>
      <c r="BD74" s="3" t="s">
        <v>175</v>
      </c>
      <c r="BE74" s="4" t="n">
        <v>1779195</v>
      </c>
      <c r="BF74" s="5" t="n">
        <f aca="false">IFERROR(P74/BE74-1,"")</f>
        <v>-0.186778290181796</v>
      </c>
      <c r="BG74" s="7" t="n">
        <v>0.002</v>
      </c>
      <c r="BH74" s="7" t="n">
        <v>0.021</v>
      </c>
      <c r="BI74" s="6" t="n">
        <f aca="false">P74</f>
        <v>1446880</v>
      </c>
      <c r="BJ74" s="4" t="n">
        <v>-2282039</v>
      </c>
      <c r="BK74" s="3" t="s">
        <v>192</v>
      </c>
      <c r="BL74" s="3" t="s">
        <v>85</v>
      </c>
      <c r="BM74" s="6" t="n">
        <f aca="false">O74</f>
        <v>24378954</v>
      </c>
      <c r="BN74" s="3" t="s">
        <v>193</v>
      </c>
      <c r="BO74" s="5" t="n">
        <f aca="false">IFERROR(1-L74/M74,"")</f>
        <v>0.147365767582556</v>
      </c>
      <c r="BP74" s="3" t="s">
        <v>142</v>
      </c>
      <c r="BQ74" s="4" t="n">
        <v>3509900</v>
      </c>
      <c r="BR74" s="3" t="s">
        <v>88</v>
      </c>
      <c r="BS74" s="3" t="s">
        <v>89</v>
      </c>
      <c r="BT74" s="3" t="s">
        <v>90</v>
      </c>
    </row>
    <row r="75" customFormat="false" ht="15" hidden="false" customHeight="false" outlineLevel="0" collapsed="false">
      <c r="A75" s="11" t="s">
        <v>190</v>
      </c>
      <c r="B75" s="11" t="s">
        <v>91</v>
      </c>
      <c r="C75" s="11" t="s">
        <v>74</v>
      </c>
      <c r="D75" s="11" t="s">
        <v>132</v>
      </c>
      <c r="E75" s="11" t="s">
        <v>105</v>
      </c>
      <c r="F75" s="11" t="s">
        <v>191</v>
      </c>
      <c r="G75" s="11" t="s">
        <v>78</v>
      </c>
      <c r="H75" s="11" t="s">
        <v>79</v>
      </c>
      <c r="I75" s="11" t="s">
        <v>78</v>
      </c>
      <c r="J75" s="12" t="n">
        <v>2923000</v>
      </c>
      <c r="K75" s="13" t="n">
        <f aca="false">IFERROR(J75/M75,"")</f>
        <v>0.147365767582556</v>
      </c>
      <c r="L75" s="12" t="n">
        <v>16912000</v>
      </c>
      <c r="M75" s="14" t="n">
        <f aca="false">L75+J75</f>
        <v>19835000</v>
      </c>
      <c r="N75" s="12" t="n">
        <v>6431000</v>
      </c>
      <c r="O75" s="12" t="n">
        <v>24378954</v>
      </c>
      <c r="P75" s="12" t="n">
        <v>1647603</v>
      </c>
      <c r="Q75" s="13" t="n">
        <f aca="false">IFERROR(P75/P74-1,"")</f>
        <v>0.138728159902687</v>
      </c>
      <c r="R75" s="12" t="n">
        <v>1776008</v>
      </c>
      <c r="S75" s="13" t="n">
        <f aca="false">IFERROR(R75/R74-1,"")</f>
        <v>0.178156962173106</v>
      </c>
      <c r="T75" s="12" t="n">
        <v>914077</v>
      </c>
      <c r="U75" s="13" t="n">
        <f aca="false">IFERROR(T75/P75,"")</f>
        <v>0.554792022107267</v>
      </c>
      <c r="V75" s="14" t="n">
        <f aca="false">T75-AV75</f>
        <v>-2610301</v>
      </c>
      <c r="W75" s="14" t="n">
        <f aca="false">V75-AA75*0.1</f>
        <v>-2610301</v>
      </c>
      <c r="X75" s="12" t="n">
        <v>4339355</v>
      </c>
      <c r="Y75" s="12" t="n">
        <v>218080</v>
      </c>
      <c r="Z75" s="15" t="n">
        <f aca="false">IFERROR(X75/Y75,"")</f>
        <v>19.8979961482025</v>
      </c>
      <c r="AA75" s="12" t="n">
        <v>0</v>
      </c>
      <c r="AB75" s="14" t="n">
        <f aca="false">W75-0.02*P75</f>
        <v>-2643253.06</v>
      </c>
      <c r="AC75" s="16" t="n">
        <v>24</v>
      </c>
      <c r="AD75" s="13" t="n">
        <f aca="false">IFERROR(AC75/AC74-1,"")</f>
        <v>0.142857142857143</v>
      </c>
      <c r="AE75" s="17" t="n">
        <v>0.11</v>
      </c>
      <c r="AF75" s="17" t="n">
        <v>0.074</v>
      </c>
      <c r="AG75" s="13" t="n">
        <f aca="false">1-AF75</f>
        <v>0.926</v>
      </c>
      <c r="AH75" s="17" t="n">
        <v>1.085</v>
      </c>
      <c r="AI75" s="12" t="n">
        <v>22256</v>
      </c>
      <c r="AJ75" s="14" t="n">
        <f aca="false">IFERROR(AM75*U75*MIN(1/AE75,5),"")</f>
        <v>70735.9828186766</v>
      </c>
      <c r="AK75" s="18" t="n">
        <f aca="false">IFERROR(AJ75/AI75,"")</f>
        <v>3.17828822873277</v>
      </c>
      <c r="AL75" s="15" t="n">
        <f aca="false">IFERROR(AI75/(AM75*U75/12),"")</f>
        <v>18.878086467294</v>
      </c>
      <c r="AM75" s="12" t="n">
        <v>25500</v>
      </c>
      <c r="AN75" s="12" t="n">
        <v>2176499</v>
      </c>
      <c r="AO75" s="12" t="n">
        <v>6514218</v>
      </c>
      <c r="AP75" s="17" t="n">
        <v>0.217</v>
      </c>
      <c r="AQ75" s="16" t="n">
        <v>68</v>
      </c>
      <c r="AR75" s="16" t="n">
        <v>2</v>
      </c>
      <c r="AS75" s="13" t="n">
        <f aca="false">IFERROR(AR75/AR74-1,"")</f>
        <v>0</v>
      </c>
      <c r="AT75" s="11" t="s">
        <v>153</v>
      </c>
      <c r="AU75" s="14" t="n">
        <f aca="false">IFERROR(P75/AR75,"")</f>
        <v>823801.5</v>
      </c>
      <c r="AV75" s="12" t="n">
        <v>3524378</v>
      </c>
      <c r="AW75" s="12" t="n">
        <v>1665952</v>
      </c>
      <c r="AX75" s="12" t="n">
        <v>1157050</v>
      </c>
      <c r="AY75" s="16" t="n">
        <v>16587</v>
      </c>
      <c r="AZ75" s="13" t="n">
        <f aca="false">IFERROR(AY75/AY74-1,"")</f>
        <v>0.182083808437856</v>
      </c>
      <c r="BA75" s="17" t="n">
        <v>0.889</v>
      </c>
      <c r="BB75" s="11" t="s">
        <v>107</v>
      </c>
      <c r="BC75" s="11" t="s">
        <v>108</v>
      </c>
      <c r="BD75" s="11" t="s">
        <v>175</v>
      </c>
      <c r="BE75" s="12" t="n">
        <v>2044668</v>
      </c>
      <c r="BF75" s="13" t="n">
        <f aca="false">IFERROR(P75/BE75-1,"")</f>
        <v>-0.194195341248555</v>
      </c>
      <c r="BG75" s="17" t="n">
        <v>0.044</v>
      </c>
      <c r="BH75" s="17" t="n">
        <v>-0.007</v>
      </c>
      <c r="BI75" s="14" t="n">
        <f aca="false">P75*(1+IFERROR(Q75,0))^4</f>
        <v>2770338.36453815</v>
      </c>
      <c r="BJ75" s="12" t="n">
        <v>-2213393</v>
      </c>
      <c r="BK75" s="11" t="s">
        <v>192</v>
      </c>
      <c r="BL75" s="11" t="s">
        <v>85</v>
      </c>
      <c r="BM75" s="14" t="n">
        <f aca="false">O75</f>
        <v>24378954</v>
      </c>
      <c r="BN75" s="11" t="s">
        <v>193</v>
      </c>
      <c r="BO75" s="13" t="n">
        <f aca="false">IFERROR(1-L75/M75,"")</f>
        <v>0.147365767582556</v>
      </c>
      <c r="BP75" s="11" t="s">
        <v>142</v>
      </c>
      <c r="BQ75" s="12" t="n">
        <v>2634832</v>
      </c>
      <c r="BR75" s="11" t="s">
        <v>88</v>
      </c>
      <c r="BS75" s="11" t="s">
        <v>89</v>
      </c>
      <c r="BT75" s="19" t="str">
        <f aca="false">IF(OR(Z75&lt;6,AH75&lt;0.9,S75&lt;0.02,AK75&lt;1),"REVIEW",IF(AND(S75&gt;0.25,AH75&gt;1.2),"ACCELERATING","STABLE"))</f>
        <v>STABLE</v>
      </c>
    </row>
    <row r="76" customFormat="false" ht="15" hidden="false" customHeight="false" outlineLevel="0" collapsed="false">
      <c r="A76" s="11" t="s">
        <v>190</v>
      </c>
      <c r="B76" s="11" t="s">
        <v>92</v>
      </c>
      <c r="C76" s="11" t="s">
        <v>74</v>
      </c>
      <c r="D76" s="11" t="s">
        <v>132</v>
      </c>
      <c r="E76" s="11" t="s">
        <v>105</v>
      </c>
      <c r="F76" s="11" t="s">
        <v>191</v>
      </c>
      <c r="G76" s="11" t="s">
        <v>78</v>
      </c>
      <c r="H76" s="11" t="s">
        <v>79</v>
      </c>
      <c r="I76" s="11" t="s">
        <v>78</v>
      </c>
      <c r="J76" s="12" t="n">
        <v>2923000</v>
      </c>
      <c r="K76" s="13" t="n">
        <f aca="false">IFERROR(J76/M76,"")</f>
        <v>0.147365767582556</v>
      </c>
      <c r="L76" s="12" t="n">
        <v>16912000</v>
      </c>
      <c r="M76" s="14" t="n">
        <f aca="false">L76+J76</f>
        <v>19835000</v>
      </c>
      <c r="N76" s="12" t="n">
        <v>6431000</v>
      </c>
      <c r="O76" s="12" t="n">
        <v>24378954</v>
      </c>
      <c r="P76" s="12" t="n">
        <v>1917313</v>
      </c>
      <c r="Q76" s="13" t="n">
        <f aca="false">IFERROR(P76/P75-1,"")</f>
        <v>0.163698415212888</v>
      </c>
      <c r="R76" s="12" t="n">
        <v>2160845</v>
      </c>
      <c r="S76" s="13" t="n">
        <f aca="false">IFERROR(R76/R75-1,"")</f>
        <v>0.216686523934577</v>
      </c>
      <c r="T76" s="12" t="n">
        <v>1067999</v>
      </c>
      <c r="U76" s="13" t="n">
        <f aca="false">IFERROR(T76/P76,"")</f>
        <v>0.557029029688945</v>
      </c>
      <c r="V76" s="14" t="n">
        <f aca="false">T76-AV76</f>
        <v>-2572774</v>
      </c>
      <c r="W76" s="14" t="n">
        <f aca="false">V76-AA76*0.1</f>
        <v>-2572774</v>
      </c>
      <c r="X76" s="12" t="n">
        <v>3769331</v>
      </c>
      <c r="Y76" s="12" t="n">
        <v>225040</v>
      </c>
      <c r="Z76" s="15" t="n">
        <f aca="false">IFERROR(X76/Y76,"")</f>
        <v>16.7496045147529</v>
      </c>
      <c r="AA76" s="12" t="n">
        <v>0</v>
      </c>
      <c r="AB76" s="14" t="n">
        <f aca="false">W76-0.02*P76</f>
        <v>-2611120.26</v>
      </c>
      <c r="AC76" s="16" t="n">
        <v>27</v>
      </c>
      <c r="AD76" s="13" t="n">
        <f aca="false">IFERROR(AC76/AC75-1,"")</f>
        <v>0.125</v>
      </c>
      <c r="AE76" s="17" t="n">
        <v>0.107</v>
      </c>
      <c r="AF76" s="17" t="n">
        <v>0.103</v>
      </c>
      <c r="AG76" s="13" t="n">
        <f aca="false">1-AF76</f>
        <v>0.897</v>
      </c>
      <c r="AH76" s="17" t="n">
        <v>1.08</v>
      </c>
      <c r="AI76" s="12" t="n">
        <v>21828</v>
      </c>
      <c r="AJ76" s="14" t="n">
        <f aca="false">IFERROR(AM76*U76*MIN(1/AE76,5),"")</f>
        <v>72413.7738595628</v>
      </c>
      <c r="AK76" s="18" t="n">
        <f aca="false">IFERROR(AJ76/AI76,"")</f>
        <v>3.31747177293214</v>
      </c>
      <c r="AL76" s="15" t="n">
        <f aca="false">IFERROR(AI76/(AM76*U76/12),"")</f>
        <v>18.0860619492081</v>
      </c>
      <c r="AM76" s="12" t="n">
        <v>26000</v>
      </c>
      <c r="AN76" s="12" t="n">
        <v>2418385</v>
      </c>
      <c r="AO76" s="12" t="n">
        <v>6453991</v>
      </c>
      <c r="AP76" s="17" t="n">
        <v>0.217</v>
      </c>
      <c r="AQ76" s="16" t="n">
        <v>68</v>
      </c>
      <c r="AR76" s="16" t="n">
        <v>2</v>
      </c>
      <c r="AS76" s="13" t="n">
        <f aca="false">IFERROR(AR76/AR75-1,"")</f>
        <v>0</v>
      </c>
      <c r="AT76" s="11" t="s">
        <v>153</v>
      </c>
      <c r="AU76" s="14" t="n">
        <f aca="false">IFERROR(P76/AR76,"")</f>
        <v>958656.5</v>
      </c>
      <c r="AV76" s="12" t="n">
        <v>3640773</v>
      </c>
      <c r="AW76" s="12" t="n">
        <v>1405391</v>
      </c>
      <c r="AX76" s="12" t="n">
        <v>1129836</v>
      </c>
      <c r="AY76" s="16" t="n">
        <v>17647</v>
      </c>
      <c r="AZ76" s="13" t="n">
        <f aca="false">IFERROR(AY76/AY75-1,"")</f>
        <v>0.0639054681376983</v>
      </c>
      <c r="BA76" s="17" t="n">
        <v>0.894</v>
      </c>
      <c r="BB76" s="11" t="s">
        <v>107</v>
      </c>
      <c r="BC76" s="11" t="s">
        <v>108</v>
      </c>
      <c r="BD76" s="11" t="s">
        <v>175</v>
      </c>
      <c r="BE76" s="12" t="n">
        <v>1746678</v>
      </c>
      <c r="BF76" s="13" t="n">
        <f aca="false">IFERROR(P76/BE76-1,"")</f>
        <v>0.0976911600191908</v>
      </c>
      <c r="BG76" s="17" t="n">
        <v>0.021</v>
      </c>
      <c r="BH76" s="17" t="n">
        <v>-0.015</v>
      </c>
      <c r="BI76" s="14" t="n">
        <f aca="false">P76*(1+IFERROR(Q76,0))^4</f>
        <v>3516047.94443465</v>
      </c>
      <c r="BJ76" s="12" t="n">
        <v>-1894519</v>
      </c>
      <c r="BK76" s="11" t="s">
        <v>192</v>
      </c>
      <c r="BL76" s="11" t="s">
        <v>85</v>
      </c>
      <c r="BM76" s="14" t="n">
        <f aca="false">O76</f>
        <v>24378954</v>
      </c>
      <c r="BN76" s="11" t="s">
        <v>193</v>
      </c>
      <c r="BO76" s="13" t="n">
        <f aca="false">IFERROR(1-L76/M76,"")</f>
        <v>0.147365767582556</v>
      </c>
      <c r="BP76" s="11" t="s">
        <v>142</v>
      </c>
      <c r="BQ76" s="12" t="n">
        <v>3199758</v>
      </c>
      <c r="BR76" s="11" t="s">
        <v>88</v>
      </c>
      <c r="BS76" s="11" t="s">
        <v>89</v>
      </c>
      <c r="BT76" s="19" t="str">
        <f aca="false">IF(OR(Z76&lt;6,AH76&lt;0.9,S76&lt;0.02,AK76&lt;1),"REVIEW",IF(AND(S76&gt;0.25,AH76&gt;1.2),"ACCELERATING","STABLE"))</f>
        <v>STABLE</v>
      </c>
    </row>
    <row r="77" customFormat="false" ht="15" hidden="false" customHeight="false" outlineLevel="0" collapsed="false">
      <c r="A77" s="11" t="s">
        <v>190</v>
      </c>
      <c r="B77" s="11" t="s">
        <v>93</v>
      </c>
      <c r="C77" s="11" t="s">
        <v>74</v>
      </c>
      <c r="D77" s="11" t="s">
        <v>132</v>
      </c>
      <c r="E77" s="11" t="s">
        <v>105</v>
      </c>
      <c r="F77" s="11" t="s">
        <v>191</v>
      </c>
      <c r="G77" s="11" t="s">
        <v>78</v>
      </c>
      <c r="H77" s="11" t="s">
        <v>79</v>
      </c>
      <c r="I77" s="11" t="s">
        <v>78</v>
      </c>
      <c r="J77" s="12" t="n">
        <v>2923000</v>
      </c>
      <c r="K77" s="13" t="n">
        <f aca="false">IFERROR(J77/M77,"")</f>
        <v>0.147365767582556</v>
      </c>
      <c r="L77" s="12" t="n">
        <v>16912000</v>
      </c>
      <c r="M77" s="14" t="n">
        <f aca="false">L77+J77</f>
        <v>19835000</v>
      </c>
      <c r="N77" s="12" t="n">
        <v>6431000</v>
      </c>
      <c r="O77" s="12" t="n">
        <v>24378954</v>
      </c>
      <c r="P77" s="12" t="n">
        <v>2221367</v>
      </c>
      <c r="Q77" s="13" t="n">
        <f aca="false">IFERROR(P77/P76-1,"")</f>
        <v>0.158583392487299</v>
      </c>
      <c r="R77" s="12" t="n">
        <v>2268728</v>
      </c>
      <c r="S77" s="13" t="n">
        <f aca="false">IFERROR(R77/R76-1,"")</f>
        <v>0.049926301979087</v>
      </c>
      <c r="T77" s="12" t="n">
        <v>1242335</v>
      </c>
      <c r="U77" s="13" t="n">
        <f aca="false">IFERROR(T77/P77,"")</f>
        <v>0.559265983513755</v>
      </c>
      <c r="V77" s="14" t="n">
        <f aca="false">T77-AV77</f>
        <v>-2803194</v>
      </c>
      <c r="W77" s="14" t="n">
        <f aca="false">V77-AA77*0.1</f>
        <v>-2803194</v>
      </c>
      <c r="X77" s="12" t="n">
        <v>3161723</v>
      </c>
      <c r="Y77" s="12" t="n">
        <v>232000</v>
      </c>
      <c r="Z77" s="15" t="n">
        <f aca="false">IFERROR(X77/Y77,"")</f>
        <v>13.6281163793103</v>
      </c>
      <c r="AA77" s="12" t="n">
        <v>0</v>
      </c>
      <c r="AB77" s="14" t="n">
        <f aca="false">W77-0.02*P77</f>
        <v>-2847621.34</v>
      </c>
      <c r="AC77" s="16" t="n">
        <v>29</v>
      </c>
      <c r="AD77" s="13" t="n">
        <f aca="false">IFERROR(AC77/AC76-1,"")</f>
        <v>0.0740740740740742</v>
      </c>
      <c r="AE77" s="17" t="n">
        <v>0.104</v>
      </c>
      <c r="AF77" s="17" t="n">
        <v>0.111</v>
      </c>
      <c r="AG77" s="13" t="n">
        <f aca="false">1-AF77</f>
        <v>0.889</v>
      </c>
      <c r="AH77" s="17" t="n">
        <v>1.075</v>
      </c>
      <c r="AI77" s="12" t="n">
        <v>21400</v>
      </c>
      <c r="AJ77" s="14" t="n">
        <f aca="false">IFERROR(AM77*U77*MIN(1/AE77,5),"")</f>
        <v>74102.7428155726</v>
      </c>
      <c r="AK77" s="18" t="n">
        <f aca="false">IFERROR(AJ77/AI77,"")</f>
        <v>3.4627449913819</v>
      </c>
      <c r="AL77" s="15" t="n">
        <f aca="false">IFERROR(AI77/(AM77*U77/12),"")</f>
        <v>17.3272938519378</v>
      </c>
      <c r="AM77" s="12" t="n">
        <v>26500</v>
      </c>
      <c r="AN77" s="12" t="n">
        <v>2361326</v>
      </c>
      <c r="AO77" s="12" t="n">
        <v>6762317</v>
      </c>
      <c r="AP77" s="17" t="n">
        <v>0.217</v>
      </c>
      <c r="AQ77" s="16" t="n">
        <v>68</v>
      </c>
      <c r="AR77" s="16" t="n">
        <v>2</v>
      </c>
      <c r="AS77" s="13" t="n">
        <f aca="false">IFERROR(AR77/AR76-1,"")</f>
        <v>0</v>
      </c>
      <c r="AT77" s="11" t="s">
        <v>153</v>
      </c>
      <c r="AU77" s="14" t="n">
        <f aca="false">IFERROR(P77/AR77,"")</f>
        <v>1110683.5</v>
      </c>
      <c r="AV77" s="12" t="n">
        <v>4045529</v>
      </c>
      <c r="AW77" s="12" t="n">
        <v>1385730</v>
      </c>
      <c r="AX77" s="12" t="n">
        <v>1363526</v>
      </c>
      <c r="AY77" s="16" t="n">
        <v>20600</v>
      </c>
      <c r="AZ77" s="13" t="n">
        <f aca="false">IFERROR(AY77/AY76-1,"")</f>
        <v>0.167337224457415</v>
      </c>
      <c r="BA77" s="17" t="n">
        <v>0.922</v>
      </c>
      <c r="BB77" s="11" t="s">
        <v>107</v>
      </c>
      <c r="BC77" s="11" t="s">
        <v>108</v>
      </c>
      <c r="BD77" s="11" t="s">
        <v>175</v>
      </c>
      <c r="BE77" s="12" t="n">
        <v>2171846</v>
      </c>
      <c r="BF77" s="13" t="n">
        <f aca="false">IFERROR(P77/BE77-1,"")</f>
        <v>0.0228013404265313</v>
      </c>
      <c r="BG77" s="17" t="n">
        <v>-0.032</v>
      </c>
      <c r="BH77" s="17" t="n">
        <v>-0.006</v>
      </c>
      <c r="BI77" s="14" t="n">
        <f aca="false">P77*(1+IFERROR(Q77,0))^4</f>
        <v>4002483.1418317</v>
      </c>
      <c r="BJ77" s="12" t="n">
        <v>-1965202</v>
      </c>
      <c r="BK77" s="11" t="s">
        <v>192</v>
      </c>
      <c r="BL77" s="11" t="s">
        <v>85</v>
      </c>
      <c r="BM77" s="14" t="n">
        <f aca="false">O77</f>
        <v>24378954</v>
      </c>
      <c r="BN77" s="11" t="s">
        <v>193</v>
      </c>
      <c r="BO77" s="13" t="n">
        <f aca="false">IFERROR(1-L77/M77,"")</f>
        <v>0.147365767582556</v>
      </c>
      <c r="BP77" s="11" t="s">
        <v>142</v>
      </c>
      <c r="BQ77" s="12" t="n">
        <v>3941538</v>
      </c>
      <c r="BR77" s="11" t="s">
        <v>88</v>
      </c>
      <c r="BS77" s="11" t="s">
        <v>89</v>
      </c>
      <c r="BT77" s="19" t="str">
        <f aca="false">IF(OR(Z77&lt;6,AH77&lt;0.9,S77&lt;0.02,AK77&lt;1),"REVIEW",IF(AND(S77&gt;0.25,AH77&gt;1.2),"ACCELERATING","STABLE"))</f>
        <v>STABLE</v>
      </c>
    </row>
    <row r="78" customFormat="false" ht="15" hidden="false" customHeight="false" outlineLevel="0" collapsed="false">
      <c r="A78" s="3" t="s">
        <v>194</v>
      </c>
      <c r="B78" s="3" t="s">
        <v>73</v>
      </c>
      <c r="C78" s="3" t="s">
        <v>74</v>
      </c>
      <c r="D78" s="3" t="s">
        <v>95</v>
      </c>
      <c r="E78" s="3" t="s">
        <v>105</v>
      </c>
      <c r="F78" s="3" t="s">
        <v>195</v>
      </c>
      <c r="G78" s="3" t="s">
        <v>78</v>
      </c>
      <c r="H78" s="3" t="s">
        <v>79</v>
      </c>
      <c r="I78" s="3" t="s">
        <v>78</v>
      </c>
      <c r="J78" s="4" t="n">
        <v>4253000</v>
      </c>
      <c r="K78" s="5" t="n">
        <f aca="false">IFERROR(J78/M78,"")</f>
        <v>0.181163741693645</v>
      </c>
      <c r="L78" s="4" t="n">
        <v>19223000</v>
      </c>
      <c r="M78" s="6" t="n">
        <f aca="false">L78+J78</f>
        <v>23476000</v>
      </c>
      <c r="N78" s="4" t="n">
        <v>4253000</v>
      </c>
      <c r="O78" s="4" t="n">
        <v>18491761</v>
      </c>
      <c r="P78" s="4" t="n">
        <v>316751</v>
      </c>
      <c r="Q78" s="7"/>
      <c r="R78" s="4" t="n">
        <v>388727</v>
      </c>
      <c r="S78" s="7"/>
      <c r="T78" s="4" t="n">
        <v>206788</v>
      </c>
      <c r="U78" s="5" t="n">
        <f aca="false">IFERROR(T78/P78,"")</f>
        <v>0.652840875009077</v>
      </c>
      <c r="V78" s="6" t="n">
        <f aca="false">T78-AV78</f>
        <v>-1277119</v>
      </c>
      <c r="W78" s="6" t="n">
        <f aca="false">V78-AA78*0.1</f>
        <v>-1314319</v>
      </c>
      <c r="X78" s="4" t="n">
        <v>2041588</v>
      </c>
      <c r="Y78" s="4" t="n">
        <v>134480</v>
      </c>
      <c r="Z78" s="8" t="n">
        <f aca="false">IFERROR(X78/Y78,"")</f>
        <v>15.1813503866746</v>
      </c>
      <c r="AA78" s="4" t="n">
        <v>372000</v>
      </c>
      <c r="AB78" s="6" t="n">
        <f aca="false">W78-0.02*P78</f>
        <v>-1320654.02</v>
      </c>
      <c r="AC78" s="9" t="n">
        <v>74</v>
      </c>
      <c r="AD78" s="7"/>
      <c r="AE78" s="7" t="n">
        <v>0.21</v>
      </c>
      <c r="AF78" s="7" t="n">
        <v>0.187</v>
      </c>
      <c r="AG78" s="5" t="n">
        <f aca="false">1-AF78</f>
        <v>0.813</v>
      </c>
      <c r="AH78" s="7" t="n">
        <v>0.931</v>
      </c>
      <c r="AI78" s="4" t="n">
        <v>91884</v>
      </c>
      <c r="AJ78" s="6" t="n">
        <f aca="false">IFERROR(AM78*U78*MIN(1/AE78,5),"")</f>
        <v>143003.239287702</v>
      </c>
      <c r="AK78" s="10" t="n">
        <f aca="false">IFERROR(AJ78/AI78,"")</f>
        <v>1.55634538426388</v>
      </c>
      <c r="AL78" s="8" t="n">
        <f aca="false">IFERROR(AI78/(AM78*U78/12),"")</f>
        <v>36.7160514116116</v>
      </c>
      <c r="AM78" s="4" t="n">
        <v>46000</v>
      </c>
      <c r="AN78" s="4" t="n">
        <v>400751</v>
      </c>
      <c r="AO78" s="4" t="n">
        <v>1103903</v>
      </c>
      <c r="AP78" s="7" t="n">
        <v>0.158</v>
      </c>
      <c r="AQ78" s="9" t="n">
        <v>77</v>
      </c>
      <c r="AR78" s="9" t="n">
        <v>4</v>
      </c>
      <c r="AS78" s="7"/>
      <c r="AT78" s="3" t="s">
        <v>196</v>
      </c>
      <c r="AU78" s="6" t="n">
        <f aca="false">IFERROR(P78/AR78,"")</f>
        <v>79187.75</v>
      </c>
      <c r="AV78" s="4" t="n">
        <v>1483907</v>
      </c>
      <c r="AW78" s="4" t="n">
        <v>552338</v>
      </c>
      <c r="AX78" s="4" t="n">
        <v>437133</v>
      </c>
      <c r="AY78" s="9" t="n">
        <v>2252</v>
      </c>
      <c r="AZ78" s="7"/>
      <c r="BA78" s="7" t="n">
        <v>0.796</v>
      </c>
      <c r="BB78" s="3" t="s">
        <v>171</v>
      </c>
      <c r="BC78" s="3" t="s">
        <v>120</v>
      </c>
      <c r="BD78" s="3" t="s">
        <v>109</v>
      </c>
      <c r="BE78" s="4" t="n">
        <v>411729</v>
      </c>
      <c r="BF78" s="5" t="n">
        <f aca="false">IFERROR(P78/BE78-1,"")</f>
        <v>-0.230680860468901</v>
      </c>
      <c r="BG78" s="7" t="n">
        <v>0.304</v>
      </c>
      <c r="BH78" s="7" t="n">
        <v>0.378</v>
      </c>
      <c r="BI78" s="6" t="n">
        <f aca="false">P78</f>
        <v>316751</v>
      </c>
      <c r="BJ78" s="4" t="n">
        <v>-1343916</v>
      </c>
      <c r="BK78" s="3" t="s">
        <v>147</v>
      </c>
      <c r="BL78" s="3" t="s">
        <v>122</v>
      </c>
      <c r="BM78" s="6" t="n">
        <f aca="false">O78</f>
        <v>18491761</v>
      </c>
      <c r="BN78" s="3" t="s">
        <v>197</v>
      </c>
      <c r="BO78" s="5" t="n">
        <f aca="false">IFERROR(1-L78/M78,"")</f>
        <v>0.181163741693645</v>
      </c>
      <c r="BP78" s="3" t="s">
        <v>198</v>
      </c>
      <c r="BQ78" s="4" t="n">
        <v>2258654</v>
      </c>
      <c r="BR78" s="3" t="s">
        <v>88</v>
      </c>
      <c r="BS78" s="3" t="s">
        <v>89</v>
      </c>
      <c r="BT78" s="3" t="s">
        <v>90</v>
      </c>
    </row>
    <row r="79" customFormat="false" ht="15" hidden="false" customHeight="false" outlineLevel="0" collapsed="false">
      <c r="A79" s="11" t="s">
        <v>194</v>
      </c>
      <c r="B79" s="11" t="s">
        <v>91</v>
      </c>
      <c r="C79" s="11" t="s">
        <v>74</v>
      </c>
      <c r="D79" s="11" t="s">
        <v>95</v>
      </c>
      <c r="E79" s="11" t="s">
        <v>105</v>
      </c>
      <c r="F79" s="11" t="s">
        <v>195</v>
      </c>
      <c r="G79" s="11" t="s">
        <v>78</v>
      </c>
      <c r="H79" s="11" t="s">
        <v>79</v>
      </c>
      <c r="I79" s="11" t="s">
        <v>78</v>
      </c>
      <c r="J79" s="12" t="n">
        <v>4253000</v>
      </c>
      <c r="K79" s="13" t="n">
        <f aca="false">IFERROR(J79/M79,"")</f>
        <v>0.181163741693645</v>
      </c>
      <c r="L79" s="12" t="n">
        <v>19223000</v>
      </c>
      <c r="M79" s="14" t="n">
        <f aca="false">L79+J79</f>
        <v>23476000</v>
      </c>
      <c r="N79" s="12" t="n">
        <v>4253000</v>
      </c>
      <c r="O79" s="12" t="n">
        <v>18491761</v>
      </c>
      <c r="P79" s="12" t="n">
        <v>292273</v>
      </c>
      <c r="Q79" s="13" t="n">
        <f aca="false">IFERROR(P79/P78-1,"")</f>
        <v>-0.0772783669191257</v>
      </c>
      <c r="R79" s="12" t="n">
        <v>356321</v>
      </c>
      <c r="S79" s="13" t="n">
        <f aca="false">IFERROR(R79/R78-1,"")</f>
        <v>-0.0833644177018833</v>
      </c>
      <c r="T79" s="12" t="n">
        <v>187207</v>
      </c>
      <c r="U79" s="13" t="n">
        <f aca="false">IFERROR(T79/P79,"")</f>
        <v>0.640521019731552</v>
      </c>
      <c r="V79" s="14" t="n">
        <f aca="false">T79-AV79</f>
        <v>-1665522</v>
      </c>
      <c r="W79" s="14" t="n">
        <f aca="false">V79-AA79*0.1</f>
        <v>-1702722</v>
      </c>
      <c r="X79" s="12" t="n">
        <v>1662748</v>
      </c>
      <c r="Y79" s="12" t="n">
        <v>144320</v>
      </c>
      <c r="Z79" s="15" t="n">
        <f aca="false">IFERROR(X79/Y79,"")</f>
        <v>11.5212583148559</v>
      </c>
      <c r="AA79" s="12" t="n">
        <v>372000</v>
      </c>
      <c r="AB79" s="14" t="n">
        <f aca="false">W79-0.02*P79</f>
        <v>-1708567.46</v>
      </c>
      <c r="AC79" s="16" t="n">
        <v>69</v>
      </c>
      <c r="AD79" s="13" t="n">
        <f aca="false">IFERROR(AC79/AC78-1,"")</f>
        <v>-0.0675675675675675</v>
      </c>
      <c r="AE79" s="17" t="n">
        <v>0.249</v>
      </c>
      <c r="AF79" s="17" t="n">
        <v>0.15</v>
      </c>
      <c r="AG79" s="13" t="n">
        <f aca="false">1-AF79</f>
        <v>0.85</v>
      </c>
      <c r="AH79" s="17" t="n">
        <v>0.891</v>
      </c>
      <c r="AI79" s="12" t="n">
        <v>101556</v>
      </c>
      <c r="AJ79" s="14" t="n">
        <f aca="false">IFERROR(AM79*U79*MIN(1/AE79,5),"")</f>
        <v>120695.76805544</v>
      </c>
      <c r="AK79" s="18" t="n">
        <f aca="false">IFERROR(AJ79/AI79,"")</f>
        <v>1.18846516262397</v>
      </c>
      <c r="AL79" s="15" t="n">
        <f aca="false">IFERROR(AI79/(AM79*U79/12),"")</f>
        <v>40.5504280646598</v>
      </c>
      <c r="AM79" s="12" t="n">
        <v>46920</v>
      </c>
      <c r="AN79" s="12" t="n">
        <v>356170</v>
      </c>
      <c r="AO79" s="12" t="n">
        <v>1162824</v>
      </c>
      <c r="AP79" s="17" t="n">
        <v>0.158</v>
      </c>
      <c r="AQ79" s="16" t="n">
        <v>77</v>
      </c>
      <c r="AR79" s="16" t="n">
        <v>4</v>
      </c>
      <c r="AS79" s="13" t="n">
        <f aca="false">IFERROR(AR79/AR78-1,"")</f>
        <v>0</v>
      </c>
      <c r="AT79" s="11" t="s">
        <v>196</v>
      </c>
      <c r="AU79" s="14" t="n">
        <f aca="false">IFERROR(P79/AR79,"")</f>
        <v>73068.25</v>
      </c>
      <c r="AV79" s="12" t="n">
        <v>1852729</v>
      </c>
      <c r="AW79" s="12" t="n">
        <v>837611</v>
      </c>
      <c r="AX79" s="12" t="n">
        <v>548979</v>
      </c>
      <c r="AY79" s="16" t="n">
        <v>2077</v>
      </c>
      <c r="AZ79" s="13" t="n">
        <f aca="false">IFERROR(AY79/AY78-1,"")</f>
        <v>-0.077708703374778</v>
      </c>
      <c r="BA79" s="17" t="n">
        <v>0.801</v>
      </c>
      <c r="BB79" s="11" t="s">
        <v>171</v>
      </c>
      <c r="BC79" s="11" t="s">
        <v>120</v>
      </c>
      <c r="BD79" s="11" t="s">
        <v>109</v>
      </c>
      <c r="BE79" s="12" t="n">
        <v>411411</v>
      </c>
      <c r="BF79" s="13" t="n">
        <f aca="false">IFERROR(P79/BE79-1,"")</f>
        <v>-0.289583895423312</v>
      </c>
      <c r="BG79" s="17" t="n">
        <v>0.276</v>
      </c>
      <c r="BH79" s="17" t="n">
        <v>0.37</v>
      </c>
      <c r="BI79" s="14" t="n">
        <f aca="false">P79*(1+IFERROR(Q79,0))^4</f>
        <v>211870.995985721</v>
      </c>
      <c r="BJ79" s="12" t="n">
        <v>-1138856</v>
      </c>
      <c r="BK79" s="11" t="s">
        <v>147</v>
      </c>
      <c r="BL79" s="11" t="s">
        <v>122</v>
      </c>
      <c r="BM79" s="14" t="n">
        <f aca="false">O79</f>
        <v>18491761</v>
      </c>
      <c r="BN79" s="11" t="s">
        <v>197</v>
      </c>
      <c r="BO79" s="13" t="n">
        <f aca="false">IFERROR(1-L79/M79,"")</f>
        <v>0.181163741693645</v>
      </c>
      <c r="BP79" s="11" t="s">
        <v>198</v>
      </c>
      <c r="BQ79" s="12" t="n">
        <v>1913836</v>
      </c>
      <c r="BR79" s="11" t="s">
        <v>88</v>
      </c>
      <c r="BS79" s="11" t="s">
        <v>89</v>
      </c>
      <c r="BT79" s="19" t="str">
        <f aca="false">IF(OR(Z79&lt;6,AH79&lt;0.9,S79&lt;0.02,AK79&lt;1),"REVIEW",IF(AND(S79&gt;0.25,AH79&gt;1.2),"ACCELERATING","STABLE"))</f>
        <v>REVIEW</v>
      </c>
    </row>
    <row r="80" customFormat="false" ht="15" hidden="false" customHeight="false" outlineLevel="0" collapsed="false">
      <c r="A80" s="11" t="s">
        <v>194</v>
      </c>
      <c r="B80" s="11" t="s">
        <v>92</v>
      </c>
      <c r="C80" s="11" t="s">
        <v>74</v>
      </c>
      <c r="D80" s="11" t="s">
        <v>95</v>
      </c>
      <c r="E80" s="11" t="s">
        <v>105</v>
      </c>
      <c r="F80" s="11" t="s">
        <v>195</v>
      </c>
      <c r="G80" s="11" t="s">
        <v>78</v>
      </c>
      <c r="H80" s="11" t="s">
        <v>79</v>
      </c>
      <c r="I80" s="11" t="s">
        <v>78</v>
      </c>
      <c r="J80" s="12" t="n">
        <v>4253000</v>
      </c>
      <c r="K80" s="13" t="n">
        <f aca="false">IFERROR(J80/M80,"")</f>
        <v>0.181163741693645</v>
      </c>
      <c r="L80" s="12" t="n">
        <v>19223000</v>
      </c>
      <c r="M80" s="14" t="n">
        <f aca="false">L80+J80</f>
        <v>23476000</v>
      </c>
      <c r="N80" s="12" t="n">
        <v>4253000</v>
      </c>
      <c r="O80" s="12" t="n">
        <v>18491761</v>
      </c>
      <c r="P80" s="12" t="n">
        <v>266149</v>
      </c>
      <c r="Q80" s="13" t="n">
        <f aca="false">IFERROR(P80/P79-1,"")</f>
        <v>-0.0893821872016916</v>
      </c>
      <c r="R80" s="12" t="n">
        <v>322362</v>
      </c>
      <c r="S80" s="13" t="n">
        <f aca="false">IFERROR(R80/R79-1,"")</f>
        <v>-0.0953045147493412</v>
      </c>
      <c r="T80" s="12" t="n">
        <v>167196</v>
      </c>
      <c r="U80" s="13" t="n">
        <f aca="false">IFERROR(T80/P80,"")</f>
        <v>0.628204501989487</v>
      </c>
      <c r="V80" s="14" t="n">
        <f aca="false">T80-AV80</f>
        <v>-1520743</v>
      </c>
      <c r="W80" s="14" t="n">
        <f aca="false">V80-AA80*0.1</f>
        <v>-1557943</v>
      </c>
      <c r="X80" s="12" t="n">
        <v>1218964</v>
      </c>
      <c r="Y80" s="12" t="n">
        <v>154160</v>
      </c>
      <c r="Z80" s="15" t="n">
        <f aca="false">IFERROR(X80/Y80,"")</f>
        <v>7.90713544369486</v>
      </c>
      <c r="AA80" s="12" t="n">
        <v>372000</v>
      </c>
      <c r="AB80" s="14" t="n">
        <f aca="false">W80-0.02*P80</f>
        <v>-1563265.98</v>
      </c>
      <c r="AC80" s="16" t="n">
        <v>62</v>
      </c>
      <c r="AD80" s="13" t="n">
        <f aca="false">IFERROR(AC80/AC79-1,"")</f>
        <v>-0.101449275362319</v>
      </c>
      <c r="AE80" s="17" t="n">
        <v>0.289</v>
      </c>
      <c r="AF80" s="17" t="n">
        <v>0.219</v>
      </c>
      <c r="AG80" s="13" t="n">
        <f aca="false">1-AF80</f>
        <v>0.781</v>
      </c>
      <c r="AH80" s="17" t="n">
        <v>0.851</v>
      </c>
      <c r="AI80" s="12" t="n">
        <v>111228</v>
      </c>
      <c r="AJ80" s="14" t="n">
        <f aca="false">IFERROR(AM80*U80*MIN(1/AE80,5),"")</f>
        <v>103990.66911826</v>
      </c>
      <c r="AK80" s="18" t="n">
        <f aca="false">IFERROR(AJ80/AI80,"")</f>
        <v>0.934932473102634</v>
      </c>
      <c r="AL80" s="15" t="n">
        <f aca="false">IFERROR(AI80/(AM80*U80/12),"")</f>
        <v>44.4122891695974</v>
      </c>
      <c r="AM80" s="12" t="n">
        <v>47840</v>
      </c>
      <c r="AN80" s="12" t="n">
        <v>463066</v>
      </c>
      <c r="AO80" s="12" t="n">
        <v>666327</v>
      </c>
      <c r="AP80" s="17" t="n">
        <v>0.158</v>
      </c>
      <c r="AQ80" s="16" t="n">
        <v>77</v>
      </c>
      <c r="AR80" s="16" t="n">
        <v>4</v>
      </c>
      <c r="AS80" s="13" t="n">
        <f aca="false">IFERROR(AR80/AR79-1,"")</f>
        <v>0</v>
      </c>
      <c r="AT80" s="11" t="s">
        <v>196</v>
      </c>
      <c r="AU80" s="14" t="n">
        <f aca="false">IFERROR(P80/AR80,"")</f>
        <v>66537.25</v>
      </c>
      <c r="AV80" s="12" t="n">
        <v>1687939</v>
      </c>
      <c r="AW80" s="12" t="n">
        <v>560838</v>
      </c>
      <c r="AX80" s="12" t="n">
        <v>352121</v>
      </c>
      <c r="AY80" s="16" t="n">
        <v>1880</v>
      </c>
      <c r="AZ80" s="13" t="n">
        <f aca="false">IFERROR(AY80/AY79-1,"")</f>
        <v>-0.0948483389504092</v>
      </c>
      <c r="BA80" s="17" t="n">
        <v>0.761</v>
      </c>
      <c r="BB80" s="11" t="s">
        <v>171</v>
      </c>
      <c r="BC80" s="11" t="s">
        <v>120</v>
      </c>
      <c r="BD80" s="11" t="s">
        <v>109</v>
      </c>
      <c r="BE80" s="12" t="n">
        <v>375404</v>
      </c>
      <c r="BF80" s="13" t="n">
        <f aca="false">IFERROR(P80/BE80-1,"")</f>
        <v>-0.291033126977869</v>
      </c>
      <c r="BG80" s="17" t="n">
        <v>0.251</v>
      </c>
      <c r="BH80" s="17" t="n">
        <v>0.305</v>
      </c>
      <c r="BI80" s="14" t="n">
        <f aca="false">P80*(1+IFERROR(Q80,0))^4</f>
        <v>183007.71742332</v>
      </c>
      <c r="BJ80" s="12" t="n">
        <v>-1673149</v>
      </c>
      <c r="BK80" s="11" t="s">
        <v>147</v>
      </c>
      <c r="BL80" s="11" t="s">
        <v>122</v>
      </c>
      <c r="BM80" s="14" t="n">
        <f aca="false">O80</f>
        <v>18491761</v>
      </c>
      <c r="BN80" s="11" t="s">
        <v>197</v>
      </c>
      <c r="BO80" s="13" t="n">
        <f aca="false">IFERROR(1-L80/M80,"")</f>
        <v>0.181163741693645</v>
      </c>
      <c r="BP80" s="11" t="s">
        <v>198</v>
      </c>
      <c r="BQ80" s="12" t="n">
        <v>1960249</v>
      </c>
      <c r="BR80" s="11" t="s">
        <v>88</v>
      </c>
      <c r="BS80" s="11" t="s">
        <v>89</v>
      </c>
      <c r="BT80" s="19" t="str">
        <f aca="false">IF(OR(Z80&lt;6,AH80&lt;0.9,S80&lt;0.02,AK80&lt;1),"REVIEW",IF(AND(S80&gt;0.25,AH80&gt;1.2),"ACCELERATING","STABLE"))</f>
        <v>REVIEW</v>
      </c>
    </row>
    <row r="81" customFormat="false" ht="15" hidden="false" customHeight="false" outlineLevel="0" collapsed="false">
      <c r="A81" s="11" t="s">
        <v>194</v>
      </c>
      <c r="B81" s="11" t="s">
        <v>93</v>
      </c>
      <c r="C81" s="11" t="s">
        <v>74</v>
      </c>
      <c r="D81" s="11" t="s">
        <v>95</v>
      </c>
      <c r="E81" s="11" t="s">
        <v>105</v>
      </c>
      <c r="F81" s="11" t="s">
        <v>195</v>
      </c>
      <c r="G81" s="11" t="s">
        <v>78</v>
      </c>
      <c r="H81" s="11" t="s">
        <v>79</v>
      </c>
      <c r="I81" s="11" t="s">
        <v>78</v>
      </c>
      <c r="J81" s="12" t="n">
        <v>4253000</v>
      </c>
      <c r="K81" s="13" t="n">
        <f aca="false">IFERROR(J81/M81,"")</f>
        <v>0.181163741693645</v>
      </c>
      <c r="L81" s="12" t="n">
        <v>19223000</v>
      </c>
      <c r="M81" s="14" t="n">
        <f aca="false">L81+J81</f>
        <v>23476000</v>
      </c>
      <c r="N81" s="12" t="n">
        <v>4253000</v>
      </c>
      <c r="O81" s="12" t="n">
        <v>18491761</v>
      </c>
      <c r="P81" s="12" t="n">
        <v>237781</v>
      </c>
      <c r="Q81" s="13" t="n">
        <f aca="false">IFERROR(P81/P80-1,"")</f>
        <v>-0.106586911842614</v>
      </c>
      <c r="R81" s="12" t="n">
        <v>292489</v>
      </c>
      <c r="S81" s="13" t="n">
        <f aca="false">IFERROR(R81/R80-1,"")</f>
        <v>-0.0926691111235195</v>
      </c>
      <c r="T81" s="12" t="n">
        <v>146446</v>
      </c>
      <c r="U81" s="13" t="n">
        <f aca="false">IFERROR(T81/P81,"")</f>
        <v>0.615886046404044</v>
      </c>
      <c r="V81" s="14" t="n">
        <f aca="false">T81-AV81</f>
        <v>-1550092</v>
      </c>
      <c r="W81" s="14" t="n">
        <f aca="false">V81-AA81*0.1</f>
        <v>-1587292</v>
      </c>
      <c r="X81" s="12" t="n">
        <v>710236</v>
      </c>
      <c r="Y81" s="12" t="n">
        <v>164000</v>
      </c>
      <c r="Z81" s="15" t="n">
        <f aca="false">IFERROR(X81/Y81,"")</f>
        <v>4.33070731707317</v>
      </c>
      <c r="AA81" s="12" t="n">
        <v>372000</v>
      </c>
      <c r="AB81" s="14" t="n">
        <f aca="false">W81-0.02*P81</f>
        <v>-1592047.62</v>
      </c>
      <c r="AC81" s="16" t="n">
        <v>59</v>
      </c>
      <c r="AD81" s="13" t="n">
        <f aca="false">IFERROR(AC81/AC80-1,"")</f>
        <v>-0.0483870967741935</v>
      </c>
      <c r="AE81" s="17" t="n">
        <v>0.328</v>
      </c>
      <c r="AF81" s="17" t="n">
        <v>0.264</v>
      </c>
      <c r="AG81" s="13" t="n">
        <f aca="false">1-AF81</f>
        <v>0.736</v>
      </c>
      <c r="AH81" s="17" t="n">
        <v>0.811</v>
      </c>
      <c r="AI81" s="12" t="n">
        <v>120900</v>
      </c>
      <c r="AJ81" s="14" t="n">
        <f aca="false">IFERROR(AM81*U81*MIN(1/AE81,5),"")</f>
        <v>91556.7183617719</v>
      </c>
      <c r="AK81" s="18" t="n">
        <f aca="false">IFERROR(AJ81/AI81,"")</f>
        <v>0.757292955845922</v>
      </c>
      <c r="AL81" s="15" t="n">
        <f aca="false">IFERROR(AI81/(AM81*U81/12),"")</f>
        <v>48.310717234642</v>
      </c>
      <c r="AM81" s="12" t="n">
        <v>48760</v>
      </c>
      <c r="AN81" s="12" t="n">
        <v>272446</v>
      </c>
      <c r="AO81" s="12" t="n">
        <v>1012716</v>
      </c>
      <c r="AP81" s="17" t="n">
        <v>0.158</v>
      </c>
      <c r="AQ81" s="16" t="n">
        <v>77</v>
      </c>
      <c r="AR81" s="16" t="n">
        <v>4</v>
      </c>
      <c r="AS81" s="13" t="n">
        <f aca="false">IFERROR(AR81/AR80-1,"")</f>
        <v>0</v>
      </c>
      <c r="AT81" s="11" t="s">
        <v>196</v>
      </c>
      <c r="AU81" s="14" t="n">
        <f aca="false">IFERROR(P81/AR81,"")</f>
        <v>59445.25</v>
      </c>
      <c r="AV81" s="12" t="n">
        <v>1696538</v>
      </c>
      <c r="AW81" s="12" t="n">
        <v>807566</v>
      </c>
      <c r="AX81" s="12" t="n">
        <v>423759</v>
      </c>
      <c r="AY81" s="16" t="n">
        <v>1742</v>
      </c>
      <c r="AZ81" s="13" t="n">
        <f aca="false">IFERROR(AY81/AY80-1,"")</f>
        <v>-0.073404255319149</v>
      </c>
      <c r="BA81" s="17" t="n">
        <v>0.674</v>
      </c>
      <c r="BB81" s="11" t="s">
        <v>171</v>
      </c>
      <c r="BC81" s="11" t="s">
        <v>120</v>
      </c>
      <c r="BD81" s="11" t="s">
        <v>109</v>
      </c>
      <c r="BE81" s="12" t="n">
        <v>381090</v>
      </c>
      <c r="BF81" s="13" t="n">
        <f aca="false">IFERROR(P81/BE81-1,"")</f>
        <v>-0.376050276837493</v>
      </c>
      <c r="BG81" s="17" t="n">
        <v>0.301</v>
      </c>
      <c r="BH81" s="17" t="n">
        <v>0.169</v>
      </c>
      <c r="BI81" s="14" t="n">
        <f aca="false">P81*(1+IFERROR(Q81,0))^4</f>
        <v>151490.845990767</v>
      </c>
      <c r="BJ81" s="12" t="n">
        <v>-1023991</v>
      </c>
      <c r="BK81" s="11" t="s">
        <v>147</v>
      </c>
      <c r="BL81" s="11" t="s">
        <v>122</v>
      </c>
      <c r="BM81" s="14" t="n">
        <f aca="false">O81</f>
        <v>18491761</v>
      </c>
      <c r="BN81" s="11" t="s">
        <v>197</v>
      </c>
      <c r="BO81" s="13" t="n">
        <f aca="false">IFERROR(1-L81/M81,"")</f>
        <v>0.181163741693645</v>
      </c>
      <c r="BP81" s="11" t="s">
        <v>198</v>
      </c>
      <c r="BQ81" s="12" t="n">
        <v>2785701</v>
      </c>
      <c r="BR81" s="11" t="s">
        <v>88</v>
      </c>
      <c r="BS81" s="11" t="s">
        <v>89</v>
      </c>
      <c r="BT81" s="19" t="str">
        <f aca="false">IF(OR(Z81&lt;6,AH81&lt;0.9,S81&lt;0.02,AK81&lt;1),"REVIEW",IF(AND(S81&gt;0.25,AH81&gt;1.2),"ACCELERATING","STABLE"))</f>
        <v>REVIEW</v>
      </c>
    </row>
    <row r="82" customFormat="false" ht="15" hidden="false" customHeight="false" outlineLevel="0" collapsed="false">
      <c r="A82" s="3" t="s">
        <v>199</v>
      </c>
      <c r="B82" s="3" t="s">
        <v>73</v>
      </c>
      <c r="C82" s="3" t="s">
        <v>74</v>
      </c>
      <c r="D82" s="3" t="s">
        <v>115</v>
      </c>
      <c r="E82" s="3" t="s">
        <v>105</v>
      </c>
      <c r="F82" s="3" t="s">
        <v>200</v>
      </c>
      <c r="G82" s="3" t="s">
        <v>78</v>
      </c>
      <c r="H82" s="3" t="s">
        <v>79</v>
      </c>
      <c r="I82" s="3" t="s">
        <v>78</v>
      </c>
      <c r="J82" s="4" t="n">
        <v>2189000</v>
      </c>
      <c r="K82" s="5" t="n">
        <f aca="false">IFERROR(J82/M82,"")</f>
        <v>0.19074590449634</v>
      </c>
      <c r="L82" s="4" t="n">
        <v>9287000</v>
      </c>
      <c r="M82" s="6" t="n">
        <f aca="false">L82+J82</f>
        <v>11476000</v>
      </c>
      <c r="N82" s="4" t="n">
        <v>6808000</v>
      </c>
      <c r="O82" s="4" t="n">
        <v>9824436</v>
      </c>
      <c r="P82" s="4" t="n">
        <v>807479</v>
      </c>
      <c r="Q82" s="7"/>
      <c r="R82" s="4" t="n">
        <v>1054990</v>
      </c>
      <c r="S82" s="7"/>
      <c r="T82" s="4" t="n">
        <v>584574</v>
      </c>
      <c r="U82" s="5" t="n">
        <f aca="false">IFERROR(T82/P82,"")</f>
        <v>0.723949477323869</v>
      </c>
      <c r="V82" s="6" t="n">
        <f aca="false">T82-AV82</f>
        <v>-1977002</v>
      </c>
      <c r="W82" s="6" t="n">
        <f aca="false">V82-AA82*0.1</f>
        <v>-1977002</v>
      </c>
      <c r="X82" s="4" t="n">
        <v>4379910</v>
      </c>
      <c r="Y82" s="4" t="n">
        <v>191100</v>
      </c>
      <c r="Z82" s="8" t="n">
        <f aca="false">IFERROR(X82/Y82,"")</f>
        <v>22.9194662480377</v>
      </c>
      <c r="AA82" s="4" t="n">
        <v>0</v>
      </c>
      <c r="AB82" s="6" t="n">
        <f aca="false">W82-0.02*P82</f>
        <v>-1993151.58</v>
      </c>
      <c r="AC82" s="9" t="n">
        <v>24</v>
      </c>
      <c r="AD82" s="7"/>
      <c r="AE82" s="7" t="n">
        <v>0.136</v>
      </c>
      <c r="AF82" s="7" t="n">
        <v>0.109</v>
      </c>
      <c r="AG82" s="5" t="n">
        <f aca="false">1-AF82</f>
        <v>0.891</v>
      </c>
      <c r="AH82" s="7" t="n">
        <v>1.121</v>
      </c>
      <c r="AI82" s="4" t="n">
        <v>13886</v>
      </c>
      <c r="AJ82" s="6" t="n">
        <f aca="false">IFERROR(AM82*U82*MIN(1/AE82,5),"")</f>
        <v>36197.4738661934</v>
      </c>
      <c r="AK82" s="10" t="n">
        <f aca="false">IFERROR(AJ82/AI82,"")</f>
        <v>2.60676032451343</v>
      </c>
      <c r="AL82" s="8" t="n">
        <f aca="false">IFERROR(AI82/(AM82*U82/12),"")</f>
        <v>23.0170758069979</v>
      </c>
      <c r="AM82" s="4" t="n">
        <v>10000</v>
      </c>
      <c r="AN82" s="4" t="n">
        <v>1227174</v>
      </c>
      <c r="AO82" s="4" t="n">
        <v>3419737</v>
      </c>
      <c r="AP82" s="7" t="n">
        <v>0.279</v>
      </c>
      <c r="AQ82" s="9" t="n">
        <v>34</v>
      </c>
      <c r="AR82" s="9" t="n">
        <v>2</v>
      </c>
      <c r="AS82" s="7"/>
      <c r="AT82" s="3" t="s">
        <v>201</v>
      </c>
      <c r="AU82" s="6" t="n">
        <f aca="false">IFERROR(P82/AR82,"")</f>
        <v>403739.5</v>
      </c>
      <c r="AV82" s="4" t="n">
        <v>2561576</v>
      </c>
      <c r="AW82" s="4" t="n">
        <v>1033751</v>
      </c>
      <c r="AX82" s="4" t="n">
        <v>570264</v>
      </c>
      <c r="AY82" s="9" t="n">
        <v>12917</v>
      </c>
      <c r="AZ82" s="7"/>
      <c r="BA82" s="7" t="n">
        <v>0.903</v>
      </c>
      <c r="BB82" s="3" t="s">
        <v>161</v>
      </c>
      <c r="BC82" s="3" t="s">
        <v>100</v>
      </c>
      <c r="BD82" s="3" t="s">
        <v>83</v>
      </c>
      <c r="BE82" s="4" t="n">
        <v>824491</v>
      </c>
      <c r="BF82" s="5" t="n">
        <f aca="false">IFERROR(P82/BE82-1,"")</f>
        <v>-0.0206333362037912</v>
      </c>
      <c r="BG82" s="7" t="n">
        <v>0.017</v>
      </c>
      <c r="BH82" s="7" t="n">
        <v>-0.061</v>
      </c>
      <c r="BI82" s="6" t="n">
        <f aca="false">P82</f>
        <v>807479</v>
      </c>
      <c r="BJ82" s="4" t="n">
        <v>-1797484</v>
      </c>
      <c r="BK82" s="3" t="s">
        <v>192</v>
      </c>
      <c r="BL82" s="3" t="s">
        <v>162</v>
      </c>
      <c r="BM82" s="6" t="n">
        <f aca="false">O82</f>
        <v>9824436</v>
      </c>
      <c r="BN82" s="3" t="s">
        <v>202</v>
      </c>
      <c r="BO82" s="5" t="n">
        <f aca="false">IFERROR(1-L82/M82,"")</f>
        <v>0.19074590449634</v>
      </c>
      <c r="BP82" s="3" t="s">
        <v>130</v>
      </c>
      <c r="BQ82" s="4" t="n">
        <v>2842975</v>
      </c>
      <c r="BR82" s="3" t="s">
        <v>88</v>
      </c>
      <c r="BS82" s="3" t="s">
        <v>89</v>
      </c>
      <c r="BT82" s="3" t="s">
        <v>90</v>
      </c>
    </row>
    <row r="83" customFormat="false" ht="15" hidden="false" customHeight="false" outlineLevel="0" collapsed="false">
      <c r="A83" s="11" t="s">
        <v>199</v>
      </c>
      <c r="B83" s="11" t="s">
        <v>91</v>
      </c>
      <c r="C83" s="11" t="s">
        <v>74</v>
      </c>
      <c r="D83" s="11" t="s">
        <v>115</v>
      </c>
      <c r="E83" s="11" t="s">
        <v>105</v>
      </c>
      <c r="F83" s="11" t="s">
        <v>200</v>
      </c>
      <c r="G83" s="11" t="s">
        <v>78</v>
      </c>
      <c r="H83" s="11" t="s">
        <v>79</v>
      </c>
      <c r="I83" s="11" t="s">
        <v>78</v>
      </c>
      <c r="J83" s="12" t="n">
        <v>2189000</v>
      </c>
      <c r="K83" s="13" t="n">
        <f aca="false">IFERROR(J83/M83,"")</f>
        <v>0.19074590449634</v>
      </c>
      <c r="L83" s="12" t="n">
        <v>9287000</v>
      </c>
      <c r="M83" s="14" t="n">
        <f aca="false">L83+J83</f>
        <v>11476000</v>
      </c>
      <c r="N83" s="12" t="n">
        <v>6808000</v>
      </c>
      <c r="O83" s="12" t="n">
        <v>9824436</v>
      </c>
      <c r="P83" s="12" t="n">
        <v>988850</v>
      </c>
      <c r="Q83" s="13" t="n">
        <f aca="false">IFERROR(P83/P82-1,"")</f>
        <v>0.224613890887565</v>
      </c>
      <c r="R83" s="12" t="n">
        <v>1140537</v>
      </c>
      <c r="S83" s="13" t="n">
        <f aca="false">IFERROR(R83/R82-1,"")</f>
        <v>0.0810879723978426</v>
      </c>
      <c r="T83" s="12" t="n">
        <v>718775</v>
      </c>
      <c r="U83" s="13" t="n">
        <f aca="false">IFERROR(T83/P83,"")</f>
        <v>0.726879708752591</v>
      </c>
      <c r="V83" s="14" t="n">
        <f aca="false">T83-AV83</f>
        <v>-1792402</v>
      </c>
      <c r="W83" s="14" t="n">
        <f aca="false">V83-AA83*0.1</f>
        <v>-1792402</v>
      </c>
      <c r="X83" s="12" t="n">
        <v>3897960</v>
      </c>
      <c r="Y83" s="12" t="n">
        <v>197400</v>
      </c>
      <c r="Z83" s="15" t="n">
        <f aca="false">IFERROR(X83/Y83,"")</f>
        <v>19.7465045592705</v>
      </c>
      <c r="AA83" s="12" t="n">
        <v>0</v>
      </c>
      <c r="AB83" s="14" t="n">
        <f aca="false">W83-0.02*P83</f>
        <v>-1812179</v>
      </c>
      <c r="AC83" s="16" t="n">
        <v>26</v>
      </c>
      <c r="AD83" s="13" t="n">
        <f aca="false">IFERROR(AC83/AC82-1,"")</f>
        <v>0.0833333333333333</v>
      </c>
      <c r="AE83" s="17" t="n">
        <v>0.133</v>
      </c>
      <c r="AF83" s="17" t="n">
        <v>0.089</v>
      </c>
      <c r="AG83" s="13" t="n">
        <f aca="false">1-AF83</f>
        <v>0.911</v>
      </c>
      <c r="AH83" s="17" t="n">
        <v>1.116</v>
      </c>
      <c r="AI83" s="12" t="n">
        <v>13624</v>
      </c>
      <c r="AJ83" s="14" t="n">
        <f aca="false">IFERROR(AM83*U83*MIN(1/AE83,5),"")</f>
        <v>37070.8651463822</v>
      </c>
      <c r="AK83" s="18" t="n">
        <f aca="false">IFERROR(AJ83/AI83,"")</f>
        <v>2.72099714814901</v>
      </c>
      <c r="AL83" s="15" t="n">
        <f aca="false">IFERROR(AI83/(AM83*U83/12),"")</f>
        <v>22.0507397594355</v>
      </c>
      <c r="AM83" s="12" t="n">
        <v>10200</v>
      </c>
      <c r="AN83" s="12" t="n">
        <v>1419492</v>
      </c>
      <c r="AO83" s="12" t="n">
        <v>3937019</v>
      </c>
      <c r="AP83" s="17" t="n">
        <v>0.279</v>
      </c>
      <c r="AQ83" s="16" t="n">
        <v>34</v>
      </c>
      <c r="AR83" s="16" t="n">
        <v>2</v>
      </c>
      <c r="AS83" s="13" t="n">
        <f aca="false">IFERROR(AR83/AR82-1,"")</f>
        <v>0</v>
      </c>
      <c r="AT83" s="11" t="s">
        <v>201</v>
      </c>
      <c r="AU83" s="14" t="n">
        <f aca="false">IFERROR(P83/AR83,"")</f>
        <v>494425</v>
      </c>
      <c r="AV83" s="12" t="n">
        <v>2511177</v>
      </c>
      <c r="AW83" s="12" t="n">
        <v>1126641</v>
      </c>
      <c r="AX83" s="12" t="n">
        <v>741291</v>
      </c>
      <c r="AY83" s="16" t="n">
        <v>15195</v>
      </c>
      <c r="AZ83" s="13" t="n">
        <f aca="false">IFERROR(AY83/AY82-1,"")</f>
        <v>0.176356739180924</v>
      </c>
      <c r="BA83" s="17" t="n">
        <v>0.886</v>
      </c>
      <c r="BB83" s="11" t="s">
        <v>161</v>
      </c>
      <c r="BC83" s="11" t="s">
        <v>100</v>
      </c>
      <c r="BD83" s="11" t="s">
        <v>83</v>
      </c>
      <c r="BE83" s="12" t="n">
        <v>1150244</v>
      </c>
      <c r="BF83" s="13" t="n">
        <f aca="false">IFERROR(P83/BE83-1,"")</f>
        <v>-0.14031283797177</v>
      </c>
      <c r="BG83" s="17" t="n">
        <v>-0.012</v>
      </c>
      <c r="BH83" s="17" t="n">
        <v>0.092</v>
      </c>
      <c r="BI83" s="14" t="n">
        <f aca="false">P83*(1+IFERROR(Q83,0))^4</f>
        <v>2223960.87841138</v>
      </c>
      <c r="BJ83" s="12" t="n">
        <v>-1343018</v>
      </c>
      <c r="BK83" s="11" t="s">
        <v>192</v>
      </c>
      <c r="BL83" s="11" t="s">
        <v>162</v>
      </c>
      <c r="BM83" s="14" t="n">
        <f aca="false">O83</f>
        <v>9824436</v>
      </c>
      <c r="BN83" s="11" t="s">
        <v>202</v>
      </c>
      <c r="BO83" s="13" t="n">
        <f aca="false">IFERROR(1-L83/M83,"")</f>
        <v>0.19074590449634</v>
      </c>
      <c r="BP83" s="11" t="s">
        <v>130</v>
      </c>
      <c r="BQ83" s="12" t="n">
        <v>3296850</v>
      </c>
      <c r="BR83" s="11" t="s">
        <v>88</v>
      </c>
      <c r="BS83" s="11" t="s">
        <v>89</v>
      </c>
      <c r="BT83" s="19" t="str">
        <f aca="false">IF(OR(Z83&lt;6,AH83&lt;0.9,S83&lt;0.02,AK83&lt;1),"REVIEW",IF(AND(S83&gt;0.25,AH83&gt;1.2),"ACCELERATING","STABLE"))</f>
        <v>STABLE</v>
      </c>
    </row>
    <row r="84" customFormat="false" ht="15" hidden="false" customHeight="false" outlineLevel="0" collapsed="false">
      <c r="A84" s="11" t="s">
        <v>199</v>
      </c>
      <c r="B84" s="11" t="s">
        <v>92</v>
      </c>
      <c r="C84" s="11" t="s">
        <v>74</v>
      </c>
      <c r="D84" s="11" t="s">
        <v>115</v>
      </c>
      <c r="E84" s="11" t="s">
        <v>105</v>
      </c>
      <c r="F84" s="11" t="s">
        <v>200</v>
      </c>
      <c r="G84" s="11" t="s">
        <v>78</v>
      </c>
      <c r="H84" s="11" t="s">
        <v>79</v>
      </c>
      <c r="I84" s="11" t="s">
        <v>78</v>
      </c>
      <c r="J84" s="12" t="n">
        <v>2189000</v>
      </c>
      <c r="K84" s="13" t="n">
        <f aca="false">IFERROR(J84/M84,"")</f>
        <v>0.19074590449634</v>
      </c>
      <c r="L84" s="12" t="n">
        <v>9287000</v>
      </c>
      <c r="M84" s="14" t="n">
        <f aca="false">L84+J84</f>
        <v>11476000</v>
      </c>
      <c r="N84" s="12" t="n">
        <v>6808000</v>
      </c>
      <c r="O84" s="12" t="n">
        <v>9824436</v>
      </c>
      <c r="P84" s="12" t="n">
        <v>1147721</v>
      </c>
      <c r="Q84" s="13" t="n">
        <f aca="false">IFERROR(P84/P83-1,"")</f>
        <v>0.160662385599434</v>
      </c>
      <c r="R84" s="12" t="n">
        <v>1369235</v>
      </c>
      <c r="S84" s="13" t="n">
        <f aca="false">IFERROR(R84/R83-1,"")</f>
        <v>0.20051782625202</v>
      </c>
      <c r="T84" s="12" t="n">
        <v>837619</v>
      </c>
      <c r="U84" s="13" t="n">
        <f aca="false">IFERROR(T84/P84,"")</f>
        <v>0.729810642133411</v>
      </c>
      <c r="V84" s="14" t="n">
        <f aca="false">T84-AV84</f>
        <v>-1835163</v>
      </c>
      <c r="W84" s="14" t="n">
        <f aca="false">V84-AA84*0.1</f>
        <v>-1835163</v>
      </c>
      <c r="X84" s="12" t="n">
        <v>3381990</v>
      </c>
      <c r="Y84" s="12" t="n">
        <v>203700</v>
      </c>
      <c r="Z84" s="15" t="n">
        <f aca="false">IFERROR(X84/Y84,"")</f>
        <v>16.6027982326951</v>
      </c>
      <c r="AA84" s="12" t="n">
        <v>0</v>
      </c>
      <c r="AB84" s="14" t="n">
        <f aca="false">W84-0.02*P84</f>
        <v>-1858117.42</v>
      </c>
      <c r="AC84" s="16" t="n">
        <v>31</v>
      </c>
      <c r="AD84" s="13" t="n">
        <f aca="false">IFERROR(AC84/AC83-1,"")</f>
        <v>0.192307692307692</v>
      </c>
      <c r="AE84" s="17" t="n">
        <v>0.129</v>
      </c>
      <c r="AF84" s="17" t="n">
        <v>0.125</v>
      </c>
      <c r="AG84" s="13" t="n">
        <f aca="false">1-AF84</f>
        <v>0.875</v>
      </c>
      <c r="AH84" s="17" t="n">
        <v>1.111</v>
      </c>
      <c r="AI84" s="12" t="n">
        <v>13362</v>
      </c>
      <c r="AJ84" s="14" t="n">
        <f aca="false">IFERROR(AM84*U84*MIN(1/AE84,5),"")</f>
        <v>37950.1533909374</v>
      </c>
      <c r="AK84" s="18" t="n">
        <f aca="false">IFERROR(AJ84/AI84,"")</f>
        <v>2.84015517070329</v>
      </c>
      <c r="AL84" s="15" t="n">
        <f aca="false">IFERROR(AI84/(AM84*U84/12),"")</f>
        <v>21.1256063115533</v>
      </c>
      <c r="AM84" s="12" t="n">
        <v>10400</v>
      </c>
      <c r="AN84" s="12" t="n">
        <v>1785542</v>
      </c>
      <c r="AO84" s="12" t="n">
        <v>3890558</v>
      </c>
      <c r="AP84" s="17" t="n">
        <v>0.279</v>
      </c>
      <c r="AQ84" s="16" t="n">
        <v>34</v>
      </c>
      <c r="AR84" s="16" t="n">
        <v>3</v>
      </c>
      <c r="AS84" s="13" t="n">
        <f aca="false">IFERROR(AR84/AR83-1,"")</f>
        <v>0.5</v>
      </c>
      <c r="AT84" s="11" t="s">
        <v>201</v>
      </c>
      <c r="AU84" s="14" t="n">
        <f aca="false">IFERROR(P84/AR84,"")</f>
        <v>382573.666666667</v>
      </c>
      <c r="AV84" s="12" t="n">
        <v>2672782</v>
      </c>
      <c r="AW84" s="12" t="n">
        <v>931651</v>
      </c>
      <c r="AX84" s="12" t="n">
        <v>800799</v>
      </c>
      <c r="AY84" s="16" t="n">
        <v>17265</v>
      </c>
      <c r="AZ84" s="13" t="n">
        <f aca="false">IFERROR(AY84/AY83-1,"")</f>
        <v>0.136229022704837</v>
      </c>
      <c r="BA84" s="17" t="n">
        <v>0.878</v>
      </c>
      <c r="BB84" s="11" t="s">
        <v>161</v>
      </c>
      <c r="BC84" s="11" t="s">
        <v>100</v>
      </c>
      <c r="BD84" s="11" t="s">
        <v>83</v>
      </c>
      <c r="BE84" s="12" t="n">
        <v>1149028</v>
      </c>
      <c r="BF84" s="13" t="n">
        <f aca="false">IFERROR(P84/BE84-1,"")</f>
        <v>-0.00113748315967932</v>
      </c>
      <c r="BG84" s="17" t="n">
        <v>0.058</v>
      </c>
      <c r="BH84" s="17" t="n">
        <v>0.009</v>
      </c>
      <c r="BI84" s="14" t="n">
        <f aca="false">P84*(1+IFERROR(Q84,0))^4</f>
        <v>2082859.46803337</v>
      </c>
      <c r="BJ84" s="12" t="n">
        <v>-2292259</v>
      </c>
      <c r="BK84" s="11" t="s">
        <v>192</v>
      </c>
      <c r="BL84" s="11" t="s">
        <v>162</v>
      </c>
      <c r="BM84" s="14" t="n">
        <f aca="false">O84</f>
        <v>9824436</v>
      </c>
      <c r="BN84" s="11" t="s">
        <v>202</v>
      </c>
      <c r="BO84" s="13" t="n">
        <f aca="false">IFERROR(1-L84/M84,"")</f>
        <v>0.19074590449634</v>
      </c>
      <c r="BP84" s="11" t="s">
        <v>130</v>
      </c>
      <c r="BQ84" s="12" t="n">
        <v>3623726</v>
      </c>
      <c r="BR84" s="11" t="s">
        <v>88</v>
      </c>
      <c r="BS84" s="11" t="s">
        <v>89</v>
      </c>
      <c r="BT84" s="19" t="str">
        <f aca="false">IF(OR(Z84&lt;6,AH84&lt;0.9,S84&lt;0.02,AK84&lt;1),"REVIEW",IF(AND(S84&gt;0.25,AH84&gt;1.2),"ACCELERATING","STABLE"))</f>
        <v>STABLE</v>
      </c>
    </row>
    <row r="85" customFormat="false" ht="15" hidden="false" customHeight="false" outlineLevel="0" collapsed="false">
      <c r="A85" s="11" t="s">
        <v>199</v>
      </c>
      <c r="B85" s="11" t="s">
        <v>93</v>
      </c>
      <c r="C85" s="11" t="s">
        <v>74</v>
      </c>
      <c r="D85" s="11" t="s">
        <v>115</v>
      </c>
      <c r="E85" s="11" t="s">
        <v>105</v>
      </c>
      <c r="F85" s="11" t="s">
        <v>200</v>
      </c>
      <c r="G85" s="11" t="s">
        <v>78</v>
      </c>
      <c r="H85" s="11" t="s">
        <v>79</v>
      </c>
      <c r="I85" s="11" t="s">
        <v>78</v>
      </c>
      <c r="J85" s="12" t="n">
        <v>2189000</v>
      </c>
      <c r="K85" s="13" t="n">
        <f aca="false">IFERROR(J85/M85,"")</f>
        <v>0.19074590449634</v>
      </c>
      <c r="L85" s="12" t="n">
        <v>9287000</v>
      </c>
      <c r="M85" s="14" t="n">
        <f aca="false">L85+J85</f>
        <v>11476000</v>
      </c>
      <c r="N85" s="12" t="n">
        <v>6808000</v>
      </c>
      <c r="O85" s="12" t="n">
        <v>9824436</v>
      </c>
      <c r="P85" s="12" t="n">
        <v>1315628</v>
      </c>
      <c r="Q85" s="13" t="n">
        <f aca="false">IFERROR(P85/P84-1,"")</f>
        <v>0.14629600747917</v>
      </c>
      <c r="R85" s="12" t="n">
        <v>1680447</v>
      </c>
      <c r="S85" s="13" t="n">
        <f aca="false">IFERROR(R85/R84-1,"")</f>
        <v>0.227288960623998</v>
      </c>
      <c r="T85" s="12" t="n">
        <v>964016</v>
      </c>
      <c r="U85" s="13" t="n">
        <f aca="false">IFERROR(T85/P85,"")</f>
        <v>0.732742082108316</v>
      </c>
      <c r="V85" s="14" t="n">
        <f aca="false">T85-AV85</f>
        <v>-2118778</v>
      </c>
      <c r="W85" s="14" t="n">
        <f aca="false">V85-AA85*0.1</f>
        <v>-2118778</v>
      </c>
      <c r="X85" s="12" t="n">
        <v>2832000</v>
      </c>
      <c r="Y85" s="12" t="n">
        <v>210000</v>
      </c>
      <c r="Z85" s="15" t="n">
        <f aca="false">IFERROR(X85/Y85,"")</f>
        <v>13.4857142857143</v>
      </c>
      <c r="AA85" s="12" t="n">
        <v>0</v>
      </c>
      <c r="AB85" s="14" t="n">
        <f aca="false">W85-0.02*P85</f>
        <v>-2145090.56</v>
      </c>
      <c r="AC85" s="16" t="n">
        <v>36</v>
      </c>
      <c r="AD85" s="13" t="n">
        <f aca="false">IFERROR(AC85/AC84-1,"")</f>
        <v>0.161290322580645</v>
      </c>
      <c r="AE85" s="17" t="n">
        <v>0.125</v>
      </c>
      <c r="AF85" s="17" t="n">
        <v>0.109</v>
      </c>
      <c r="AG85" s="13" t="n">
        <f aca="false">1-AF85</f>
        <v>0.891</v>
      </c>
      <c r="AH85" s="17" t="n">
        <v>1.106</v>
      </c>
      <c r="AI85" s="12" t="n">
        <v>13100</v>
      </c>
      <c r="AJ85" s="14" t="n">
        <f aca="false">IFERROR(AM85*U85*MIN(1/AE85,5),"")</f>
        <v>38835.3303517408</v>
      </c>
      <c r="AK85" s="18" t="n">
        <f aca="false">IFERROR(AJ85/AI85,"")</f>
        <v>2.96452903448403</v>
      </c>
      <c r="AL85" s="15" t="n">
        <f aca="false">IFERROR(AI85/(AM85*U85/12),"")</f>
        <v>20.2393025340846</v>
      </c>
      <c r="AM85" s="12" t="n">
        <v>10600</v>
      </c>
      <c r="AN85" s="12" t="n">
        <v>1519562</v>
      </c>
      <c r="AO85" s="12" t="n">
        <v>5153459</v>
      </c>
      <c r="AP85" s="17" t="n">
        <v>0.279</v>
      </c>
      <c r="AQ85" s="16" t="n">
        <v>34</v>
      </c>
      <c r="AR85" s="16" t="n">
        <v>3</v>
      </c>
      <c r="AS85" s="13" t="n">
        <f aca="false">IFERROR(AR85/AR84-1,"")</f>
        <v>0</v>
      </c>
      <c r="AT85" s="11" t="s">
        <v>201</v>
      </c>
      <c r="AU85" s="14" t="n">
        <f aca="false">IFERROR(P85/AR85,"")</f>
        <v>438542.666666667</v>
      </c>
      <c r="AV85" s="12" t="n">
        <v>3082794</v>
      </c>
      <c r="AW85" s="12" t="n">
        <v>958513</v>
      </c>
      <c r="AX85" s="12" t="n">
        <v>740797</v>
      </c>
      <c r="AY85" s="16" t="n">
        <v>20876</v>
      </c>
      <c r="AZ85" s="13" t="n">
        <f aca="false">IFERROR(AY85/AY84-1,"")</f>
        <v>0.20915146249638</v>
      </c>
      <c r="BA85" s="17" t="n">
        <v>0.87</v>
      </c>
      <c r="BB85" s="11" t="s">
        <v>161</v>
      </c>
      <c r="BC85" s="11" t="s">
        <v>100</v>
      </c>
      <c r="BD85" s="11" t="s">
        <v>83</v>
      </c>
      <c r="BE85" s="12" t="n">
        <v>1410604</v>
      </c>
      <c r="BF85" s="13" t="n">
        <f aca="false">IFERROR(P85/BE85-1,"")</f>
        <v>-0.0673300231673808</v>
      </c>
      <c r="BG85" s="17" t="n">
        <v>-0.037</v>
      </c>
      <c r="BH85" s="17" t="n">
        <v>0</v>
      </c>
      <c r="BI85" s="14" t="n">
        <f aca="false">P85*(1+IFERROR(Q85,0))^4</f>
        <v>2271539.15334605</v>
      </c>
      <c r="BJ85" s="12" t="n">
        <v>-1990492</v>
      </c>
      <c r="BK85" s="11" t="s">
        <v>192</v>
      </c>
      <c r="BL85" s="11" t="s">
        <v>162</v>
      </c>
      <c r="BM85" s="14" t="n">
        <f aca="false">O85</f>
        <v>9824436</v>
      </c>
      <c r="BN85" s="11" t="s">
        <v>202</v>
      </c>
      <c r="BO85" s="13" t="n">
        <f aca="false">IFERROR(1-L85/M85,"")</f>
        <v>0.19074590449634</v>
      </c>
      <c r="BP85" s="11" t="s">
        <v>130</v>
      </c>
      <c r="BQ85" s="12" t="n">
        <v>2770692</v>
      </c>
      <c r="BR85" s="11" t="s">
        <v>88</v>
      </c>
      <c r="BS85" s="11" t="s">
        <v>89</v>
      </c>
      <c r="BT85" s="19" t="str">
        <f aca="false">IF(OR(Z85&lt;6,AH85&lt;0.9,S85&lt;0.02,AK85&lt;1),"REVIEW",IF(AND(S85&gt;0.25,AH85&gt;1.2),"ACCELERATING","STABLE"))</f>
        <v>STABLE</v>
      </c>
    </row>
    <row r="86" customFormat="false" ht="15" hidden="false" customHeight="false" outlineLevel="0" collapsed="false">
      <c r="A86" s="3" t="s">
        <v>203</v>
      </c>
      <c r="B86" s="3" t="s">
        <v>73</v>
      </c>
      <c r="C86" s="3" t="s">
        <v>74</v>
      </c>
      <c r="D86" s="3" t="s">
        <v>151</v>
      </c>
      <c r="E86" s="3" t="s">
        <v>105</v>
      </c>
      <c r="F86" s="3" t="s">
        <v>204</v>
      </c>
      <c r="G86" s="3" t="s">
        <v>78</v>
      </c>
      <c r="H86" s="3" t="s">
        <v>79</v>
      </c>
      <c r="I86" s="3" t="s">
        <v>78</v>
      </c>
      <c r="J86" s="4" t="n">
        <v>4826000</v>
      </c>
      <c r="K86" s="5" t="n">
        <f aca="false">IFERROR(J86/M86,"")</f>
        <v>0.161485695164798</v>
      </c>
      <c r="L86" s="4" t="n">
        <v>25059000</v>
      </c>
      <c r="M86" s="6" t="n">
        <f aca="false">L86+J86</f>
        <v>29885000</v>
      </c>
      <c r="N86" s="4" t="n">
        <v>5771000</v>
      </c>
      <c r="O86" s="4" t="n">
        <v>60710942</v>
      </c>
      <c r="P86" s="4" t="n">
        <v>894489</v>
      </c>
      <c r="Q86" s="7"/>
      <c r="R86" s="4" t="n">
        <v>938894</v>
      </c>
      <c r="S86" s="7"/>
      <c r="T86" s="4" t="n">
        <v>680763</v>
      </c>
      <c r="U86" s="5" t="n">
        <f aca="false">IFERROR(T86/P86,"")</f>
        <v>0.761063579317353</v>
      </c>
      <c r="V86" s="6" t="n">
        <f aca="false">T86-AV86</f>
        <v>-1237570</v>
      </c>
      <c r="W86" s="6" t="n">
        <f aca="false">V86-AA86*0.1</f>
        <v>-1237570</v>
      </c>
      <c r="X86" s="4" t="n">
        <v>4109601</v>
      </c>
      <c r="Y86" s="4" t="n">
        <v>119210</v>
      </c>
      <c r="Z86" s="8" t="n">
        <f aca="false">IFERROR(X86/Y86,"")</f>
        <v>34.4736263736264</v>
      </c>
      <c r="AA86" s="4" t="n">
        <v>0</v>
      </c>
      <c r="AB86" s="6" t="n">
        <f aca="false">W86-0.02*P86</f>
        <v>-1255459.78</v>
      </c>
      <c r="AC86" s="9" t="n">
        <v>47</v>
      </c>
      <c r="AD86" s="7"/>
      <c r="AE86" s="7" t="n">
        <v>0.097</v>
      </c>
      <c r="AF86" s="7" t="n">
        <v>0.059</v>
      </c>
      <c r="AG86" s="5" t="n">
        <f aca="false">1-AF86</f>
        <v>0.941</v>
      </c>
      <c r="AH86" s="7" t="n">
        <v>1.141</v>
      </c>
      <c r="AI86" s="4" t="n">
        <v>32966</v>
      </c>
      <c r="AJ86" s="6" t="n">
        <f aca="false">IFERROR(AM86*U86*MIN(1/AE86,5),"")</f>
        <v>60885.0863453883</v>
      </c>
      <c r="AK86" s="10" t="n">
        <f aca="false">IFERROR(AJ86/AI86,"")</f>
        <v>1.84690548884876</v>
      </c>
      <c r="AL86" s="8" t="n">
        <f aca="false">IFERROR(AI86/(AM86*U86/12),"")</f>
        <v>32.4867733418238</v>
      </c>
      <c r="AM86" s="4" t="n">
        <v>16000</v>
      </c>
      <c r="AN86" s="4" t="n">
        <v>1344954</v>
      </c>
      <c r="AO86" s="4" t="n">
        <v>1748760</v>
      </c>
      <c r="AP86" s="7" t="n">
        <v>0.347</v>
      </c>
      <c r="AQ86" s="9" t="n">
        <v>78</v>
      </c>
      <c r="AR86" s="9" t="n">
        <v>2</v>
      </c>
      <c r="AS86" s="7"/>
      <c r="AT86" s="3" t="s">
        <v>134</v>
      </c>
      <c r="AU86" s="6" t="n">
        <f aca="false">IFERROR(P86/AR86,"")</f>
        <v>447244.5</v>
      </c>
      <c r="AV86" s="4" t="n">
        <v>1918333</v>
      </c>
      <c r="AW86" s="4" t="n">
        <v>713826</v>
      </c>
      <c r="AX86" s="4" t="n">
        <v>563661</v>
      </c>
      <c r="AY86" s="9" t="n">
        <v>6346</v>
      </c>
      <c r="AZ86" s="7"/>
      <c r="BA86" s="7" t="n">
        <v>0.926</v>
      </c>
      <c r="BB86" s="3" t="s">
        <v>107</v>
      </c>
      <c r="BC86" s="3" t="s">
        <v>100</v>
      </c>
      <c r="BD86" s="3" t="s">
        <v>109</v>
      </c>
      <c r="BE86" s="4" t="n">
        <v>920628</v>
      </c>
      <c r="BF86" s="5" t="n">
        <f aca="false">IFERROR(P86/BE86-1,"")</f>
        <v>-0.0283925755028089</v>
      </c>
      <c r="BG86" s="7" t="n">
        <v>-0.031</v>
      </c>
      <c r="BH86" s="7" t="n">
        <v>0.037</v>
      </c>
      <c r="BI86" s="6" t="n">
        <f aca="false">P86</f>
        <v>894489</v>
      </c>
      <c r="BJ86" s="4" t="n">
        <v>-1130164</v>
      </c>
      <c r="BK86" s="3" t="s">
        <v>102</v>
      </c>
      <c r="BL86" s="3" t="s">
        <v>162</v>
      </c>
      <c r="BM86" s="6" t="n">
        <f aca="false">O86</f>
        <v>60710942</v>
      </c>
      <c r="BN86" s="3" t="s">
        <v>205</v>
      </c>
      <c r="BO86" s="5" t="n">
        <f aca="false">IFERROR(1-L86/M86,"")</f>
        <v>0.161485695164798</v>
      </c>
      <c r="BP86" s="3" t="s">
        <v>142</v>
      </c>
      <c r="BQ86" s="4" t="n">
        <v>1769012</v>
      </c>
      <c r="BR86" s="3" t="s">
        <v>88</v>
      </c>
      <c r="BS86" s="3" t="s">
        <v>89</v>
      </c>
      <c r="BT86" s="3" t="s">
        <v>90</v>
      </c>
    </row>
    <row r="87" customFormat="false" ht="15" hidden="false" customHeight="false" outlineLevel="0" collapsed="false">
      <c r="A87" s="11" t="s">
        <v>203</v>
      </c>
      <c r="B87" s="11" t="s">
        <v>91</v>
      </c>
      <c r="C87" s="11" t="s">
        <v>74</v>
      </c>
      <c r="D87" s="11" t="s">
        <v>151</v>
      </c>
      <c r="E87" s="11" t="s">
        <v>105</v>
      </c>
      <c r="F87" s="11" t="s">
        <v>204</v>
      </c>
      <c r="G87" s="11" t="s">
        <v>78</v>
      </c>
      <c r="H87" s="11" t="s">
        <v>79</v>
      </c>
      <c r="I87" s="11" t="s">
        <v>78</v>
      </c>
      <c r="J87" s="12" t="n">
        <v>4826000</v>
      </c>
      <c r="K87" s="13" t="n">
        <f aca="false">IFERROR(J87/M87,"")</f>
        <v>0.161485695164798</v>
      </c>
      <c r="L87" s="12" t="n">
        <v>25059000</v>
      </c>
      <c r="M87" s="14" t="n">
        <f aca="false">L87+J87</f>
        <v>29885000</v>
      </c>
      <c r="N87" s="12" t="n">
        <v>5771000</v>
      </c>
      <c r="O87" s="12" t="n">
        <v>60710942</v>
      </c>
      <c r="P87" s="12" t="n">
        <v>937430</v>
      </c>
      <c r="Q87" s="13" t="n">
        <f aca="false">IFERROR(P87/P86-1,"")</f>
        <v>0.0480061800648191</v>
      </c>
      <c r="R87" s="12" t="n">
        <v>1043379</v>
      </c>
      <c r="S87" s="13" t="n">
        <f aca="false">IFERROR(R87/R86-1,"")</f>
        <v>0.111285193003683</v>
      </c>
      <c r="T87" s="12" t="n">
        <v>716332</v>
      </c>
      <c r="U87" s="13" t="n">
        <f aca="false">IFERROR(T87/P87,"")</f>
        <v>0.764144522791035</v>
      </c>
      <c r="V87" s="14" t="n">
        <f aca="false">T87-AV87</f>
        <v>-1293060</v>
      </c>
      <c r="W87" s="14" t="n">
        <f aca="false">V87-AA87*0.1</f>
        <v>-1293060</v>
      </c>
      <c r="X87" s="12" t="n">
        <v>3808956</v>
      </c>
      <c r="Y87" s="12" t="n">
        <v>123140</v>
      </c>
      <c r="Z87" s="15" t="n">
        <f aca="false">IFERROR(X87/Y87,"")</f>
        <v>30.931914893617</v>
      </c>
      <c r="AA87" s="12" t="n">
        <v>0</v>
      </c>
      <c r="AB87" s="14" t="n">
        <f aca="false">W87-0.02*P87</f>
        <v>-1311808.6</v>
      </c>
      <c r="AC87" s="16" t="n">
        <v>49</v>
      </c>
      <c r="AD87" s="13" t="n">
        <f aca="false">IFERROR(AC87/AC86-1,"")</f>
        <v>0.0425531914893618</v>
      </c>
      <c r="AE87" s="17" t="n">
        <v>0.094</v>
      </c>
      <c r="AF87" s="17" t="n">
        <v>0.06</v>
      </c>
      <c r="AG87" s="13" t="n">
        <f aca="false">1-AF87</f>
        <v>0.94</v>
      </c>
      <c r="AH87" s="17" t="n">
        <v>1.136</v>
      </c>
      <c r="AI87" s="12" t="n">
        <v>32344</v>
      </c>
      <c r="AJ87" s="14" t="n">
        <f aca="false">IFERROR(AM87*U87*MIN(1/AE87,5),"")</f>
        <v>62354.1930597485</v>
      </c>
      <c r="AK87" s="18" t="n">
        <f aca="false">IFERROR(AJ87/AI87,"")</f>
        <v>1.9278442078824</v>
      </c>
      <c r="AL87" s="15" t="n">
        <f aca="false">IFERROR(AI87/(AM87*U87/12),"")</f>
        <v>31.1228468330984</v>
      </c>
      <c r="AM87" s="12" t="n">
        <v>16320</v>
      </c>
      <c r="AN87" s="12" t="n">
        <v>1133017</v>
      </c>
      <c r="AO87" s="12" t="n">
        <v>3884518</v>
      </c>
      <c r="AP87" s="17" t="n">
        <v>0.347</v>
      </c>
      <c r="AQ87" s="16" t="n">
        <v>78</v>
      </c>
      <c r="AR87" s="16" t="n">
        <v>2</v>
      </c>
      <c r="AS87" s="13" t="n">
        <f aca="false">IFERROR(AR87/AR86-1,"")</f>
        <v>0</v>
      </c>
      <c r="AT87" s="11" t="s">
        <v>134</v>
      </c>
      <c r="AU87" s="14" t="n">
        <f aca="false">IFERROR(P87/AR87,"")</f>
        <v>468715</v>
      </c>
      <c r="AV87" s="12" t="n">
        <v>2009392</v>
      </c>
      <c r="AW87" s="12" t="n">
        <v>653537</v>
      </c>
      <c r="AX87" s="12" t="n">
        <v>514873</v>
      </c>
      <c r="AY87" s="16" t="n">
        <v>6971</v>
      </c>
      <c r="AZ87" s="13" t="n">
        <f aca="false">IFERROR(AY87/AY86-1,"")</f>
        <v>0.0984872360542073</v>
      </c>
      <c r="BA87" s="17" t="n">
        <v>0.899</v>
      </c>
      <c r="BB87" s="11" t="s">
        <v>107</v>
      </c>
      <c r="BC87" s="11" t="s">
        <v>100</v>
      </c>
      <c r="BD87" s="11" t="s">
        <v>109</v>
      </c>
      <c r="BE87" s="12" t="n">
        <v>982147</v>
      </c>
      <c r="BF87" s="13" t="n">
        <f aca="false">IFERROR(P87/BE87-1,"")</f>
        <v>-0.0455298443104749</v>
      </c>
      <c r="BG87" s="17" t="n">
        <v>0.052</v>
      </c>
      <c r="BH87" s="17" t="n">
        <v>-0.06</v>
      </c>
      <c r="BI87" s="14" t="n">
        <f aca="false">P87*(1+IFERROR(Q87,0))^4</f>
        <v>1130821.93109519</v>
      </c>
      <c r="BJ87" s="12" t="n">
        <v>-847319</v>
      </c>
      <c r="BK87" s="11" t="s">
        <v>102</v>
      </c>
      <c r="BL87" s="11" t="s">
        <v>162</v>
      </c>
      <c r="BM87" s="14" t="n">
        <f aca="false">O87</f>
        <v>60710942</v>
      </c>
      <c r="BN87" s="11" t="s">
        <v>205</v>
      </c>
      <c r="BO87" s="13" t="n">
        <f aca="false">IFERROR(1-L87/M87,"")</f>
        <v>0.161485695164798</v>
      </c>
      <c r="BP87" s="11" t="s">
        <v>142</v>
      </c>
      <c r="BQ87" s="12" t="n">
        <v>1638184</v>
      </c>
      <c r="BR87" s="11" t="s">
        <v>88</v>
      </c>
      <c r="BS87" s="11" t="s">
        <v>89</v>
      </c>
      <c r="BT87" s="19" t="str">
        <f aca="false">IF(OR(Z87&lt;6,AH87&lt;0.9,S87&lt;0.02,AK87&lt;1),"REVIEW",IF(AND(S87&gt;0.25,AH87&gt;1.2),"ACCELERATING","STABLE"))</f>
        <v>STABLE</v>
      </c>
    </row>
    <row r="88" customFormat="false" ht="15" hidden="false" customHeight="false" outlineLevel="0" collapsed="false">
      <c r="A88" s="11" t="s">
        <v>203</v>
      </c>
      <c r="B88" s="11" t="s">
        <v>92</v>
      </c>
      <c r="C88" s="11" t="s">
        <v>74</v>
      </c>
      <c r="D88" s="11" t="s">
        <v>151</v>
      </c>
      <c r="E88" s="11" t="s">
        <v>105</v>
      </c>
      <c r="F88" s="11" t="s">
        <v>204</v>
      </c>
      <c r="G88" s="11" t="s">
        <v>78</v>
      </c>
      <c r="H88" s="11" t="s">
        <v>79</v>
      </c>
      <c r="I88" s="11" t="s">
        <v>78</v>
      </c>
      <c r="J88" s="12" t="n">
        <v>4826000</v>
      </c>
      <c r="K88" s="13" t="n">
        <f aca="false">IFERROR(J88/M88,"")</f>
        <v>0.161485695164798</v>
      </c>
      <c r="L88" s="12" t="n">
        <v>25059000</v>
      </c>
      <c r="M88" s="14" t="n">
        <f aca="false">L88+J88</f>
        <v>29885000</v>
      </c>
      <c r="N88" s="12" t="n">
        <v>5771000</v>
      </c>
      <c r="O88" s="12" t="n">
        <v>60710942</v>
      </c>
      <c r="P88" s="12" t="n">
        <v>1133262</v>
      </c>
      <c r="Q88" s="13" t="n">
        <f aca="false">IFERROR(P88/P87-1,"")</f>
        <v>0.208903064762169</v>
      </c>
      <c r="R88" s="12" t="n">
        <v>1235191</v>
      </c>
      <c r="S88" s="13" t="n">
        <f aca="false">IFERROR(R88/R87-1,"")</f>
        <v>0.18383732085848</v>
      </c>
      <c r="T88" s="12" t="n">
        <v>869469</v>
      </c>
      <c r="U88" s="13" t="n">
        <f aca="false">IFERROR(T88/P88,"")</f>
        <v>0.767226819570408</v>
      </c>
      <c r="V88" s="14" t="n">
        <f aca="false">T88-AV88</f>
        <v>-1470902</v>
      </c>
      <c r="W88" s="14" t="n">
        <f aca="false">V88-AA88*0.1</f>
        <v>-1470902</v>
      </c>
      <c r="X88" s="12" t="n">
        <v>3487089</v>
      </c>
      <c r="Y88" s="12" t="n">
        <v>127070</v>
      </c>
      <c r="Z88" s="15" t="n">
        <f aca="false">IFERROR(X88/Y88,"")</f>
        <v>27.4422680412371</v>
      </c>
      <c r="AA88" s="12" t="n">
        <v>0</v>
      </c>
      <c r="AB88" s="14" t="n">
        <f aca="false">W88-0.02*P88</f>
        <v>-1493567.24</v>
      </c>
      <c r="AC88" s="16" t="n">
        <v>57</v>
      </c>
      <c r="AD88" s="13" t="n">
        <f aca="false">IFERROR(AC88/AC87-1,"")</f>
        <v>0.163265306122449</v>
      </c>
      <c r="AE88" s="17" t="n">
        <v>0.092</v>
      </c>
      <c r="AF88" s="17" t="n">
        <v>0.081</v>
      </c>
      <c r="AG88" s="13" t="n">
        <f aca="false">1-AF88</f>
        <v>0.919</v>
      </c>
      <c r="AH88" s="17" t="n">
        <v>1.131</v>
      </c>
      <c r="AI88" s="12" t="n">
        <v>31722</v>
      </c>
      <c r="AJ88" s="14" t="n">
        <f aca="false">IFERROR(AM88*U88*MIN(1/AE88,5),"")</f>
        <v>63833.271388258</v>
      </c>
      <c r="AK88" s="18" t="n">
        <f aca="false">IFERROR(AJ88/AI88,"")</f>
        <v>2.01227133813309</v>
      </c>
      <c r="AL88" s="15" t="n">
        <f aca="false">IFERROR(AI88/(AM88*U88/12),"")</f>
        <v>29.8170524337268</v>
      </c>
      <c r="AM88" s="12" t="n">
        <v>16640</v>
      </c>
      <c r="AN88" s="12" t="n">
        <v>1157767</v>
      </c>
      <c r="AO88" s="12" t="n">
        <v>3730176</v>
      </c>
      <c r="AP88" s="17" t="n">
        <v>0.347</v>
      </c>
      <c r="AQ88" s="16" t="n">
        <v>78</v>
      </c>
      <c r="AR88" s="16" t="n">
        <v>3</v>
      </c>
      <c r="AS88" s="13" t="n">
        <f aca="false">IFERROR(AR88/AR87-1,"")</f>
        <v>0.5</v>
      </c>
      <c r="AT88" s="11" t="s">
        <v>134</v>
      </c>
      <c r="AU88" s="14" t="n">
        <f aca="false">IFERROR(P88/AR88,"")</f>
        <v>377754</v>
      </c>
      <c r="AV88" s="12" t="n">
        <v>2340371</v>
      </c>
      <c r="AW88" s="12" t="n">
        <v>950363</v>
      </c>
      <c r="AX88" s="12" t="n">
        <v>688972</v>
      </c>
      <c r="AY88" s="16" t="n">
        <v>7400</v>
      </c>
      <c r="AZ88" s="13" t="n">
        <f aca="false">IFERROR(AY88/AY87-1,"")</f>
        <v>0.0615406684837183</v>
      </c>
      <c r="BA88" s="17" t="n">
        <v>0.931</v>
      </c>
      <c r="BB88" s="11" t="s">
        <v>107</v>
      </c>
      <c r="BC88" s="11" t="s">
        <v>100</v>
      </c>
      <c r="BD88" s="11" t="s">
        <v>109</v>
      </c>
      <c r="BE88" s="12" t="n">
        <v>1126913</v>
      </c>
      <c r="BF88" s="13" t="n">
        <f aca="false">IFERROR(P88/BE88-1,"")</f>
        <v>0.00563397529356746</v>
      </c>
      <c r="BG88" s="17" t="n">
        <v>-0.038</v>
      </c>
      <c r="BH88" s="17" t="n">
        <v>0.083</v>
      </c>
      <c r="BI88" s="14" t="n">
        <f aca="false">P88*(1+IFERROR(Q88,0))^4</f>
        <v>2420450.69722483</v>
      </c>
      <c r="BJ88" s="12" t="n">
        <v>-1040121</v>
      </c>
      <c r="BK88" s="11" t="s">
        <v>102</v>
      </c>
      <c r="BL88" s="11" t="s">
        <v>162</v>
      </c>
      <c r="BM88" s="14" t="n">
        <f aca="false">O88</f>
        <v>60710942</v>
      </c>
      <c r="BN88" s="11" t="s">
        <v>205</v>
      </c>
      <c r="BO88" s="13" t="n">
        <f aca="false">IFERROR(1-L88/M88,"")</f>
        <v>0.161485695164798</v>
      </c>
      <c r="BP88" s="11" t="s">
        <v>142</v>
      </c>
      <c r="BQ88" s="12" t="n">
        <v>1734455</v>
      </c>
      <c r="BR88" s="11" t="s">
        <v>88</v>
      </c>
      <c r="BS88" s="11" t="s">
        <v>89</v>
      </c>
      <c r="BT88" s="19" t="str">
        <f aca="false">IF(OR(Z88&lt;6,AH88&lt;0.9,S88&lt;0.02,AK88&lt;1),"REVIEW",IF(AND(S88&gt;0.25,AH88&gt;1.2),"ACCELERATING","STABLE"))</f>
        <v>STABLE</v>
      </c>
    </row>
    <row r="89" customFormat="false" ht="15" hidden="false" customHeight="false" outlineLevel="0" collapsed="false">
      <c r="A89" s="11" t="s">
        <v>203</v>
      </c>
      <c r="B89" s="11" t="s">
        <v>93</v>
      </c>
      <c r="C89" s="11" t="s">
        <v>74</v>
      </c>
      <c r="D89" s="11" t="s">
        <v>151</v>
      </c>
      <c r="E89" s="11" t="s">
        <v>105</v>
      </c>
      <c r="F89" s="11" t="s">
        <v>204</v>
      </c>
      <c r="G89" s="11" t="s">
        <v>78</v>
      </c>
      <c r="H89" s="11" t="s">
        <v>79</v>
      </c>
      <c r="I89" s="11" t="s">
        <v>78</v>
      </c>
      <c r="J89" s="12" t="n">
        <v>4826000</v>
      </c>
      <c r="K89" s="13" t="n">
        <f aca="false">IFERROR(J89/M89,"")</f>
        <v>0.161485695164798</v>
      </c>
      <c r="L89" s="12" t="n">
        <v>25059000</v>
      </c>
      <c r="M89" s="14" t="n">
        <f aca="false">L89+J89</f>
        <v>29885000</v>
      </c>
      <c r="N89" s="12" t="n">
        <v>5771000</v>
      </c>
      <c r="O89" s="12" t="n">
        <v>60710942</v>
      </c>
      <c r="P89" s="12" t="n">
        <v>1255992</v>
      </c>
      <c r="Q89" s="13" t="n">
        <f aca="false">IFERROR(P89/P88-1,"")</f>
        <v>0.108297992873669</v>
      </c>
      <c r="R89" s="12" t="n">
        <v>1372427</v>
      </c>
      <c r="S89" s="13" t="n">
        <f aca="false">IFERROR(R89/R88-1,"")</f>
        <v>0.111105084152977</v>
      </c>
      <c r="T89" s="12" t="n">
        <v>967500</v>
      </c>
      <c r="U89" s="13" t="n">
        <f aca="false">IFERROR(T89/P89,"")</f>
        <v>0.770307454187606</v>
      </c>
      <c r="V89" s="14" t="n">
        <f aca="false">T89-AV89</f>
        <v>-1671803</v>
      </c>
      <c r="W89" s="14" t="n">
        <f aca="false">V89-AA89*0.1</f>
        <v>-1671803</v>
      </c>
      <c r="X89" s="12" t="n">
        <v>3144000</v>
      </c>
      <c r="Y89" s="12" t="n">
        <v>131000</v>
      </c>
      <c r="Z89" s="15" t="n">
        <f aca="false">IFERROR(X89/Y89,"")</f>
        <v>24</v>
      </c>
      <c r="AA89" s="12" t="n">
        <v>0</v>
      </c>
      <c r="AB89" s="14" t="n">
        <f aca="false">W89-0.02*P89</f>
        <v>-1696922.84</v>
      </c>
      <c r="AC89" s="16" t="n">
        <v>63</v>
      </c>
      <c r="AD89" s="13" t="n">
        <f aca="false">IFERROR(AC89/AC88-1,"")</f>
        <v>0.105263157894737</v>
      </c>
      <c r="AE89" s="17" t="n">
        <v>0.089</v>
      </c>
      <c r="AF89" s="17" t="n">
        <v>0.096</v>
      </c>
      <c r="AG89" s="13" t="n">
        <f aca="false">1-AF89</f>
        <v>0.904</v>
      </c>
      <c r="AH89" s="17" t="n">
        <v>1.126</v>
      </c>
      <c r="AI89" s="12" t="n">
        <v>31100</v>
      </c>
      <c r="AJ89" s="14" t="n">
        <f aca="false">IFERROR(AM89*U89*MIN(1/AE89,5),"")</f>
        <v>65322.072115109</v>
      </c>
      <c r="AK89" s="18" t="n">
        <f aca="false">IFERROR(AJ89/AI89,"")</f>
        <v>2.10038817090383</v>
      </c>
      <c r="AL89" s="15" t="n">
        <f aca="false">IFERROR(AI89/(AM89*U89/12),"")</f>
        <v>28.5661483106626</v>
      </c>
      <c r="AM89" s="12" t="n">
        <v>16960</v>
      </c>
      <c r="AN89" s="12" t="n">
        <v>1757135</v>
      </c>
      <c r="AO89" s="12" t="n">
        <v>3576649</v>
      </c>
      <c r="AP89" s="17" t="n">
        <v>0.347</v>
      </c>
      <c r="AQ89" s="16" t="n">
        <v>78</v>
      </c>
      <c r="AR89" s="16" t="n">
        <v>3</v>
      </c>
      <c r="AS89" s="13" t="n">
        <f aca="false">IFERROR(AR89/AR88-1,"")</f>
        <v>0</v>
      </c>
      <c r="AT89" s="11" t="s">
        <v>134</v>
      </c>
      <c r="AU89" s="14" t="n">
        <f aca="false">IFERROR(P89/AR89,"")</f>
        <v>418664</v>
      </c>
      <c r="AV89" s="12" t="n">
        <v>2639303</v>
      </c>
      <c r="AW89" s="12" t="n">
        <v>1053045</v>
      </c>
      <c r="AX89" s="12" t="n">
        <v>790787</v>
      </c>
      <c r="AY89" s="16" t="n">
        <v>8251</v>
      </c>
      <c r="AZ89" s="13" t="n">
        <f aca="false">IFERROR(AY89/AY88-1,"")</f>
        <v>0.115</v>
      </c>
      <c r="BA89" s="17" t="n">
        <v>0.928</v>
      </c>
      <c r="BB89" s="11" t="s">
        <v>107</v>
      </c>
      <c r="BC89" s="11" t="s">
        <v>100</v>
      </c>
      <c r="BD89" s="11" t="s">
        <v>109</v>
      </c>
      <c r="BE89" s="12" t="n">
        <v>1350272</v>
      </c>
      <c r="BF89" s="13" t="n">
        <f aca="false">IFERROR(P89/BE89-1,"")</f>
        <v>-0.0698229690018011</v>
      </c>
      <c r="BG89" s="17" t="n">
        <v>-0.043</v>
      </c>
      <c r="BH89" s="17" t="n">
        <v>0.066</v>
      </c>
      <c r="BI89" s="14" t="n">
        <f aca="false">P89*(1+IFERROR(Q89,0))^4</f>
        <v>1895016.78081822</v>
      </c>
      <c r="BJ89" s="12" t="n">
        <v>-1229416</v>
      </c>
      <c r="BK89" s="11" t="s">
        <v>102</v>
      </c>
      <c r="BL89" s="11" t="s">
        <v>162</v>
      </c>
      <c r="BM89" s="14" t="n">
        <f aca="false">O89</f>
        <v>60710942</v>
      </c>
      <c r="BN89" s="11" t="s">
        <v>205</v>
      </c>
      <c r="BO89" s="13" t="n">
        <f aca="false">IFERROR(1-L89/M89,"")</f>
        <v>0.161485695164798</v>
      </c>
      <c r="BP89" s="11" t="s">
        <v>142</v>
      </c>
      <c r="BQ89" s="12" t="n">
        <v>1608735</v>
      </c>
      <c r="BR89" s="11" t="s">
        <v>88</v>
      </c>
      <c r="BS89" s="11" t="s">
        <v>89</v>
      </c>
      <c r="BT89" s="19" t="str">
        <f aca="false">IF(OR(Z89&lt;6,AH89&lt;0.9,S89&lt;0.02,AK89&lt;1),"REVIEW",IF(AND(S89&gt;0.25,AH89&gt;1.2),"ACCELERATING","STABLE"))</f>
        <v>STABLE</v>
      </c>
    </row>
    <row r="90" customFormat="false" ht="15" hidden="false" customHeight="false" outlineLevel="0" collapsed="false">
      <c r="A90" s="3" t="s">
        <v>206</v>
      </c>
      <c r="B90" s="3" t="s">
        <v>73</v>
      </c>
      <c r="C90" s="3" t="s">
        <v>74</v>
      </c>
      <c r="D90" s="3" t="s">
        <v>151</v>
      </c>
      <c r="E90" s="3" t="s">
        <v>187</v>
      </c>
      <c r="F90" s="3" t="s">
        <v>207</v>
      </c>
      <c r="G90" s="3" t="s">
        <v>78</v>
      </c>
      <c r="H90" s="3" t="s">
        <v>79</v>
      </c>
      <c r="I90" s="3" t="s">
        <v>78</v>
      </c>
      <c r="J90" s="4" t="n">
        <v>3229000</v>
      </c>
      <c r="K90" s="5" t="n">
        <f aca="false">IFERROR(J90/M90,"")</f>
        <v>0.174956653662766</v>
      </c>
      <c r="L90" s="4" t="n">
        <v>15227000</v>
      </c>
      <c r="M90" s="6" t="n">
        <f aca="false">L90+J90</f>
        <v>18456000</v>
      </c>
      <c r="N90" s="4" t="n">
        <v>5884000</v>
      </c>
      <c r="O90" s="4" t="n">
        <v>19518085</v>
      </c>
      <c r="P90" s="4" t="n">
        <v>1336116</v>
      </c>
      <c r="Q90" s="7"/>
      <c r="R90" s="4" t="n">
        <v>1507957</v>
      </c>
      <c r="S90" s="7"/>
      <c r="T90" s="4" t="n">
        <v>760218</v>
      </c>
      <c r="U90" s="5" t="n">
        <f aca="false">IFERROR(T90/P90,"")</f>
        <v>0.568976046989932</v>
      </c>
      <c r="V90" s="6" t="n">
        <f aca="false">T90-AV90</f>
        <v>-2572451</v>
      </c>
      <c r="W90" s="6" t="n">
        <f aca="false">V90-AA90*0.1</f>
        <v>-2572451</v>
      </c>
      <c r="X90" s="4" t="n">
        <v>5032449</v>
      </c>
      <c r="Y90" s="4" t="n">
        <v>219310</v>
      </c>
      <c r="Z90" s="8" t="n">
        <f aca="false">IFERROR(X90/Y90,"")</f>
        <v>22.9467374948703</v>
      </c>
      <c r="AA90" s="4" t="n">
        <v>0</v>
      </c>
      <c r="AB90" s="6" t="n">
        <f aca="false">W90-0.02*P90</f>
        <v>-2599173.32</v>
      </c>
      <c r="AC90" s="9" t="n">
        <v>62</v>
      </c>
      <c r="AD90" s="7"/>
      <c r="AE90" s="7" t="n">
        <v>0.137</v>
      </c>
      <c r="AF90" s="7" t="n">
        <v>0.095</v>
      </c>
      <c r="AG90" s="5" t="n">
        <f aca="false">1-AF90</f>
        <v>0.905</v>
      </c>
      <c r="AH90" s="7" t="n">
        <v>1.067</v>
      </c>
      <c r="AI90" s="4" t="n">
        <v>58300</v>
      </c>
      <c r="AJ90" s="6" t="n">
        <f aca="false">IFERROR(AM90*U90*MIN(1/AE90,5),"")</f>
        <v>110950.329163037</v>
      </c>
      <c r="AK90" s="10" t="n">
        <f aca="false">IFERROR(AJ90/AI90,"")</f>
        <v>1.90309312458039</v>
      </c>
      <c r="AL90" s="8" t="n">
        <f aca="false">IFERROR(AI90/(AM90*U90/12),"")</f>
        <v>31.527621651846</v>
      </c>
      <c r="AM90" s="4" t="n">
        <v>39000</v>
      </c>
      <c r="AN90" s="4" t="n">
        <v>1786452</v>
      </c>
      <c r="AO90" s="4" t="n">
        <v>3502276</v>
      </c>
      <c r="AP90" s="7" t="n">
        <v>0.321</v>
      </c>
      <c r="AQ90" s="9" t="n">
        <v>27</v>
      </c>
      <c r="AR90" s="9" t="n">
        <v>4</v>
      </c>
      <c r="AS90" s="7"/>
      <c r="AT90" s="3" t="s">
        <v>80</v>
      </c>
      <c r="AU90" s="6" t="n">
        <f aca="false">IFERROR(P90/AR90,"")</f>
        <v>334029</v>
      </c>
      <c r="AV90" s="4" t="n">
        <v>3332669</v>
      </c>
      <c r="AW90" s="4" t="n">
        <v>1160499</v>
      </c>
      <c r="AX90" s="4" t="n">
        <v>740674</v>
      </c>
      <c r="AY90" s="9" t="n">
        <v>20464</v>
      </c>
      <c r="AZ90" s="7"/>
      <c r="BA90" s="7" t="n">
        <v>0.878</v>
      </c>
      <c r="BB90" s="3" t="s">
        <v>107</v>
      </c>
      <c r="BC90" s="3" t="s">
        <v>82</v>
      </c>
      <c r="BD90" s="3" t="s">
        <v>157</v>
      </c>
      <c r="BE90" s="4" t="n">
        <v>1314703</v>
      </c>
      <c r="BF90" s="5" t="n">
        <f aca="false">IFERROR(P90/BE90-1,"")</f>
        <v>0.0162873287731145</v>
      </c>
      <c r="BG90" s="7" t="n">
        <v>0.029</v>
      </c>
      <c r="BH90" s="7" t="n">
        <v>0.013</v>
      </c>
      <c r="BI90" s="6" t="n">
        <f aca="false">P90</f>
        <v>1336116</v>
      </c>
      <c r="BJ90" s="4" t="n">
        <v>-2023772</v>
      </c>
      <c r="BK90" s="3" t="s">
        <v>110</v>
      </c>
      <c r="BL90" s="3" t="s">
        <v>85</v>
      </c>
      <c r="BM90" s="6" t="n">
        <f aca="false">O90</f>
        <v>19518085</v>
      </c>
      <c r="BN90" s="3" t="s">
        <v>208</v>
      </c>
      <c r="BO90" s="5" t="n">
        <f aca="false">IFERROR(1-L90/M90,"")</f>
        <v>0.174956653662765</v>
      </c>
      <c r="BP90" s="3" t="s">
        <v>198</v>
      </c>
      <c r="BQ90" s="4" t="n">
        <v>3474711</v>
      </c>
      <c r="BR90" s="3" t="s">
        <v>88</v>
      </c>
      <c r="BS90" s="3" t="s">
        <v>89</v>
      </c>
      <c r="BT90" s="3" t="s">
        <v>90</v>
      </c>
    </row>
    <row r="91" customFormat="false" ht="15" hidden="false" customHeight="false" outlineLevel="0" collapsed="false">
      <c r="A91" s="11" t="s">
        <v>206</v>
      </c>
      <c r="B91" s="11" t="s">
        <v>91</v>
      </c>
      <c r="C91" s="11" t="s">
        <v>74</v>
      </c>
      <c r="D91" s="11" t="s">
        <v>151</v>
      </c>
      <c r="E91" s="11" t="s">
        <v>187</v>
      </c>
      <c r="F91" s="11" t="s">
        <v>207</v>
      </c>
      <c r="G91" s="11" t="s">
        <v>78</v>
      </c>
      <c r="H91" s="11" t="s">
        <v>79</v>
      </c>
      <c r="I91" s="11" t="s">
        <v>78</v>
      </c>
      <c r="J91" s="12" t="n">
        <v>3229000</v>
      </c>
      <c r="K91" s="13" t="n">
        <f aca="false">IFERROR(J91/M91,"")</f>
        <v>0.174956653662766</v>
      </c>
      <c r="L91" s="12" t="n">
        <v>15227000</v>
      </c>
      <c r="M91" s="14" t="n">
        <f aca="false">L91+J91</f>
        <v>18456000</v>
      </c>
      <c r="N91" s="12" t="n">
        <v>5884000</v>
      </c>
      <c r="O91" s="12" t="n">
        <v>19518085</v>
      </c>
      <c r="P91" s="12" t="n">
        <v>1405450</v>
      </c>
      <c r="Q91" s="13" t="n">
        <f aca="false">IFERROR(P91/P90-1,"")</f>
        <v>0.0518922009765619</v>
      </c>
      <c r="R91" s="12" t="n">
        <v>1547166</v>
      </c>
      <c r="S91" s="13" t="n">
        <f aca="false">IFERROR(R91/R90-1,"")</f>
        <v>0.026001404549334</v>
      </c>
      <c r="T91" s="12" t="n">
        <v>802905</v>
      </c>
      <c r="U91" s="13" t="n">
        <f aca="false">IFERROR(T91/P91,"")</f>
        <v>0.571279661318439</v>
      </c>
      <c r="V91" s="14" t="n">
        <f aca="false">T91-AV91</f>
        <v>-2045090</v>
      </c>
      <c r="W91" s="14" t="n">
        <f aca="false">V91-AA91*0.1</f>
        <v>-2045090</v>
      </c>
      <c r="X91" s="12" t="n">
        <v>4479354</v>
      </c>
      <c r="Y91" s="12" t="n">
        <v>226540</v>
      </c>
      <c r="Z91" s="15" t="n">
        <f aca="false">IFERROR(X91/Y91,"")</f>
        <v>19.7729054471616</v>
      </c>
      <c r="AA91" s="12" t="n">
        <v>0</v>
      </c>
      <c r="AB91" s="14" t="n">
        <f aca="false">W91-0.02*P91</f>
        <v>-2073199</v>
      </c>
      <c r="AC91" s="16" t="n">
        <v>63</v>
      </c>
      <c r="AD91" s="13" t="n">
        <f aca="false">IFERROR(AC91/AC90-1,"")</f>
        <v>0.0161290322580645</v>
      </c>
      <c r="AE91" s="17" t="n">
        <v>0.134</v>
      </c>
      <c r="AF91" s="17" t="n">
        <v>0.134</v>
      </c>
      <c r="AG91" s="13" t="n">
        <f aca="false">1-AF91</f>
        <v>0.866</v>
      </c>
      <c r="AH91" s="17" t="n">
        <v>1.062</v>
      </c>
      <c r="AI91" s="12" t="n">
        <v>57200</v>
      </c>
      <c r="AJ91" s="14" t="n">
        <f aca="false">IFERROR(AM91*U91*MIN(1/AE91,5),"")</f>
        <v>113627.524636237</v>
      </c>
      <c r="AK91" s="18" t="n">
        <f aca="false">IFERROR(AJ91/AI91,"")</f>
        <v>1.98649518594821</v>
      </c>
      <c r="AL91" s="15" t="n">
        <f aca="false">IFERROR(AI91/(AM91*U91/12),"")</f>
        <v>30.2039493598674</v>
      </c>
      <c r="AM91" s="12" t="n">
        <v>39780</v>
      </c>
      <c r="AN91" s="12" t="n">
        <v>1723827</v>
      </c>
      <c r="AO91" s="12" t="n">
        <v>5088912</v>
      </c>
      <c r="AP91" s="17" t="n">
        <v>0.321</v>
      </c>
      <c r="AQ91" s="16" t="n">
        <v>27</v>
      </c>
      <c r="AR91" s="16" t="n">
        <v>5</v>
      </c>
      <c r="AS91" s="13" t="n">
        <f aca="false">IFERROR(AR91/AR90-1,"")</f>
        <v>0.25</v>
      </c>
      <c r="AT91" s="11" t="s">
        <v>80</v>
      </c>
      <c r="AU91" s="14" t="n">
        <f aca="false">IFERROR(P91/AR91,"")</f>
        <v>281090</v>
      </c>
      <c r="AV91" s="12" t="n">
        <v>2847995</v>
      </c>
      <c r="AW91" s="12" t="n">
        <v>1224094</v>
      </c>
      <c r="AX91" s="12" t="n">
        <v>858925</v>
      </c>
      <c r="AY91" s="16" t="n">
        <v>22712</v>
      </c>
      <c r="AZ91" s="13" t="n">
        <f aca="false">IFERROR(AY91/AY90-1,"")</f>
        <v>0.109851446442533</v>
      </c>
      <c r="BA91" s="17" t="n">
        <v>0.863</v>
      </c>
      <c r="BB91" s="11" t="s">
        <v>107</v>
      </c>
      <c r="BC91" s="11" t="s">
        <v>82</v>
      </c>
      <c r="BD91" s="11" t="s">
        <v>157</v>
      </c>
      <c r="BE91" s="12" t="n">
        <v>1576055</v>
      </c>
      <c r="BF91" s="13" t="n">
        <f aca="false">IFERROR(P91/BE91-1,"")</f>
        <v>-0.108248125858552</v>
      </c>
      <c r="BG91" s="17" t="n">
        <v>-0.015</v>
      </c>
      <c r="BH91" s="17" t="n">
        <v>-0.003</v>
      </c>
      <c r="BI91" s="14" t="n">
        <f aca="false">P91*(1+IFERROR(Q91,0))^4</f>
        <v>1720680.90974445</v>
      </c>
      <c r="BJ91" s="12" t="n">
        <v>-2291463</v>
      </c>
      <c r="BK91" s="11" t="s">
        <v>110</v>
      </c>
      <c r="BL91" s="11" t="s">
        <v>85</v>
      </c>
      <c r="BM91" s="14" t="n">
        <f aca="false">O91</f>
        <v>19518085</v>
      </c>
      <c r="BN91" s="11" t="s">
        <v>208</v>
      </c>
      <c r="BO91" s="13" t="n">
        <f aca="false">IFERROR(1-L91/M91,"")</f>
        <v>0.174956653662765</v>
      </c>
      <c r="BP91" s="11" t="s">
        <v>198</v>
      </c>
      <c r="BQ91" s="12" t="n">
        <v>3538955</v>
      </c>
      <c r="BR91" s="11" t="s">
        <v>88</v>
      </c>
      <c r="BS91" s="11" t="s">
        <v>89</v>
      </c>
      <c r="BT91" s="19" t="str">
        <f aca="false">IF(OR(Z91&lt;6,AH91&lt;0.9,S91&lt;0.02,AK91&lt;1),"REVIEW",IF(AND(S91&gt;0.25,AH91&gt;1.2),"ACCELERATING","STABLE"))</f>
        <v>STABLE</v>
      </c>
    </row>
    <row r="92" customFormat="false" ht="15" hidden="false" customHeight="false" outlineLevel="0" collapsed="false">
      <c r="A92" s="11" t="s">
        <v>206</v>
      </c>
      <c r="B92" s="11" t="s">
        <v>92</v>
      </c>
      <c r="C92" s="11" t="s">
        <v>74</v>
      </c>
      <c r="D92" s="11" t="s">
        <v>151</v>
      </c>
      <c r="E92" s="11" t="s">
        <v>187</v>
      </c>
      <c r="F92" s="11" t="s">
        <v>207</v>
      </c>
      <c r="G92" s="11" t="s">
        <v>78</v>
      </c>
      <c r="H92" s="11" t="s">
        <v>79</v>
      </c>
      <c r="I92" s="11" t="s">
        <v>78</v>
      </c>
      <c r="J92" s="12" t="n">
        <v>3229000</v>
      </c>
      <c r="K92" s="13" t="n">
        <f aca="false">IFERROR(J92/M92,"")</f>
        <v>0.174956653662766</v>
      </c>
      <c r="L92" s="12" t="n">
        <v>15227000</v>
      </c>
      <c r="M92" s="14" t="n">
        <f aca="false">L92+J92</f>
        <v>18456000</v>
      </c>
      <c r="N92" s="12" t="n">
        <v>5884000</v>
      </c>
      <c r="O92" s="12" t="n">
        <v>19518085</v>
      </c>
      <c r="P92" s="12" t="n">
        <v>1516954</v>
      </c>
      <c r="Q92" s="13" t="n">
        <f aca="false">IFERROR(P92/P91-1,"")</f>
        <v>0.0793368671955601</v>
      </c>
      <c r="R92" s="12" t="n">
        <v>1815589</v>
      </c>
      <c r="S92" s="13" t="n">
        <f aca="false">IFERROR(R92/R91-1,"")</f>
        <v>0.173493342020184</v>
      </c>
      <c r="T92" s="12" t="n">
        <v>870099</v>
      </c>
      <c r="U92" s="13" t="n">
        <f aca="false">IFERROR(T92/P92,"")</f>
        <v>0.573582982740413</v>
      </c>
      <c r="V92" s="14" t="n">
        <f aca="false">T92-AV92</f>
        <v>-2306539</v>
      </c>
      <c r="W92" s="14" t="n">
        <f aca="false">V92-AA92*0.1</f>
        <v>-2306539</v>
      </c>
      <c r="X92" s="12" t="n">
        <v>3887217</v>
      </c>
      <c r="Y92" s="12" t="n">
        <v>233770</v>
      </c>
      <c r="Z92" s="15" t="n">
        <f aca="false">IFERROR(X92/Y92,"")</f>
        <v>16.6283825982804</v>
      </c>
      <c r="AA92" s="12" t="n">
        <v>0</v>
      </c>
      <c r="AB92" s="14" t="n">
        <f aca="false">W92-0.02*P92</f>
        <v>-2336878.08</v>
      </c>
      <c r="AC92" s="16" t="n">
        <v>71</v>
      </c>
      <c r="AD92" s="13" t="n">
        <f aca="false">IFERROR(AC92/AC91-1,"")</f>
        <v>0.126984126984127</v>
      </c>
      <c r="AE92" s="17" t="n">
        <v>0.13</v>
      </c>
      <c r="AF92" s="17" t="n">
        <v>0.1</v>
      </c>
      <c r="AG92" s="13" t="n">
        <f aca="false">1-AF92</f>
        <v>0.9</v>
      </c>
      <c r="AH92" s="17" t="n">
        <v>1.057</v>
      </c>
      <c r="AI92" s="12" t="n">
        <v>56100</v>
      </c>
      <c r="AJ92" s="14" t="n">
        <f aca="false">IFERROR(AM92*U92*MIN(1/AE92,5),"")</f>
        <v>116322.628899756</v>
      </c>
      <c r="AK92" s="18" t="n">
        <f aca="false">IFERROR(AJ92/AI92,"")</f>
        <v>2.0734871461632</v>
      </c>
      <c r="AL92" s="15" t="n">
        <f aca="false">IFERROR(AI92/(AM92*U92/12),"")</f>
        <v>28.9367600426289</v>
      </c>
      <c r="AM92" s="12" t="n">
        <v>40560</v>
      </c>
      <c r="AN92" s="12" t="n">
        <v>1824200</v>
      </c>
      <c r="AO92" s="12" t="n">
        <v>3005219</v>
      </c>
      <c r="AP92" s="17" t="n">
        <v>0.321</v>
      </c>
      <c r="AQ92" s="16" t="n">
        <v>27</v>
      </c>
      <c r="AR92" s="16" t="n">
        <v>5</v>
      </c>
      <c r="AS92" s="13" t="n">
        <f aca="false">IFERROR(AR92/AR91-1,"")</f>
        <v>0</v>
      </c>
      <c r="AT92" s="11" t="s">
        <v>80</v>
      </c>
      <c r="AU92" s="14" t="n">
        <f aca="false">IFERROR(P92/AR92,"")</f>
        <v>303390.8</v>
      </c>
      <c r="AV92" s="12" t="n">
        <v>3176638</v>
      </c>
      <c r="AW92" s="12" t="n">
        <v>1143981</v>
      </c>
      <c r="AX92" s="12" t="n">
        <v>675102</v>
      </c>
      <c r="AY92" s="16" t="n">
        <v>24073</v>
      </c>
      <c r="AZ92" s="13" t="n">
        <f aca="false">IFERROR(AY92/AY91-1,"")</f>
        <v>0.0599242691088411</v>
      </c>
      <c r="BA92" s="17" t="n">
        <v>0.902</v>
      </c>
      <c r="BB92" s="11" t="s">
        <v>107</v>
      </c>
      <c r="BC92" s="11" t="s">
        <v>82</v>
      </c>
      <c r="BD92" s="11" t="s">
        <v>157</v>
      </c>
      <c r="BE92" s="12" t="n">
        <v>1850231</v>
      </c>
      <c r="BF92" s="13" t="n">
        <f aca="false">IFERROR(P92/BE92-1,"")</f>
        <v>-0.180127238166478</v>
      </c>
      <c r="BG92" s="17" t="n">
        <v>0.045</v>
      </c>
      <c r="BH92" s="17" t="n">
        <v>0.034</v>
      </c>
      <c r="BI92" s="14" t="n">
        <f aca="false">P92*(1+IFERROR(Q92,0))^4</f>
        <v>2058735.04772722</v>
      </c>
      <c r="BJ92" s="12" t="n">
        <v>-1843367</v>
      </c>
      <c r="BK92" s="11" t="s">
        <v>110</v>
      </c>
      <c r="BL92" s="11" t="s">
        <v>85</v>
      </c>
      <c r="BM92" s="14" t="n">
        <f aca="false">O92</f>
        <v>19518085</v>
      </c>
      <c r="BN92" s="11" t="s">
        <v>208</v>
      </c>
      <c r="BO92" s="13" t="n">
        <f aca="false">IFERROR(1-L92/M92,"")</f>
        <v>0.174956653662765</v>
      </c>
      <c r="BP92" s="11" t="s">
        <v>198</v>
      </c>
      <c r="BQ92" s="12" t="n">
        <v>3969860</v>
      </c>
      <c r="BR92" s="11" t="s">
        <v>88</v>
      </c>
      <c r="BS92" s="11" t="s">
        <v>89</v>
      </c>
      <c r="BT92" s="19" t="str">
        <f aca="false">IF(OR(Z92&lt;6,AH92&lt;0.9,S92&lt;0.02,AK92&lt;1),"REVIEW",IF(AND(S92&gt;0.25,AH92&gt;1.2),"ACCELERATING","STABLE"))</f>
        <v>STABLE</v>
      </c>
    </row>
    <row r="93" customFormat="false" ht="15" hidden="false" customHeight="false" outlineLevel="0" collapsed="false">
      <c r="A93" s="11" t="s">
        <v>206</v>
      </c>
      <c r="B93" s="11" t="s">
        <v>93</v>
      </c>
      <c r="C93" s="11" t="s">
        <v>74</v>
      </c>
      <c r="D93" s="11" t="s">
        <v>151</v>
      </c>
      <c r="E93" s="11" t="s">
        <v>187</v>
      </c>
      <c r="F93" s="11" t="s">
        <v>207</v>
      </c>
      <c r="G93" s="11" t="s">
        <v>78</v>
      </c>
      <c r="H93" s="11" t="s">
        <v>79</v>
      </c>
      <c r="I93" s="11" t="s">
        <v>78</v>
      </c>
      <c r="J93" s="12" t="n">
        <v>3229000</v>
      </c>
      <c r="K93" s="13" t="n">
        <f aca="false">IFERROR(J93/M93,"")</f>
        <v>0.174956653662766</v>
      </c>
      <c r="L93" s="12" t="n">
        <v>15227000</v>
      </c>
      <c r="M93" s="14" t="n">
        <f aca="false">L93+J93</f>
        <v>18456000</v>
      </c>
      <c r="N93" s="12" t="n">
        <v>5884000</v>
      </c>
      <c r="O93" s="12" t="n">
        <v>19518085</v>
      </c>
      <c r="P93" s="12" t="n">
        <v>1668635</v>
      </c>
      <c r="Q93" s="13" t="n">
        <f aca="false">IFERROR(P93/P92-1,"")</f>
        <v>0.0999905072929042</v>
      </c>
      <c r="R93" s="12" t="n">
        <v>1963405</v>
      </c>
      <c r="S93" s="13" t="n">
        <f aca="false">IFERROR(R93/R92-1,"")</f>
        <v>0.0814149017205987</v>
      </c>
      <c r="T93" s="12" t="n">
        <v>960945</v>
      </c>
      <c r="U93" s="13" t="n">
        <f aca="false">IFERROR(T93/P93,"")</f>
        <v>0.575886877597557</v>
      </c>
      <c r="V93" s="14" t="n">
        <f aca="false">T93-AV93</f>
        <v>-2323950</v>
      </c>
      <c r="W93" s="14" t="n">
        <f aca="false">V93-AA93*0.1</f>
        <v>-2323950</v>
      </c>
      <c r="X93" s="12" t="n">
        <v>3256038</v>
      </c>
      <c r="Y93" s="12" t="n">
        <v>241000</v>
      </c>
      <c r="Z93" s="15" t="n">
        <f aca="false">IFERROR(X93/Y93,"")</f>
        <v>13.510531120332</v>
      </c>
      <c r="AA93" s="12" t="n">
        <v>0</v>
      </c>
      <c r="AB93" s="14" t="n">
        <f aca="false">W93-0.02*P93</f>
        <v>-2357322.7</v>
      </c>
      <c r="AC93" s="16" t="n">
        <v>79</v>
      </c>
      <c r="AD93" s="13" t="n">
        <f aca="false">IFERROR(AC93/AC92-1,"")</f>
        <v>0.112676056338028</v>
      </c>
      <c r="AE93" s="17" t="n">
        <v>0.126</v>
      </c>
      <c r="AF93" s="17" t="n">
        <v>0.134</v>
      </c>
      <c r="AG93" s="13" t="n">
        <f aca="false">1-AF93</f>
        <v>0.866</v>
      </c>
      <c r="AH93" s="17" t="n">
        <v>1.052</v>
      </c>
      <c r="AI93" s="12" t="n">
        <v>55000</v>
      </c>
      <c r="AJ93" s="14" t="n">
        <f aca="false">IFERROR(AM93*U93*MIN(1/AE93,5),"")</f>
        <v>119035.817599415</v>
      </c>
      <c r="AK93" s="18" t="n">
        <f aca="false">IFERROR(AJ93/AI93,"")</f>
        <v>2.16428759271664</v>
      </c>
      <c r="AL93" s="15" t="n">
        <f aca="false">IFERROR(AI93/(AM93*U93/12),"")</f>
        <v>27.722748216048</v>
      </c>
      <c r="AM93" s="12" t="n">
        <v>41340</v>
      </c>
      <c r="AN93" s="12" t="n">
        <v>2091697</v>
      </c>
      <c r="AO93" s="12" t="n">
        <v>6897853</v>
      </c>
      <c r="AP93" s="17" t="n">
        <v>0.321</v>
      </c>
      <c r="AQ93" s="16" t="n">
        <v>27</v>
      </c>
      <c r="AR93" s="16" t="n">
        <v>6</v>
      </c>
      <c r="AS93" s="13" t="n">
        <f aca="false">IFERROR(AR93/AR92-1,"")</f>
        <v>0.2</v>
      </c>
      <c r="AT93" s="11" t="s">
        <v>80</v>
      </c>
      <c r="AU93" s="14" t="n">
        <f aca="false">IFERROR(P93/AR93,"")</f>
        <v>278105.833333333</v>
      </c>
      <c r="AV93" s="12" t="n">
        <v>3284895</v>
      </c>
      <c r="AW93" s="12" t="n">
        <v>1111473</v>
      </c>
      <c r="AX93" s="12" t="n">
        <v>779321</v>
      </c>
      <c r="AY93" s="16" t="n">
        <v>27046</v>
      </c>
      <c r="AZ93" s="13" t="n">
        <f aca="false">IFERROR(AY93/AY92-1,"")</f>
        <v>0.123499356125119</v>
      </c>
      <c r="BA93" s="17" t="n">
        <v>0.865</v>
      </c>
      <c r="BB93" s="11" t="s">
        <v>107</v>
      </c>
      <c r="BC93" s="11" t="s">
        <v>82</v>
      </c>
      <c r="BD93" s="11" t="s">
        <v>157</v>
      </c>
      <c r="BE93" s="12" t="n">
        <v>2077150</v>
      </c>
      <c r="BF93" s="13" t="n">
        <f aca="false">IFERROR(P93/BE93-1,"")</f>
        <v>-0.196670919288448</v>
      </c>
      <c r="BG93" s="17" t="n">
        <v>0.062</v>
      </c>
      <c r="BH93" s="17" t="n">
        <v>0.002</v>
      </c>
      <c r="BI93" s="14" t="n">
        <f aca="false">P93*(1+IFERROR(Q93,0))^4</f>
        <v>2442964.1731594</v>
      </c>
      <c r="BJ93" s="12" t="n">
        <v>-2417866</v>
      </c>
      <c r="BK93" s="11" t="s">
        <v>110</v>
      </c>
      <c r="BL93" s="11" t="s">
        <v>85</v>
      </c>
      <c r="BM93" s="14" t="n">
        <f aca="false">O93</f>
        <v>19518085</v>
      </c>
      <c r="BN93" s="11" t="s">
        <v>208</v>
      </c>
      <c r="BO93" s="13" t="n">
        <f aca="false">IFERROR(1-L93/M93,"")</f>
        <v>0.174956653662765</v>
      </c>
      <c r="BP93" s="11" t="s">
        <v>198</v>
      </c>
      <c r="BQ93" s="12" t="n">
        <v>4453458</v>
      </c>
      <c r="BR93" s="11" t="s">
        <v>88</v>
      </c>
      <c r="BS93" s="11" t="s">
        <v>89</v>
      </c>
      <c r="BT93" s="19" t="str">
        <f aca="false">IF(OR(Z93&lt;6,AH93&lt;0.9,S93&lt;0.02,AK93&lt;1),"REVIEW",IF(AND(S93&gt;0.25,AH93&gt;1.2),"ACCELERATING","STABLE"))</f>
        <v>STABLE</v>
      </c>
    </row>
    <row r="94" customFormat="false" ht="15" hidden="false" customHeight="false" outlineLevel="0" collapsed="false">
      <c r="A94" s="3" t="s">
        <v>209</v>
      </c>
      <c r="B94" s="3" t="s">
        <v>73</v>
      </c>
      <c r="C94" s="3" t="s">
        <v>74</v>
      </c>
      <c r="D94" s="3" t="s">
        <v>210</v>
      </c>
      <c r="E94" s="3" t="s">
        <v>105</v>
      </c>
      <c r="F94" s="3" t="s">
        <v>211</v>
      </c>
      <c r="G94" s="3" t="s">
        <v>78</v>
      </c>
      <c r="H94" s="3" t="s">
        <v>79</v>
      </c>
      <c r="I94" s="3" t="s">
        <v>78</v>
      </c>
      <c r="J94" s="4" t="n">
        <v>1269000</v>
      </c>
      <c r="K94" s="5" t="n">
        <f aca="false">IFERROR(J94/M94,"")</f>
        <v>0.117794486215539</v>
      </c>
      <c r="L94" s="4" t="n">
        <v>9504000</v>
      </c>
      <c r="M94" s="6" t="n">
        <f aca="false">L94+J94</f>
        <v>10773000</v>
      </c>
      <c r="N94" s="4" t="n">
        <v>6061000</v>
      </c>
      <c r="O94" s="4" t="n">
        <v>6206701</v>
      </c>
      <c r="P94" s="4" t="n">
        <v>536804</v>
      </c>
      <c r="Q94" s="7"/>
      <c r="R94" s="4" t="n">
        <v>609201</v>
      </c>
      <c r="S94" s="7"/>
      <c r="T94" s="4" t="n">
        <v>375719</v>
      </c>
      <c r="U94" s="5" t="n">
        <f aca="false">IFERROR(T94/P94,"")</f>
        <v>0.69991840597313</v>
      </c>
      <c r="V94" s="6" t="n">
        <f aca="false">T94-AV94</f>
        <v>-2244281</v>
      </c>
      <c r="W94" s="6" t="n">
        <f aca="false">V94-AA94*0.1</f>
        <v>-2244281</v>
      </c>
      <c r="X94" s="4" t="n">
        <v>2460602</v>
      </c>
      <c r="Y94" s="4" t="n">
        <v>188600</v>
      </c>
      <c r="Z94" s="8" t="n">
        <f aca="false">IFERROR(X94/Y94,"")</f>
        <v>13.0466702014846</v>
      </c>
      <c r="AA94" s="4" t="n">
        <v>0</v>
      </c>
      <c r="AB94" s="6" t="n">
        <f aca="false">W94-0.02*P94</f>
        <v>-2255017.08</v>
      </c>
      <c r="AC94" s="9" t="n">
        <v>33</v>
      </c>
      <c r="AD94" s="7"/>
      <c r="AE94" s="7" t="n">
        <v>0.145</v>
      </c>
      <c r="AF94" s="7" t="n">
        <v>0.099</v>
      </c>
      <c r="AG94" s="5" t="n">
        <f aca="false">1-AF94</f>
        <v>0.901</v>
      </c>
      <c r="AH94" s="7" t="n">
        <v>0.908</v>
      </c>
      <c r="AI94" s="4" t="n">
        <v>192432</v>
      </c>
      <c r="AJ94" s="6" t="n">
        <f aca="false">IFERROR(AM94*U94*MIN(1/AE94,5),"")</f>
        <v>178479.193523148</v>
      </c>
      <c r="AK94" s="10" t="n">
        <f aca="false">IFERROR(AJ94/AI94,"")</f>
        <v>0.927492275313608</v>
      </c>
      <c r="AL94" s="8" t="n">
        <f aca="false">IFERROR(AI94/(AM94*U94/12),"")</f>
        <v>64.6905657297389</v>
      </c>
      <c r="AM94" s="4" t="n">
        <v>51000</v>
      </c>
      <c r="AN94" s="4" t="n">
        <v>688874</v>
      </c>
      <c r="AO94" s="4" t="n">
        <v>2231487</v>
      </c>
      <c r="AP94" s="7" t="n">
        <v>0.349</v>
      </c>
      <c r="AQ94" s="9" t="n">
        <v>52</v>
      </c>
      <c r="AR94" s="9" t="n">
        <v>3</v>
      </c>
      <c r="AS94" s="7"/>
      <c r="AT94" s="3" t="s">
        <v>170</v>
      </c>
      <c r="AU94" s="6" t="n">
        <f aca="false">IFERROR(P94/AR94,"")</f>
        <v>178934.666666667</v>
      </c>
      <c r="AV94" s="4" t="n">
        <v>2620000</v>
      </c>
      <c r="AW94" s="4" t="n">
        <v>1157699</v>
      </c>
      <c r="AX94" s="4" t="n">
        <v>646561</v>
      </c>
      <c r="AY94" s="9" t="n">
        <v>3399</v>
      </c>
      <c r="AZ94" s="7"/>
      <c r="BA94" s="7" t="n">
        <v>0.879</v>
      </c>
      <c r="BB94" s="3" t="s">
        <v>119</v>
      </c>
      <c r="BC94" s="3" t="s">
        <v>120</v>
      </c>
      <c r="BD94" s="3" t="s">
        <v>175</v>
      </c>
      <c r="BE94" s="4" t="n">
        <v>794430</v>
      </c>
      <c r="BF94" s="5" t="n">
        <f aca="false">IFERROR(P94/BE94-1,"")</f>
        <v>-0.324290371713052</v>
      </c>
      <c r="BG94" s="7" t="n">
        <v>0.268</v>
      </c>
      <c r="BH94" s="7" t="n">
        <v>0.268</v>
      </c>
      <c r="BI94" s="6" t="n">
        <f aca="false">P94</f>
        <v>536804</v>
      </c>
      <c r="BJ94" s="4" t="n">
        <v>-1602325</v>
      </c>
      <c r="BK94" s="3" t="s">
        <v>147</v>
      </c>
      <c r="BL94" s="3" t="s">
        <v>140</v>
      </c>
      <c r="BM94" s="6" t="n">
        <f aca="false">O94</f>
        <v>6206701</v>
      </c>
      <c r="BN94" s="3" t="s">
        <v>212</v>
      </c>
      <c r="BO94" s="5" t="n">
        <f aca="false">IFERROR(1-L94/M94,"")</f>
        <v>0.117794486215539</v>
      </c>
      <c r="BP94" s="3" t="s">
        <v>113</v>
      </c>
      <c r="BQ94" s="4" t="n">
        <v>2797783</v>
      </c>
      <c r="BR94" s="3" t="s">
        <v>88</v>
      </c>
      <c r="BS94" s="3" t="s">
        <v>89</v>
      </c>
      <c r="BT94" s="3" t="s">
        <v>90</v>
      </c>
    </row>
    <row r="95" customFormat="false" ht="15" hidden="false" customHeight="false" outlineLevel="0" collapsed="false">
      <c r="A95" s="11" t="s">
        <v>209</v>
      </c>
      <c r="B95" s="11" t="s">
        <v>91</v>
      </c>
      <c r="C95" s="11" t="s">
        <v>74</v>
      </c>
      <c r="D95" s="11" t="s">
        <v>210</v>
      </c>
      <c r="E95" s="11" t="s">
        <v>105</v>
      </c>
      <c r="F95" s="11" t="s">
        <v>211</v>
      </c>
      <c r="G95" s="11" t="s">
        <v>78</v>
      </c>
      <c r="H95" s="11" t="s">
        <v>79</v>
      </c>
      <c r="I95" s="11" t="s">
        <v>78</v>
      </c>
      <c r="J95" s="12" t="n">
        <v>1269000</v>
      </c>
      <c r="K95" s="13" t="n">
        <f aca="false">IFERROR(J95/M95,"")</f>
        <v>0.117794486215539</v>
      </c>
      <c r="L95" s="12" t="n">
        <v>9504000</v>
      </c>
      <c r="M95" s="14" t="n">
        <f aca="false">L95+J95</f>
        <v>10773000</v>
      </c>
      <c r="N95" s="12" t="n">
        <v>6061000</v>
      </c>
      <c r="O95" s="12" t="n">
        <v>6206701</v>
      </c>
      <c r="P95" s="12" t="n">
        <v>482921</v>
      </c>
      <c r="Q95" s="13" t="n">
        <f aca="false">IFERROR(P95/P94-1,"")</f>
        <v>-0.100377418946208</v>
      </c>
      <c r="R95" s="12" t="n">
        <v>530789</v>
      </c>
      <c r="S95" s="13" t="n">
        <f aca="false">IFERROR(R95/R94-1,"")</f>
        <v>-0.128712855034709</v>
      </c>
      <c r="T95" s="12" t="n">
        <v>331628</v>
      </c>
      <c r="U95" s="13" t="n">
        <f aca="false">IFERROR(T95/P95,"")</f>
        <v>0.686712733552693</v>
      </c>
      <c r="V95" s="14" t="n">
        <f aca="false">T95-AV95</f>
        <v>-2440903</v>
      </c>
      <c r="W95" s="14" t="n">
        <f aca="false">V95-AA95*0.1</f>
        <v>-2440903</v>
      </c>
      <c r="X95" s="12" t="n">
        <v>1929302</v>
      </c>
      <c r="Y95" s="12" t="n">
        <v>202400</v>
      </c>
      <c r="Z95" s="15" t="n">
        <f aca="false">IFERROR(X95/Y95,"")</f>
        <v>9.53212450592885</v>
      </c>
      <c r="AA95" s="12" t="n">
        <v>0</v>
      </c>
      <c r="AB95" s="14" t="n">
        <f aca="false">W95-0.02*P95</f>
        <v>-2450561.42</v>
      </c>
      <c r="AC95" s="16" t="n">
        <v>30</v>
      </c>
      <c r="AD95" s="13" t="n">
        <f aca="false">IFERROR(AC95/AC94-1,"")</f>
        <v>-0.0909090909090909</v>
      </c>
      <c r="AE95" s="17" t="n">
        <v>0.173</v>
      </c>
      <c r="AF95" s="17" t="n">
        <v>0.173</v>
      </c>
      <c r="AG95" s="13" t="n">
        <f aca="false">1-AF95</f>
        <v>0.827</v>
      </c>
      <c r="AH95" s="17" t="n">
        <v>0.868</v>
      </c>
      <c r="AI95" s="12" t="n">
        <v>212688</v>
      </c>
      <c r="AJ95" s="14" t="n">
        <f aca="false">IFERROR(AM95*U95*MIN(1/AE95,5),"")</f>
        <v>178613.981997055</v>
      </c>
      <c r="AK95" s="18" t="n">
        <f aca="false">IFERROR(AJ95/AI95,"")</f>
        <v>0.839793415693671</v>
      </c>
      <c r="AL95" s="15" t="n">
        <f aca="false">IFERROR(AI95/(AM95*U95/12),"")</f>
        <v>71.446142442591</v>
      </c>
      <c r="AM95" s="12" t="n">
        <v>52020</v>
      </c>
      <c r="AN95" s="12" t="n">
        <v>584662</v>
      </c>
      <c r="AO95" s="12" t="n">
        <v>2019937</v>
      </c>
      <c r="AP95" s="17" t="n">
        <v>0.349</v>
      </c>
      <c r="AQ95" s="16" t="n">
        <v>52</v>
      </c>
      <c r="AR95" s="16" t="n">
        <v>3</v>
      </c>
      <c r="AS95" s="13" t="n">
        <f aca="false">IFERROR(AR95/AR94-1,"")</f>
        <v>0</v>
      </c>
      <c r="AT95" s="11" t="s">
        <v>170</v>
      </c>
      <c r="AU95" s="14" t="n">
        <f aca="false">IFERROR(P95/AR95,"")</f>
        <v>160973.666666667</v>
      </c>
      <c r="AV95" s="12" t="n">
        <v>2772531</v>
      </c>
      <c r="AW95" s="12" t="n">
        <v>1109752</v>
      </c>
      <c r="AX95" s="12" t="n">
        <v>525097</v>
      </c>
      <c r="AY95" s="16" t="n">
        <v>3033</v>
      </c>
      <c r="AZ95" s="13" t="n">
        <f aca="false">IFERROR(AY95/AY94-1,"")</f>
        <v>-0.107678729037952</v>
      </c>
      <c r="BA95" s="17" t="n">
        <v>0.863</v>
      </c>
      <c r="BB95" s="11" t="s">
        <v>119</v>
      </c>
      <c r="BC95" s="11" t="s">
        <v>120</v>
      </c>
      <c r="BD95" s="11" t="s">
        <v>175</v>
      </c>
      <c r="BE95" s="12" t="n">
        <v>774168</v>
      </c>
      <c r="BF95" s="13" t="n">
        <f aca="false">IFERROR(P95/BE95-1,"")</f>
        <v>-0.376206456479731</v>
      </c>
      <c r="BG95" s="17" t="n">
        <v>0.236</v>
      </c>
      <c r="BH95" s="17" t="n">
        <v>0.33</v>
      </c>
      <c r="BI95" s="14" t="n">
        <f aca="false">P95*(1+IFERROR(Q95,0))^4</f>
        <v>316313.32185671</v>
      </c>
      <c r="BJ95" s="12" t="n">
        <v>-1536977</v>
      </c>
      <c r="BK95" s="11" t="s">
        <v>147</v>
      </c>
      <c r="BL95" s="11" t="s">
        <v>140</v>
      </c>
      <c r="BM95" s="14" t="n">
        <f aca="false">O95</f>
        <v>6206701</v>
      </c>
      <c r="BN95" s="11" t="s">
        <v>212</v>
      </c>
      <c r="BO95" s="13" t="n">
        <f aca="false">IFERROR(1-L95/M95,"")</f>
        <v>0.117794486215539</v>
      </c>
      <c r="BP95" s="11" t="s">
        <v>113</v>
      </c>
      <c r="BQ95" s="12" t="n">
        <v>3140662</v>
      </c>
      <c r="BR95" s="11" t="s">
        <v>88</v>
      </c>
      <c r="BS95" s="11" t="s">
        <v>89</v>
      </c>
      <c r="BT95" s="19" t="str">
        <f aca="false">IF(OR(Z95&lt;6,AH95&lt;0.9,S95&lt;0.02,AK95&lt;1),"REVIEW",IF(AND(S95&gt;0.25,AH95&gt;1.2),"ACCELERATING","STABLE"))</f>
        <v>REVIEW</v>
      </c>
    </row>
    <row r="96" customFormat="false" ht="15" hidden="false" customHeight="false" outlineLevel="0" collapsed="false">
      <c r="A96" s="11" t="s">
        <v>209</v>
      </c>
      <c r="B96" s="11" t="s">
        <v>92</v>
      </c>
      <c r="C96" s="11" t="s">
        <v>74</v>
      </c>
      <c r="D96" s="11" t="s">
        <v>210</v>
      </c>
      <c r="E96" s="11" t="s">
        <v>105</v>
      </c>
      <c r="F96" s="11" t="s">
        <v>211</v>
      </c>
      <c r="G96" s="11" t="s">
        <v>78</v>
      </c>
      <c r="H96" s="11" t="s">
        <v>79</v>
      </c>
      <c r="I96" s="11" t="s">
        <v>78</v>
      </c>
      <c r="J96" s="12" t="n">
        <v>1269000</v>
      </c>
      <c r="K96" s="13" t="n">
        <f aca="false">IFERROR(J96/M96,"")</f>
        <v>0.117794486215539</v>
      </c>
      <c r="L96" s="12" t="n">
        <v>9504000</v>
      </c>
      <c r="M96" s="14" t="n">
        <f aca="false">L96+J96</f>
        <v>10773000</v>
      </c>
      <c r="N96" s="12" t="n">
        <v>6061000</v>
      </c>
      <c r="O96" s="12" t="n">
        <v>6206701</v>
      </c>
      <c r="P96" s="12" t="n">
        <v>425627</v>
      </c>
      <c r="Q96" s="13" t="n">
        <f aca="false">IFERROR(P96/P95-1,"")</f>
        <v>-0.118640522984091</v>
      </c>
      <c r="R96" s="12" t="n">
        <v>480041</v>
      </c>
      <c r="S96" s="13" t="n">
        <f aca="false">IFERROR(R96/R95-1,"")</f>
        <v>-0.0956086128386232</v>
      </c>
      <c r="T96" s="12" t="n">
        <v>286662</v>
      </c>
      <c r="U96" s="13" t="n">
        <f aca="false">IFERROR(T96/P96,"")</f>
        <v>0.673505205261884</v>
      </c>
      <c r="V96" s="14" t="n">
        <f aca="false">T96-AV96</f>
        <v>-1970218</v>
      </c>
      <c r="W96" s="14" t="n">
        <f aca="false">V96-AA96*0.1</f>
        <v>-1970218</v>
      </c>
      <c r="X96" s="12" t="n">
        <v>1306922</v>
      </c>
      <c r="Y96" s="12" t="n">
        <v>216200</v>
      </c>
      <c r="Z96" s="15" t="n">
        <f aca="false">IFERROR(X96/Y96,"")</f>
        <v>6.04496762257169</v>
      </c>
      <c r="AA96" s="12" t="n">
        <v>0</v>
      </c>
      <c r="AB96" s="14" t="n">
        <f aca="false">W96-0.02*P96</f>
        <v>-1978730.54</v>
      </c>
      <c r="AC96" s="16" t="n">
        <v>28</v>
      </c>
      <c r="AD96" s="13" t="n">
        <f aca="false">IFERROR(AC96/AC95-1,"")</f>
        <v>-0.0666666666666667</v>
      </c>
      <c r="AE96" s="17" t="n">
        <v>0.2</v>
      </c>
      <c r="AF96" s="17" t="n">
        <v>0.208</v>
      </c>
      <c r="AG96" s="13" t="n">
        <f aca="false">1-AF96</f>
        <v>0.792</v>
      </c>
      <c r="AH96" s="17" t="n">
        <v>0.828</v>
      </c>
      <c r="AI96" s="12" t="n">
        <v>232944</v>
      </c>
      <c r="AJ96" s="14" t="n">
        <f aca="false">IFERROR(AM96*U96*MIN(1/AE96,5),"")</f>
        <v>178613.580435452</v>
      </c>
      <c r="AK96" s="18" t="n">
        <f aca="false">IFERROR(AJ96/AI96,"")</f>
        <v>0.766766177430849</v>
      </c>
      <c r="AL96" s="15" t="n">
        <f aca="false">IFERROR(AI96/(AM96*U96/12),"")</f>
        <v>78.2507128849083</v>
      </c>
      <c r="AM96" s="12" t="n">
        <v>53040</v>
      </c>
      <c r="AN96" s="12" t="n">
        <v>442169</v>
      </c>
      <c r="AO96" s="12" t="n">
        <v>1685908</v>
      </c>
      <c r="AP96" s="17" t="n">
        <v>0.349</v>
      </c>
      <c r="AQ96" s="16" t="n">
        <v>52</v>
      </c>
      <c r="AR96" s="16" t="n">
        <v>3</v>
      </c>
      <c r="AS96" s="13" t="n">
        <f aca="false">IFERROR(AR96/AR95-1,"")</f>
        <v>0</v>
      </c>
      <c r="AT96" s="11" t="s">
        <v>170</v>
      </c>
      <c r="AU96" s="14" t="n">
        <f aca="false">IFERROR(P96/AR96,"")</f>
        <v>141875.666666667</v>
      </c>
      <c r="AV96" s="12" t="n">
        <v>2256880</v>
      </c>
      <c r="AW96" s="12" t="n">
        <v>678817</v>
      </c>
      <c r="AX96" s="12" t="n">
        <v>565778</v>
      </c>
      <c r="AY96" s="16" t="n">
        <v>2786</v>
      </c>
      <c r="AZ96" s="13" t="n">
        <f aca="false">IFERROR(AY96/AY95-1,"")</f>
        <v>-0.0814375206066601</v>
      </c>
      <c r="BA96" s="17" t="n">
        <v>0.802</v>
      </c>
      <c r="BB96" s="11" t="s">
        <v>119</v>
      </c>
      <c r="BC96" s="11" t="s">
        <v>120</v>
      </c>
      <c r="BD96" s="11" t="s">
        <v>175</v>
      </c>
      <c r="BE96" s="12" t="n">
        <v>561390</v>
      </c>
      <c r="BF96" s="13" t="n">
        <f aca="false">IFERROR(P96/BE96-1,"")</f>
        <v>-0.241833662872513</v>
      </c>
      <c r="BG96" s="17" t="n">
        <v>0.265</v>
      </c>
      <c r="BH96" s="17" t="n">
        <v>0.169</v>
      </c>
      <c r="BI96" s="14" t="n">
        <f aca="false">P96*(1+IFERROR(Q96,0))^4</f>
        <v>256827.476685407</v>
      </c>
      <c r="BJ96" s="12" t="n">
        <v>-1777394</v>
      </c>
      <c r="BK96" s="11" t="s">
        <v>147</v>
      </c>
      <c r="BL96" s="11" t="s">
        <v>140</v>
      </c>
      <c r="BM96" s="14" t="n">
        <f aca="false">O96</f>
        <v>6206701</v>
      </c>
      <c r="BN96" s="11" t="s">
        <v>212</v>
      </c>
      <c r="BO96" s="13" t="n">
        <f aca="false">IFERROR(1-L96/M96,"")</f>
        <v>0.117794486215539</v>
      </c>
      <c r="BP96" s="11" t="s">
        <v>113</v>
      </c>
      <c r="BQ96" s="12" t="n">
        <v>4165149</v>
      </c>
      <c r="BR96" s="11" t="s">
        <v>88</v>
      </c>
      <c r="BS96" s="11" t="s">
        <v>89</v>
      </c>
      <c r="BT96" s="19" t="str">
        <f aca="false">IF(OR(Z96&lt;6,AH96&lt;0.9,S96&lt;0.02,AK96&lt;1),"REVIEW",IF(AND(S96&gt;0.25,AH96&gt;1.2),"ACCELERATING","STABLE"))</f>
        <v>REVIEW</v>
      </c>
    </row>
    <row r="97" customFormat="false" ht="15" hidden="false" customHeight="false" outlineLevel="0" collapsed="false">
      <c r="A97" s="11" t="s">
        <v>209</v>
      </c>
      <c r="B97" s="11" t="s">
        <v>93</v>
      </c>
      <c r="C97" s="11" t="s">
        <v>74</v>
      </c>
      <c r="D97" s="11" t="s">
        <v>210</v>
      </c>
      <c r="E97" s="11" t="s">
        <v>105</v>
      </c>
      <c r="F97" s="11" t="s">
        <v>211</v>
      </c>
      <c r="G97" s="11" t="s">
        <v>78</v>
      </c>
      <c r="H97" s="11" t="s">
        <v>79</v>
      </c>
      <c r="I97" s="11" t="s">
        <v>78</v>
      </c>
      <c r="J97" s="12" t="n">
        <v>1269000</v>
      </c>
      <c r="K97" s="13" t="n">
        <f aca="false">IFERROR(J97/M97,"")</f>
        <v>0.117794486215539</v>
      </c>
      <c r="L97" s="12" t="n">
        <v>9504000</v>
      </c>
      <c r="M97" s="14" t="n">
        <f aca="false">L97+J97</f>
        <v>10773000</v>
      </c>
      <c r="N97" s="12" t="n">
        <v>6061000</v>
      </c>
      <c r="O97" s="12" t="n">
        <v>6206701</v>
      </c>
      <c r="P97" s="12" t="n">
        <v>374756</v>
      </c>
      <c r="Q97" s="13" t="n">
        <f aca="false">IFERROR(P97/P96-1,"")</f>
        <v>-0.119520143223997</v>
      </c>
      <c r="R97" s="12" t="n">
        <v>431732</v>
      </c>
      <c r="S97" s="13" t="n">
        <f aca="false">IFERROR(R97/R96-1,"")</f>
        <v>-0.100635154080589</v>
      </c>
      <c r="T97" s="12" t="n">
        <v>247451</v>
      </c>
      <c r="U97" s="13" t="n">
        <f aca="false">IFERROR(T97/P97,"")</f>
        <v>0.660298967861755</v>
      </c>
      <c r="V97" s="14" t="n">
        <f aca="false">T97-AV97</f>
        <v>-2938270</v>
      </c>
      <c r="W97" s="14" t="n">
        <f aca="false">V97-AA97*0.1</f>
        <v>-2938270</v>
      </c>
      <c r="X97" s="12" t="n">
        <v>593462</v>
      </c>
      <c r="Y97" s="12" t="n">
        <v>230000</v>
      </c>
      <c r="Z97" s="15" t="n">
        <f aca="false">IFERROR(X97/Y97,"")</f>
        <v>2.58026956521739</v>
      </c>
      <c r="AA97" s="12" t="n">
        <v>0</v>
      </c>
      <c r="AB97" s="14" t="n">
        <f aca="false">W97-0.02*P97</f>
        <v>-2945765.12</v>
      </c>
      <c r="AC97" s="16" t="n">
        <v>25</v>
      </c>
      <c r="AD97" s="13" t="n">
        <f aca="false">IFERROR(AC97/AC96-1,"")</f>
        <v>-0.107142857142857</v>
      </c>
      <c r="AE97" s="17" t="n">
        <v>0.227</v>
      </c>
      <c r="AF97" s="17" t="n">
        <v>0.246</v>
      </c>
      <c r="AG97" s="13" t="n">
        <f aca="false">1-AF97</f>
        <v>0.754</v>
      </c>
      <c r="AH97" s="17" t="n">
        <v>0.788</v>
      </c>
      <c r="AI97" s="12" t="n">
        <v>253200</v>
      </c>
      <c r="AJ97" s="14" t="n">
        <f aca="false">IFERROR(AM97*U97*MIN(1/AE97,5),"")</f>
        <v>157250.053755976</v>
      </c>
      <c r="AK97" s="18" t="n">
        <f aca="false">IFERROR(AJ97/AI97,"")</f>
        <v>0.621050765228972</v>
      </c>
      <c r="AL97" s="15" t="n">
        <f aca="false">IFERROR(AI97/(AM97*U97/12),"")</f>
        <v>85.1193478585572</v>
      </c>
      <c r="AM97" s="12" t="n">
        <v>54060</v>
      </c>
      <c r="AN97" s="12" t="n">
        <v>416844</v>
      </c>
      <c r="AO97" s="12" t="n">
        <v>917911</v>
      </c>
      <c r="AP97" s="17" t="n">
        <v>0.349</v>
      </c>
      <c r="AQ97" s="16" t="n">
        <v>52</v>
      </c>
      <c r="AR97" s="16" t="n">
        <v>3</v>
      </c>
      <c r="AS97" s="13" t="n">
        <f aca="false">IFERROR(AR97/AR96-1,"")</f>
        <v>0</v>
      </c>
      <c r="AT97" s="11" t="s">
        <v>170</v>
      </c>
      <c r="AU97" s="14" t="n">
        <f aca="false">IFERROR(P97/AR97,"")</f>
        <v>124918.666666667</v>
      </c>
      <c r="AV97" s="12" t="n">
        <v>3185721</v>
      </c>
      <c r="AW97" s="12" t="n">
        <v>1332701</v>
      </c>
      <c r="AX97" s="12" t="n">
        <v>984973</v>
      </c>
      <c r="AY97" s="16" t="n">
        <v>2529</v>
      </c>
      <c r="AZ97" s="13" t="n">
        <f aca="false">IFERROR(AY97/AY96-1,"")</f>
        <v>-0.0922469490308686</v>
      </c>
      <c r="BA97" s="17" t="n">
        <v>0.794</v>
      </c>
      <c r="BB97" s="11" t="s">
        <v>119</v>
      </c>
      <c r="BC97" s="11" t="s">
        <v>120</v>
      </c>
      <c r="BD97" s="11" t="s">
        <v>175</v>
      </c>
      <c r="BE97" s="12" t="n">
        <v>593264</v>
      </c>
      <c r="BF97" s="13" t="n">
        <f aca="false">IFERROR(P97/BE97-1,"")</f>
        <v>-0.368314949162599</v>
      </c>
      <c r="BG97" s="17" t="n">
        <v>0.194</v>
      </c>
      <c r="BH97" s="17" t="n">
        <v>0.322</v>
      </c>
      <c r="BI97" s="14" t="n">
        <f aca="false">P97*(1+IFERROR(Q97,0))^4</f>
        <v>225230.02970085</v>
      </c>
      <c r="BJ97" s="12" t="n">
        <v>-2516459</v>
      </c>
      <c r="BK97" s="11" t="s">
        <v>147</v>
      </c>
      <c r="BL97" s="11" t="s">
        <v>140</v>
      </c>
      <c r="BM97" s="14" t="n">
        <f aca="false">O97</f>
        <v>6206701</v>
      </c>
      <c r="BN97" s="11" t="s">
        <v>212</v>
      </c>
      <c r="BO97" s="13" t="n">
        <f aca="false">IFERROR(1-L97/M97,"")</f>
        <v>0.117794486215539</v>
      </c>
      <c r="BP97" s="11" t="s">
        <v>113</v>
      </c>
      <c r="BQ97" s="12" t="n">
        <v>3824868</v>
      </c>
      <c r="BR97" s="11" t="s">
        <v>88</v>
      </c>
      <c r="BS97" s="11" t="s">
        <v>89</v>
      </c>
      <c r="BT97" s="19" t="str">
        <f aca="false">IF(OR(Z97&lt;6,AH97&lt;0.9,S97&lt;0.02,AK97&lt;1),"REVIEW",IF(AND(S97&gt;0.25,AH97&gt;1.2),"ACCELERATING","STABLE"))</f>
        <v>REVIEW</v>
      </c>
    </row>
    <row r="98" customFormat="false" ht="15" hidden="false" customHeight="false" outlineLevel="0" collapsed="false">
      <c r="A98" s="3" t="s">
        <v>213</v>
      </c>
      <c r="B98" s="3" t="s">
        <v>73</v>
      </c>
      <c r="C98" s="3" t="s">
        <v>74</v>
      </c>
      <c r="D98" s="3" t="s">
        <v>132</v>
      </c>
      <c r="E98" s="3" t="s">
        <v>105</v>
      </c>
      <c r="F98" s="3" t="s">
        <v>214</v>
      </c>
      <c r="G98" s="3" t="s">
        <v>78</v>
      </c>
      <c r="H98" s="3" t="s">
        <v>79</v>
      </c>
      <c r="I98" s="3" t="s">
        <v>78</v>
      </c>
      <c r="J98" s="4" t="n">
        <v>2375000</v>
      </c>
      <c r="K98" s="5" t="n">
        <f aca="false">IFERROR(J98/M98,"")</f>
        <v>0.100512082610352</v>
      </c>
      <c r="L98" s="4" t="n">
        <v>21254000</v>
      </c>
      <c r="M98" s="6" t="n">
        <f aca="false">L98+J98</f>
        <v>23629000</v>
      </c>
      <c r="N98" s="4" t="n">
        <v>3805000</v>
      </c>
      <c r="O98" s="4" t="n">
        <v>20099143</v>
      </c>
      <c r="P98" s="4" t="n">
        <v>109590</v>
      </c>
      <c r="Q98" s="7"/>
      <c r="R98" s="4" t="n">
        <v>118141</v>
      </c>
      <c r="S98" s="7"/>
      <c r="T98" s="4" t="n">
        <v>68963</v>
      </c>
      <c r="U98" s="5" t="n">
        <f aca="false">IFERROR(T98/P98,"")</f>
        <v>0.629281868783648</v>
      </c>
      <c r="V98" s="6" t="n">
        <f aca="false">T98-AV98</f>
        <v>-1192877</v>
      </c>
      <c r="W98" s="6" t="n">
        <f aca="false">V98-AA98*0.1</f>
        <v>-1192877</v>
      </c>
      <c r="X98" s="4" t="n">
        <v>1657821</v>
      </c>
      <c r="Y98" s="4" t="n">
        <v>118080</v>
      </c>
      <c r="Z98" s="8" t="n">
        <f aca="false">IFERROR(X98/Y98,"")</f>
        <v>14.0398119918699</v>
      </c>
      <c r="AA98" s="4" t="n">
        <v>0</v>
      </c>
      <c r="AB98" s="6" t="n">
        <f aca="false">W98-0.02*P98</f>
        <v>-1195068.8</v>
      </c>
      <c r="AC98" s="9" t="n">
        <v>22</v>
      </c>
      <c r="AD98" s="7"/>
      <c r="AE98" s="7" t="n">
        <v>0.205</v>
      </c>
      <c r="AF98" s="7" t="n">
        <v>0.125</v>
      </c>
      <c r="AG98" s="5" t="n">
        <f aca="false">1-AF98</f>
        <v>0.875</v>
      </c>
      <c r="AH98" s="7" t="n">
        <v>0.847</v>
      </c>
      <c r="AI98" s="4" t="n">
        <v>62852</v>
      </c>
      <c r="AJ98" s="6" t="n">
        <f aca="false">IFERROR(AM98*U98*MIN(1/AE98,5),"")</f>
        <v>82881.0266202854</v>
      </c>
      <c r="AK98" s="10" t="n">
        <f aca="false">IFERROR(AJ98/AI98,"")</f>
        <v>1.3186696782964</v>
      </c>
      <c r="AL98" s="8" t="n">
        <f aca="false">IFERROR(AI98/(AM98*U98/12),"")</f>
        <v>44.3906357515383</v>
      </c>
      <c r="AM98" s="4" t="n">
        <v>27000</v>
      </c>
      <c r="AN98" s="4" t="n">
        <v>150158</v>
      </c>
      <c r="AO98" s="4" t="n">
        <v>462608</v>
      </c>
      <c r="AP98" s="7" t="n">
        <v>0.389</v>
      </c>
      <c r="AQ98" s="9" t="n">
        <v>79</v>
      </c>
      <c r="AR98" s="9" t="n">
        <v>5</v>
      </c>
      <c r="AS98" s="7"/>
      <c r="AT98" s="3" t="s">
        <v>196</v>
      </c>
      <c r="AU98" s="6" t="n">
        <f aca="false">IFERROR(P98/AR98,"")</f>
        <v>21918</v>
      </c>
      <c r="AV98" s="4" t="n">
        <v>1261840</v>
      </c>
      <c r="AW98" s="4" t="n">
        <v>457216</v>
      </c>
      <c r="AX98" s="4" t="n">
        <v>353879</v>
      </c>
      <c r="AY98" s="9" t="n">
        <v>37584</v>
      </c>
      <c r="AZ98" s="7"/>
      <c r="BA98" s="7" t="n">
        <v>0.846</v>
      </c>
      <c r="BB98" s="3" t="s">
        <v>171</v>
      </c>
      <c r="BC98" s="3" t="s">
        <v>120</v>
      </c>
      <c r="BD98" s="3" t="s">
        <v>109</v>
      </c>
      <c r="BE98" s="4" t="n">
        <v>157547</v>
      </c>
      <c r="BF98" s="5" t="n">
        <f aca="false">IFERROR(P98/BE98-1,"")</f>
        <v>-0.304398052644608</v>
      </c>
      <c r="BG98" s="7" t="n">
        <v>0.138</v>
      </c>
      <c r="BH98" s="7" t="n">
        <v>0.292</v>
      </c>
      <c r="BI98" s="6" t="n">
        <f aca="false">P98</f>
        <v>109590</v>
      </c>
      <c r="BJ98" s="4" t="n">
        <v>-1341638</v>
      </c>
      <c r="BK98" s="3" t="s">
        <v>121</v>
      </c>
      <c r="BL98" s="3" t="s">
        <v>122</v>
      </c>
      <c r="BM98" s="6" t="n">
        <f aca="false">O98</f>
        <v>20099143</v>
      </c>
      <c r="BN98" s="3" t="s">
        <v>215</v>
      </c>
      <c r="BO98" s="5" t="n">
        <f aca="false">IFERROR(1-L98/M98,"")</f>
        <v>0.100512082610352</v>
      </c>
      <c r="BP98" s="3" t="s">
        <v>142</v>
      </c>
      <c r="BQ98" s="4" t="n">
        <v>2133386</v>
      </c>
      <c r="BR98" s="3" t="s">
        <v>88</v>
      </c>
      <c r="BS98" s="3" t="s">
        <v>89</v>
      </c>
      <c r="BT98" s="3" t="s">
        <v>90</v>
      </c>
    </row>
    <row r="99" customFormat="false" ht="15" hidden="false" customHeight="false" outlineLevel="0" collapsed="false">
      <c r="A99" s="11" t="s">
        <v>213</v>
      </c>
      <c r="B99" s="11" t="s">
        <v>91</v>
      </c>
      <c r="C99" s="11" t="s">
        <v>74</v>
      </c>
      <c r="D99" s="11" t="s">
        <v>132</v>
      </c>
      <c r="E99" s="11" t="s">
        <v>105</v>
      </c>
      <c r="F99" s="11" t="s">
        <v>214</v>
      </c>
      <c r="G99" s="11" t="s">
        <v>78</v>
      </c>
      <c r="H99" s="11" t="s">
        <v>79</v>
      </c>
      <c r="I99" s="11" t="s">
        <v>78</v>
      </c>
      <c r="J99" s="12" t="n">
        <v>2375000</v>
      </c>
      <c r="K99" s="13" t="n">
        <f aca="false">IFERROR(J99/M99,"")</f>
        <v>0.100512082610352</v>
      </c>
      <c r="L99" s="12" t="n">
        <v>21254000</v>
      </c>
      <c r="M99" s="14" t="n">
        <f aca="false">L99+J99</f>
        <v>23629000</v>
      </c>
      <c r="N99" s="12" t="n">
        <v>3805000</v>
      </c>
      <c r="O99" s="12" t="n">
        <v>20099143</v>
      </c>
      <c r="P99" s="12" t="n">
        <v>104094</v>
      </c>
      <c r="Q99" s="13" t="n">
        <f aca="false">IFERROR(P99/P98-1,"")</f>
        <v>-0.0501505611825897</v>
      </c>
      <c r="R99" s="12" t="n">
        <v>109132</v>
      </c>
      <c r="S99" s="13" t="n">
        <f aca="false">IFERROR(R99/R98-1,"")</f>
        <v>-0.0762563377658899</v>
      </c>
      <c r="T99" s="12" t="n">
        <v>64269</v>
      </c>
      <c r="U99" s="13" t="n">
        <f aca="false">IFERROR(T99/P99,"")</f>
        <v>0.617413107383711</v>
      </c>
      <c r="V99" s="14" t="n">
        <f aca="false">T99-AV99</f>
        <v>-1154042</v>
      </c>
      <c r="W99" s="14" t="n">
        <f aca="false">V99-AA99*0.1</f>
        <v>-1154042</v>
      </c>
      <c r="X99" s="12" t="n">
        <v>1325181</v>
      </c>
      <c r="Y99" s="12" t="n">
        <v>126720</v>
      </c>
      <c r="Z99" s="15" t="n">
        <f aca="false">IFERROR(X99/Y99,"")</f>
        <v>10.4575520833333</v>
      </c>
      <c r="AA99" s="12" t="n">
        <v>0</v>
      </c>
      <c r="AB99" s="14" t="n">
        <f aca="false">W99-0.02*P99</f>
        <v>-1156123.88</v>
      </c>
      <c r="AC99" s="16" t="n">
        <v>20</v>
      </c>
      <c r="AD99" s="13" t="n">
        <f aca="false">IFERROR(AC99/AC98-1,"")</f>
        <v>-0.0909090909090909</v>
      </c>
      <c r="AE99" s="17" t="n">
        <v>0.243</v>
      </c>
      <c r="AF99" s="17" t="n">
        <v>0.185</v>
      </c>
      <c r="AG99" s="13" t="n">
        <f aca="false">1-AF99</f>
        <v>0.815</v>
      </c>
      <c r="AH99" s="17" t="n">
        <v>0.807</v>
      </c>
      <c r="AI99" s="12" t="n">
        <v>69468</v>
      </c>
      <c r="AJ99" s="14" t="n">
        <f aca="false">IFERROR(AM99*U99*MIN(1/AE99,5),"")</f>
        <v>69973.4855034872</v>
      </c>
      <c r="AK99" s="18" t="n">
        <f aca="false">IFERROR(AJ99/AI99,"")</f>
        <v>1.0072765230536</v>
      </c>
      <c r="AL99" s="15" t="n">
        <f aca="false">IFERROR(AI99/(AM99*U99/12),"")</f>
        <v>49.0259773946455</v>
      </c>
      <c r="AM99" s="12" t="n">
        <v>27540</v>
      </c>
      <c r="AN99" s="12" t="n">
        <v>133105</v>
      </c>
      <c r="AO99" s="12" t="n">
        <v>415425</v>
      </c>
      <c r="AP99" s="17" t="n">
        <v>0.389</v>
      </c>
      <c r="AQ99" s="16" t="n">
        <v>79</v>
      </c>
      <c r="AR99" s="16" t="n">
        <v>5</v>
      </c>
      <c r="AS99" s="13" t="n">
        <f aca="false">IFERROR(AR99/AR98-1,"")</f>
        <v>0</v>
      </c>
      <c r="AT99" s="11" t="s">
        <v>196</v>
      </c>
      <c r="AU99" s="14" t="n">
        <f aca="false">IFERROR(P99/AR99,"")</f>
        <v>20818.8</v>
      </c>
      <c r="AV99" s="12" t="n">
        <v>1218311</v>
      </c>
      <c r="AW99" s="12" t="n">
        <v>592916</v>
      </c>
      <c r="AX99" s="12" t="n">
        <v>386603</v>
      </c>
      <c r="AY99" s="16" t="n">
        <v>34899</v>
      </c>
      <c r="AZ99" s="13" t="n">
        <f aca="false">IFERROR(AY99/AY98-1,"")</f>
        <v>-0.0714399744572158</v>
      </c>
      <c r="BA99" s="17" t="n">
        <v>0.787</v>
      </c>
      <c r="BB99" s="11" t="s">
        <v>171</v>
      </c>
      <c r="BC99" s="11" t="s">
        <v>120</v>
      </c>
      <c r="BD99" s="11" t="s">
        <v>109</v>
      </c>
      <c r="BE99" s="12" t="n">
        <v>141078</v>
      </c>
      <c r="BF99" s="13" t="n">
        <f aca="false">IFERROR(P99/BE99-1,"")</f>
        <v>-0.262152851614001</v>
      </c>
      <c r="BG99" s="17" t="n">
        <v>0.242</v>
      </c>
      <c r="BH99" s="17" t="n">
        <v>0.369</v>
      </c>
      <c r="BI99" s="14" t="n">
        <f aca="false">P99*(1+IFERROR(Q99,0))^4</f>
        <v>84731.4774710446</v>
      </c>
      <c r="BJ99" s="12" t="n">
        <v>-980439</v>
      </c>
      <c r="BK99" s="11" t="s">
        <v>121</v>
      </c>
      <c r="BL99" s="11" t="s">
        <v>122</v>
      </c>
      <c r="BM99" s="14" t="n">
        <f aca="false">O99</f>
        <v>20099143</v>
      </c>
      <c r="BN99" s="11" t="s">
        <v>215</v>
      </c>
      <c r="BO99" s="13" t="n">
        <f aca="false">IFERROR(1-L99/M99,"")</f>
        <v>0.100512082610352</v>
      </c>
      <c r="BP99" s="11" t="s">
        <v>142</v>
      </c>
      <c r="BQ99" s="12" t="n">
        <v>2382969</v>
      </c>
      <c r="BR99" s="11" t="s">
        <v>88</v>
      </c>
      <c r="BS99" s="11" t="s">
        <v>89</v>
      </c>
      <c r="BT99" s="19" t="str">
        <f aca="false">IF(OR(Z99&lt;6,AH99&lt;0.9,S99&lt;0.02,AK99&lt;1),"REVIEW",IF(AND(S99&gt;0.25,AH99&gt;1.2),"ACCELERATING","STABLE"))</f>
        <v>REVIEW</v>
      </c>
    </row>
    <row r="100" customFormat="false" ht="15" hidden="false" customHeight="false" outlineLevel="0" collapsed="false">
      <c r="A100" s="11" t="s">
        <v>213</v>
      </c>
      <c r="B100" s="11" t="s">
        <v>92</v>
      </c>
      <c r="C100" s="11" t="s">
        <v>74</v>
      </c>
      <c r="D100" s="11" t="s">
        <v>132</v>
      </c>
      <c r="E100" s="11" t="s">
        <v>105</v>
      </c>
      <c r="F100" s="11" t="s">
        <v>214</v>
      </c>
      <c r="G100" s="11" t="s">
        <v>78</v>
      </c>
      <c r="H100" s="11" t="s">
        <v>79</v>
      </c>
      <c r="I100" s="11" t="s">
        <v>78</v>
      </c>
      <c r="J100" s="12" t="n">
        <v>2375000</v>
      </c>
      <c r="K100" s="13" t="n">
        <f aca="false">IFERROR(J100/M100,"")</f>
        <v>0.100512082610352</v>
      </c>
      <c r="L100" s="12" t="n">
        <v>21254000</v>
      </c>
      <c r="M100" s="14" t="n">
        <f aca="false">L100+J100</f>
        <v>23629000</v>
      </c>
      <c r="N100" s="12" t="n">
        <v>3805000</v>
      </c>
      <c r="O100" s="12" t="n">
        <v>20099143</v>
      </c>
      <c r="P100" s="12" t="n">
        <v>94974</v>
      </c>
      <c r="Q100" s="13" t="n">
        <f aca="false">IFERROR(P100/P99-1,"")</f>
        <v>-0.0876131189117528</v>
      </c>
      <c r="R100" s="12" t="n">
        <v>100383</v>
      </c>
      <c r="S100" s="13" t="n">
        <f aca="false">IFERROR(R100/R99-1,"")</f>
        <v>-0.0801689696880842</v>
      </c>
      <c r="T100" s="12" t="n">
        <v>57511</v>
      </c>
      <c r="U100" s="13" t="n">
        <f aca="false">IFERROR(T100/P100,"")</f>
        <v>0.605544675384842</v>
      </c>
      <c r="V100" s="14" t="n">
        <f aca="false">T100-AV100</f>
        <v>-1461469</v>
      </c>
      <c r="W100" s="14" t="n">
        <f aca="false">V100-AA100*0.1</f>
        <v>-1461469</v>
      </c>
      <c r="X100" s="12" t="n">
        <v>935517</v>
      </c>
      <c r="Y100" s="12" t="n">
        <v>135360</v>
      </c>
      <c r="Z100" s="15" t="n">
        <f aca="false">IFERROR(X100/Y100,"")</f>
        <v>6.91132535460993</v>
      </c>
      <c r="AA100" s="12" t="n">
        <v>0</v>
      </c>
      <c r="AB100" s="14" t="n">
        <f aca="false">W100-0.02*P100</f>
        <v>-1463368.48</v>
      </c>
      <c r="AC100" s="16" t="n">
        <v>19</v>
      </c>
      <c r="AD100" s="13" t="n">
        <f aca="false">IFERROR(AC100/AC99-1,"")</f>
        <v>-0.05</v>
      </c>
      <c r="AE100" s="17" t="n">
        <v>0.282</v>
      </c>
      <c r="AF100" s="17" t="n">
        <v>0.195</v>
      </c>
      <c r="AG100" s="13" t="n">
        <f aca="false">1-AF100</f>
        <v>0.805</v>
      </c>
      <c r="AH100" s="17" t="n">
        <v>0.767</v>
      </c>
      <c r="AI100" s="12" t="n">
        <v>76084</v>
      </c>
      <c r="AJ100" s="14" t="n">
        <f aca="false">IFERROR(AM100*U100*MIN(1/AE100,5),"")</f>
        <v>60296.7889532141</v>
      </c>
      <c r="AK100" s="18" t="n">
        <f aca="false">IFERROR(AJ100/AI100,"")</f>
        <v>0.792502877782636</v>
      </c>
      <c r="AL100" s="15" t="n">
        <f aca="false">IFERROR(AI100/(AM100*U100/12),"")</f>
        <v>53.6946838709562</v>
      </c>
      <c r="AM100" s="12" t="n">
        <v>28080</v>
      </c>
      <c r="AN100" s="12" t="n">
        <v>99877</v>
      </c>
      <c r="AO100" s="12" t="n">
        <v>206400</v>
      </c>
      <c r="AP100" s="17" t="n">
        <v>0.389</v>
      </c>
      <c r="AQ100" s="16" t="n">
        <v>79</v>
      </c>
      <c r="AR100" s="16" t="n">
        <v>5</v>
      </c>
      <c r="AS100" s="13" t="n">
        <f aca="false">IFERROR(AR100/AR99-1,"")</f>
        <v>0</v>
      </c>
      <c r="AT100" s="11" t="s">
        <v>196</v>
      </c>
      <c r="AU100" s="14" t="n">
        <f aca="false">IFERROR(P100/AR100,"")</f>
        <v>18994.8</v>
      </c>
      <c r="AV100" s="12" t="n">
        <v>1518980</v>
      </c>
      <c r="AW100" s="12" t="n">
        <v>586692</v>
      </c>
      <c r="AX100" s="12" t="n">
        <v>366465</v>
      </c>
      <c r="AY100" s="16" t="n">
        <v>33308</v>
      </c>
      <c r="AZ100" s="13" t="n">
        <f aca="false">IFERROR(AY100/AY99-1,"")</f>
        <v>-0.045588698816585</v>
      </c>
      <c r="BA100" s="17" t="n">
        <v>0.74</v>
      </c>
      <c r="BB100" s="11" t="s">
        <v>171</v>
      </c>
      <c r="BC100" s="11" t="s">
        <v>120</v>
      </c>
      <c r="BD100" s="11" t="s">
        <v>109</v>
      </c>
      <c r="BE100" s="12" t="n">
        <v>157252</v>
      </c>
      <c r="BF100" s="13" t="n">
        <f aca="false">IFERROR(P100/BE100-1,"")</f>
        <v>-0.396039478035256</v>
      </c>
      <c r="BG100" s="17" t="n">
        <v>0.276</v>
      </c>
      <c r="BH100" s="17" t="n">
        <v>0.346</v>
      </c>
      <c r="BI100" s="14" t="n">
        <f aca="false">P100*(1+IFERROR(Q100,0))^4</f>
        <v>65814.3896010818</v>
      </c>
      <c r="BJ100" s="12" t="n">
        <v>-1552208</v>
      </c>
      <c r="BK100" s="11" t="s">
        <v>121</v>
      </c>
      <c r="BL100" s="11" t="s">
        <v>122</v>
      </c>
      <c r="BM100" s="14" t="n">
        <f aca="false">O100</f>
        <v>20099143</v>
      </c>
      <c r="BN100" s="11" t="s">
        <v>215</v>
      </c>
      <c r="BO100" s="13" t="n">
        <f aca="false">IFERROR(1-L100/M100,"")</f>
        <v>0.100512082610352</v>
      </c>
      <c r="BP100" s="11" t="s">
        <v>142</v>
      </c>
      <c r="BQ100" s="12" t="n">
        <v>2690094</v>
      </c>
      <c r="BR100" s="11" t="s">
        <v>88</v>
      </c>
      <c r="BS100" s="11" t="s">
        <v>89</v>
      </c>
      <c r="BT100" s="19" t="str">
        <f aca="false">IF(OR(Z100&lt;6,AH100&lt;0.9,S100&lt;0.02,AK100&lt;1),"REVIEW",IF(AND(S100&gt;0.25,AH100&gt;1.2),"ACCELERATING","STABLE"))</f>
        <v>REVIEW</v>
      </c>
    </row>
    <row r="101" customFormat="false" ht="15" hidden="false" customHeight="false" outlineLevel="0" collapsed="false">
      <c r="A101" s="11" t="s">
        <v>213</v>
      </c>
      <c r="B101" s="11" t="s">
        <v>93</v>
      </c>
      <c r="C101" s="11" t="s">
        <v>74</v>
      </c>
      <c r="D101" s="11" t="s">
        <v>132</v>
      </c>
      <c r="E101" s="11" t="s">
        <v>105</v>
      </c>
      <c r="F101" s="11" t="s">
        <v>214</v>
      </c>
      <c r="G101" s="11" t="s">
        <v>78</v>
      </c>
      <c r="H101" s="11" t="s">
        <v>79</v>
      </c>
      <c r="I101" s="11" t="s">
        <v>78</v>
      </c>
      <c r="J101" s="12" t="n">
        <v>2375000</v>
      </c>
      <c r="K101" s="13" t="n">
        <f aca="false">IFERROR(J101/M101,"")</f>
        <v>0.100512082610352</v>
      </c>
      <c r="L101" s="12" t="n">
        <v>21254000</v>
      </c>
      <c r="M101" s="14" t="n">
        <f aca="false">L101+J101</f>
        <v>23629000</v>
      </c>
      <c r="N101" s="12" t="n">
        <v>3805000</v>
      </c>
      <c r="O101" s="12" t="n">
        <v>20099143</v>
      </c>
      <c r="P101" s="12" t="n">
        <v>89936</v>
      </c>
      <c r="Q101" s="13" t="n">
        <f aca="false">IFERROR(P101/P100-1,"")</f>
        <v>-0.0530460968264999</v>
      </c>
      <c r="R101" s="12" t="n">
        <v>94083</v>
      </c>
      <c r="S101" s="13" t="n">
        <f aca="false">IFERROR(R101/R100-1,"")</f>
        <v>-0.0627596306147455</v>
      </c>
      <c r="T101" s="12" t="n">
        <v>53392</v>
      </c>
      <c r="U101" s="13" t="n">
        <f aca="false">IFERROR(T101/P101,"")</f>
        <v>0.593666607365238</v>
      </c>
      <c r="V101" s="14" t="n">
        <f aca="false">T101-AV101</f>
        <v>-1767139</v>
      </c>
      <c r="W101" s="14" t="n">
        <f aca="false">V101-AA101*0.1</f>
        <v>-1767139</v>
      </c>
      <c r="X101" s="12" t="n">
        <v>488829</v>
      </c>
      <c r="Y101" s="12" t="n">
        <v>144000</v>
      </c>
      <c r="Z101" s="15" t="n">
        <f aca="false">IFERROR(X101/Y101,"")</f>
        <v>3.39464583333333</v>
      </c>
      <c r="AA101" s="12" t="n">
        <v>0</v>
      </c>
      <c r="AB101" s="14" t="n">
        <f aca="false">W101-0.02*P101</f>
        <v>-1768937.72</v>
      </c>
      <c r="AC101" s="16" t="n">
        <v>18</v>
      </c>
      <c r="AD101" s="13" t="n">
        <f aca="false">IFERROR(AC101/AC100-1,"")</f>
        <v>-0.0526315789473685</v>
      </c>
      <c r="AE101" s="17" t="n">
        <v>0.32</v>
      </c>
      <c r="AF101" s="17" t="n">
        <v>0.329</v>
      </c>
      <c r="AG101" s="13" t="n">
        <f aca="false">1-AF101</f>
        <v>0.671</v>
      </c>
      <c r="AH101" s="17" t="n">
        <v>0.727</v>
      </c>
      <c r="AI101" s="12" t="n">
        <v>82700</v>
      </c>
      <c r="AJ101" s="14" t="n">
        <f aca="false">IFERROR(AM101*U101*MIN(1/AE101,5),"")</f>
        <v>53096.0571962284</v>
      </c>
      <c r="AK101" s="18" t="n">
        <f aca="false">IFERROR(AJ101/AI101,"")</f>
        <v>0.642032130546898</v>
      </c>
      <c r="AL101" s="15" t="n">
        <f aca="false">IFERROR(AI101/(AM101*U101/12),"")</f>
        <v>58.4082917595676</v>
      </c>
      <c r="AM101" s="12" t="n">
        <v>28620</v>
      </c>
      <c r="AN101" s="12" t="n">
        <v>100094</v>
      </c>
      <c r="AO101" s="12" t="n">
        <v>149471</v>
      </c>
      <c r="AP101" s="17" t="n">
        <v>0.389</v>
      </c>
      <c r="AQ101" s="16" t="n">
        <v>79</v>
      </c>
      <c r="AR101" s="16" t="n">
        <v>5</v>
      </c>
      <c r="AS101" s="13" t="n">
        <f aca="false">IFERROR(AR101/AR100-1,"")</f>
        <v>0</v>
      </c>
      <c r="AT101" s="11" t="s">
        <v>196</v>
      </c>
      <c r="AU101" s="14" t="n">
        <f aca="false">IFERROR(P101/AR101,"")</f>
        <v>17987.2</v>
      </c>
      <c r="AV101" s="12" t="n">
        <v>1820531</v>
      </c>
      <c r="AW101" s="12" t="n">
        <v>760725</v>
      </c>
      <c r="AX101" s="12" t="n">
        <v>388201</v>
      </c>
      <c r="AY101" s="16" t="n">
        <v>30958</v>
      </c>
      <c r="AZ101" s="13" t="n">
        <f aca="false">IFERROR(AY101/AY100-1,"")</f>
        <v>-0.0705536207517713</v>
      </c>
      <c r="BA101" s="17" t="n">
        <v>0.735</v>
      </c>
      <c r="BB101" s="11" t="s">
        <v>171</v>
      </c>
      <c r="BC101" s="11" t="s">
        <v>120</v>
      </c>
      <c r="BD101" s="11" t="s">
        <v>109</v>
      </c>
      <c r="BE101" s="12" t="n">
        <v>112884</v>
      </c>
      <c r="BF101" s="13" t="n">
        <f aca="false">IFERROR(P101/BE101-1,"")</f>
        <v>-0.20328833138443</v>
      </c>
      <c r="BG101" s="17" t="n">
        <v>0.278</v>
      </c>
      <c r="BH101" s="17" t="n">
        <v>0.265</v>
      </c>
      <c r="BI101" s="14" t="n">
        <f aca="false">P101*(1+IFERROR(Q101,0))^4</f>
        <v>72318.4187757822</v>
      </c>
      <c r="BJ101" s="12" t="n">
        <v>-1462771</v>
      </c>
      <c r="BK101" s="11" t="s">
        <v>121</v>
      </c>
      <c r="BL101" s="11" t="s">
        <v>122</v>
      </c>
      <c r="BM101" s="14" t="n">
        <f aca="false">O101</f>
        <v>20099143</v>
      </c>
      <c r="BN101" s="11" t="s">
        <v>215</v>
      </c>
      <c r="BO101" s="13" t="n">
        <f aca="false">IFERROR(1-L101/M101,"")</f>
        <v>0.100512082610352</v>
      </c>
      <c r="BP101" s="11" t="s">
        <v>142</v>
      </c>
      <c r="BQ101" s="12" t="n">
        <v>2407234</v>
      </c>
      <c r="BR101" s="11" t="s">
        <v>88</v>
      </c>
      <c r="BS101" s="11" t="s">
        <v>89</v>
      </c>
      <c r="BT101" s="19" t="str">
        <f aca="false">IF(OR(Z101&lt;6,AH101&lt;0.9,S101&lt;0.02,AK101&lt;1),"REVIEW",IF(AND(S101&gt;0.25,AH101&gt;1.2),"ACCELERATING","STABLE"))</f>
        <v>REVIEW</v>
      </c>
    </row>
    <row r="102" customFormat="false" ht="15" hidden="false" customHeight="false" outlineLevel="0" collapsed="false">
      <c r="A102" s="3" t="s">
        <v>216</v>
      </c>
      <c r="B102" s="3" t="s">
        <v>73</v>
      </c>
      <c r="C102" s="3" t="s">
        <v>74</v>
      </c>
      <c r="D102" s="3" t="s">
        <v>165</v>
      </c>
      <c r="E102" s="3" t="s">
        <v>105</v>
      </c>
      <c r="F102" s="3" t="s">
        <v>217</v>
      </c>
      <c r="G102" s="3" t="s">
        <v>78</v>
      </c>
      <c r="H102" s="3" t="s">
        <v>79</v>
      </c>
      <c r="I102" s="3" t="s">
        <v>78</v>
      </c>
      <c r="J102" s="4" t="n">
        <v>2480000</v>
      </c>
      <c r="K102" s="5" t="n">
        <f aca="false">IFERROR(J102/M102,"")</f>
        <v>0.118956254796623</v>
      </c>
      <c r="L102" s="4" t="n">
        <v>18368000</v>
      </c>
      <c r="M102" s="6" t="n">
        <f aca="false">L102+J102</f>
        <v>20848000</v>
      </c>
      <c r="N102" s="4" t="n">
        <v>5129000</v>
      </c>
      <c r="O102" s="4" t="n">
        <v>27502540</v>
      </c>
      <c r="P102" s="4" t="n">
        <v>131679</v>
      </c>
      <c r="Q102" s="7"/>
      <c r="R102" s="4" t="n">
        <v>152953</v>
      </c>
      <c r="S102" s="7"/>
      <c r="T102" s="4" t="n">
        <v>92329</v>
      </c>
      <c r="U102" s="5" t="n">
        <f aca="false">IFERROR(T102/P102,"")</f>
        <v>0.701167232436455</v>
      </c>
      <c r="V102" s="6" t="n">
        <f aca="false">T102-AV102</f>
        <v>-948102</v>
      </c>
      <c r="W102" s="6" t="n">
        <f aca="false">V102-AA102*0.1</f>
        <v>-1022402</v>
      </c>
      <c r="X102" s="4" t="n">
        <v>2541051</v>
      </c>
      <c r="Y102" s="4" t="n">
        <v>73710</v>
      </c>
      <c r="Z102" s="8" t="n">
        <f aca="false">IFERROR(X102/Y102,"")</f>
        <v>34.4736263736264</v>
      </c>
      <c r="AA102" s="4" t="n">
        <v>743000</v>
      </c>
      <c r="AB102" s="6" t="n">
        <f aca="false">W102-0.02*P102</f>
        <v>-1025035.58</v>
      </c>
      <c r="AC102" s="9" t="n">
        <v>22</v>
      </c>
      <c r="AD102" s="7"/>
      <c r="AE102" s="7" t="n">
        <v>0.112</v>
      </c>
      <c r="AF102" s="7" t="n">
        <v>0.079</v>
      </c>
      <c r="AG102" s="5" t="n">
        <f aca="false">1-AF102</f>
        <v>0.921</v>
      </c>
      <c r="AH102" s="7" t="n">
        <v>1.122</v>
      </c>
      <c r="AI102" s="4" t="n">
        <v>53318</v>
      </c>
      <c r="AJ102" s="6" t="n">
        <f aca="false">IFERROR(AM102*U102*MIN(1/AE102,5),"")</f>
        <v>178797.644271296</v>
      </c>
      <c r="AK102" s="10" t="n">
        <f aca="false">IFERROR(AJ102/AI102,"")</f>
        <v>3.35341993831907</v>
      </c>
      <c r="AL102" s="8" t="n">
        <f aca="false">IFERROR(AI102/(AM102*U102/12),"")</f>
        <v>17.8921820420963</v>
      </c>
      <c r="AM102" s="4" t="n">
        <v>51000</v>
      </c>
      <c r="AN102" s="4" t="n">
        <v>220292</v>
      </c>
      <c r="AO102" s="4" t="n">
        <v>521633</v>
      </c>
      <c r="AP102" s="7" t="n">
        <v>0.367</v>
      </c>
      <c r="AQ102" s="9" t="n">
        <v>84</v>
      </c>
      <c r="AR102" s="9" t="n">
        <v>1</v>
      </c>
      <c r="AS102" s="7"/>
      <c r="AT102" s="3" t="s">
        <v>218</v>
      </c>
      <c r="AU102" s="6" t="n">
        <f aca="false">IFERROR(P102/AR102,"")</f>
        <v>131679</v>
      </c>
      <c r="AV102" s="4" t="n">
        <v>1040431</v>
      </c>
      <c r="AW102" s="4" t="n">
        <v>479078</v>
      </c>
      <c r="AX102" s="4" t="n">
        <v>309035</v>
      </c>
      <c r="AY102" s="9" t="n">
        <v>18299</v>
      </c>
      <c r="AZ102" s="7"/>
      <c r="BA102" s="7" t="n">
        <v>0.887</v>
      </c>
      <c r="BB102" s="3" t="s">
        <v>81</v>
      </c>
      <c r="BC102" s="3" t="s">
        <v>126</v>
      </c>
      <c r="BD102" s="3" t="s">
        <v>83</v>
      </c>
      <c r="BE102" s="4" t="n">
        <v>138999</v>
      </c>
      <c r="BF102" s="5" t="n">
        <f aca="false">IFERROR(P102/BE102-1,"")</f>
        <v>-0.0526622493687005</v>
      </c>
      <c r="BG102" s="7" t="n">
        <v>0.015</v>
      </c>
      <c r="BH102" s="7" t="n">
        <v>-0.073</v>
      </c>
      <c r="BI102" s="6" t="n">
        <f aca="false">P102</f>
        <v>131679</v>
      </c>
      <c r="BJ102" s="4" t="n">
        <v>-650271</v>
      </c>
      <c r="BK102" s="3" t="s">
        <v>102</v>
      </c>
      <c r="BL102" s="3" t="s">
        <v>85</v>
      </c>
      <c r="BM102" s="6" t="n">
        <f aca="false">O102</f>
        <v>27502540</v>
      </c>
      <c r="BN102" s="3" t="s">
        <v>219</v>
      </c>
      <c r="BO102" s="5" t="n">
        <f aca="false">IFERROR(1-L102/M102,"")</f>
        <v>0.118956254796623</v>
      </c>
      <c r="BP102" s="3" t="s">
        <v>198</v>
      </c>
      <c r="BQ102" s="4" t="n">
        <v>984092</v>
      </c>
      <c r="BR102" s="3" t="s">
        <v>88</v>
      </c>
      <c r="BS102" s="3" t="s">
        <v>89</v>
      </c>
      <c r="BT102" s="3" t="s">
        <v>90</v>
      </c>
    </row>
    <row r="103" customFormat="false" ht="15" hidden="false" customHeight="false" outlineLevel="0" collapsed="false">
      <c r="A103" s="11" t="s">
        <v>216</v>
      </c>
      <c r="B103" s="11" t="s">
        <v>91</v>
      </c>
      <c r="C103" s="11" t="s">
        <v>74</v>
      </c>
      <c r="D103" s="11" t="s">
        <v>165</v>
      </c>
      <c r="E103" s="11" t="s">
        <v>105</v>
      </c>
      <c r="F103" s="11" t="s">
        <v>217</v>
      </c>
      <c r="G103" s="11" t="s">
        <v>78</v>
      </c>
      <c r="H103" s="11" t="s">
        <v>79</v>
      </c>
      <c r="I103" s="11" t="s">
        <v>78</v>
      </c>
      <c r="J103" s="12" t="n">
        <v>2480000</v>
      </c>
      <c r="K103" s="13" t="n">
        <f aca="false">IFERROR(J103/M103,"")</f>
        <v>0.118956254796623</v>
      </c>
      <c r="L103" s="12" t="n">
        <v>18368000</v>
      </c>
      <c r="M103" s="14" t="n">
        <f aca="false">L103+J103</f>
        <v>20848000</v>
      </c>
      <c r="N103" s="12" t="n">
        <v>5129000</v>
      </c>
      <c r="O103" s="12" t="n">
        <v>27502540</v>
      </c>
      <c r="P103" s="12" t="n">
        <v>146028</v>
      </c>
      <c r="Q103" s="13" t="n">
        <f aca="false">IFERROR(P103/P102-1,"")</f>
        <v>0.108969539562117</v>
      </c>
      <c r="R103" s="12" t="n">
        <v>184094</v>
      </c>
      <c r="S103" s="13" t="n">
        <f aca="false">IFERROR(R103/R102-1,"")</f>
        <v>0.203598491039731</v>
      </c>
      <c r="T103" s="12" t="n">
        <v>102805</v>
      </c>
      <c r="U103" s="13" t="n">
        <f aca="false">IFERROR(T103/P103,"")</f>
        <v>0.704008820226258</v>
      </c>
      <c r="V103" s="14" t="n">
        <f aca="false">T103-AV103</f>
        <v>-981161</v>
      </c>
      <c r="W103" s="14" t="n">
        <f aca="false">V103-AA103*0.1</f>
        <v>-1055461</v>
      </c>
      <c r="X103" s="12" t="n">
        <v>2355156</v>
      </c>
      <c r="Y103" s="12" t="n">
        <v>76140</v>
      </c>
      <c r="Z103" s="15" t="n">
        <f aca="false">IFERROR(X103/Y103,"")</f>
        <v>30.931914893617</v>
      </c>
      <c r="AA103" s="12" t="n">
        <v>743000</v>
      </c>
      <c r="AB103" s="14" t="n">
        <f aca="false">W103-0.02*P103</f>
        <v>-1058381.56</v>
      </c>
      <c r="AC103" s="16" t="n">
        <v>25</v>
      </c>
      <c r="AD103" s="13" t="n">
        <f aca="false">IFERROR(AC103/AC102-1,"")</f>
        <v>0.136363636363636</v>
      </c>
      <c r="AE103" s="17" t="n">
        <v>0.109</v>
      </c>
      <c r="AF103" s="17" t="n">
        <v>0.108</v>
      </c>
      <c r="AG103" s="13" t="n">
        <f aca="false">1-AF103</f>
        <v>0.892</v>
      </c>
      <c r="AH103" s="17" t="n">
        <v>1.117</v>
      </c>
      <c r="AI103" s="12" t="n">
        <v>52312</v>
      </c>
      <c r="AJ103" s="14" t="n">
        <f aca="false">IFERROR(AM103*U103*MIN(1/AE103,5),"")</f>
        <v>183112.69414085</v>
      </c>
      <c r="AK103" s="18" t="n">
        <f aca="false">IFERROR(AJ103/AI103,"")</f>
        <v>3.50039559070289</v>
      </c>
      <c r="AL103" s="15" t="n">
        <f aca="false">IFERROR(AI103/(AM103*U103/12),"")</f>
        <v>17.1409197747137</v>
      </c>
      <c r="AM103" s="12" t="n">
        <v>52020</v>
      </c>
      <c r="AN103" s="12" t="n">
        <v>175158</v>
      </c>
      <c r="AO103" s="12" t="n">
        <v>561250</v>
      </c>
      <c r="AP103" s="17" t="n">
        <v>0.367</v>
      </c>
      <c r="AQ103" s="16" t="n">
        <v>84</v>
      </c>
      <c r="AR103" s="16" t="n">
        <v>2</v>
      </c>
      <c r="AS103" s="13" t="n">
        <f aca="false">IFERROR(AR103/AR102-1,"")</f>
        <v>1</v>
      </c>
      <c r="AT103" s="11" t="s">
        <v>218</v>
      </c>
      <c r="AU103" s="14" t="n">
        <f aca="false">IFERROR(P103/AR103,"")</f>
        <v>73014</v>
      </c>
      <c r="AV103" s="12" t="n">
        <v>1083966</v>
      </c>
      <c r="AW103" s="12" t="n">
        <v>356590</v>
      </c>
      <c r="AX103" s="12" t="n">
        <v>302416</v>
      </c>
      <c r="AY103" s="16" t="n">
        <v>19680</v>
      </c>
      <c r="AZ103" s="13" t="n">
        <f aca="false">IFERROR(AY103/AY102-1,"")</f>
        <v>0.0754686048417947</v>
      </c>
      <c r="BA103" s="17" t="n">
        <v>0.908</v>
      </c>
      <c r="BB103" s="11" t="s">
        <v>81</v>
      </c>
      <c r="BC103" s="11" t="s">
        <v>126</v>
      </c>
      <c r="BD103" s="11" t="s">
        <v>83</v>
      </c>
      <c r="BE103" s="12" t="n">
        <v>133096</v>
      </c>
      <c r="BF103" s="13" t="n">
        <f aca="false">IFERROR(P103/BE103-1,"")</f>
        <v>0.0971629500510909</v>
      </c>
      <c r="BG103" s="17" t="n">
        <v>0.018</v>
      </c>
      <c r="BH103" s="17" t="n">
        <v>-0.019</v>
      </c>
      <c r="BI103" s="14" t="n">
        <f aca="false">P103*(1+IFERROR(Q103,0))^4</f>
        <v>220858.748426446</v>
      </c>
      <c r="BJ103" s="12" t="n">
        <v>-563615</v>
      </c>
      <c r="BK103" s="11" t="s">
        <v>102</v>
      </c>
      <c r="BL103" s="11" t="s">
        <v>85</v>
      </c>
      <c r="BM103" s="14" t="n">
        <f aca="false">O103</f>
        <v>27502540</v>
      </c>
      <c r="BN103" s="11" t="s">
        <v>219</v>
      </c>
      <c r="BO103" s="13" t="n">
        <f aca="false">IFERROR(1-L103/M103,"")</f>
        <v>0.118956254796623</v>
      </c>
      <c r="BP103" s="11" t="s">
        <v>198</v>
      </c>
      <c r="BQ103" s="12" t="n">
        <v>1038336</v>
      </c>
      <c r="BR103" s="11" t="s">
        <v>88</v>
      </c>
      <c r="BS103" s="11" t="s">
        <v>89</v>
      </c>
      <c r="BT103" s="19" t="str">
        <f aca="false">IF(OR(Z103&lt;6,AH103&lt;0.9,S103&lt;0.02,AK103&lt;1),"REVIEW",IF(AND(S103&gt;0.25,AH103&gt;1.2),"ACCELERATING","STABLE"))</f>
        <v>STABLE</v>
      </c>
    </row>
    <row r="104" customFormat="false" ht="15" hidden="false" customHeight="false" outlineLevel="0" collapsed="false">
      <c r="A104" s="11" t="s">
        <v>216</v>
      </c>
      <c r="B104" s="11" t="s">
        <v>92</v>
      </c>
      <c r="C104" s="11" t="s">
        <v>74</v>
      </c>
      <c r="D104" s="11" t="s">
        <v>165</v>
      </c>
      <c r="E104" s="11" t="s">
        <v>105</v>
      </c>
      <c r="F104" s="11" t="s">
        <v>217</v>
      </c>
      <c r="G104" s="11" t="s">
        <v>78</v>
      </c>
      <c r="H104" s="11" t="s">
        <v>79</v>
      </c>
      <c r="I104" s="11" t="s">
        <v>78</v>
      </c>
      <c r="J104" s="12" t="n">
        <v>2480000</v>
      </c>
      <c r="K104" s="13" t="n">
        <f aca="false">IFERROR(J104/M104,"")</f>
        <v>0.118956254796623</v>
      </c>
      <c r="L104" s="12" t="n">
        <v>18368000</v>
      </c>
      <c r="M104" s="14" t="n">
        <f aca="false">L104+J104</f>
        <v>20848000</v>
      </c>
      <c r="N104" s="12" t="n">
        <v>5129000</v>
      </c>
      <c r="O104" s="12" t="n">
        <v>27502540</v>
      </c>
      <c r="P104" s="12" t="n">
        <v>180307</v>
      </c>
      <c r="Q104" s="13" t="n">
        <f aca="false">IFERROR(P104/P103-1,"")</f>
        <v>0.234742652094119</v>
      </c>
      <c r="R104" s="12" t="n">
        <v>211568</v>
      </c>
      <c r="S104" s="13" t="n">
        <f aca="false">IFERROR(R104/R103-1,"")</f>
        <v>0.149238975740654</v>
      </c>
      <c r="T104" s="12" t="n">
        <v>127449</v>
      </c>
      <c r="U104" s="13" t="n">
        <f aca="false">IFERROR(T104/P104,"")</f>
        <v>0.706844437542636</v>
      </c>
      <c r="V104" s="14" t="n">
        <f aca="false">T104-AV104</f>
        <v>-885166</v>
      </c>
      <c r="W104" s="14" t="n">
        <f aca="false">V104-AA104*0.1</f>
        <v>-959466</v>
      </c>
      <c r="X104" s="12" t="n">
        <v>2156139</v>
      </c>
      <c r="Y104" s="12" t="n">
        <v>78570</v>
      </c>
      <c r="Z104" s="15" t="n">
        <f aca="false">IFERROR(X104/Y104,"")</f>
        <v>27.4422680412371</v>
      </c>
      <c r="AA104" s="12" t="n">
        <v>743000</v>
      </c>
      <c r="AB104" s="14" t="n">
        <f aca="false">W104-0.02*P104</f>
        <v>-963072.14</v>
      </c>
      <c r="AC104" s="16" t="n">
        <v>27</v>
      </c>
      <c r="AD104" s="13" t="n">
        <f aca="false">IFERROR(AC104/AC103-1,"")</f>
        <v>0.0800000000000001</v>
      </c>
      <c r="AE104" s="17" t="n">
        <v>0.106</v>
      </c>
      <c r="AF104" s="17" t="n">
        <v>0.076</v>
      </c>
      <c r="AG104" s="13" t="n">
        <f aca="false">1-AF104</f>
        <v>0.924</v>
      </c>
      <c r="AH104" s="17" t="n">
        <v>1.112</v>
      </c>
      <c r="AI104" s="12" t="n">
        <v>51306</v>
      </c>
      <c r="AJ104" s="14" t="n">
        <f aca="false">IFERROR(AM104*U104*MIN(1/AE104,5),"")</f>
        <v>187455.144836307</v>
      </c>
      <c r="AK104" s="18" t="n">
        <f aca="false">IFERROR(AJ104/AI104,"")</f>
        <v>3.65366906085657</v>
      </c>
      <c r="AL104" s="15" t="n">
        <f aca="false">IFERROR(AI104/(AM104*U104/12),"")</f>
        <v>16.4218485584279</v>
      </c>
      <c r="AM104" s="12" t="n">
        <v>53040</v>
      </c>
      <c r="AN104" s="12" t="n">
        <v>292294</v>
      </c>
      <c r="AO104" s="12" t="n">
        <v>820269</v>
      </c>
      <c r="AP104" s="17" t="n">
        <v>0.367</v>
      </c>
      <c r="AQ104" s="16" t="n">
        <v>84</v>
      </c>
      <c r="AR104" s="16" t="n">
        <v>2</v>
      </c>
      <c r="AS104" s="13" t="n">
        <f aca="false">IFERROR(AR104/AR103-1,"")</f>
        <v>0</v>
      </c>
      <c r="AT104" s="11" t="s">
        <v>218</v>
      </c>
      <c r="AU104" s="14" t="n">
        <f aca="false">IFERROR(P104/AR104,"")</f>
        <v>90153.5</v>
      </c>
      <c r="AV104" s="12" t="n">
        <v>1012615</v>
      </c>
      <c r="AW104" s="12" t="n">
        <v>433757</v>
      </c>
      <c r="AX104" s="12" t="n">
        <v>208101</v>
      </c>
      <c r="AY104" s="16" t="n">
        <v>22820</v>
      </c>
      <c r="AZ104" s="13" t="n">
        <f aca="false">IFERROR(AY104/AY103-1,"")</f>
        <v>0.159552845528455</v>
      </c>
      <c r="BA104" s="17" t="n">
        <v>0.898</v>
      </c>
      <c r="BB104" s="11" t="s">
        <v>81</v>
      </c>
      <c r="BC104" s="11" t="s">
        <v>126</v>
      </c>
      <c r="BD104" s="11" t="s">
        <v>83</v>
      </c>
      <c r="BE104" s="12" t="n">
        <v>199139</v>
      </c>
      <c r="BF104" s="13" t="n">
        <f aca="false">IFERROR(P104/BE104-1,"")</f>
        <v>-0.09456711141464</v>
      </c>
      <c r="BG104" s="17" t="n">
        <v>-0.033</v>
      </c>
      <c r="BH104" s="17" t="n">
        <v>-0.047</v>
      </c>
      <c r="BI104" s="14" t="n">
        <f aca="false">P104*(1+IFERROR(Q104,0))^4</f>
        <v>419100.702699725</v>
      </c>
      <c r="BJ104" s="12" t="n">
        <v>-579470</v>
      </c>
      <c r="BK104" s="11" t="s">
        <v>102</v>
      </c>
      <c r="BL104" s="11" t="s">
        <v>85</v>
      </c>
      <c r="BM104" s="14" t="n">
        <f aca="false">O104</f>
        <v>27502540</v>
      </c>
      <c r="BN104" s="11" t="s">
        <v>219</v>
      </c>
      <c r="BO104" s="13" t="n">
        <f aca="false">IFERROR(1-L104/M104,"")</f>
        <v>0.118956254796623</v>
      </c>
      <c r="BP104" s="11" t="s">
        <v>198</v>
      </c>
      <c r="BQ104" s="12" t="n">
        <v>1366434</v>
      </c>
      <c r="BR104" s="11" t="s">
        <v>88</v>
      </c>
      <c r="BS104" s="11" t="s">
        <v>89</v>
      </c>
      <c r="BT104" s="19" t="str">
        <f aca="false">IF(OR(Z104&lt;6,AH104&lt;0.9,S104&lt;0.02,AK104&lt;1),"REVIEW",IF(AND(S104&gt;0.25,AH104&gt;1.2),"ACCELERATING","STABLE"))</f>
        <v>STABLE</v>
      </c>
    </row>
    <row r="105" customFormat="false" ht="15" hidden="false" customHeight="false" outlineLevel="0" collapsed="false">
      <c r="A105" s="11" t="s">
        <v>216</v>
      </c>
      <c r="B105" s="11" t="s">
        <v>93</v>
      </c>
      <c r="C105" s="11" t="s">
        <v>74</v>
      </c>
      <c r="D105" s="11" t="s">
        <v>165</v>
      </c>
      <c r="E105" s="11" t="s">
        <v>105</v>
      </c>
      <c r="F105" s="11" t="s">
        <v>217</v>
      </c>
      <c r="G105" s="11" t="s">
        <v>78</v>
      </c>
      <c r="H105" s="11" t="s">
        <v>79</v>
      </c>
      <c r="I105" s="11" t="s">
        <v>78</v>
      </c>
      <c r="J105" s="12" t="n">
        <v>2480000</v>
      </c>
      <c r="K105" s="13" t="n">
        <f aca="false">IFERROR(J105/M105,"")</f>
        <v>0.118956254796623</v>
      </c>
      <c r="L105" s="12" t="n">
        <v>18368000</v>
      </c>
      <c r="M105" s="14" t="n">
        <f aca="false">L105+J105</f>
        <v>20848000</v>
      </c>
      <c r="N105" s="12" t="n">
        <v>5129000</v>
      </c>
      <c r="O105" s="12" t="n">
        <v>27502540</v>
      </c>
      <c r="P105" s="12" t="n">
        <v>192323</v>
      </c>
      <c r="Q105" s="13" t="n">
        <f aca="false">IFERROR(P105/P104-1,"")</f>
        <v>0.0666418941028357</v>
      </c>
      <c r="R105" s="12" t="n">
        <v>233184</v>
      </c>
      <c r="S105" s="13" t="n">
        <f aca="false">IFERROR(R105/R104-1,"")</f>
        <v>0.102170460561144</v>
      </c>
      <c r="T105" s="12" t="n">
        <v>136489</v>
      </c>
      <c r="U105" s="13" t="n">
        <f aca="false">IFERROR(T105/P105,"")</f>
        <v>0.709686308969806</v>
      </c>
      <c r="V105" s="14" t="n">
        <f aca="false">T105-AV105</f>
        <v>-971542</v>
      </c>
      <c r="W105" s="14" t="n">
        <f aca="false">V105-AA105*0.1</f>
        <v>-1045842</v>
      </c>
      <c r="X105" s="12" t="n">
        <v>1944000</v>
      </c>
      <c r="Y105" s="12" t="n">
        <v>81000</v>
      </c>
      <c r="Z105" s="15" t="n">
        <f aca="false">IFERROR(X105/Y105,"")</f>
        <v>24</v>
      </c>
      <c r="AA105" s="12" t="n">
        <v>743000</v>
      </c>
      <c r="AB105" s="14" t="n">
        <f aca="false">W105-0.02*P105</f>
        <v>-1049688.46</v>
      </c>
      <c r="AC105" s="16" t="n">
        <v>31</v>
      </c>
      <c r="AD105" s="13" t="n">
        <f aca="false">IFERROR(AC105/AC104-1,"")</f>
        <v>0.148148148148148</v>
      </c>
      <c r="AE105" s="17" t="n">
        <v>0.103</v>
      </c>
      <c r="AF105" s="17" t="n">
        <v>0.101</v>
      </c>
      <c r="AG105" s="13" t="n">
        <f aca="false">1-AF105</f>
        <v>0.899</v>
      </c>
      <c r="AH105" s="17" t="n">
        <v>1.107</v>
      </c>
      <c r="AI105" s="12" t="n">
        <v>50300</v>
      </c>
      <c r="AJ105" s="14" t="n">
        <f aca="false">IFERROR(AM105*U105*MIN(1/AE105,5),"")</f>
        <v>191828.209314539</v>
      </c>
      <c r="AK105" s="18" t="n">
        <f aca="false">IFERROR(AJ105/AI105,"")</f>
        <v>3.8136820937284</v>
      </c>
      <c r="AL105" s="15" t="n">
        <f aca="false">IFERROR(AI105/(AM105*U105/12),"")</f>
        <v>15.7328268390986</v>
      </c>
      <c r="AM105" s="12" t="n">
        <v>54060</v>
      </c>
      <c r="AN105" s="12" t="n">
        <v>257471</v>
      </c>
      <c r="AO105" s="12" t="n">
        <v>640442</v>
      </c>
      <c r="AP105" s="17" t="n">
        <v>0.367</v>
      </c>
      <c r="AQ105" s="16" t="n">
        <v>84</v>
      </c>
      <c r="AR105" s="16" t="n">
        <v>2</v>
      </c>
      <c r="AS105" s="13" t="n">
        <f aca="false">IFERROR(AR105/AR104-1,"")</f>
        <v>0</v>
      </c>
      <c r="AT105" s="11" t="s">
        <v>218</v>
      </c>
      <c r="AU105" s="14" t="n">
        <f aca="false">IFERROR(P105/AR105,"")</f>
        <v>96161.5</v>
      </c>
      <c r="AV105" s="12" t="n">
        <v>1108031</v>
      </c>
      <c r="AW105" s="12" t="n">
        <v>503687</v>
      </c>
      <c r="AX105" s="12" t="n">
        <v>222792</v>
      </c>
      <c r="AY105" s="16" t="n">
        <v>26534</v>
      </c>
      <c r="AZ105" s="13" t="n">
        <f aca="false">IFERROR(AY105/AY104-1,"")</f>
        <v>0.162751971954426</v>
      </c>
      <c r="BA105" s="17" t="n">
        <v>0.918</v>
      </c>
      <c r="BB105" s="11" t="s">
        <v>81</v>
      </c>
      <c r="BC105" s="11" t="s">
        <v>126</v>
      </c>
      <c r="BD105" s="11" t="s">
        <v>83</v>
      </c>
      <c r="BE105" s="12" t="n">
        <v>228721</v>
      </c>
      <c r="BF105" s="13" t="n">
        <f aca="false">IFERROR(P105/BE105-1,"")</f>
        <v>-0.159137114650601</v>
      </c>
      <c r="BG105" s="17" t="n">
        <v>0.002</v>
      </c>
      <c r="BH105" s="17" t="n">
        <v>0.006</v>
      </c>
      <c r="BI105" s="14" t="n">
        <f aca="false">P105*(1+IFERROR(Q105,0))^4</f>
        <v>248946.35626895</v>
      </c>
      <c r="BJ105" s="12" t="n">
        <v>-660938</v>
      </c>
      <c r="BK105" s="11" t="s">
        <v>102</v>
      </c>
      <c r="BL105" s="11" t="s">
        <v>85</v>
      </c>
      <c r="BM105" s="14" t="n">
        <f aca="false">O105</f>
        <v>27502540</v>
      </c>
      <c r="BN105" s="11" t="s">
        <v>219</v>
      </c>
      <c r="BO105" s="13" t="n">
        <f aca="false">IFERROR(1-L105/M105,"")</f>
        <v>0.118956254796623</v>
      </c>
      <c r="BP105" s="11" t="s">
        <v>198</v>
      </c>
      <c r="BQ105" s="12" t="n">
        <v>1592239</v>
      </c>
      <c r="BR105" s="11" t="s">
        <v>88</v>
      </c>
      <c r="BS105" s="11" t="s">
        <v>89</v>
      </c>
      <c r="BT105" s="19" t="str">
        <f aca="false">IF(OR(Z105&lt;6,AH105&lt;0.9,S105&lt;0.02,AK105&lt;1),"REVIEW",IF(AND(S105&gt;0.25,AH105&gt;1.2),"ACCELERATING","STABLE"))</f>
        <v>STABLE</v>
      </c>
    </row>
    <row r="106" customFormat="false" ht="15" hidden="false" customHeight="false" outlineLevel="0" collapsed="false">
      <c r="A106" s="3" t="s">
        <v>220</v>
      </c>
      <c r="B106" s="3" t="s">
        <v>73</v>
      </c>
      <c r="C106" s="3" t="s">
        <v>74</v>
      </c>
      <c r="D106" s="3" t="s">
        <v>115</v>
      </c>
      <c r="E106" s="3" t="s">
        <v>105</v>
      </c>
      <c r="F106" s="3" t="s">
        <v>221</v>
      </c>
      <c r="G106" s="3" t="s">
        <v>78</v>
      </c>
      <c r="H106" s="3" t="s">
        <v>79</v>
      </c>
      <c r="I106" s="3" t="s">
        <v>78</v>
      </c>
      <c r="J106" s="4" t="n">
        <v>1923000</v>
      </c>
      <c r="K106" s="5" t="n">
        <f aca="false">IFERROR(J106/M106,"")</f>
        <v>0.154930712213986</v>
      </c>
      <c r="L106" s="4" t="n">
        <v>10489000</v>
      </c>
      <c r="M106" s="6" t="n">
        <f aca="false">L106+J106</f>
        <v>12412000</v>
      </c>
      <c r="N106" s="4" t="n">
        <v>3788000</v>
      </c>
      <c r="O106" s="4" t="n">
        <v>12113439</v>
      </c>
      <c r="P106" s="4" t="n">
        <v>505797</v>
      </c>
      <c r="Q106" s="7"/>
      <c r="R106" s="4" t="n">
        <v>553198</v>
      </c>
      <c r="S106" s="7"/>
      <c r="T106" s="4" t="n">
        <v>424201</v>
      </c>
      <c r="U106" s="5" t="n">
        <f aca="false">IFERROR(T106/P106,"")</f>
        <v>0.838678363058698</v>
      </c>
      <c r="V106" s="6" t="n">
        <f aca="false">T106-AV106</f>
        <v>-917808</v>
      </c>
      <c r="W106" s="6" t="n">
        <f aca="false">V106-AA106*0.1</f>
        <v>-917808</v>
      </c>
      <c r="X106" s="4" t="n">
        <v>3074358</v>
      </c>
      <c r="Y106" s="4" t="n">
        <v>89180</v>
      </c>
      <c r="Z106" s="8" t="n">
        <f aca="false">IFERROR(X106/Y106,"")</f>
        <v>34.4736263736264</v>
      </c>
      <c r="AA106" s="4" t="n">
        <v>0</v>
      </c>
      <c r="AB106" s="6" t="n">
        <f aca="false">W106-0.02*P106</f>
        <v>-927923.94</v>
      </c>
      <c r="AC106" s="9" t="n">
        <v>25</v>
      </c>
      <c r="AD106" s="7"/>
      <c r="AE106" s="7" t="n">
        <v>0.124</v>
      </c>
      <c r="AF106" s="7" t="n">
        <v>0.135</v>
      </c>
      <c r="AG106" s="5" t="n">
        <f aca="false">1-AF106</f>
        <v>0.865</v>
      </c>
      <c r="AH106" s="7" t="n">
        <v>1.179</v>
      </c>
      <c r="AI106" s="4" t="n">
        <v>75048</v>
      </c>
      <c r="AJ106" s="6" t="n">
        <f aca="false">IFERROR(AM106*U106*MIN(1/AE106,5),"")</f>
        <v>192896.0235035</v>
      </c>
      <c r="AK106" s="10" t="n">
        <f aca="false">IFERROR(AJ106/AI106,"")</f>
        <v>2.57030198677514</v>
      </c>
      <c r="AL106" s="8" t="n">
        <f aca="false">IFERROR(AI106/(AM106*U106/12),"")</f>
        <v>23.3435605266289</v>
      </c>
      <c r="AM106" s="4" t="n">
        <v>46000</v>
      </c>
      <c r="AN106" s="4" t="n">
        <v>709199</v>
      </c>
      <c r="AO106" s="4" t="n">
        <v>1363438</v>
      </c>
      <c r="AP106" s="7" t="n">
        <v>0.4</v>
      </c>
      <c r="AQ106" s="9" t="n">
        <v>68</v>
      </c>
      <c r="AR106" s="9" t="n">
        <v>1</v>
      </c>
      <c r="AS106" s="7"/>
      <c r="AT106" s="3" t="s">
        <v>218</v>
      </c>
      <c r="AU106" s="6" t="n">
        <f aca="false">IFERROR(P106/AR106,"")</f>
        <v>505797</v>
      </c>
      <c r="AV106" s="4" t="n">
        <v>1342009</v>
      </c>
      <c r="AW106" s="4" t="n">
        <v>555110</v>
      </c>
      <c r="AX106" s="4" t="n">
        <v>378942</v>
      </c>
      <c r="AY106" s="9" t="n">
        <v>5165</v>
      </c>
      <c r="AZ106" s="7"/>
      <c r="BA106" s="7" t="n">
        <v>0.897</v>
      </c>
      <c r="BB106" s="3" t="s">
        <v>161</v>
      </c>
      <c r="BC106" s="3" t="s">
        <v>100</v>
      </c>
      <c r="BD106" s="3" t="s">
        <v>101</v>
      </c>
      <c r="BE106" s="4" t="n">
        <v>602325</v>
      </c>
      <c r="BF106" s="5" t="n">
        <f aca="false">IFERROR(P106/BE106-1,"")</f>
        <v>-0.160258996388993</v>
      </c>
      <c r="BG106" s="7" t="n">
        <v>0.035</v>
      </c>
      <c r="BH106" s="7" t="n">
        <v>0.09</v>
      </c>
      <c r="BI106" s="6" t="n">
        <f aca="false">P106</f>
        <v>505797</v>
      </c>
      <c r="BJ106" s="4" t="n">
        <v>-1056351</v>
      </c>
      <c r="BK106" s="3" t="s">
        <v>127</v>
      </c>
      <c r="BL106" s="3" t="s">
        <v>128</v>
      </c>
      <c r="BM106" s="6" t="n">
        <f aca="false">O106</f>
        <v>12113439</v>
      </c>
      <c r="BN106" s="3" t="s">
        <v>222</v>
      </c>
      <c r="BO106" s="5" t="n">
        <f aca="false">IFERROR(1-L106/M106,"")</f>
        <v>0.154930712213986</v>
      </c>
      <c r="BP106" s="3" t="s">
        <v>142</v>
      </c>
      <c r="BQ106" s="4" t="n">
        <v>1501131</v>
      </c>
      <c r="BR106" s="3" t="s">
        <v>88</v>
      </c>
      <c r="BS106" s="3" t="s">
        <v>89</v>
      </c>
      <c r="BT106" s="3" t="s">
        <v>90</v>
      </c>
    </row>
    <row r="107" customFormat="false" ht="15" hidden="false" customHeight="false" outlineLevel="0" collapsed="false">
      <c r="A107" s="11" t="s">
        <v>220</v>
      </c>
      <c r="B107" s="11" t="s">
        <v>91</v>
      </c>
      <c r="C107" s="11" t="s">
        <v>74</v>
      </c>
      <c r="D107" s="11" t="s">
        <v>115</v>
      </c>
      <c r="E107" s="11" t="s">
        <v>105</v>
      </c>
      <c r="F107" s="11" t="s">
        <v>221</v>
      </c>
      <c r="G107" s="11" t="s">
        <v>78</v>
      </c>
      <c r="H107" s="11" t="s">
        <v>79</v>
      </c>
      <c r="I107" s="11" t="s">
        <v>78</v>
      </c>
      <c r="J107" s="12" t="n">
        <v>1923000</v>
      </c>
      <c r="K107" s="13" t="n">
        <f aca="false">IFERROR(J107/M107,"")</f>
        <v>0.154930712213986</v>
      </c>
      <c r="L107" s="12" t="n">
        <v>10489000</v>
      </c>
      <c r="M107" s="14" t="n">
        <f aca="false">L107+J107</f>
        <v>12412000</v>
      </c>
      <c r="N107" s="12" t="n">
        <v>3788000</v>
      </c>
      <c r="O107" s="12" t="n">
        <v>12113439</v>
      </c>
      <c r="P107" s="12" t="n">
        <v>564871</v>
      </c>
      <c r="Q107" s="13" t="n">
        <f aca="false">IFERROR(P107/P106-1,"")</f>
        <v>0.116793891620551</v>
      </c>
      <c r="R107" s="12" t="n">
        <v>678878</v>
      </c>
      <c r="S107" s="13" t="n">
        <f aca="false">IFERROR(R107/R106-1,"")</f>
        <v>0.227188095401647</v>
      </c>
      <c r="T107" s="12" t="n">
        <v>475663</v>
      </c>
      <c r="U107" s="13" t="n">
        <f aca="false">IFERROR(T107/P107,"")</f>
        <v>0.842073676998819</v>
      </c>
      <c r="V107" s="14" t="n">
        <f aca="false">T107-AV107</f>
        <v>-1158324</v>
      </c>
      <c r="W107" s="14" t="n">
        <f aca="false">V107-AA107*0.1</f>
        <v>-1158324</v>
      </c>
      <c r="X107" s="12" t="n">
        <v>2849448</v>
      </c>
      <c r="Y107" s="12" t="n">
        <v>92120</v>
      </c>
      <c r="Z107" s="15" t="n">
        <f aca="false">IFERROR(X107/Y107,"")</f>
        <v>30.931914893617</v>
      </c>
      <c r="AA107" s="12" t="n">
        <v>0</v>
      </c>
      <c r="AB107" s="14" t="n">
        <f aca="false">W107-0.02*P107</f>
        <v>-1169621.42</v>
      </c>
      <c r="AC107" s="16" t="n">
        <v>29</v>
      </c>
      <c r="AD107" s="13" t="n">
        <f aca="false">IFERROR(AC107/AC106-1,"")</f>
        <v>0.16</v>
      </c>
      <c r="AE107" s="17" t="n">
        <v>0.121</v>
      </c>
      <c r="AF107" s="17" t="n">
        <v>0.073</v>
      </c>
      <c r="AG107" s="13" t="n">
        <f aca="false">1-AF107</f>
        <v>0.927</v>
      </c>
      <c r="AH107" s="17" t="n">
        <v>1.174</v>
      </c>
      <c r="AI107" s="12" t="n">
        <v>73632</v>
      </c>
      <c r="AJ107" s="14" t="n">
        <f aca="false">IFERROR(AM107*U107*MIN(1/AE107,5),"")</f>
        <v>197550.484623923</v>
      </c>
      <c r="AK107" s="18" t="n">
        <f aca="false">IFERROR(AJ107/AI107,"")</f>
        <v>2.68294334832577</v>
      </c>
      <c r="AL107" s="15" t="n">
        <f aca="false">IFERROR(AI107/(AM107*U107/12),"")</f>
        <v>22.3634986692662</v>
      </c>
      <c r="AM107" s="12" t="n">
        <v>46920</v>
      </c>
      <c r="AN107" s="12" t="n">
        <v>688484</v>
      </c>
      <c r="AO107" s="12" t="n">
        <v>1761311</v>
      </c>
      <c r="AP107" s="17" t="n">
        <v>0.4</v>
      </c>
      <c r="AQ107" s="16" t="n">
        <v>68</v>
      </c>
      <c r="AR107" s="16" t="n">
        <v>2</v>
      </c>
      <c r="AS107" s="13" t="n">
        <f aca="false">IFERROR(AR107/AR106-1,"")</f>
        <v>1</v>
      </c>
      <c r="AT107" s="11" t="s">
        <v>218</v>
      </c>
      <c r="AU107" s="14" t="n">
        <f aca="false">IFERROR(P107/AR107,"")</f>
        <v>282435.5</v>
      </c>
      <c r="AV107" s="12" t="n">
        <v>1633987</v>
      </c>
      <c r="AW107" s="12" t="n">
        <v>611273</v>
      </c>
      <c r="AX107" s="12" t="n">
        <v>371002</v>
      </c>
      <c r="AY107" s="16" t="n">
        <v>5773</v>
      </c>
      <c r="AZ107" s="13" t="n">
        <f aca="false">IFERROR(AY107/AY106-1,"")</f>
        <v>0.117715392061955</v>
      </c>
      <c r="BA107" s="17" t="n">
        <v>0.877</v>
      </c>
      <c r="BB107" s="11" t="s">
        <v>161</v>
      </c>
      <c r="BC107" s="11" t="s">
        <v>100</v>
      </c>
      <c r="BD107" s="11" t="s">
        <v>101</v>
      </c>
      <c r="BE107" s="12" t="n">
        <v>667774</v>
      </c>
      <c r="BF107" s="13" t="n">
        <f aca="false">IFERROR(P107/BE107-1,"")</f>
        <v>-0.154098542321204</v>
      </c>
      <c r="BG107" s="17" t="n">
        <v>0.069</v>
      </c>
      <c r="BH107" s="17" t="n">
        <v>0.092</v>
      </c>
      <c r="BI107" s="14" t="n">
        <f aca="false">P107*(1+IFERROR(Q107,0))^4</f>
        <v>878701.562229888</v>
      </c>
      <c r="BJ107" s="12" t="n">
        <v>-915199</v>
      </c>
      <c r="BK107" s="11" t="s">
        <v>127</v>
      </c>
      <c r="BL107" s="11" t="s">
        <v>128</v>
      </c>
      <c r="BM107" s="14" t="n">
        <f aca="false">O107</f>
        <v>12113439</v>
      </c>
      <c r="BN107" s="11" t="s">
        <v>222</v>
      </c>
      <c r="BO107" s="13" t="n">
        <f aca="false">IFERROR(1-L107/M107,"")</f>
        <v>0.154930712213986</v>
      </c>
      <c r="BP107" s="11" t="s">
        <v>142</v>
      </c>
      <c r="BQ107" s="12" t="n">
        <v>1497877</v>
      </c>
      <c r="BR107" s="11" t="s">
        <v>88</v>
      </c>
      <c r="BS107" s="11" t="s">
        <v>89</v>
      </c>
      <c r="BT107" s="19" t="str">
        <f aca="false">IF(OR(Z107&lt;6,AH107&lt;0.9,S107&lt;0.02,AK107&lt;1),"REVIEW",IF(AND(S107&gt;0.25,AH107&gt;1.2),"ACCELERATING","STABLE"))</f>
        <v>STABLE</v>
      </c>
    </row>
    <row r="108" customFormat="false" ht="15" hidden="false" customHeight="false" outlineLevel="0" collapsed="false">
      <c r="A108" s="11" t="s">
        <v>220</v>
      </c>
      <c r="B108" s="11" t="s">
        <v>92</v>
      </c>
      <c r="C108" s="11" t="s">
        <v>74</v>
      </c>
      <c r="D108" s="11" t="s">
        <v>115</v>
      </c>
      <c r="E108" s="11" t="s">
        <v>105</v>
      </c>
      <c r="F108" s="11" t="s">
        <v>221</v>
      </c>
      <c r="G108" s="11" t="s">
        <v>78</v>
      </c>
      <c r="H108" s="11" t="s">
        <v>79</v>
      </c>
      <c r="I108" s="11" t="s">
        <v>78</v>
      </c>
      <c r="J108" s="12" t="n">
        <v>1923000</v>
      </c>
      <c r="K108" s="13" t="n">
        <f aca="false">IFERROR(J108/M108,"")</f>
        <v>0.154930712213986</v>
      </c>
      <c r="L108" s="12" t="n">
        <v>10489000</v>
      </c>
      <c r="M108" s="14" t="n">
        <f aca="false">L108+J108</f>
        <v>12412000</v>
      </c>
      <c r="N108" s="12" t="n">
        <v>3788000</v>
      </c>
      <c r="O108" s="12" t="n">
        <v>12113439</v>
      </c>
      <c r="P108" s="12" t="n">
        <v>702420</v>
      </c>
      <c r="Q108" s="13" t="n">
        <f aca="false">IFERROR(P108/P107-1,"")</f>
        <v>0.243505154274162</v>
      </c>
      <c r="R108" s="12" t="n">
        <v>873533</v>
      </c>
      <c r="S108" s="13" t="n">
        <f aca="false">IFERROR(R108/R107-1,"")</f>
        <v>0.286730458197202</v>
      </c>
      <c r="T108" s="12" t="n">
        <v>593876</v>
      </c>
      <c r="U108" s="13" t="n">
        <f aca="false">IFERROR(T108/P108,"")</f>
        <v>0.845471370405171</v>
      </c>
      <c r="V108" s="14" t="n">
        <f aca="false">T108-AV108</f>
        <v>-1103375</v>
      </c>
      <c r="W108" s="14" t="n">
        <f aca="false">V108-AA108*0.1</f>
        <v>-1103375</v>
      </c>
      <c r="X108" s="12" t="n">
        <v>2608662</v>
      </c>
      <c r="Y108" s="12" t="n">
        <v>95060</v>
      </c>
      <c r="Z108" s="15" t="n">
        <f aca="false">IFERROR(X108/Y108,"")</f>
        <v>27.4422680412371</v>
      </c>
      <c r="AA108" s="12" t="n">
        <v>0</v>
      </c>
      <c r="AB108" s="14" t="n">
        <f aca="false">W108-0.02*P108</f>
        <v>-1117423.4</v>
      </c>
      <c r="AC108" s="16" t="n">
        <v>35</v>
      </c>
      <c r="AD108" s="13" t="n">
        <f aca="false">IFERROR(AC108/AC107-1,"")</f>
        <v>0.206896551724138</v>
      </c>
      <c r="AE108" s="17" t="n">
        <v>0.117</v>
      </c>
      <c r="AF108" s="17" t="n">
        <v>0.123</v>
      </c>
      <c r="AG108" s="13" t="n">
        <f aca="false">1-AF108</f>
        <v>0.877</v>
      </c>
      <c r="AH108" s="17" t="n">
        <v>1.169</v>
      </c>
      <c r="AI108" s="12" t="n">
        <v>72216</v>
      </c>
      <c r="AJ108" s="14" t="n">
        <f aca="false">IFERROR(AM108*U108*MIN(1/AE108,5),"")</f>
        <v>202236.751800917</v>
      </c>
      <c r="AK108" s="18" t="n">
        <f aca="false">IFERROR(AJ108/AI108,"")</f>
        <v>2.80044244766972</v>
      </c>
      <c r="AL108" s="15" t="n">
        <f aca="false">IFERROR(AI108/(AM108*U108/12),"")</f>
        <v>21.42518588444</v>
      </c>
      <c r="AM108" s="12" t="n">
        <v>47840</v>
      </c>
      <c r="AN108" s="12" t="n">
        <v>1176582</v>
      </c>
      <c r="AO108" s="12" t="n">
        <v>3072232</v>
      </c>
      <c r="AP108" s="17" t="n">
        <v>0.4</v>
      </c>
      <c r="AQ108" s="16" t="n">
        <v>68</v>
      </c>
      <c r="AR108" s="16" t="n">
        <v>2</v>
      </c>
      <c r="AS108" s="13" t="n">
        <f aca="false">IFERROR(AR108/AR107-1,"")</f>
        <v>0</v>
      </c>
      <c r="AT108" s="11" t="s">
        <v>218</v>
      </c>
      <c r="AU108" s="14" t="n">
        <f aca="false">IFERROR(P108/AR108,"")</f>
        <v>351210</v>
      </c>
      <c r="AV108" s="12" t="n">
        <v>1697251</v>
      </c>
      <c r="AW108" s="12" t="n">
        <v>812083</v>
      </c>
      <c r="AX108" s="12" t="n">
        <v>538250</v>
      </c>
      <c r="AY108" s="16" t="n">
        <v>7094</v>
      </c>
      <c r="AZ108" s="13" t="n">
        <f aca="false">IFERROR(AY108/AY107-1,"")</f>
        <v>0.228823835094405</v>
      </c>
      <c r="BA108" s="17" t="n">
        <v>0.871</v>
      </c>
      <c r="BB108" s="11" t="s">
        <v>161</v>
      </c>
      <c r="BC108" s="11" t="s">
        <v>100</v>
      </c>
      <c r="BD108" s="11" t="s">
        <v>101</v>
      </c>
      <c r="BE108" s="12" t="n">
        <v>810099</v>
      </c>
      <c r="BF108" s="13" t="n">
        <f aca="false">IFERROR(P108/BE108-1,"")</f>
        <v>-0.132920791162562</v>
      </c>
      <c r="BG108" s="17" t="n">
        <v>0.002</v>
      </c>
      <c r="BH108" s="17" t="n">
        <v>-0.002</v>
      </c>
      <c r="BI108" s="14" t="n">
        <f aca="false">P108*(1+IFERROR(Q108,0))^4</f>
        <v>1679527.91951952</v>
      </c>
      <c r="BJ108" s="12" t="n">
        <v>-571326</v>
      </c>
      <c r="BK108" s="11" t="s">
        <v>127</v>
      </c>
      <c r="BL108" s="11" t="s">
        <v>128</v>
      </c>
      <c r="BM108" s="14" t="n">
        <f aca="false">O108</f>
        <v>12113439</v>
      </c>
      <c r="BN108" s="11" t="s">
        <v>222</v>
      </c>
      <c r="BO108" s="13" t="n">
        <f aca="false">IFERROR(1-L108/M108,"")</f>
        <v>0.154930712213986</v>
      </c>
      <c r="BP108" s="11" t="s">
        <v>142</v>
      </c>
      <c r="BQ108" s="12" t="n">
        <v>1577048</v>
      </c>
      <c r="BR108" s="11" t="s">
        <v>88</v>
      </c>
      <c r="BS108" s="11" t="s">
        <v>89</v>
      </c>
      <c r="BT108" s="19" t="str">
        <f aca="false">IF(OR(Z108&lt;6,AH108&lt;0.9,S108&lt;0.02,AK108&lt;1),"REVIEW",IF(AND(S108&gt;0.25,AH108&gt;1.2),"ACCELERATING","STABLE"))</f>
        <v>STABLE</v>
      </c>
    </row>
    <row r="109" customFormat="false" ht="15" hidden="false" customHeight="false" outlineLevel="0" collapsed="false">
      <c r="A109" s="11" t="s">
        <v>220</v>
      </c>
      <c r="B109" s="11" t="s">
        <v>93</v>
      </c>
      <c r="C109" s="11" t="s">
        <v>74</v>
      </c>
      <c r="D109" s="11" t="s">
        <v>115</v>
      </c>
      <c r="E109" s="11" t="s">
        <v>105</v>
      </c>
      <c r="F109" s="11" t="s">
        <v>221</v>
      </c>
      <c r="G109" s="11" t="s">
        <v>78</v>
      </c>
      <c r="H109" s="11" t="s">
        <v>79</v>
      </c>
      <c r="I109" s="11" t="s">
        <v>78</v>
      </c>
      <c r="J109" s="12" t="n">
        <v>1923000</v>
      </c>
      <c r="K109" s="13" t="n">
        <f aca="false">IFERROR(J109/M109,"")</f>
        <v>0.154930712213986</v>
      </c>
      <c r="L109" s="12" t="n">
        <v>10489000</v>
      </c>
      <c r="M109" s="14" t="n">
        <f aca="false">L109+J109</f>
        <v>12412000</v>
      </c>
      <c r="N109" s="12" t="n">
        <v>3788000</v>
      </c>
      <c r="O109" s="12" t="n">
        <v>12113439</v>
      </c>
      <c r="P109" s="12" t="n">
        <v>947135</v>
      </c>
      <c r="Q109" s="13" t="n">
        <f aca="false">IFERROR(P109/P108-1,"")</f>
        <v>0.348388428575496</v>
      </c>
      <c r="R109" s="12" t="n">
        <v>1038177</v>
      </c>
      <c r="S109" s="13" t="n">
        <f aca="false">IFERROR(R109/R108-1,"")</f>
        <v>0.188480572571385</v>
      </c>
      <c r="T109" s="12" t="n">
        <v>803990</v>
      </c>
      <c r="U109" s="13" t="n">
        <f aca="false">IFERROR(T109/P109,"")</f>
        <v>0.848865262079851</v>
      </c>
      <c r="V109" s="14" t="n">
        <f aca="false">T109-AV109</f>
        <v>-1000276</v>
      </c>
      <c r="W109" s="14" t="n">
        <f aca="false">V109-AA109*0.1</f>
        <v>-1000276</v>
      </c>
      <c r="X109" s="12" t="n">
        <v>2352000</v>
      </c>
      <c r="Y109" s="12" t="n">
        <v>98000</v>
      </c>
      <c r="Z109" s="15" t="n">
        <f aca="false">IFERROR(X109/Y109,"")</f>
        <v>24</v>
      </c>
      <c r="AA109" s="12" t="n">
        <v>0</v>
      </c>
      <c r="AB109" s="14" t="n">
        <f aca="false">W109-0.02*P109</f>
        <v>-1019218.7</v>
      </c>
      <c r="AC109" s="16" t="n">
        <v>42</v>
      </c>
      <c r="AD109" s="13" t="n">
        <f aca="false">IFERROR(AC109/AC108-1,"")</f>
        <v>0.2</v>
      </c>
      <c r="AE109" s="17" t="n">
        <v>0.114</v>
      </c>
      <c r="AF109" s="17" t="n">
        <v>0.096</v>
      </c>
      <c r="AG109" s="13" t="n">
        <f aca="false">1-AF109</f>
        <v>0.904</v>
      </c>
      <c r="AH109" s="17" t="n">
        <v>1.164</v>
      </c>
      <c r="AI109" s="12" t="n">
        <v>70800</v>
      </c>
      <c r="AJ109" s="14" t="n">
        <f aca="false">IFERROR(AM109*U109*MIN(1/AE109,5),"")</f>
        <v>206953.350895068</v>
      </c>
      <c r="AK109" s="18" t="n">
        <f aca="false">IFERROR(AJ109/AI109,"")</f>
        <v>2.92306992789644</v>
      </c>
      <c r="AL109" s="15" t="n">
        <f aca="false">IFERROR(AI109/(AM109*U109/12),"")</f>
        <v>20.5263649108725</v>
      </c>
      <c r="AM109" s="12" t="n">
        <v>48760</v>
      </c>
      <c r="AN109" s="12" t="n">
        <v>1117135</v>
      </c>
      <c r="AO109" s="12" t="n">
        <v>2243432</v>
      </c>
      <c r="AP109" s="17" t="n">
        <v>0.4</v>
      </c>
      <c r="AQ109" s="16" t="n">
        <v>68</v>
      </c>
      <c r="AR109" s="16" t="n">
        <v>2</v>
      </c>
      <c r="AS109" s="13" t="n">
        <f aca="false">IFERROR(AR109/AR108-1,"")</f>
        <v>0</v>
      </c>
      <c r="AT109" s="11" t="s">
        <v>218</v>
      </c>
      <c r="AU109" s="14" t="n">
        <f aca="false">IFERROR(P109/AR109,"")</f>
        <v>473567.5</v>
      </c>
      <c r="AV109" s="12" t="n">
        <v>1804266</v>
      </c>
      <c r="AW109" s="12" t="n">
        <v>607579</v>
      </c>
      <c r="AX109" s="12" t="n">
        <v>537164</v>
      </c>
      <c r="AY109" s="16" t="n">
        <v>8765</v>
      </c>
      <c r="AZ109" s="13" t="n">
        <f aca="false">IFERROR(AY109/AY108-1,"")</f>
        <v>0.235551170002819</v>
      </c>
      <c r="BA109" s="17" t="n">
        <v>0.909</v>
      </c>
      <c r="BB109" s="11" t="s">
        <v>161</v>
      </c>
      <c r="BC109" s="11" t="s">
        <v>100</v>
      </c>
      <c r="BD109" s="11" t="s">
        <v>101</v>
      </c>
      <c r="BE109" s="12" t="n">
        <v>905281</v>
      </c>
      <c r="BF109" s="13" t="n">
        <f aca="false">IFERROR(P109/BE109-1,"")</f>
        <v>0.0462331585441427</v>
      </c>
      <c r="BG109" s="17" t="n">
        <v>-0.039</v>
      </c>
      <c r="BH109" s="17" t="n">
        <v>0.044</v>
      </c>
      <c r="BI109" s="14" t="n">
        <f aca="false">P109*(1+IFERROR(Q109,0))^4</f>
        <v>3130919.87283734</v>
      </c>
      <c r="BJ109" s="12" t="n">
        <v>-967435</v>
      </c>
      <c r="BK109" s="11" t="s">
        <v>127</v>
      </c>
      <c r="BL109" s="11" t="s">
        <v>128</v>
      </c>
      <c r="BM109" s="14" t="n">
        <f aca="false">O109</f>
        <v>12113439</v>
      </c>
      <c r="BN109" s="11" t="s">
        <v>222</v>
      </c>
      <c r="BO109" s="13" t="n">
        <f aca="false">IFERROR(1-L109/M109,"")</f>
        <v>0.154930712213986</v>
      </c>
      <c r="BP109" s="11" t="s">
        <v>142</v>
      </c>
      <c r="BQ109" s="12" t="n">
        <v>1437603</v>
      </c>
      <c r="BR109" s="11" t="s">
        <v>88</v>
      </c>
      <c r="BS109" s="11" t="s">
        <v>89</v>
      </c>
      <c r="BT109" s="19" t="str">
        <f aca="false">IF(OR(Z109&lt;6,AH109&lt;0.9,S109&lt;0.02,AK109&lt;1),"REVIEW",IF(AND(S109&gt;0.25,AH109&gt;1.2),"ACCELERATING","STABLE"))</f>
        <v>STABLE</v>
      </c>
    </row>
    <row r="110" customFormat="false" ht="15" hidden="false" customHeight="false" outlineLevel="0" collapsed="false">
      <c r="A110" s="3" t="s">
        <v>223</v>
      </c>
      <c r="B110" s="3" t="s">
        <v>73</v>
      </c>
      <c r="C110" s="3" t="s">
        <v>74</v>
      </c>
      <c r="D110" s="3" t="s">
        <v>165</v>
      </c>
      <c r="E110" s="3" t="s">
        <v>105</v>
      </c>
      <c r="F110" s="3" t="s">
        <v>224</v>
      </c>
      <c r="G110" s="3" t="s">
        <v>78</v>
      </c>
      <c r="H110" s="3" t="s">
        <v>79</v>
      </c>
      <c r="I110" s="3" t="s">
        <v>78</v>
      </c>
      <c r="J110" s="4" t="n">
        <v>3521000</v>
      </c>
      <c r="K110" s="5" t="n">
        <f aca="false">IFERROR(J110/M110,"")</f>
        <v>0.150021303792075</v>
      </c>
      <c r="L110" s="4" t="n">
        <v>19949000</v>
      </c>
      <c r="M110" s="6" t="n">
        <f aca="false">L110+J110</f>
        <v>23470000</v>
      </c>
      <c r="N110" s="4" t="n">
        <v>6810000</v>
      </c>
      <c r="O110" s="4" t="n">
        <v>44086761</v>
      </c>
      <c r="P110" s="4" t="n">
        <v>990640</v>
      </c>
      <c r="Q110" s="7"/>
      <c r="R110" s="4" t="n">
        <v>1221450</v>
      </c>
      <c r="S110" s="7"/>
      <c r="T110" s="4" t="n">
        <v>608633</v>
      </c>
      <c r="U110" s="5" t="n">
        <f aca="false">IFERROR(T110/P110,"")</f>
        <v>0.61438363078414</v>
      </c>
      <c r="V110" s="6" t="n">
        <f aca="false">T110-AV110</f>
        <v>-2179444</v>
      </c>
      <c r="W110" s="6" t="n">
        <f aca="false">V110-AA110*0.1</f>
        <v>-2179444</v>
      </c>
      <c r="X110" s="4" t="n">
        <v>1631000</v>
      </c>
      <c r="Y110" s="4" t="n">
        <v>196560</v>
      </c>
      <c r="Z110" s="8" t="n">
        <f aca="false">IFERROR(X110/Y110,"")</f>
        <v>8.2977207977208</v>
      </c>
      <c r="AA110" s="4" t="n">
        <v>0</v>
      </c>
      <c r="AB110" s="6" t="n">
        <f aca="false">W110-0.02*P110</f>
        <v>-2199256.8</v>
      </c>
      <c r="AC110" s="9" t="n">
        <v>13</v>
      </c>
      <c r="AD110" s="7"/>
      <c r="AE110" s="7" t="n">
        <v>0.047</v>
      </c>
      <c r="AF110" s="7" t="n">
        <v>0.046</v>
      </c>
      <c r="AG110" s="5" t="n">
        <f aca="false">1-AF110</f>
        <v>0.954</v>
      </c>
      <c r="AH110" s="7" t="n">
        <v>1.253</v>
      </c>
      <c r="AI110" s="4" t="n">
        <v>26818</v>
      </c>
      <c r="AJ110" s="6" t="n">
        <f aca="false">IFERROR(AM110*U110*MIN(1/AE110,5),"")</f>
        <v>122876.726156828</v>
      </c>
      <c r="AK110" s="10" t="n">
        <f aca="false">IFERROR(AJ110/AI110,"")</f>
        <v>4.58187508974674</v>
      </c>
      <c r="AL110" s="8" t="n">
        <f aca="false">IFERROR(AI110/(AM110*U110/12),"")</f>
        <v>13.0950754494088</v>
      </c>
      <c r="AM110" s="4" t="n">
        <v>40000</v>
      </c>
      <c r="AN110" s="4" t="n">
        <v>1819732</v>
      </c>
      <c r="AO110" s="4" t="n">
        <v>3912099</v>
      </c>
      <c r="AP110" s="7" t="n">
        <v>0.289</v>
      </c>
      <c r="AQ110" s="9" t="n">
        <v>87</v>
      </c>
      <c r="AR110" s="9" t="n">
        <v>2</v>
      </c>
      <c r="AS110" s="7"/>
      <c r="AT110" s="3" t="s">
        <v>134</v>
      </c>
      <c r="AU110" s="6" t="n">
        <f aca="false">IFERROR(P110/AR110,"")</f>
        <v>495320</v>
      </c>
      <c r="AV110" s="4" t="n">
        <v>2788077</v>
      </c>
      <c r="AW110" s="4" t="n">
        <v>940172</v>
      </c>
      <c r="AX110" s="4" t="n">
        <v>783178</v>
      </c>
      <c r="AY110" s="9" t="n">
        <v>9487</v>
      </c>
      <c r="AZ110" s="7"/>
      <c r="BA110" s="7" t="n">
        <v>0.961</v>
      </c>
      <c r="BB110" s="3" t="s">
        <v>81</v>
      </c>
      <c r="BC110" s="3" t="s">
        <v>100</v>
      </c>
      <c r="BD110" s="3" t="s">
        <v>101</v>
      </c>
      <c r="BE110" s="4" t="n">
        <v>1061939</v>
      </c>
      <c r="BF110" s="5" t="n">
        <f aca="false">IFERROR(P110/BE110-1,"")</f>
        <v>-0.0671403913030786</v>
      </c>
      <c r="BG110" s="7" t="n">
        <v>0.083</v>
      </c>
      <c r="BH110" s="7" t="n">
        <v>0.059</v>
      </c>
      <c r="BI110" s="6" t="n">
        <f aca="false">P110</f>
        <v>990640</v>
      </c>
      <c r="BJ110" s="4" t="n">
        <v>-2078942</v>
      </c>
      <c r="BK110" s="3" t="s">
        <v>102</v>
      </c>
      <c r="BL110" s="3" t="s">
        <v>111</v>
      </c>
      <c r="BM110" s="6" t="n">
        <f aca="false">O110</f>
        <v>44086761</v>
      </c>
      <c r="BN110" s="3" t="s">
        <v>225</v>
      </c>
      <c r="BO110" s="5" t="n">
        <f aca="false">IFERROR(1-L110/M110,"")</f>
        <v>0.150021303792075</v>
      </c>
      <c r="BP110" s="3" t="s">
        <v>130</v>
      </c>
      <c r="BQ110" s="4" t="n">
        <v>2573996</v>
      </c>
      <c r="BR110" s="3" t="s">
        <v>88</v>
      </c>
      <c r="BS110" s="3" t="s">
        <v>89</v>
      </c>
      <c r="BT110" s="3" t="s">
        <v>90</v>
      </c>
    </row>
    <row r="111" customFormat="false" ht="15" hidden="false" customHeight="false" outlineLevel="0" collapsed="false">
      <c r="A111" s="11" t="s">
        <v>223</v>
      </c>
      <c r="B111" s="11" t="s">
        <v>91</v>
      </c>
      <c r="C111" s="11" t="s">
        <v>74</v>
      </c>
      <c r="D111" s="11" t="s">
        <v>165</v>
      </c>
      <c r="E111" s="11" t="s">
        <v>105</v>
      </c>
      <c r="F111" s="11" t="s">
        <v>224</v>
      </c>
      <c r="G111" s="11" t="s">
        <v>78</v>
      </c>
      <c r="H111" s="11" t="s">
        <v>79</v>
      </c>
      <c r="I111" s="11" t="s">
        <v>78</v>
      </c>
      <c r="J111" s="12" t="n">
        <v>3521000</v>
      </c>
      <c r="K111" s="13" t="n">
        <f aca="false">IFERROR(J111/M111,"")</f>
        <v>0.150021303792075</v>
      </c>
      <c r="L111" s="12" t="n">
        <v>19949000</v>
      </c>
      <c r="M111" s="14" t="n">
        <f aca="false">L111+J111</f>
        <v>23470000</v>
      </c>
      <c r="N111" s="12" t="n">
        <v>6810000</v>
      </c>
      <c r="O111" s="12" t="n">
        <v>44086761</v>
      </c>
      <c r="P111" s="12" t="n">
        <v>1422359</v>
      </c>
      <c r="Q111" s="13" t="n">
        <f aca="false">IFERROR(P111/P110-1,"")</f>
        <v>0.435798069934588</v>
      </c>
      <c r="R111" s="12" t="n">
        <v>1518007</v>
      </c>
      <c r="S111" s="13" t="n">
        <f aca="false">IFERROR(R111/R110-1,"")</f>
        <v>0.242790945188096</v>
      </c>
      <c r="T111" s="12" t="n">
        <v>877412</v>
      </c>
      <c r="U111" s="13" t="n">
        <f aca="false">IFERROR(T111/P111,"")</f>
        <v>0.616870986860561</v>
      </c>
      <c r="V111" s="14" t="n">
        <f aca="false">T111-AV111</f>
        <v>-2266569</v>
      </c>
      <c r="W111" s="14" t="n">
        <f aca="false">V111-AA111*0.1</f>
        <v>-2266569</v>
      </c>
      <c r="X111" s="12" t="n">
        <v>2097000</v>
      </c>
      <c r="Y111" s="12" t="n">
        <v>203040</v>
      </c>
      <c r="Z111" s="15" t="n">
        <f aca="false">IFERROR(X111/Y111,"")</f>
        <v>10.3280141843972</v>
      </c>
      <c r="AA111" s="12" t="n">
        <v>0</v>
      </c>
      <c r="AB111" s="14" t="n">
        <f aca="false">W111-0.02*P111</f>
        <v>-2295016.18</v>
      </c>
      <c r="AC111" s="16" t="n">
        <v>16</v>
      </c>
      <c r="AD111" s="13" t="n">
        <f aca="false">IFERROR(AC111/AC110-1,"")</f>
        <v>0.230769230769231</v>
      </c>
      <c r="AE111" s="17" t="n">
        <v>0.046</v>
      </c>
      <c r="AF111" s="17" t="n">
        <v>0.038</v>
      </c>
      <c r="AG111" s="13" t="n">
        <f aca="false">1-AF111</f>
        <v>0.962</v>
      </c>
      <c r="AH111" s="17" t="n">
        <v>1.283</v>
      </c>
      <c r="AI111" s="12" t="n">
        <v>26312</v>
      </c>
      <c r="AJ111" s="14" t="n">
        <f aca="false">IFERROR(AM111*U111*MIN(1/AE111,5),"")</f>
        <v>125841.681319554</v>
      </c>
      <c r="AK111" s="18" t="n">
        <f aca="false">IFERROR(AJ111/AI111,"")</f>
        <v>4.78267259499675</v>
      </c>
      <c r="AL111" s="15" t="n">
        <f aca="false">IFERROR(AI111/(AM111*U111/12),"")</f>
        <v>12.5452869307356</v>
      </c>
      <c r="AM111" s="12" t="n">
        <v>40800</v>
      </c>
      <c r="AN111" s="12" t="n">
        <v>1539082</v>
      </c>
      <c r="AO111" s="12" t="n">
        <v>2439878</v>
      </c>
      <c r="AP111" s="17" t="n">
        <v>0.289</v>
      </c>
      <c r="AQ111" s="16" t="n">
        <v>87</v>
      </c>
      <c r="AR111" s="16" t="n">
        <v>2</v>
      </c>
      <c r="AS111" s="13" t="n">
        <f aca="false">IFERROR(AR111/AR110-1,"")</f>
        <v>0</v>
      </c>
      <c r="AT111" s="11" t="s">
        <v>134</v>
      </c>
      <c r="AU111" s="14" t="n">
        <f aca="false">IFERROR(P111/AR111,"")</f>
        <v>711179.5</v>
      </c>
      <c r="AV111" s="12" t="n">
        <v>3143981</v>
      </c>
      <c r="AW111" s="12" t="n">
        <v>1132301</v>
      </c>
      <c r="AX111" s="12" t="n">
        <v>730434</v>
      </c>
      <c r="AY111" s="16" t="n">
        <v>12283</v>
      </c>
      <c r="AZ111" s="13" t="n">
        <f aca="false">IFERROR(AY111/AY110-1,"")</f>
        <v>0.294719089280068</v>
      </c>
      <c r="BA111" s="17" t="n">
        <v>0.964</v>
      </c>
      <c r="BB111" s="11" t="s">
        <v>81</v>
      </c>
      <c r="BC111" s="11" t="s">
        <v>100</v>
      </c>
      <c r="BD111" s="11" t="s">
        <v>101</v>
      </c>
      <c r="BE111" s="12" t="n">
        <v>1673110</v>
      </c>
      <c r="BF111" s="13" t="n">
        <f aca="false">IFERROR(P111/BE111-1,"")</f>
        <v>-0.14987119794873</v>
      </c>
      <c r="BG111" s="17" t="n">
        <v>-0.049</v>
      </c>
      <c r="BH111" s="17" t="n">
        <v>0.008</v>
      </c>
      <c r="BI111" s="14" t="n">
        <f aca="false">P111*(1+IFERROR(Q111,0))^4</f>
        <v>6044810.43440248</v>
      </c>
      <c r="BJ111" s="12" t="n">
        <v>-1602734</v>
      </c>
      <c r="BK111" s="11" t="s">
        <v>102</v>
      </c>
      <c r="BL111" s="11" t="s">
        <v>111</v>
      </c>
      <c r="BM111" s="14" t="n">
        <f aca="false">O111</f>
        <v>44086761</v>
      </c>
      <c r="BN111" s="11" t="s">
        <v>225</v>
      </c>
      <c r="BO111" s="13" t="n">
        <f aca="false">IFERROR(1-L111/M111,"")</f>
        <v>0.150021303792075</v>
      </c>
      <c r="BP111" s="11" t="s">
        <v>130</v>
      </c>
      <c r="BQ111" s="12" t="n">
        <v>3401111</v>
      </c>
      <c r="BR111" s="11" t="s">
        <v>88</v>
      </c>
      <c r="BS111" s="11" t="s">
        <v>89</v>
      </c>
      <c r="BT111" s="19" t="str">
        <f aca="false">IF(OR(Z111&lt;6,AH111&lt;0.9,S111&lt;0.02,AK111&lt;1),"REVIEW",IF(AND(S111&gt;0.25,AH111&gt;1.2),"ACCELERATING","STABLE"))</f>
        <v>STABLE</v>
      </c>
    </row>
    <row r="112" customFormat="false" ht="15" hidden="false" customHeight="false" outlineLevel="0" collapsed="false">
      <c r="A112" s="11" t="s">
        <v>223</v>
      </c>
      <c r="B112" s="11" t="s">
        <v>92</v>
      </c>
      <c r="C112" s="11" t="s">
        <v>74</v>
      </c>
      <c r="D112" s="11" t="s">
        <v>165</v>
      </c>
      <c r="E112" s="11" t="s">
        <v>105</v>
      </c>
      <c r="F112" s="11" t="s">
        <v>224</v>
      </c>
      <c r="G112" s="11" t="s">
        <v>78</v>
      </c>
      <c r="H112" s="11" t="s">
        <v>79</v>
      </c>
      <c r="I112" s="11" t="s">
        <v>78</v>
      </c>
      <c r="J112" s="12" t="n">
        <v>3521000</v>
      </c>
      <c r="K112" s="13" t="n">
        <f aca="false">IFERROR(J112/M112,"")</f>
        <v>0.150021303792075</v>
      </c>
      <c r="L112" s="12" t="n">
        <v>19949000</v>
      </c>
      <c r="M112" s="14" t="n">
        <f aca="false">L112+J112</f>
        <v>23470000</v>
      </c>
      <c r="N112" s="12" t="n">
        <v>6810000</v>
      </c>
      <c r="O112" s="12" t="n">
        <v>44086761</v>
      </c>
      <c r="P112" s="12" t="n">
        <v>2061657</v>
      </c>
      <c r="Q112" s="13" t="n">
        <f aca="false">IFERROR(P112/P111-1,"")</f>
        <v>0.449463180533185</v>
      </c>
      <c r="R112" s="12" t="n">
        <v>2194320</v>
      </c>
      <c r="S112" s="13" t="n">
        <f aca="false">IFERROR(R112/R111-1,"")</f>
        <v>0.445526931035232</v>
      </c>
      <c r="T112" s="12" t="n">
        <v>1276904</v>
      </c>
      <c r="U112" s="13" t="n">
        <f aca="false">IFERROR(T112/P112,"")</f>
        <v>0.619358118251484</v>
      </c>
      <c r="V112" s="14" t="n">
        <f aca="false">T112-AV112</f>
        <v>-2256431</v>
      </c>
      <c r="W112" s="14" t="n">
        <f aca="false">V112-AA112*0.1</f>
        <v>-2256431</v>
      </c>
      <c r="X112" s="12" t="n">
        <v>2563000</v>
      </c>
      <c r="Y112" s="12" t="n">
        <v>209520</v>
      </c>
      <c r="Z112" s="15" t="n">
        <f aca="false">IFERROR(X112/Y112,"")</f>
        <v>12.2327224131348</v>
      </c>
      <c r="AA112" s="12" t="n">
        <v>0</v>
      </c>
      <c r="AB112" s="14" t="n">
        <f aca="false">W112-0.02*P112</f>
        <v>-2297664.14</v>
      </c>
      <c r="AC112" s="16" t="n">
        <v>20</v>
      </c>
      <c r="AD112" s="13" t="n">
        <f aca="false">IFERROR(AC112/AC111-1,"")</f>
        <v>0.25</v>
      </c>
      <c r="AE112" s="17" t="n">
        <v>0.044</v>
      </c>
      <c r="AF112" s="17" t="n">
        <v>0.042</v>
      </c>
      <c r="AG112" s="13" t="n">
        <f aca="false">1-AF112</f>
        <v>0.958</v>
      </c>
      <c r="AH112" s="17" t="n">
        <v>1.313</v>
      </c>
      <c r="AI112" s="12" t="n">
        <v>25806</v>
      </c>
      <c r="AJ112" s="14" t="n">
        <f aca="false">IFERROR(AM112*U112*MIN(1/AE112,5),"")</f>
        <v>128826.488596309</v>
      </c>
      <c r="AK112" s="18" t="n">
        <f aca="false">IFERROR(AJ112/AI112,"")</f>
        <v>4.99211379509838</v>
      </c>
      <c r="AL112" s="15" t="n">
        <f aca="false">IFERROR(AI112/(AM112*U112/12),"")</f>
        <v>12.0189567911918</v>
      </c>
      <c r="AM112" s="12" t="n">
        <v>41600</v>
      </c>
      <c r="AN112" s="12" t="n">
        <v>2100342</v>
      </c>
      <c r="AO112" s="12" t="n">
        <v>6567325</v>
      </c>
      <c r="AP112" s="17" t="n">
        <v>0.289</v>
      </c>
      <c r="AQ112" s="16" t="n">
        <v>87</v>
      </c>
      <c r="AR112" s="16" t="n">
        <v>3</v>
      </c>
      <c r="AS112" s="13" t="n">
        <f aca="false">IFERROR(AR112/AR111-1,"")</f>
        <v>0.5</v>
      </c>
      <c r="AT112" s="11" t="s">
        <v>134</v>
      </c>
      <c r="AU112" s="14" t="n">
        <f aca="false">IFERROR(P112/AR112,"")</f>
        <v>687219</v>
      </c>
      <c r="AV112" s="12" t="n">
        <v>3533335</v>
      </c>
      <c r="AW112" s="12" t="n">
        <v>1755761</v>
      </c>
      <c r="AX112" s="12" t="n">
        <v>997018</v>
      </c>
      <c r="AY112" s="16" t="n">
        <v>16996</v>
      </c>
      <c r="AZ112" s="13" t="n">
        <f aca="false">IFERROR(AY112/AY111-1,"")</f>
        <v>0.383701050232028</v>
      </c>
      <c r="BA112" s="17" t="n">
        <v>0.959</v>
      </c>
      <c r="BB112" s="11" t="s">
        <v>81</v>
      </c>
      <c r="BC112" s="11" t="s">
        <v>100</v>
      </c>
      <c r="BD112" s="11" t="s">
        <v>101</v>
      </c>
      <c r="BE112" s="12" t="n">
        <v>2281914</v>
      </c>
      <c r="BF112" s="13" t="n">
        <f aca="false">IFERROR(P112/BE112-1,"")</f>
        <v>-0.0965229189180662</v>
      </c>
      <c r="BG112" s="17" t="n">
        <v>-0.005</v>
      </c>
      <c r="BH112" s="17" t="n">
        <v>0.09</v>
      </c>
      <c r="BI112" s="14" t="n">
        <f aca="false">P112*(1+IFERROR(Q112,0))^4</f>
        <v>9100079.0350055</v>
      </c>
      <c r="BJ112" s="12" t="n">
        <v>-1526583</v>
      </c>
      <c r="BK112" s="11" t="s">
        <v>102</v>
      </c>
      <c r="BL112" s="11" t="s">
        <v>111</v>
      </c>
      <c r="BM112" s="14" t="n">
        <f aca="false">O112</f>
        <v>44086761</v>
      </c>
      <c r="BN112" s="11" t="s">
        <v>225</v>
      </c>
      <c r="BO112" s="13" t="n">
        <f aca="false">IFERROR(1-L112/M112,"")</f>
        <v>0.150021303792075</v>
      </c>
      <c r="BP112" s="11" t="s">
        <v>130</v>
      </c>
      <c r="BQ112" s="12" t="n">
        <v>2984873</v>
      </c>
      <c r="BR112" s="11" t="s">
        <v>88</v>
      </c>
      <c r="BS112" s="11" t="s">
        <v>89</v>
      </c>
      <c r="BT112" s="19" t="str">
        <f aca="false">IF(OR(Z112&lt;6,AH112&lt;0.9,S112&lt;0.02,AK112&lt;1),"REVIEW",IF(AND(S112&gt;0.25,AH112&gt;1.2),"ACCELERATING","STABLE"))</f>
        <v>ACCELERATING</v>
      </c>
    </row>
    <row r="113" customFormat="false" ht="15" hidden="false" customHeight="false" outlineLevel="0" collapsed="false">
      <c r="A113" s="11" t="s">
        <v>223</v>
      </c>
      <c r="B113" s="11" t="s">
        <v>93</v>
      </c>
      <c r="C113" s="11" t="s">
        <v>74</v>
      </c>
      <c r="D113" s="11" t="s">
        <v>165</v>
      </c>
      <c r="E113" s="11" t="s">
        <v>105</v>
      </c>
      <c r="F113" s="11" t="s">
        <v>224</v>
      </c>
      <c r="G113" s="11" t="s">
        <v>78</v>
      </c>
      <c r="H113" s="11" t="s">
        <v>79</v>
      </c>
      <c r="I113" s="11" t="s">
        <v>78</v>
      </c>
      <c r="J113" s="12" t="n">
        <v>3521000</v>
      </c>
      <c r="K113" s="13" t="n">
        <f aca="false">IFERROR(J113/M113,"")</f>
        <v>0.150021303792075</v>
      </c>
      <c r="L113" s="12" t="n">
        <v>19949000</v>
      </c>
      <c r="M113" s="14" t="n">
        <f aca="false">L113+J113</f>
        <v>23470000</v>
      </c>
      <c r="N113" s="12" t="n">
        <v>6810000</v>
      </c>
      <c r="O113" s="12" t="n">
        <v>44086761</v>
      </c>
      <c r="P113" s="12" t="n">
        <v>2878638</v>
      </c>
      <c r="Q113" s="13" t="n">
        <f aca="false">IFERROR(P113/P112-1,"")</f>
        <v>0.396273967978185</v>
      </c>
      <c r="R113" s="12" t="n">
        <v>2923690</v>
      </c>
      <c r="S113" s="13" t="n">
        <f aca="false">IFERROR(R113/R112-1,"")</f>
        <v>0.332389988698093</v>
      </c>
      <c r="T113" s="12" t="n">
        <v>1790068</v>
      </c>
      <c r="U113" s="13" t="n">
        <f aca="false">IFERROR(T113/P113,"")</f>
        <v>0.621845469975732</v>
      </c>
      <c r="V113" s="14" t="n">
        <f aca="false">T113-AV113</f>
        <v>-2066728</v>
      </c>
      <c r="W113" s="14" t="n">
        <f aca="false">V113-AA113*0.1</f>
        <v>-2066728</v>
      </c>
      <c r="X113" s="12" t="n">
        <v>4660000</v>
      </c>
      <c r="Y113" s="12" t="n">
        <v>216000</v>
      </c>
      <c r="Z113" s="15" t="n">
        <f aca="false">IFERROR(X113/Y113,"")</f>
        <v>21.5740740740741</v>
      </c>
      <c r="AA113" s="12" t="n">
        <v>0</v>
      </c>
      <c r="AB113" s="14" t="n">
        <f aca="false">W113-0.02*P113</f>
        <v>-2124300.76</v>
      </c>
      <c r="AC113" s="16" t="n">
        <v>27</v>
      </c>
      <c r="AD113" s="13" t="n">
        <f aca="false">IFERROR(AC113/AC112-1,"")</f>
        <v>0.35</v>
      </c>
      <c r="AE113" s="17" t="n">
        <v>0.043</v>
      </c>
      <c r="AF113" s="17" t="n">
        <v>0.047</v>
      </c>
      <c r="AG113" s="13" t="n">
        <f aca="false">1-AF113</f>
        <v>0.953</v>
      </c>
      <c r="AH113" s="17" t="n">
        <v>1.343</v>
      </c>
      <c r="AI113" s="12" t="n">
        <v>25300</v>
      </c>
      <c r="AJ113" s="14" t="n">
        <f aca="false">IFERROR(AM113*U113*MIN(1/AE113,5),"")</f>
        <v>131831.239634855</v>
      </c>
      <c r="AK113" s="18" t="n">
        <f aca="false">IFERROR(AJ113/AI113,"")</f>
        <v>5.21072093418399</v>
      </c>
      <c r="AL113" s="15" t="n">
        <f aca="false">IFERROR(AI113/(AM113*U113/12),"")</f>
        <v>11.5147214287338</v>
      </c>
      <c r="AM113" s="12" t="n">
        <v>42400</v>
      </c>
      <c r="AN113" s="12" t="n">
        <v>2807577</v>
      </c>
      <c r="AO113" s="12" t="n">
        <v>8024415</v>
      </c>
      <c r="AP113" s="17" t="n">
        <v>0.289</v>
      </c>
      <c r="AQ113" s="16" t="n">
        <v>87</v>
      </c>
      <c r="AR113" s="16" t="n">
        <v>3</v>
      </c>
      <c r="AS113" s="13" t="n">
        <f aca="false">IFERROR(AR113/AR112-1,"")</f>
        <v>0</v>
      </c>
      <c r="AT113" s="11" t="s">
        <v>134</v>
      </c>
      <c r="AU113" s="14" t="n">
        <f aca="false">IFERROR(P113/AR113,"")</f>
        <v>959546</v>
      </c>
      <c r="AV113" s="12" t="n">
        <v>3856796</v>
      </c>
      <c r="AW113" s="12" t="n">
        <v>1603006</v>
      </c>
      <c r="AX113" s="12" t="n">
        <v>763283</v>
      </c>
      <c r="AY113" s="16" t="n">
        <v>21362</v>
      </c>
      <c r="AZ113" s="13" t="n">
        <f aca="false">IFERROR(AY113/AY112-1,"")</f>
        <v>0.256883972699459</v>
      </c>
      <c r="BA113" s="17" t="n">
        <v>0.955</v>
      </c>
      <c r="BB113" s="11" t="s">
        <v>81</v>
      </c>
      <c r="BC113" s="11" t="s">
        <v>100</v>
      </c>
      <c r="BD113" s="11" t="s">
        <v>101</v>
      </c>
      <c r="BE113" s="12" t="n">
        <v>2729690</v>
      </c>
      <c r="BF113" s="13" t="n">
        <f aca="false">IFERROR(P113/BE113-1,"")</f>
        <v>0.0545659030878964</v>
      </c>
      <c r="BG113" s="17" t="n">
        <v>0.023</v>
      </c>
      <c r="BH113" s="17" t="n">
        <v>-0.005</v>
      </c>
      <c r="BI113" s="14" t="n">
        <f aca="false">P113*(1+IFERROR(Q113,0))^4</f>
        <v>10941317.4467864</v>
      </c>
      <c r="BJ113" s="12" t="n">
        <v>-2254079</v>
      </c>
      <c r="BK113" s="11" t="s">
        <v>102</v>
      </c>
      <c r="BL113" s="11" t="s">
        <v>111</v>
      </c>
      <c r="BM113" s="14" t="n">
        <f aca="false">O113</f>
        <v>44086761</v>
      </c>
      <c r="BN113" s="11" t="s">
        <v>225</v>
      </c>
      <c r="BO113" s="13" t="n">
        <f aca="false">IFERROR(1-L113/M113,"")</f>
        <v>0.150021303792075</v>
      </c>
      <c r="BP113" s="11" t="s">
        <v>130</v>
      </c>
      <c r="BQ113" s="12" t="n">
        <v>3990402</v>
      </c>
      <c r="BR113" s="11" t="s">
        <v>88</v>
      </c>
      <c r="BS113" s="11" t="s">
        <v>89</v>
      </c>
      <c r="BT113" s="19" t="str">
        <f aca="false">IF(OR(Z113&lt;6,AH113&lt;0.9,S113&lt;0.02,AK113&lt;1),"REVIEW",IF(AND(S113&gt;0.25,AH113&gt;1.2),"ACCELERATING","STABLE"))</f>
        <v>ACCELERATING</v>
      </c>
    </row>
    <row r="114" customFormat="false" ht="15" hidden="false" customHeight="false" outlineLevel="0" collapsed="false">
      <c r="A114" s="3" t="s">
        <v>226</v>
      </c>
      <c r="B114" s="3" t="s">
        <v>73</v>
      </c>
      <c r="C114" s="3" t="s">
        <v>74</v>
      </c>
      <c r="D114" s="3" t="s">
        <v>75</v>
      </c>
      <c r="E114" s="3" t="s">
        <v>105</v>
      </c>
      <c r="F114" s="3" t="s">
        <v>227</v>
      </c>
      <c r="G114" s="3" t="s">
        <v>78</v>
      </c>
      <c r="H114" s="3" t="s">
        <v>79</v>
      </c>
      <c r="I114" s="3" t="s">
        <v>78</v>
      </c>
      <c r="J114" s="4" t="n">
        <v>2285000</v>
      </c>
      <c r="K114" s="5" t="n">
        <f aca="false">IFERROR(J114/M114,"")</f>
        <v>0.0985041169116696</v>
      </c>
      <c r="L114" s="4" t="n">
        <v>20912000</v>
      </c>
      <c r="M114" s="6" t="n">
        <f aca="false">L114+J114</f>
        <v>23197000</v>
      </c>
      <c r="N114" s="4" t="n">
        <v>2718000</v>
      </c>
      <c r="O114" s="4" t="n">
        <v>30900656</v>
      </c>
      <c r="P114" s="4" t="n">
        <v>1108419</v>
      </c>
      <c r="Q114" s="7"/>
      <c r="R114" s="4" t="n">
        <v>1225183</v>
      </c>
      <c r="S114" s="7"/>
      <c r="T114" s="4" t="n">
        <v>771575</v>
      </c>
      <c r="U114" s="5" t="n">
        <f aca="false">IFERROR(T114/P114,"")</f>
        <v>0.696104090601117</v>
      </c>
      <c r="V114" s="6" t="n">
        <f aca="false">T114-AV114</f>
        <v>-1389001</v>
      </c>
      <c r="W114" s="6" t="n">
        <f aca="false">V114-AA114*0.1</f>
        <v>-1389001</v>
      </c>
      <c r="X114" s="4" t="n">
        <v>4172343</v>
      </c>
      <c r="Y114" s="4" t="n">
        <v>121030</v>
      </c>
      <c r="Z114" s="8" t="n">
        <f aca="false">IFERROR(X114/Y114,"")</f>
        <v>34.4736263736264</v>
      </c>
      <c r="AA114" s="4" t="n">
        <v>0</v>
      </c>
      <c r="AB114" s="6" t="n">
        <f aca="false">W114-0.02*P114</f>
        <v>-1411169.38</v>
      </c>
      <c r="AC114" s="9" t="n">
        <v>15</v>
      </c>
      <c r="AD114" s="7"/>
      <c r="AE114" s="7" t="n">
        <v>0.14</v>
      </c>
      <c r="AF114" s="7" t="n">
        <v>0.137</v>
      </c>
      <c r="AG114" s="5" t="n">
        <f aca="false">1-AF114</f>
        <v>0.863</v>
      </c>
      <c r="AH114" s="7" t="n">
        <v>1.109</v>
      </c>
      <c r="AI114" s="4" t="n">
        <v>55014</v>
      </c>
      <c r="AJ114" s="6" t="n">
        <f aca="false">IFERROR(AM114*U114*MIN(1/AE114,5),"")</f>
        <v>121818.215855196</v>
      </c>
      <c r="AK114" s="10" t="n">
        <f aca="false">IFERROR(AJ114/AI114,"")</f>
        <v>2.21431300860137</v>
      </c>
      <c r="AL114" s="8" t="n">
        <f aca="false">IFERROR(AI114/(AM114*U114/12),"")</f>
        <v>27.0964401902232</v>
      </c>
      <c r="AM114" s="4" t="n">
        <v>35000</v>
      </c>
      <c r="AN114" s="4" t="n">
        <v>1405554</v>
      </c>
      <c r="AO114" s="4" t="n">
        <v>3861381</v>
      </c>
      <c r="AP114" s="7" t="n">
        <v>0.355</v>
      </c>
      <c r="AQ114" s="9" t="n">
        <v>53</v>
      </c>
      <c r="AR114" s="9" t="n">
        <v>1</v>
      </c>
      <c r="AS114" s="7"/>
      <c r="AT114" s="3" t="s">
        <v>153</v>
      </c>
      <c r="AU114" s="6" t="n">
        <f aca="false">IFERROR(P114/AR114,"")</f>
        <v>1108419</v>
      </c>
      <c r="AV114" s="4" t="n">
        <v>2160576</v>
      </c>
      <c r="AW114" s="4" t="n">
        <v>923009</v>
      </c>
      <c r="AX114" s="4" t="n">
        <v>610336</v>
      </c>
      <c r="AY114" s="9" t="n">
        <v>27713</v>
      </c>
      <c r="AZ114" s="7"/>
      <c r="BA114" s="7" t="n">
        <v>0.861</v>
      </c>
      <c r="BB114" s="3" t="s">
        <v>99</v>
      </c>
      <c r="BC114" s="3" t="s">
        <v>82</v>
      </c>
      <c r="BD114" s="3" t="s">
        <v>101</v>
      </c>
      <c r="BE114" s="4" t="n">
        <v>1305224</v>
      </c>
      <c r="BF114" s="5" t="n">
        <f aca="false">IFERROR(P114/BE114-1,"")</f>
        <v>-0.150782547669978</v>
      </c>
      <c r="BG114" s="7" t="n">
        <v>-0.053</v>
      </c>
      <c r="BH114" s="7" t="n">
        <v>-0.016</v>
      </c>
      <c r="BI114" s="6" t="n">
        <f aca="false">P114</f>
        <v>1108419</v>
      </c>
      <c r="BJ114" s="4" t="n">
        <v>-1009886</v>
      </c>
      <c r="BK114" s="3" t="s">
        <v>102</v>
      </c>
      <c r="BL114" s="3" t="s">
        <v>128</v>
      </c>
      <c r="BM114" s="6" t="n">
        <f aca="false">O114</f>
        <v>30900656</v>
      </c>
      <c r="BN114" s="3" t="s">
        <v>228</v>
      </c>
      <c r="BO114" s="5" t="n">
        <f aca="false">IFERROR(1-L114/M114,"")</f>
        <v>0.0985041169116696</v>
      </c>
      <c r="BP114" s="3" t="s">
        <v>87</v>
      </c>
      <c r="BQ114" s="4" t="n">
        <v>1882953</v>
      </c>
      <c r="BR114" s="3" t="s">
        <v>88</v>
      </c>
      <c r="BS114" s="3" t="s">
        <v>89</v>
      </c>
      <c r="BT114" s="3" t="s">
        <v>90</v>
      </c>
    </row>
    <row r="115" customFormat="false" ht="15" hidden="false" customHeight="false" outlineLevel="0" collapsed="false">
      <c r="A115" s="11" t="s">
        <v>226</v>
      </c>
      <c r="B115" s="11" t="s">
        <v>91</v>
      </c>
      <c r="C115" s="11" t="s">
        <v>74</v>
      </c>
      <c r="D115" s="11" t="s">
        <v>75</v>
      </c>
      <c r="E115" s="11" t="s">
        <v>105</v>
      </c>
      <c r="F115" s="11" t="s">
        <v>227</v>
      </c>
      <c r="G115" s="11" t="s">
        <v>78</v>
      </c>
      <c r="H115" s="11" t="s">
        <v>79</v>
      </c>
      <c r="I115" s="11" t="s">
        <v>78</v>
      </c>
      <c r="J115" s="12" t="n">
        <v>2285000</v>
      </c>
      <c r="K115" s="13" t="n">
        <f aca="false">IFERROR(J115/M115,"")</f>
        <v>0.0985041169116696</v>
      </c>
      <c r="L115" s="12" t="n">
        <v>20912000</v>
      </c>
      <c r="M115" s="14" t="n">
        <f aca="false">L115+J115</f>
        <v>23197000</v>
      </c>
      <c r="N115" s="12" t="n">
        <v>2718000</v>
      </c>
      <c r="O115" s="12" t="n">
        <v>30900656</v>
      </c>
      <c r="P115" s="12" t="n">
        <v>1215751</v>
      </c>
      <c r="Q115" s="13" t="n">
        <f aca="false">IFERROR(P115/P114-1,"")</f>
        <v>0.0968334176877155</v>
      </c>
      <c r="R115" s="12" t="n">
        <v>1355446</v>
      </c>
      <c r="S115" s="13" t="n">
        <f aca="false">IFERROR(R115/R114-1,"")</f>
        <v>0.106321259762827</v>
      </c>
      <c r="T115" s="12" t="n">
        <v>849715</v>
      </c>
      <c r="U115" s="13" t="n">
        <f aca="false">IFERROR(T115/P115,"")</f>
        <v>0.698921900948467</v>
      </c>
      <c r="V115" s="14" t="n">
        <f aca="false">T115-AV115</f>
        <v>-1618382</v>
      </c>
      <c r="W115" s="14" t="n">
        <f aca="false">V115-AA115*0.1</f>
        <v>-1618382</v>
      </c>
      <c r="X115" s="12" t="n">
        <v>3867108</v>
      </c>
      <c r="Y115" s="12" t="n">
        <v>125020</v>
      </c>
      <c r="Z115" s="15" t="n">
        <f aca="false">IFERROR(X115/Y115,"")</f>
        <v>30.931914893617</v>
      </c>
      <c r="AA115" s="12" t="n">
        <v>0</v>
      </c>
      <c r="AB115" s="14" t="n">
        <f aca="false">W115-0.02*P115</f>
        <v>-1642697.02</v>
      </c>
      <c r="AC115" s="16" t="n">
        <v>18</v>
      </c>
      <c r="AD115" s="13" t="n">
        <f aca="false">IFERROR(AC115/AC114-1,"")</f>
        <v>0.2</v>
      </c>
      <c r="AE115" s="17" t="n">
        <v>0.136</v>
      </c>
      <c r="AF115" s="17" t="n">
        <v>0.143</v>
      </c>
      <c r="AG115" s="13" t="n">
        <f aca="false">1-AF115</f>
        <v>0.857</v>
      </c>
      <c r="AH115" s="17" t="n">
        <v>1.104</v>
      </c>
      <c r="AI115" s="12" t="n">
        <v>53976</v>
      </c>
      <c r="AJ115" s="14" t="n">
        <f aca="false">IFERROR(AM115*U115*MIN(1/AE115,5),"")</f>
        <v>124757.559319301</v>
      </c>
      <c r="AK115" s="18" t="n">
        <f aca="false">IFERROR(AJ115/AI115,"")</f>
        <v>2.31135244033091</v>
      </c>
      <c r="AL115" s="15" t="n">
        <f aca="false">IFERROR(AI115/(AM115*U115/12),"")</f>
        <v>25.9588278070695</v>
      </c>
      <c r="AM115" s="12" t="n">
        <v>35700</v>
      </c>
      <c r="AN115" s="12" t="n">
        <v>1533495</v>
      </c>
      <c r="AO115" s="12" t="n">
        <v>2436492</v>
      </c>
      <c r="AP115" s="17" t="n">
        <v>0.355</v>
      </c>
      <c r="AQ115" s="16" t="n">
        <v>53</v>
      </c>
      <c r="AR115" s="16" t="n">
        <v>1</v>
      </c>
      <c r="AS115" s="13" t="n">
        <f aca="false">IFERROR(AR115/AR114-1,"")</f>
        <v>0</v>
      </c>
      <c r="AT115" s="11" t="s">
        <v>153</v>
      </c>
      <c r="AU115" s="14" t="n">
        <f aca="false">IFERROR(P115/AR115,"")</f>
        <v>1215751</v>
      </c>
      <c r="AV115" s="12" t="n">
        <v>2468097</v>
      </c>
      <c r="AW115" s="12" t="n">
        <v>1017047</v>
      </c>
      <c r="AX115" s="12" t="n">
        <v>560878</v>
      </c>
      <c r="AY115" s="16" t="n">
        <v>28504</v>
      </c>
      <c r="AZ115" s="13" t="n">
        <f aca="false">IFERROR(AY115/AY114-1,"")</f>
        <v>0.0285425612528416</v>
      </c>
      <c r="BA115" s="17" t="n">
        <v>0.857</v>
      </c>
      <c r="BB115" s="11" t="s">
        <v>99</v>
      </c>
      <c r="BC115" s="11" t="s">
        <v>82</v>
      </c>
      <c r="BD115" s="11" t="s">
        <v>101</v>
      </c>
      <c r="BE115" s="12" t="n">
        <v>1198597</v>
      </c>
      <c r="BF115" s="13" t="n">
        <f aca="false">IFERROR(P115/BE115-1,"")</f>
        <v>0.014311732800933</v>
      </c>
      <c r="BG115" s="17" t="n">
        <v>-0.022</v>
      </c>
      <c r="BH115" s="17" t="n">
        <v>0.096</v>
      </c>
      <c r="BI115" s="14" t="n">
        <f aca="false">P115*(1+IFERROR(Q115,0))^4</f>
        <v>1759573.16799208</v>
      </c>
      <c r="BJ115" s="12" t="n">
        <v>-954684</v>
      </c>
      <c r="BK115" s="11" t="s">
        <v>102</v>
      </c>
      <c r="BL115" s="11" t="s">
        <v>128</v>
      </c>
      <c r="BM115" s="14" t="n">
        <f aca="false">O115</f>
        <v>30900656</v>
      </c>
      <c r="BN115" s="11" t="s">
        <v>228</v>
      </c>
      <c r="BO115" s="13" t="n">
        <f aca="false">IFERROR(1-L115/M115,"")</f>
        <v>0.0985041169116696</v>
      </c>
      <c r="BP115" s="11" t="s">
        <v>87</v>
      </c>
      <c r="BQ115" s="12" t="n">
        <v>2372574</v>
      </c>
      <c r="BR115" s="11" t="s">
        <v>88</v>
      </c>
      <c r="BS115" s="11" t="s">
        <v>89</v>
      </c>
      <c r="BT115" s="19" t="str">
        <f aca="false">IF(OR(Z115&lt;6,AH115&lt;0.9,S115&lt;0.02,AK115&lt;1),"REVIEW",IF(AND(S115&gt;0.25,AH115&gt;1.2),"ACCELERATING","STABLE"))</f>
        <v>STABLE</v>
      </c>
    </row>
    <row r="116" customFormat="false" ht="15" hidden="false" customHeight="false" outlineLevel="0" collapsed="false">
      <c r="A116" s="11" t="s">
        <v>226</v>
      </c>
      <c r="B116" s="11" t="s">
        <v>92</v>
      </c>
      <c r="C116" s="11" t="s">
        <v>74</v>
      </c>
      <c r="D116" s="11" t="s">
        <v>75</v>
      </c>
      <c r="E116" s="11" t="s">
        <v>105</v>
      </c>
      <c r="F116" s="11" t="s">
        <v>227</v>
      </c>
      <c r="G116" s="11" t="s">
        <v>78</v>
      </c>
      <c r="H116" s="11" t="s">
        <v>79</v>
      </c>
      <c r="I116" s="11" t="s">
        <v>78</v>
      </c>
      <c r="J116" s="12" t="n">
        <v>2285000</v>
      </c>
      <c r="K116" s="13" t="n">
        <f aca="false">IFERROR(J116/M116,"")</f>
        <v>0.0985041169116696</v>
      </c>
      <c r="L116" s="12" t="n">
        <v>20912000</v>
      </c>
      <c r="M116" s="14" t="n">
        <f aca="false">L116+J116</f>
        <v>23197000</v>
      </c>
      <c r="N116" s="12" t="n">
        <v>2718000</v>
      </c>
      <c r="O116" s="12" t="n">
        <v>30900656</v>
      </c>
      <c r="P116" s="12" t="n">
        <v>1410057</v>
      </c>
      <c r="Q116" s="13" t="n">
        <f aca="false">IFERROR(P116/P115-1,"")</f>
        <v>0.159823845507838</v>
      </c>
      <c r="R116" s="12" t="n">
        <v>1525447</v>
      </c>
      <c r="S116" s="13" t="n">
        <f aca="false">IFERROR(R116/R115-1,"")</f>
        <v>0.125420710231171</v>
      </c>
      <c r="T116" s="12" t="n">
        <v>989494</v>
      </c>
      <c r="U116" s="13" t="n">
        <f aca="false">IFERROR(T116/P116,"")</f>
        <v>0.70174042609625</v>
      </c>
      <c r="V116" s="14" t="n">
        <f aca="false">T116-AV116</f>
        <v>-1305413</v>
      </c>
      <c r="W116" s="14" t="n">
        <f aca="false">V116-AA116*0.1</f>
        <v>-1305413</v>
      </c>
      <c r="X116" s="12" t="n">
        <v>3540327</v>
      </c>
      <c r="Y116" s="12" t="n">
        <v>129010</v>
      </c>
      <c r="Z116" s="15" t="n">
        <f aca="false">IFERROR(X116/Y116,"")</f>
        <v>27.4422680412371</v>
      </c>
      <c r="AA116" s="12" t="n">
        <v>0</v>
      </c>
      <c r="AB116" s="14" t="n">
        <f aca="false">W116-0.02*P116</f>
        <v>-1333614.14</v>
      </c>
      <c r="AC116" s="16" t="n">
        <v>18</v>
      </c>
      <c r="AD116" s="13" t="n">
        <f aca="false">IFERROR(AC116/AC115-1,"")</f>
        <v>0</v>
      </c>
      <c r="AE116" s="17" t="n">
        <v>0.132</v>
      </c>
      <c r="AF116" s="17" t="n">
        <v>0.105</v>
      </c>
      <c r="AG116" s="13" t="n">
        <f aca="false">1-AF116</f>
        <v>0.895</v>
      </c>
      <c r="AH116" s="17" t="n">
        <v>1.099</v>
      </c>
      <c r="AI116" s="12" t="n">
        <v>52938</v>
      </c>
      <c r="AJ116" s="14" t="n">
        <f aca="false">IFERROR(AM116*U116*MIN(1/AE116,5),"")</f>
        <v>127716.757549518</v>
      </c>
      <c r="AK116" s="18" t="n">
        <f aca="false">IFERROR(AJ116/AI116,"")</f>
        <v>2.41257239694581</v>
      </c>
      <c r="AL116" s="15" t="n">
        <f aca="false">IFERROR(AI116/(AM116*U116/12),"")</f>
        <v>24.8697200034108</v>
      </c>
      <c r="AM116" s="12" t="n">
        <v>36400</v>
      </c>
      <c r="AN116" s="12" t="n">
        <v>1498090</v>
      </c>
      <c r="AO116" s="12" t="n">
        <v>4650722</v>
      </c>
      <c r="AP116" s="17" t="n">
        <v>0.355</v>
      </c>
      <c r="AQ116" s="16" t="n">
        <v>53</v>
      </c>
      <c r="AR116" s="16" t="n">
        <v>1</v>
      </c>
      <c r="AS116" s="13" t="n">
        <f aca="false">IFERROR(AR116/AR115-1,"")</f>
        <v>0</v>
      </c>
      <c r="AT116" s="11" t="s">
        <v>153</v>
      </c>
      <c r="AU116" s="14" t="n">
        <f aca="false">IFERROR(P116/AR116,"")</f>
        <v>1410057</v>
      </c>
      <c r="AV116" s="12" t="n">
        <v>2294907</v>
      </c>
      <c r="AW116" s="12" t="n">
        <v>705279</v>
      </c>
      <c r="AX116" s="12" t="n">
        <v>763729</v>
      </c>
      <c r="AY116" s="16" t="n">
        <v>31715</v>
      </c>
      <c r="AZ116" s="13" t="n">
        <f aca="false">IFERROR(AY116/AY115-1,"")</f>
        <v>0.112650856020208</v>
      </c>
      <c r="BA116" s="17" t="n">
        <v>0.905</v>
      </c>
      <c r="BB116" s="11" t="s">
        <v>99</v>
      </c>
      <c r="BC116" s="11" t="s">
        <v>82</v>
      </c>
      <c r="BD116" s="11" t="s">
        <v>101</v>
      </c>
      <c r="BE116" s="12" t="n">
        <v>1752789</v>
      </c>
      <c r="BF116" s="13" t="n">
        <f aca="false">IFERROR(P116/BE116-1,"")</f>
        <v>-0.195535229853679</v>
      </c>
      <c r="BG116" s="17" t="n">
        <v>-0.054</v>
      </c>
      <c r="BH116" s="17" t="n">
        <v>-0.03</v>
      </c>
      <c r="BI116" s="14" t="n">
        <f aca="false">P116*(1+IFERROR(Q116,0))^4</f>
        <v>2551554.22670461</v>
      </c>
      <c r="BJ116" s="12" t="n">
        <v>-1051139</v>
      </c>
      <c r="BK116" s="11" t="s">
        <v>102</v>
      </c>
      <c r="BL116" s="11" t="s">
        <v>128</v>
      </c>
      <c r="BM116" s="14" t="n">
        <f aca="false">O116</f>
        <v>30900656</v>
      </c>
      <c r="BN116" s="11" t="s">
        <v>228</v>
      </c>
      <c r="BO116" s="13" t="n">
        <f aca="false">IFERROR(1-L116/M116,"")</f>
        <v>0.0985041169116696</v>
      </c>
      <c r="BP116" s="11" t="s">
        <v>87</v>
      </c>
      <c r="BQ116" s="12" t="n">
        <v>2072878</v>
      </c>
      <c r="BR116" s="11" t="s">
        <v>88</v>
      </c>
      <c r="BS116" s="11" t="s">
        <v>89</v>
      </c>
      <c r="BT116" s="19" t="str">
        <f aca="false">IF(OR(Z116&lt;6,AH116&lt;0.9,S116&lt;0.02,AK116&lt;1),"REVIEW",IF(AND(S116&gt;0.25,AH116&gt;1.2),"ACCELERATING","STABLE"))</f>
        <v>STABLE</v>
      </c>
    </row>
    <row r="117" customFormat="false" ht="15" hidden="false" customHeight="false" outlineLevel="0" collapsed="false">
      <c r="A117" s="11" t="s">
        <v>226</v>
      </c>
      <c r="B117" s="11" t="s">
        <v>93</v>
      </c>
      <c r="C117" s="11" t="s">
        <v>74</v>
      </c>
      <c r="D117" s="11" t="s">
        <v>75</v>
      </c>
      <c r="E117" s="11" t="s">
        <v>105</v>
      </c>
      <c r="F117" s="11" t="s">
        <v>227</v>
      </c>
      <c r="G117" s="11" t="s">
        <v>78</v>
      </c>
      <c r="H117" s="11" t="s">
        <v>79</v>
      </c>
      <c r="I117" s="11" t="s">
        <v>78</v>
      </c>
      <c r="J117" s="12" t="n">
        <v>2285000</v>
      </c>
      <c r="K117" s="13" t="n">
        <f aca="false">IFERROR(J117/M117,"")</f>
        <v>0.0985041169116696</v>
      </c>
      <c r="L117" s="12" t="n">
        <v>20912000</v>
      </c>
      <c r="M117" s="14" t="n">
        <f aca="false">L117+J117</f>
        <v>23197000</v>
      </c>
      <c r="N117" s="12" t="n">
        <v>2718000</v>
      </c>
      <c r="O117" s="12" t="n">
        <v>30900656</v>
      </c>
      <c r="P117" s="12" t="n">
        <v>1462832</v>
      </c>
      <c r="Q117" s="13" t="n">
        <f aca="false">IFERROR(P117/P116-1,"")</f>
        <v>0.0374275649849616</v>
      </c>
      <c r="R117" s="12" t="n">
        <v>1673874</v>
      </c>
      <c r="S117" s="13" t="n">
        <f aca="false">IFERROR(R117/R116-1,"")</f>
        <v>0.0973006600688191</v>
      </c>
      <c r="T117" s="12" t="n">
        <v>1030651</v>
      </c>
      <c r="U117" s="13" t="n">
        <f aca="false">IFERROR(T117/P117,"")</f>
        <v>0.704558691633763</v>
      </c>
      <c r="V117" s="14" t="n">
        <f aca="false">T117-AV117</f>
        <v>-1431003</v>
      </c>
      <c r="W117" s="14" t="n">
        <f aca="false">V117-AA117*0.1</f>
        <v>-1431003</v>
      </c>
      <c r="X117" s="12" t="n">
        <v>3192000</v>
      </c>
      <c r="Y117" s="12" t="n">
        <v>133000</v>
      </c>
      <c r="Z117" s="15" t="n">
        <f aca="false">IFERROR(X117/Y117,"")</f>
        <v>24</v>
      </c>
      <c r="AA117" s="12" t="n">
        <v>0</v>
      </c>
      <c r="AB117" s="14" t="n">
        <f aca="false">W117-0.02*P117</f>
        <v>-1460259.64</v>
      </c>
      <c r="AC117" s="16" t="n">
        <v>20</v>
      </c>
      <c r="AD117" s="13" t="n">
        <f aca="false">IFERROR(AC117/AC116-1,"")</f>
        <v>0.111111111111111</v>
      </c>
      <c r="AE117" s="17" t="n">
        <v>0.128</v>
      </c>
      <c r="AF117" s="17" t="n">
        <v>0.12</v>
      </c>
      <c r="AG117" s="13" t="n">
        <f aca="false">1-AF117</f>
        <v>0.88</v>
      </c>
      <c r="AH117" s="17" t="n">
        <v>1.094</v>
      </c>
      <c r="AI117" s="12" t="n">
        <v>51900</v>
      </c>
      <c r="AJ117" s="14" t="n">
        <f aca="false">IFERROR(AM117*U117*MIN(1/AE117,5),"")</f>
        <v>130695.637298063</v>
      </c>
      <c r="AK117" s="18" t="n">
        <f aca="false">IFERROR(AJ117/AI117,"")</f>
        <v>2.51822037183166</v>
      </c>
      <c r="AL117" s="15" t="n">
        <f aca="false">IFERROR(AI117/(AM117*U117/12),"")</f>
        <v>23.8263500173173</v>
      </c>
      <c r="AM117" s="12" t="n">
        <v>37100</v>
      </c>
      <c r="AN117" s="12" t="n">
        <v>2083191</v>
      </c>
      <c r="AO117" s="12" t="n">
        <v>6186771</v>
      </c>
      <c r="AP117" s="17" t="n">
        <v>0.355</v>
      </c>
      <c r="AQ117" s="16" t="n">
        <v>53</v>
      </c>
      <c r="AR117" s="16" t="n">
        <v>1</v>
      </c>
      <c r="AS117" s="13" t="n">
        <f aca="false">IFERROR(AR117/AR116-1,"")</f>
        <v>0</v>
      </c>
      <c r="AT117" s="11" t="s">
        <v>153</v>
      </c>
      <c r="AU117" s="14" t="n">
        <f aca="false">IFERROR(P117/AR117,"")</f>
        <v>1462832</v>
      </c>
      <c r="AV117" s="12" t="n">
        <v>2461654</v>
      </c>
      <c r="AW117" s="12" t="n">
        <v>1145222</v>
      </c>
      <c r="AX117" s="12" t="n">
        <v>585834</v>
      </c>
      <c r="AY117" s="16" t="n">
        <v>34889</v>
      </c>
      <c r="AZ117" s="13" t="n">
        <f aca="false">IFERROR(AY117/AY116-1,"")</f>
        <v>0.100078827053445</v>
      </c>
      <c r="BA117" s="17" t="n">
        <v>0.882</v>
      </c>
      <c r="BB117" s="11" t="s">
        <v>99</v>
      </c>
      <c r="BC117" s="11" t="s">
        <v>82</v>
      </c>
      <c r="BD117" s="11" t="s">
        <v>101</v>
      </c>
      <c r="BE117" s="12" t="n">
        <v>1443536</v>
      </c>
      <c r="BF117" s="13" t="n">
        <f aca="false">IFERROR(P117/BE117-1,"")</f>
        <v>0.0133671761563272</v>
      </c>
      <c r="BG117" s="17" t="n">
        <v>-0.005</v>
      </c>
      <c r="BH117" s="17" t="n">
        <v>-0.052</v>
      </c>
      <c r="BI117" s="14" t="n">
        <f aca="false">P117*(1+IFERROR(Q117,0))^4</f>
        <v>1694437.61992204</v>
      </c>
      <c r="BJ117" s="12" t="n">
        <v>-1277516</v>
      </c>
      <c r="BK117" s="11" t="s">
        <v>102</v>
      </c>
      <c r="BL117" s="11" t="s">
        <v>128</v>
      </c>
      <c r="BM117" s="14" t="n">
        <f aca="false">O117</f>
        <v>30900656</v>
      </c>
      <c r="BN117" s="11" t="s">
        <v>228</v>
      </c>
      <c r="BO117" s="13" t="n">
        <f aca="false">IFERROR(1-L117/M117,"")</f>
        <v>0.0985041169116696</v>
      </c>
      <c r="BP117" s="11" t="s">
        <v>87</v>
      </c>
      <c r="BQ117" s="12" t="n">
        <v>2610873</v>
      </c>
      <c r="BR117" s="11" t="s">
        <v>88</v>
      </c>
      <c r="BS117" s="11" t="s">
        <v>89</v>
      </c>
      <c r="BT117" s="19" t="str">
        <f aca="false">IF(OR(Z117&lt;6,AH117&lt;0.9,S117&lt;0.02,AK117&lt;1),"REVIEW",IF(AND(S117&gt;0.25,AH117&gt;1.2),"ACCELERATING","STABLE"))</f>
        <v>STABLE</v>
      </c>
    </row>
    <row r="118" customFormat="false" ht="15" hidden="false" customHeight="false" outlineLevel="0" collapsed="false">
      <c r="A118" s="3" t="s">
        <v>229</v>
      </c>
      <c r="B118" s="3" t="s">
        <v>73</v>
      </c>
      <c r="C118" s="3" t="s">
        <v>74</v>
      </c>
      <c r="D118" s="3" t="s">
        <v>210</v>
      </c>
      <c r="E118" s="3" t="s">
        <v>105</v>
      </c>
      <c r="F118" s="3" t="s">
        <v>230</v>
      </c>
      <c r="G118" s="3" t="s">
        <v>78</v>
      </c>
      <c r="H118" s="3" t="s">
        <v>79</v>
      </c>
      <c r="I118" s="3" t="s">
        <v>78</v>
      </c>
      <c r="J118" s="4" t="n">
        <v>1240000</v>
      </c>
      <c r="K118" s="5" t="n">
        <f aca="false">IFERROR(J118/M118,"")</f>
        <v>0.131844763423711</v>
      </c>
      <c r="L118" s="4" t="n">
        <v>8165000</v>
      </c>
      <c r="M118" s="6" t="n">
        <f aca="false">L118+J118</f>
        <v>9405000</v>
      </c>
      <c r="N118" s="4" t="n">
        <v>3723000</v>
      </c>
      <c r="O118" s="4" t="n">
        <v>9918951</v>
      </c>
      <c r="P118" s="4" t="n">
        <v>589365</v>
      </c>
      <c r="Q118" s="7"/>
      <c r="R118" s="4" t="n">
        <v>636959</v>
      </c>
      <c r="S118" s="7"/>
      <c r="T118" s="4" t="n">
        <v>388847</v>
      </c>
      <c r="U118" s="5" t="n">
        <f aca="false">IFERROR(T118/P118,"")</f>
        <v>0.659772806325452</v>
      </c>
      <c r="V118" s="6" t="n">
        <f aca="false">T118-AV118</f>
        <v>-1386096</v>
      </c>
      <c r="W118" s="6" t="n">
        <f aca="false">V118-AA118*0.1</f>
        <v>-1485196</v>
      </c>
      <c r="X118" s="4" t="n">
        <v>4266456</v>
      </c>
      <c r="Y118" s="4" t="n">
        <v>123760</v>
      </c>
      <c r="Z118" s="8" t="n">
        <f aca="false">IFERROR(X118/Y118,"")</f>
        <v>34.4736263736264</v>
      </c>
      <c r="AA118" s="4" t="n">
        <v>991000</v>
      </c>
      <c r="AB118" s="6" t="n">
        <f aca="false">W118-0.02*P118</f>
        <v>-1496983.3</v>
      </c>
      <c r="AC118" s="9" t="n">
        <v>28</v>
      </c>
      <c r="AD118" s="7"/>
      <c r="AE118" s="7" t="n">
        <v>0.059</v>
      </c>
      <c r="AF118" s="7" t="n">
        <v>0.047</v>
      </c>
      <c r="AG118" s="5" t="n">
        <f aca="false">1-AF118</f>
        <v>0.953</v>
      </c>
      <c r="AH118" s="7" t="n">
        <v>1.14</v>
      </c>
      <c r="AI118" s="4" t="n">
        <v>84800</v>
      </c>
      <c r="AJ118" s="6" t="n">
        <f aca="false">IFERROR(AM118*U118*MIN(1/AE118,5),"")</f>
        <v>155046.609486481</v>
      </c>
      <c r="AK118" s="10" t="n">
        <f aca="false">IFERROR(AJ118/AI118,"")</f>
        <v>1.82837982885001</v>
      </c>
      <c r="AL118" s="8" t="n">
        <f aca="false">IFERROR(AI118/(AM118*U118/12),"")</f>
        <v>32.8159384900554</v>
      </c>
      <c r="AM118" s="4" t="n">
        <v>47000</v>
      </c>
      <c r="AN118" s="4" t="n">
        <v>576804</v>
      </c>
      <c r="AO118" s="4" t="n">
        <v>2294058</v>
      </c>
      <c r="AP118" s="7" t="n">
        <v>0.399</v>
      </c>
      <c r="AQ118" s="9" t="n">
        <v>52</v>
      </c>
      <c r="AR118" s="9" t="n">
        <v>4</v>
      </c>
      <c r="AS118" s="7"/>
      <c r="AT118" s="3" t="s">
        <v>134</v>
      </c>
      <c r="AU118" s="6" t="n">
        <f aca="false">IFERROR(P118/AR118,"")</f>
        <v>147341.25</v>
      </c>
      <c r="AV118" s="4" t="n">
        <v>1774943</v>
      </c>
      <c r="AW118" s="4" t="n">
        <v>660973</v>
      </c>
      <c r="AX118" s="4" t="n">
        <v>450332</v>
      </c>
      <c r="AY118" s="9" t="n">
        <v>1640</v>
      </c>
      <c r="AZ118" s="7"/>
      <c r="BA118" s="7" t="n">
        <v>0.953</v>
      </c>
      <c r="BB118" s="3" t="s">
        <v>107</v>
      </c>
      <c r="BC118" s="3" t="s">
        <v>126</v>
      </c>
      <c r="BD118" s="3" t="s">
        <v>101</v>
      </c>
      <c r="BE118" s="4" t="n">
        <v>543034</v>
      </c>
      <c r="BF118" s="5" t="n">
        <f aca="false">IFERROR(P118/BE118-1,"")</f>
        <v>0.0853187829859641</v>
      </c>
      <c r="BG118" s="7" t="n">
        <v>0.017</v>
      </c>
      <c r="BH118" s="7" t="n">
        <v>-0.04</v>
      </c>
      <c r="BI118" s="6" t="n">
        <f aca="false">P118</f>
        <v>589365</v>
      </c>
      <c r="BJ118" s="4" t="n">
        <v>-1080025</v>
      </c>
      <c r="BK118" s="3" t="s">
        <v>102</v>
      </c>
      <c r="BL118" s="3" t="s">
        <v>162</v>
      </c>
      <c r="BM118" s="6" t="n">
        <f aca="false">O118</f>
        <v>9918951</v>
      </c>
      <c r="BN118" s="3" t="s">
        <v>231</v>
      </c>
      <c r="BO118" s="5" t="n">
        <f aca="false">IFERROR(1-L118/M118,"")</f>
        <v>0.131844763423711</v>
      </c>
      <c r="BP118" s="3" t="s">
        <v>130</v>
      </c>
      <c r="BQ118" s="4" t="n">
        <v>2311848</v>
      </c>
      <c r="BR118" s="3" t="s">
        <v>88</v>
      </c>
      <c r="BS118" s="3" t="s">
        <v>89</v>
      </c>
      <c r="BT118" s="3" t="s">
        <v>90</v>
      </c>
    </row>
    <row r="119" customFormat="false" ht="15" hidden="false" customHeight="false" outlineLevel="0" collapsed="false">
      <c r="A119" s="11" t="s">
        <v>229</v>
      </c>
      <c r="B119" s="11" t="s">
        <v>91</v>
      </c>
      <c r="C119" s="11" t="s">
        <v>74</v>
      </c>
      <c r="D119" s="11" t="s">
        <v>210</v>
      </c>
      <c r="E119" s="11" t="s">
        <v>105</v>
      </c>
      <c r="F119" s="11" t="s">
        <v>230</v>
      </c>
      <c r="G119" s="11" t="s">
        <v>78</v>
      </c>
      <c r="H119" s="11" t="s">
        <v>79</v>
      </c>
      <c r="I119" s="11" t="s">
        <v>78</v>
      </c>
      <c r="J119" s="12" t="n">
        <v>1240000</v>
      </c>
      <c r="K119" s="13" t="n">
        <f aca="false">IFERROR(J119/M119,"")</f>
        <v>0.131844763423711</v>
      </c>
      <c r="L119" s="12" t="n">
        <v>8165000</v>
      </c>
      <c r="M119" s="14" t="n">
        <f aca="false">L119+J119</f>
        <v>9405000</v>
      </c>
      <c r="N119" s="12" t="n">
        <v>3723000</v>
      </c>
      <c r="O119" s="12" t="n">
        <v>9918951</v>
      </c>
      <c r="P119" s="12" t="n">
        <v>636760</v>
      </c>
      <c r="Q119" s="13" t="n">
        <f aca="false">IFERROR(P119/P118-1,"")</f>
        <v>0.0804170590381172</v>
      </c>
      <c r="R119" s="12" t="n">
        <v>680404</v>
      </c>
      <c r="S119" s="13" t="n">
        <f aca="false">IFERROR(R119/R118-1,"")</f>
        <v>0.0682069018571054</v>
      </c>
      <c r="T119" s="12" t="n">
        <v>421818</v>
      </c>
      <c r="U119" s="13" t="n">
        <f aca="false">IFERROR(T119/P119,"")</f>
        <v>0.662444249010616</v>
      </c>
      <c r="V119" s="14" t="n">
        <f aca="false">T119-AV119</f>
        <v>-1191194</v>
      </c>
      <c r="W119" s="14" t="n">
        <f aca="false">V119-AA119*0.1</f>
        <v>-1290294</v>
      </c>
      <c r="X119" s="12" t="n">
        <v>3954336</v>
      </c>
      <c r="Y119" s="12" t="n">
        <v>127840</v>
      </c>
      <c r="Z119" s="15" t="n">
        <f aca="false">IFERROR(X119/Y119,"")</f>
        <v>30.931914893617</v>
      </c>
      <c r="AA119" s="12" t="n">
        <v>991000</v>
      </c>
      <c r="AB119" s="14" t="n">
        <f aca="false">W119-0.02*P119</f>
        <v>-1303029.2</v>
      </c>
      <c r="AC119" s="16" t="n">
        <v>30</v>
      </c>
      <c r="AD119" s="13" t="n">
        <f aca="false">IFERROR(AC119/AC118-1,"")</f>
        <v>0.0714285714285714</v>
      </c>
      <c r="AE119" s="17" t="n">
        <v>0.057</v>
      </c>
      <c r="AF119" s="17" t="n">
        <v>0.034</v>
      </c>
      <c r="AG119" s="13" t="n">
        <f aca="false">1-AF119</f>
        <v>0.966</v>
      </c>
      <c r="AH119" s="17" t="n">
        <v>1.135</v>
      </c>
      <c r="AI119" s="12" t="n">
        <v>83200</v>
      </c>
      <c r="AJ119" s="14" t="n">
        <f aca="false">IFERROR(AM119*U119*MIN(1/AE119,5),"")</f>
        <v>158787.886487845</v>
      </c>
      <c r="AK119" s="18" t="n">
        <f aca="false">IFERROR(AJ119/AI119,"")</f>
        <v>1.90850825105583</v>
      </c>
      <c r="AL119" s="15" t="n">
        <f aca="false">IFERROR(AI119/(AM119*U119/12),"")</f>
        <v>31.438166414427</v>
      </c>
      <c r="AM119" s="12" t="n">
        <v>47940</v>
      </c>
      <c r="AN119" s="12" t="n">
        <v>819197</v>
      </c>
      <c r="AO119" s="12" t="n">
        <v>2613086</v>
      </c>
      <c r="AP119" s="17" t="n">
        <v>0.399</v>
      </c>
      <c r="AQ119" s="16" t="n">
        <v>52</v>
      </c>
      <c r="AR119" s="16" t="n">
        <v>4</v>
      </c>
      <c r="AS119" s="13" t="n">
        <f aca="false">IFERROR(AR119/AR118-1,"")</f>
        <v>0</v>
      </c>
      <c r="AT119" s="11" t="s">
        <v>134</v>
      </c>
      <c r="AU119" s="14" t="n">
        <f aca="false">IFERROR(P119/AR119,"")</f>
        <v>159190</v>
      </c>
      <c r="AV119" s="12" t="n">
        <v>1613012</v>
      </c>
      <c r="AW119" s="12" t="n">
        <v>495641</v>
      </c>
      <c r="AX119" s="12" t="n">
        <v>325264</v>
      </c>
      <c r="AY119" s="16" t="n">
        <v>1825</v>
      </c>
      <c r="AZ119" s="13" t="n">
        <f aca="false">IFERROR(AY119/AY118-1,"")</f>
        <v>0.11280487804878</v>
      </c>
      <c r="BA119" s="17" t="n">
        <v>0.959</v>
      </c>
      <c r="BB119" s="11" t="s">
        <v>107</v>
      </c>
      <c r="BC119" s="11" t="s">
        <v>126</v>
      </c>
      <c r="BD119" s="11" t="s">
        <v>101</v>
      </c>
      <c r="BE119" s="12" t="n">
        <v>782270</v>
      </c>
      <c r="BF119" s="13" t="n">
        <f aca="false">IFERROR(P119/BE119-1,"")</f>
        <v>-0.186009945415266</v>
      </c>
      <c r="BG119" s="17" t="n">
        <v>0.08</v>
      </c>
      <c r="BH119" s="17" t="n">
        <v>-0.008</v>
      </c>
      <c r="BI119" s="14" t="n">
        <f aca="false">P119*(1+IFERROR(Q119,0))^4</f>
        <v>867643.874783819</v>
      </c>
      <c r="BJ119" s="12" t="n">
        <v>-1046643</v>
      </c>
      <c r="BK119" s="11" t="s">
        <v>102</v>
      </c>
      <c r="BL119" s="11" t="s">
        <v>162</v>
      </c>
      <c r="BM119" s="14" t="n">
        <f aca="false">O119</f>
        <v>9918951</v>
      </c>
      <c r="BN119" s="11" t="s">
        <v>231</v>
      </c>
      <c r="BO119" s="13" t="n">
        <f aca="false">IFERROR(1-L119/M119,"")</f>
        <v>0.131844763423711</v>
      </c>
      <c r="BP119" s="11" t="s">
        <v>130</v>
      </c>
      <c r="BQ119" s="12" t="n">
        <v>2338418</v>
      </c>
      <c r="BR119" s="11" t="s">
        <v>88</v>
      </c>
      <c r="BS119" s="11" t="s">
        <v>89</v>
      </c>
      <c r="BT119" s="19" t="str">
        <f aca="false">IF(OR(Z119&lt;6,AH119&lt;0.9,S119&lt;0.02,AK119&lt;1),"REVIEW",IF(AND(S119&gt;0.25,AH119&gt;1.2),"ACCELERATING","STABLE"))</f>
        <v>STABLE</v>
      </c>
    </row>
    <row r="120" customFormat="false" ht="15" hidden="false" customHeight="false" outlineLevel="0" collapsed="false">
      <c r="A120" s="11" t="s">
        <v>229</v>
      </c>
      <c r="B120" s="11" t="s">
        <v>92</v>
      </c>
      <c r="C120" s="11" t="s">
        <v>74</v>
      </c>
      <c r="D120" s="11" t="s">
        <v>210</v>
      </c>
      <c r="E120" s="11" t="s">
        <v>105</v>
      </c>
      <c r="F120" s="11" t="s">
        <v>230</v>
      </c>
      <c r="G120" s="11" t="s">
        <v>78</v>
      </c>
      <c r="H120" s="11" t="s">
        <v>79</v>
      </c>
      <c r="I120" s="11" t="s">
        <v>78</v>
      </c>
      <c r="J120" s="12" t="n">
        <v>1240000</v>
      </c>
      <c r="K120" s="13" t="n">
        <f aca="false">IFERROR(J120/M120,"")</f>
        <v>0.131844763423711</v>
      </c>
      <c r="L120" s="12" t="n">
        <v>8165000</v>
      </c>
      <c r="M120" s="14" t="n">
        <f aca="false">L120+J120</f>
        <v>9405000</v>
      </c>
      <c r="N120" s="12" t="n">
        <v>3723000</v>
      </c>
      <c r="O120" s="12" t="n">
        <v>9918951</v>
      </c>
      <c r="P120" s="12" t="n">
        <v>698576</v>
      </c>
      <c r="Q120" s="13" t="n">
        <f aca="false">IFERROR(P120/P119-1,"")</f>
        <v>0.0970789622463724</v>
      </c>
      <c r="R120" s="12" t="n">
        <v>747180</v>
      </c>
      <c r="S120" s="13" t="n">
        <f aca="false">IFERROR(R120/R119-1,"")</f>
        <v>0.0981416922886991</v>
      </c>
      <c r="T120" s="12" t="n">
        <v>464634</v>
      </c>
      <c r="U120" s="13" t="n">
        <f aca="false">IFERROR(T120/P120,"")</f>
        <v>0.665115892902132</v>
      </c>
      <c r="V120" s="14" t="n">
        <f aca="false">T120-AV120</f>
        <v>-1688460</v>
      </c>
      <c r="W120" s="14" t="n">
        <f aca="false">V120-AA120*0.1</f>
        <v>-1787560</v>
      </c>
      <c r="X120" s="12" t="n">
        <v>3620184</v>
      </c>
      <c r="Y120" s="12" t="n">
        <v>131920</v>
      </c>
      <c r="Z120" s="15" t="n">
        <f aca="false">IFERROR(X120/Y120,"")</f>
        <v>27.4422680412371</v>
      </c>
      <c r="AA120" s="12" t="n">
        <v>991000</v>
      </c>
      <c r="AB120" s="14" t="n">
        <f aca="false">W120-0.02*P120</f>
        <v>-1801531.52</v>
      </c>
      <c r="AC120" s="16" t="n">
        <v>34</v>
      </c>
      <c r="AD120" s="13" t="n">
        <f aca="false">IFERROR(AC120/AC119-1,"")</f>
        <v>0.133333333333333</v>
      </c>
      <c r="AE120" s="17" t="n">
        <v>0.056</v>
      </c>
      <c r="AF120" s="17" t="n">
        <v>0.051</v>
      </c>
      <c r="AG120" s="13" t="n">
        <f aca="false">1-AF120</f>
        <v>0.949</v>
      </c>
      <c r="AH120" s="17" t="n">
        <v>1.13</v>
      </c>
      <c r="AI120" s="12" t="n">
        <v>81600</v>
      </c>
      <c r="AJ120" s="14" t="n">
        <f aca="false">IFERROR(AM120*U120*MIN(1/AE120,5),"")</f>
        <v>162554.324225281</v>
      </c>
      <c r="AK120" s="18" t="n">
        <f aca="false">IFERROR(AJ120/AI120,"")</f>
        <v>1.99208730668237</v>
      </c>
      <c r="AL120" s="15" t="n">
        <f aca="false">IFERROR(AI120/(AM120*U120/12),"")</f>
        <v>30.1191618453331</v>
      </c>
      <c r="AM120" s="12" t="n">
        <v>48880</v>
      </c>
      <c r="AN120" s="12" t="n">
        <v>983447</v>
      </c>
      <c r="AO120" s="12" t="n">
        <v>2241384</v>
      </c>
      <c r="AP120" s="17" t="n">
        <v>0.399</v>
      </c>
      <c r="AQ120" s="16" t="n">
        <v>52</v>
      </c>
      <c r="AR120" s="16" t="n">
        <v>5</v>
      </c>
      <c r="AS120" s="13" t="n">
        <f aca="false">IFERROR(AR120/AR119-1,"")</f>
        <v>0.25</v>
      </c>
      <c r="AT120" s="11" t="s">
        <v>134</v>
      </c>
      <c r="AU120" s="14" t="n">
        <f aca="false">IFERROR(P120/AR120,"")</f>
        <v>139715.2</v>
      </c>
      <c r="AV120" s="12" t="n">
        <v>2153094</v>
      </c>
      <c r="AW120" s="12" t="n">
        <v>970478</v>
      </c>
      <c r="AX120" s="12" t="n">
        <v>572158</v>
      </c>
      <c r="AY120" s="16" t="n">
        <v>2066</v>
      </c>
      <c r="AZ120" s="13" t="n">
        <f aca="false">IFERROR(AY120/AY119-1,"")</f>
        <v>0.132054794520548</v>
      </c>
      <c r="BA120" s="17" t="n">
        <v>0.957</v>
      </c>
      <c r="BB120" s="11" t="s">
        <v>107</v>
      </c>
      <c r="BC120" s="11" t="s">
        <v>126</v>
      </c>
      <c r="BD120" s="11" t="s">
        <v>101</v>
      </c>
      <c r="BE120" s="12" t="n">
        <v>829623</v>
      </c>
      <c r="BF120" s="13" t="n">
        <f aca="false">IFERROR(P120/BE120-1,"")</f>
        <v>-0.157959699767244</v>
      </c>
      <c r="BG120" s="17" t="n">
        <v>0.03</v>
      </c>
      <c r="BH120" s="17" t="n">
        <v>-0.012</v>
      </c>
      <c r="BI120" s="14" t="n">
        <f aca="false">P120*(1+IFERROR(Q120,0))^4</f>
        <v>1011964.34078651</v>
      </c>
      <c r="BJ120" s="12" t="n">
        <v>-1063879</v>
      </c>
      <c r="BK120" s="11" t="s">
        <v>102</v>
      </c>
      <c r="BL120" s="11" t="s">
        <v>162</v>
      </c>
      <c r="BM120" s="14" t="n">
        <f aca="false">O120</f>
        <v>9918951</v>
      </c>
      <c r="BN120" s="11" t="s">
        <v>231</v>
      </c>
      <c r="BO120" s="13" t="n">
        <f aca="false">IFERROR(1-L120/M120,"")</f>
        <v>0.131844763423711</v>
      </c>
      <c r="BP120" s="11" t="s">
        <v>130</v>
      </c>
      <c r="BQ120" s="12" t="n">
        <v>1845952</v>
      </c>
      <c r="BR120" s="11" t="s">
        <v>88</v>
      </c>
      <c r="BS120" s="11" t="s">
        <v>89</v>
      </c>
      <c r="BT120" s="19" t="str">
        <f aca="false">IF(OR(Z120&lt;6,AH120&lt;0.9,S120&lt;0.02,AK120&lt;1),"REVIEW",IF(AND(S120&gt;0.25,AH120&gt;1.2),"ACCELERATING","STABLE"))</f>
        <v>STABLE</v>
      </c>
    </row>
    <row r="121" customFormat="false" ht="15" hidden="false" customHeight="false" outlineLevel="0" collapsed="false">
      <c r="A121" s="11" t="s">
        <v>229</v>
      </c>
      <c r="B121" s="11" t="s">
        <v>93</v>
      </c>
      <c r="C121" s="11" t="s">
        <v>74</v>
      </c>
      <c r="D121" s="11" t="s">
        <v>210</v>
      </c>
      <c r="E121" s="11" t="s">
        <v>105</v>
      </c>
      <c r="F121" s="11" t="s">
        <v>230</v>
      </c>
      <c r="G121" s="11" t="s">
        <v>78</v>
      </c>
      <c r="H121" s="11" t="s">
        <v>79</v>
      </c>
      <c r="I121" s="11" t="s">
        <v>78</v>
      </c>
      <c r="J121" s="12" t="n">
        <v>1240000</v>
      </c>
      <c r="K121" s="13" t="n">
        <f aca="false">IFERROR(J121/M121,"")</f>
        <v>0.131844763423711</v>
      </c>
      <c r="L121" s="12" t="n">
        <v>8165000</v>
      </c>
      <c r="M121" s="14" t="n">
        <f aca="false">L121+J121</f>
        <v>9405000</v>
      </c>
      <c r="N121" s="12" t="n">
        <v>3723000</v>
      </c>
      <c r="O121" s="12" t="n">
        <v>9918951</v>
      </c>
      <c r="P121" s="12" t="n">
        <v>852011</v>
      </c>
      <c r="Q121" s="13" t="n">
        <f aca="false">IFERROR(P121/P120-1,"")</f>
        <v>0.219639666979684</v>
      </c>
      <c r="R121" s="12" t="n">
        <v>902057</v>
      </c>
      <c r="S121" s="13" t="n">
        <f aca="false">IFERROR(R121/R120-1,"")</f>
        <v>0.207282047164003</v>
      </c>
      <c r="T121" s="12" t="n">
        <v>568962</v>
      </c>
      <c r="U121" s="13" t="n">
        <f aca="false">IFERROR(T121/P121,"")</f>
        <v>0.667787152982767</v>
      </c>
      <c r="V121" s="14" t="n">
        <f aca="false">T121-AV121</f>
        <v>-1637714</v>
      </c>
      <c r="W121" s="14" t="n">
        <f aca="false">V121-AA121*0.1</f>
        <v>-1736814</v>
      </c>
      <c r="X121" s="12" t="n">
        <v>3264000</v>
      </c>
      <c r="Y121" s="12" t="n">
        <v>136000</v>
      </c>
      <c r="Z121" s="15" t="n">
        <f aca="false">IFERROR(X121/Y121,"")</f>
        <v>24</v>
      </c>
      <c r="AA121" s="12" t="n">
        <v>991000</v>
      </c>
      <c r="AB121" s="14" t="n">
        <f aca="false">W121-0.02*P121</f>
        <v>-1753854.22</v>
      </c>
      <c r="AC121" s="16" t="n">
        <v>37</v>
      </c>
      <c r="AD121" s="13" t="n">
        <f aca="false">IFERROR(AC121/AC120-1,"")</f>
        <v>0.088235294117647</v>
      </c>
      <c r="AE121" s="17" t="n">
        <v>0.054</v>
      </c>
      <c r="AF121" s="17" t="n">
        <v>0.045</v>
      </c>
      <c r="AG121" s="13" t="n">
        <f aca="false">1-AF121</f>
        <v>0.955</v>
      </c>
      <c r="AH121" s="17" t="n">
        <v>1.125</v>
      </c>
      <c r="AI121" s="12" t="n">
        <v>80000</v>
      </c>
      <c r="AJ121" s="14" t="n">
        <f aca="false">IFERROR(AM121*U121*MIN(1/AE121,5),"")</f>
        <v>166345.779808007</v>
      </c>
      <c r="AK121" s="18" t="n">
        <f aca="false">IFERROR(AJ121/AI121,"")</f>
        <v>2.07932224760009</v>
      </c>
      <c r="AL121" s="15" t="n">
        <f aca="false">IFERROR(AI121/(AM121*U121/12),"")</f>
        <v>28.8555562127278</v>
      </c>
      <c r="AM121" s="12" t="n">
        <v>49820</v>
      </c>
      <c r="AN121" s="12" t="n">
        <v>1111110</v>
      </c>
      <c r="AO121" s="12" t="n">
        <v>2155639</v>
      </c>
      <c r="AP121" s="17" t="n">
        <v>0.399</v>
      </c>
      <c r="AQ121" s="16" t="n">
        <v>52</v>
      </c>
      <c r="AR121" s="16" t="n">
        <v>5</v>
      </c>
      <c r="AS121" s="13" t="n">
        <f aca="false">IFERROR(AR121/AR120-1,"")</f>
        <v>0</v>
      </c>
      <c r="AT121" s="11" t="s">
        <v>134</v>
      </c>
      <c r="AU121" s="14" t="n">
        <f aca="false">IFERROR(P121/AR121,"")</f>
        <v>170402.2</v>
      </c>
      <c r="AV121" s="12" t="n">
        <v>2206676</v>
      </c>
      <c r="AW121" s="12" t="n">
        <v>998296</v>
      </c>
      <c r="AX121" s="12" t="n">
        <v>430929</v>
      </c>
      <c r="AY121" s="16" t="n">
        <v>2168</v>
      </c>
      <c r="AZ121" s="13" t="n">
        <f aca="false">IFERROR(AY121/AY120-1,"")</f>
        <v>0.0493707647628268</v>
      </c>
      <c r="BA121" s="17" t="n">
        <v>0.941</v>
      </c>
      <c r="BB121" s="11" t="s">
        <v>107</v>
      </c>
      <c r="BC121" s="11" t="s">
        <v>126</v>
      </c>
      <c r="BD121" s="11" t="s">
        <v>101</v>
      </c>
      <c r="BE121" s="12" t="n">
        <v>1031099</v>
      </c>
      <c r="BF121" s="13" t="n">
        <f aca="false">IFERROR(P121/BE121-1,"")</f>
        <v>-0.173686522826615</v>
      </c>
      <c r="BG121" s="17" t="n">
        <v>-0.003</v>
      </c>
      <c r="BH121" s="17" t="n">
        <v>-0.072</v>
      </c>
      <c r="BI121" s="14" t="n">
        <f aca="false">P121*(1+IFERROR(Q121,0))^4</f>
        <v>1885260.48428112</v>
      </c>
      <c r="BJ121" s="12" t="n">
        <v>-979275</v>
      </c>
      <c r="BK121" s="11" t="s">
        <v>102</v>
      </c>
      <c r="BL121" s="11" t="s">
        <v>162</v>
      </c>
      <c r="BM121" s="14" t="n">
        <f aca="false">O121</f>
        <v>9918951</v>
      </c>
      <c r="BN121" s="11" t="s">
        <v>231</v>
      </c>
      <c r="BO121" s="13" t="n">
        <f aca="false">IFERROR(1-L121/M121,"")</f>
        <v>0.131844763423711</v>
      </c>
      <c r="BP121" s="11" t="s">
        <v>130</v>
      </c>
      <c r="BQ121" s="12" t="n">
        <v>2597882</v>
      </c>
      <c r="BR121" s="11" t="s">
        <v>88</v>
      </c>
      <c r="BS121" s="11" t="s">
        <v>89</v>
      </c>
      <c r="BT121" s="19" t="str">
        <f aca="false">IF(OR(Z121&lt;6,AH121&lt;0.9,S121&lt;0.02,AK121&lt;1),"REVIEW",IF(AND(S121&gt;0.25,AH121&gt;1.2),"ACCELERATING","STABLE"))</f>
        <v>STABLE</v>
      </c>
    </row>
    <row r="122" customFormat="false" ht="15" hidden="false" customHeight="false" outlineLevel="0" collapsed="false">
      <c r="A122" s="3" t="s">
        <v>232</v>
      </c>
      <c r="B122" s="3" t="s">
        <v>73</v>
      </c>
      <c r="C122" s="3" t="s">
        <v>74</v>
      </c>
      <c r="D122" s="3" t="s">
        <v>165</v>
      </c>
      <c r="E122" s="3" t="s">
        <v>105</v>
      </c>
      <c r="F122" s="3" t="s">
        <v>233</v>
      </c>
      <c r="G122" s="3" t="s">
        <v>78</v>
      </c>
      <c r="H122" s="3" t="s">
        <v>79</v>
      </c>
      <c r="I122" s="3" t="s">
        <v>78</v>
      </c>
      <c r="J122" s="4" t="n">
        <v>2238000</v>
      </c>
      <c r="K122" s="5" t="n">
        <f aca="false">IFERROR(J122/M122,"")</f>
        <v>0.0948707079270878</v>
      </c>
      <c r="L122" s="4" t="n">
        <v>21352000</v>
      </c>
      <c r="M122" s="6" t="n">
        <f aca="false">L122+J122</f>
        <v>23590000</v>
      </c>
      <c r="N122" s="4" t="n">
        <v>5425000</v>
      </c>
      <c r="O122" s="4" t="n">
        <v>49716477</v>
      </c>
      <c r="P122" s="4" t="n">
        <v>723702</v>
      </c>
      <c r="Q122" s="7"/>
      <c r="R122" s="4" t="n">
        <v>831397</v>
      </c>
      <c r="S122" s="7"/>
      <c r="T122" s="4" t="n">
        <v>436100</v>
      </c>
      <c r="U122" s="5" t="n">
        <f aca="false">IFERROR(T122/P122,"")</f>
        <v>0.602596096183236</v>
      </c>
      <c r="V122" s="6" t="n">
        <f aca="false">T122-AV122</f>
        <v>-1171142</v>
      </c>
      <c r="W122" s="6" t="n">
        <f aca="false">V122-AA122*0.1</f>
        <v>-1171142</v>
      </c>
      <c r="X122" s="4" t="n">
        <v>3275326</v>
      </c>
      <c r="Y122" s="4" t="n">
        <v>96460</v>
      </c>
      <c r="Z122" s="8" t="n">
        <f aca="false">IFERROR(X122/Y122,"")</f>
        <v>33.955276798673</v>
      </c>
      <c r="AA122" s="4" t="n">
        <v>0</v>
      </c>
      <c r="AB122" s="6" t="n">
        <f aca="false">W122-0.02*P122</f>
        <v>-1185616.04</v>
      </c>
      <c r="AC122" s="9" t="n">
        <v>25</v>
      </c>
      <c r="AD122" s="7"/>
      <c r="AE122" s="7" t="n">
        <v>0.072</v>
      </c>
      <c r="AF122" s="7" t="n">
        <v>0.064</v>
      </c>
      <c r="AG122" s="5" t="n">
        <f aca="false">1-AF122</f>
        <v>0.936</v>
      </c>
      <c r="AH122" s="7" t="n">
        <v>1.194</v>
      </c>
      <c r="AI122" s="4" t="n">
        <v>25440</v>
      </c>
      <c r="AJ122" s="6" t="n">
        <f aca="false">IFERROR(AM122*U122*MIN(1/AE122,5),"")</f>
        <v>57246.6291374074</v>
      </c>
      <c r="AK122" s="10" t="n">
        <f aca="false">IFERROR(AJ122/AI122,"")</f>
        <v>2.2502605793006</v>
      </c>
      <c r="AL122" s="8" t="n">
        <f aca="false">IFERROR(AI122/(AM122*U122/12),"")</f>
        <v>26.6635786770297</v>
      </c>
      <c r="AM122" s="4" t="n">
        <v>19000</v>
      </c>
      <c r="AN122" s="4" t="n">
        <v>1075628</v>
      </c>
      <c r="AO122" s="4" t="n">
        <v>2619030</v>
      </c>
      <c r="AP122" s="7" t="n">
        <v>0.177</v>
      </c>
      <c r="AQ122" s="9" t="n">
        <v>74</v>
      </c>
      <c r="AR122" s="9" t="n">
        <v>5</v>
      </c>
      <c r="AS122" s="7"/>
      <c r="AT122" s="3" t="s">
        <v>80</v>
      </c>
      <c r="AU122" s="6" t="n">
        <f aca="false">IFERROR(P122/AR122,"")</f>
        <v>144740.4</v>
      </c>
      <c r="AV122" s="4" t="n">
        <v>1607242</v>
      </c>
      <c r="AW122" s="4" t="n">
        <v>538830</v>
      </c>
      <c r="AX122" s="4" t="n">
        <v>541959</v>
      </c>
      <c r="AY122" s="9" t="n">
        <v>19828</v>
      </c>
      <c r="AZ122" s="7"/>
      <c r="BA122" s="7" t="n">
        <v>0.949</v>
      </c>
      <c r="BB122" s="3" t="s">
        <v>81</v>
      </c>
      <c r="BC122" s="3" t="s">
        <v>82</v>
      </c>
      <c r="BD122" s="3" t="s">
        <v>83</v>
      </c>
      <c r="BE122" s="4" t="n">
        <v>814056</v>
      </c>
      <c r="BF122" s="5" t="n">
        <f aca="false">IFERROR(P122/BE122-1,"")</f>
        <v>-0.110992364161679</v>
      </c>
      <c r="BG122" s="7" t="n">
        <v>-0.055</v>
      </c>
      <c r="BH122" s="7" t="n">
        <v>0.055</v>
      </c>
      <c r="BI122" s="6" t="n">
        <f aca="false">P122</f>
        <v>723702</v>
      </c>
      <c r="BJ122" s="4" t="n">
        <v>-760894</v>
      </c>
      <c r="BK122" s="3" t="s">
        <v>84</v>
      </c>
      <c r="BL122" s="3" t="s">
        <v>162</v>
      </c>
      <c r="BM122" s="6" t="n">
        <f aca="false">O122</f>
        <v>49716477</v>
      </c>
      <c r="BN122" s="3" t="s">
        <v>234</v>
      </c>
      <c r="BO122" s="5" t="n">
        <f aca="false">IFERROR(1-L122/M122,"")</f>
        <v>0.0948707079270877</v>
      </c>
      <c r="BP122" s="3" t="s">
        <v>198</v>
      </c>
      <c r="BQ122" s="4" t="n">
        <v>1756249</v>
      </c>
      <c r="BR122" s="3" t="s">
        <v>88</v>
      </c>
      <c r="BS122" s="3" t="s">
        <v>89</v>
      </c>
      <c r="BT122" s="3" t="s">
        <v>90</v>
      </c>
    </row>
    <row r="123" customFormat="false" ht="15" hidden="false" customHeight="false" outlineLevel="0" collapsed="false">
      <c r="A123" s="11" t="s">
        <v>232</v>
      </c>
      <c r="B123" s="11" t="s">
        <v>91</v>
      </c>
      <c r="C123" s="11" t="s">
        <v>74</v>
      </c>
      <c r="D123" s="11" t="s">
        <v>165</v>
      </c>
      <c r="E123" s="11" t="s">
        <v>105</v>
      </c>
      <c r="F123" s="11" t="s">
        <v>233</v>
      </c>
      <c r="G123" s="11" t="s">
        <v>78</v>
      </c>
      <c r="H123" s="11" t="s">
        <v>79</v>
      </c>
      <c r="I123" s="11" t="s">
        <v>78</v>
      </c>
      <c r="J123" s="12" t="n">
        <v>2238000</v>
      </c>
      <c r="K123" s="13" t="n">
        <f aca="false">IFERROR(J123/M123,"")</f>
        <v>0.0948707079270878</v>
      </c>
      <c r="L123" s="12" t="n">
        <v>21352000</v>
      </c>
      <c r="M123" s="14" t="n">
        <f aca="false">L123+J123</f>
        <v>23590000</v>
      </c>
      <c r="N123" s="12" t="n">
        <v>5425000</v>
      </c>
      <c r="O123" s="12" t="n">
        <v>49716477</v>
      </c>
      <c r="P123" s="12" t="n">
        <v>955314</v>
      </c>
      <c r="Q123" s="13" t="n">
        <f aca="false">IFERROR(P123/P122-1,"")</f>
        <v>0.320037805616124</v>
      </c>
      <c r="R123" s="12" t="n">
        <v>1041094</v>
      </c>
      <c r="S123" s="13" t="n">
        <f aca="false">IFERROR(R123/R122-1,"")</f>
        <v>0.252222464117624</v>
      </c>
      <c r="T123" s="12" t="n">
        <v>577999</v>
      </c>
      <c r="U123" s="13" t="n">
        <f aca="false">IFERROR(T123/P123,"")</f>
        <v>0.605035621795556</v>
      </c>
      <c r="V123" s="14" t="n">
        <f aca="false">T123-AV123</f>
        <v>-1094613</v>
      </c>
      <c r="W123" s="14" t="n">
        <f aca="false">V123-AA123*0.1</f>
        <v>-1094613</v>
      </c>
      <c r="X123" s="12" t="n">
        <v>3032056</v>
      </c>
      <c r="Y123" s="12" t="n">
        <v>99640</v>
      </c>
      <c r="Z123" s="15" t="n">
        <f aca="false">IFERROR(X123/Y123,"")</f>
        <v>30.4301083902047</v>
      </c>
      <c r="AA123" s="12" t="n">
        <v>0</v>
      </c>
      <c r="AB123" s="14" t="n">
        <f aca="false">W123-0.02*P123</f>
        <v>-1113719.28</v>
      </c>
      <c r="AC123" s="16" t="n">
        <v>29</v>
      </c>
      <c r="AD123" s="13" t="n">
        <f aca="false">IFERROR(AC123/AC122-1,"")</f>
        <v>0.16</v>
      </c>
      <c r="AE123" s="17" t="n">
        <v>0.07</v>
      </c>
      <c r="AF123" s="17" t="n">
        <v>0.071</v>
      </c>
      <c r="AG123" s="13" t="n">
        <f aca="false">1-AF123</f>
        <v>0.929</v>
      </c>
      <c r="AH123" s="17" t="n">
        <v>1.189</v>
      </c>
      <c r="AI123" s="12" t="n">
        <v>24960</v>
      </c>
      <c r="AJ123" s="14" t="n">
        <f aca="false">IFERROR(AM123*U123*MIN(1/AE123,5),"")</f>
        <v>58627.9517519894</v>
      </c>
      <c r="AK123" s="18" t="n">
        <f aca="false">IFERROR(AJ123/AI123,"")</f>
        <v>2.34887627211496</v>
      </c>
      <c r="AL123" s="15" t="n">
        <f aca="false">IFERROR(AI123/(AM123*U123/12),"")</f>
        <v>25.5441296386272</v>
      </c>
      <c r="AM123" s="12" t="n">
        <v>19380</v>
      </c>
      <c r="AN123" s="12" t="n">
        <v>984438</v>
      </c>
      <c r="AO123" s="12" t="n">
        <v>3092979</v>
      </c>
      <c r="AP123" s="17" t="n">
        <v>0.177</v>
      </c>
      <c r="AQ123" s="16" t="n">
        <v>74</v>
      </c>
      <c r="AR123" s="16" t="n">
        <v>6</v>
      </c>
      <c r="AS123" s="13" t="n">
        <f aca="false">IFERROR(AR123/AR122-1,"")</f>
        <v>0.2</v>
      </c>
      <c r="AT123" s="11" t="s">
        <v>80</v>
      </c>
      <c r="AU123" s="14" t="n">
        <f aca="false">IFERROR(P123/AR123,"")</f>
        <v>159219</v>
      </c>
      <c r="AV123" s="12" t="n">
        <v>1672612</v>
      </c>
      <c r="AW123" s="12" t="n">
        <v>732204</v>
      </c>
      <c r="AX123" s="12" t="n">
        <v>416122</v>
      </c>
      <c r="AY123" s="16" t="n">
        <v>22859</v>
      </c>
      <c r="AZ123" s="13" t="n">
        <f aca="false">IFERROR(AY123/AY122-1,"")</f>
        <v>0.152864635868469</v>
      </c>
      <c r="BA123" s="17" t="n">
        <v>0.937</v>
      </c>
      <c r="BB123" s="11" t="s">
        <v>81</v>
      </c>
      <c r="BC123" s="11" t="s">
        <v>82</v>
      </c>
      <c r="BD123" s="11" t="s">
        <v>83</v>
      </c>
      <c r="BE123" s="12" t="n">
        <v>1007263</v>
      </c>
      <c r="BF123" s="13" t="n">
        <f aca="false">IFERROR(P123/BE123-1,"")</f>
        <v>-0.051574415023683</v>
      </c>
      <c r="BG123" s="17" t="n">
        <v>0.014</v>
      </c>
      <c r="BH123" s="17" t="n">
        <v>-0.01</v>
      </c>
      <c r="BI123" s="14" t="n">
        <f aca="false">P123*(1+IFERROR(Q123,0))^4</f>
        <v>2900625.23054456</v>
      </c>
      <c r="BJ123" s="12" t="n">
        <v>-614476</v>
      </c>
      <c r="BK123" s="11" t="s">
        <v>84</v>
      </c>
      <c r="BL123" s="11" t="s">
        <v>162</v>
      </c>
      <c r="BM123" s="14" t="n">
        <f aca="false">O123</f>
        <v>49716477</v>
      </c>
      <c r="BN123" s="11" t="s">
        <v>234</v>
      </c>
      <c r="BO123" s="13" t="n">
        <f aca="false">IFERROR(1-L123/M123,"")</f>
        <v>0.0948707079270877</v>
      </c>
      <c r="BP123" s="11" t="s">
        <v>198</v>
      </c>
      <c r="BQ123" s="12" t="n">
        <v>1877465</v>
      </c>
      <c r="BR123" s="11" t="s">
        <v>88</v>
      </c>
      <c r="BS123" s="11" t="s">
        <v>89</v>
      </c>
      <c r="BT123" s="19" t="str">
        <f aca="false">IF(OR(Z123&lt;6,AH123&lt;0.9,S123&lt;0.02,AK123&lt;1),"REVIEW",IF(AND(S123&gt;0.25,AH123&gt;1.2),"ACCELERATING","STABLE"))</f>
        <v>STABLE</v>
      </c>
    </row>
    <row r="124" customFormat="false" ht="15" hidden="false" customHeight="false" outlineLevel="0" collapsed="false">
      <c r="A124" s="11" t="s">
        <v>232</v>
      </c>
      <c r="B124" s="11" t="s">
        <v>92</v>
      </c>
      <c r="C124" s="11" t="s">
        <v>74</v>
      </c>
      <c r="D124" s="11" t="s">
        <v>165</v>
      </c>
      <c r="E124" s="11" t="s">
        <v>105</v>
      </c>
      <c r="F124" s="11" t="s">
        <v>233</v>
      </c>
      <c r="G124" s="11" t="s">
        <v>78</v>
      </c>
      <c r="H124" s="11" t="s">
        <v>79</v>
      </c>
      <c r="I124" s="11" t="s">
        <v>78</v>
      </c>
      <c r="J124" s="12" t="n">
        <v>2238000</v>
      </c>
      <c r="K124" s="13" t="n">
        <f aca="false">IFERROR(J124/M124,"")</f>
        <v>0.0948707079270878</v>
      </c>
      <c r="L124" s="12" t="n">
        <v>21352000</v>
      </c>
      <c r="M124" s="14" t="n">
        <f aca="false">L124+J124</f>
        <v>23590000</v>
      </c>
      <c r="N124" s="12" t="n">
        <v>5425000</v>
      </c>
      <c r="O124" s="12" t="n">
        <v>49716477</v>
      </c>
      <c r="P124" s="12" t="n">
        <v>1176724</v>
      </c>
      <c r="Q124" s="13" t="n">
        <f aca="false">IFERROR(P124/P123-1,"")</f>
        <v>0.231766728007754</v>
      </c>
      <c r="R124" s="12" t="n">
        <v>1257640</v>
      </c>
      <c r="S124" s="13" t="n">
        <f aca="false">IFERROR(R124/R123-1,"")</f>
        <v>0.207998509260451</v>
      </c>
      <c r="T124" s="12" t="n">
        <v>714831</v>
      </c>
      <c r="U124" s="13" t="n">
        <f aca="false">IFERROR(T124/P124,"")</f>
        <v>0.607475499777348</v>
      </c>
      <c r="V124" s="14" t="n">
        <f aca="false">T124-AV124</f>
        <v>-1327079</v>
      </c>
      <c r="W124" s="14" t="n">
        <f aca="false">V124-AA124*0.1</f>
        <v>-1327079</v>
      </c>
      <c r="X124" s="12" t="n">
        <v>2771614</v>
      </c>
      <c r="Y124" s="12" t="n">
        <v>102820</v>
      </c>
      <c r="Z124" s="15" t="n">
        <f aca="false">IFERROR(X124/Y124,"")</f>
        <v>26.9559813265902</v>
      </c>
      <c r="AA124" s="12" t="n">
        <v>0</v>
      </c>
      <c r="AB124" s="14" t="n">
        <f aca="false">W124-0.02*P124</f>
        <v>-1350613.48</v>
      </c>
      <c r="AC124" s="16" t="n">
        <v>34</v>
      </c>
      <c r="AD124" s="13" t="n">
        <f aca="false">IFERROR(AC124/AC123-1,"")</f>
        <v>0.172413793103448</v>
      </c>
      <c r="AE124" s="17" t="n">
        <v>0.068</v>
      </c>
      <c r="AF124" s="17" t="n">
        <v>0.065</v>
      </c>
      <c r="AG124" s="13" t="n">
        <f aca="false">1-AF124</f>
        <v>0.935</v>
      </c>
      <c r="AH124" s="17" t="n">
        <v>1.184</v>
      </c>
      <c r="AI124" s="12" t="n">
        <v>24480</v>
      </c>
      <c r="AJ124" s="14" t="n">
        <f aca="false">IFERROR(AM124*U124*MIN(1/AE124,5),"")</f>
        <v>60018.579378002</v>
      </c>
      <c r="AK124" s="18" t="n">
        <f aca="false">IFERROR(AJ124/AI124,"")</f>
        <v>2.45173935367655</v>
      </c>
      <c r="AL124" s="15" t="n">
        <f aca="false">IFERROR(AI124/(AM124*U124/12),"")</f>
        <v>24.4724219603629</v>
      </c>
      <c r="AM124" s="12" t="n">
        <v>19760</v>
      </c>
      <c r="AN124" s="12" t="n">
        <v>1160470</v>
      </c>
      <c r="AO124" s="12" t="n">
        <v>4124410</v>
      </c>
      <c r="AP124" s="17" t="n">
        <v>0.177</v>
      </c>
      <c r="AQ124" s="16" t="n">
        <v>74</v>
      </c>
      <c r="AR124" s="16" t="n">
        <v>6</v>
      </c>
      <c r="AS124" s="13" t="n">
        <f aca="false">IFERROR(AR124/AR123-1,"")</f>
        <v>0</v>
      </c>
      <c r="AT124" s="11" t="s">
        <v>80</v>
      </c>
      <c r="AU124" s="14" t="n">
        <f aca="false">IFERROR(P124/AR124,"")</f>
        <v>196120.666666667</v>
      </c>
      <c r="AV124" s="12" t="n">
        <v>2041910</v>
      </c>
      <c r="AW124" s="12" t="n">
        <v>825042</v>
      </c>
      <c r="AX124" s="12" t="n">
        <v>400417</v>
      </c>
      <c r="AY124" s="16" t="n">
        <v>28491</v>
      </c>
      <c r="AZ124" s="13" t="n">
        <f aca="false">IFERROR(AY124/AY123-1,"")</f>
        <v>0.246379981626493</v>
      </c>
      <c r="BA124" s="17" t="n">
        <v>0.945</v>
      </c>
      <c r="BB124" s="11" t="s">
        <v>81</v>
      </c>
      <c r="BC124" s="11" t="s">
        <v>82</v>
      </c>
      <c r="BD124" s="11" t="s">
        <v>83</v>
      </c>
      <c r="BE124" s="12" t="n">
        <v>1384399</v>
      </c>
      <c r="BF124" s="13" t="n">
        <f aca="false">IFERROR(P124/BE124-1,"")</f>
        <v>-0.150010943376873</v>
      </c>
      <c r="BG124" s="17" t="n">
        <v>0.059</v>
      </c>
      <c r="BH124" s="17" t="n">
        <v>-0.058</v>
      </c>
      <c r="BI124" s="14" t="n">
        <f aca="false">P124*(1+IFERROR(Q124,0))^4</f>
        <v>2708872.01722637</v>
      </c>
      <c r="BJ124" s="12" t="n">
        <v>-842672</v>
      </c>
      <c r="BK124" s="11" t="s">
        <v>84</v>
      </c>
      <c r="BL124" s="11" t="s">
        <v>162</v>
      </c>
      <c r="BM124" s="14" t="n">
        <f aca="false">O124</f>
        <v>49716477</v>
      </c>
      <c r="BN124" s="11" t="s">
        <v>234</v>
      </c>
      <c r="BO124" s="13" t="n">
        <f aca="false">IFERROR(1-L124/M124,"")</f>
        <v>0.0948707079270877</v>
      </c>
      <c r="BP124" s="11" t="s">
        <v>198</v>
      </c>
      <c r="BQ124" s="12" t="n">
        <v>1613535</v>
      </c>
      <c r="BR124" s="11" t="s">
        <v>88</v>
      </c>
      <c r="BS124" s="11" t="s">
        <v>89</v>
      </c>
      <c r="BT124" s="19" t="str">
        <f aca="false">IF(OR(Z124&lt;6,AH124&lt;0.9,S124&lt;0.02,AK124&lt;1),"REVIEW",IF(AND(S124&gt;0.25,AH124&gt;1.2),"ACCELERATING","STABLE"))</f>
        <v>STABLE</v>
      </c>
    </row>
    <row r="125" customFormat="false" ht="15" hidden="false" customHeight="false" outlineLevel="0" collapsed="false">
      <c r="A125" s="11" t="s">
        <v>232</v>
      </c>
      <c r="B125" s="11" t="s">
        <v>93</v>
      </c>
      <c r="C125" s="11" t="s">
        <v>74</v>
      </c>
      <c r="D125" s="11" t="s">
        <v>165</v>
      </c>
      <c r="E125" s="11" t="s">
        <v>105</v>
      </c>
      <c r="F125" s="11" t="s">
        <v>233</v>
      </c>
      <c r="G125" s="11" t="s">
        <v>78</v>
      </c>
      <c r="H125" s="11" t="s">
        <v>79</v>
      </c>
      <c r="I125" s="11" t="s">
        <v>78</v>
      </c>
      <c r="J125" s="12" t="n">
        <v>2238000</v>
      </c>
      <c r="K125" s="13" t="n">
        <f aca="false">IFERROR(J125/M125,"")</f>
        <v>0.0948707079270878</v>
      </c>
      <c r="L125" s="12" t="n">
        <v>21352000</v>
      </c>
      <c r="M125" s="14" t="n">
        <f aca="false">L125+J125</f>
        <v>23590000</v>
      </c>
      <c r="N125" s="12" t="n">
        <v>5425000</v>
      </c>
      <c r="O125" s="12" t="n">
        <v>49716477</v>
      </c>
      <c r="P125" s="12" t="n">
        <v>1360917</v>
      </c>
      <c r="Q125" s="13" t="n">
        <f aca="false">IFERROR(P125/P124-1,"")</f>
        <v>0.156530333366193</v>
      </c>
      <c r="R125" s="12" t="n">
        <v>1495377</v>
      </c>
      <c r="S125" s="13" t="n">
        <f aca="false">IFERROR(R125/R124-1,"")</f>
        <v>0.189034222830063</v>
      </c>
      <c r="T125" s="12" t="n">
        <v>830044</v>
      </c>
      <c r="U125" s="13" t="n">
        <f aca="false">IFERROR(T125/P125,"")</f>
        <v>0.609915226277576</v>
      </c>
      <c r="V125" s="14" t="n">
        <f aca="false">T125-AV125</f>
        <v>-1338266</v>
      </c>
      <c r="W125" s="14" t="n">
        <f aca="false">V125-AA125*0.1</f>
        <v>-1338266</v>
      </c>
      <c r="X125" s="12" t="n">
        <v>2494000</v>
      </c>
      <c r="Y125" s="12" t="n">
        <v>106000</v>
      </c>
      <c r="Z125" s="15" t="n">
        <f aca="false">IFERROR(X125/Y125,"")</f>
        <v>23.5283018867925</v>
      </c>
      <c r="AA125" s="12" t="n">
        <v>0</v>
      </c>
      <c r="AB125" s="14" t="n">
        <f aca="false">W125-0.02*P125</f>
        <v>-1365484.34</v>
      </c>
      <c r="AC125" s="16" t="n">
        <v>39</v>
      </c>
      <c r="AD125" s="13" t="n">
        <f aca="false">IFERROR(AC125/AC124-1,"")</f>
        <v>0.147058823529412</v>
      </c>
      <c r="AE125" s="17" t="n">
        <v>0.066</v>
      </c>
      <c r="AF125" s="17" t="n">
        <v>0.052</v>
      </c>
      <c r="AG125" s="13" t="n">
        <f aca="false">1-AF125</f>
        <v>0.948</v>
      </c>
      <c r="AH125" s="17" t="n">
        <v>1.179</v>
      </c>
      <c r="AI125" s="12" t="n">
        <v>24000</v>
      </c>
      <c r="AJ125" s="14" t="n">
        <f aca="false">IFERROR(AM125*U125*MIN(1/AE125,5),"")</f>
        <v>61418.4632861519</v>
      </c>
      <c r="AK125" s="18" t="n">
        <f aca="false">IFERROR(AJ125/AI125,"")</f>
        <v>2.559102636923</v>
      </c>
      <c r="AL125" s="15" t="n">
        <f aca="false">IFERROR(AI125/(AM125*U125/12),"")</f>
        <v>23.4457184851885</v>
      </c>
      <c r="AM125" s="12" t="n">
        <v>20140</v>
      </c>
      <c r="AN125" s="12" t="n">
        <v>1368203</v>
      </c>
      <c r="AO125" s="12" t="n">
        <v>4170215</v>
      </c>
      <c r="AP125" s="17" t="n">
        <v>0.177</v>
      </c>
      <c r="AQ125" s="16" t="n">
        <v>74</v>
      </c>
      <c r="AR125" s="16" t="n">
        <v>7</v>
      </c>
      <c r="AS125" s="13" t="n">
        <f aca="false">IFERROR(AR125/AR124-1,"")</f>
        <v>0.166666666666667</v>
      </c>
      <c r="AT125" s="11" t="s">
        <v>80</v>
      </c>
      <c r="AU125" s="14" t="n">
        <f aca="false">IFERROR(P125/AR125,"")</f>
        <v>194416.714285714</v>
      </c>
      <c r="AV125" s="12" t="n">
        <v>2168310</v>
      </c>
      <c r="AW125" s="12" t="n">
        <v>718729</v>
      </c>
      <c r="AX125" s="12" t="n">
        <v>653365</v>
      </c>
      <c r="AY125" s="16" t="n">
        <v>32732</v>
      </c>
      <c r="AZ125" s="13" t="n">
        <f aca="false">IFERROR(AY125/AY124-1,"")</f>
        <v>0.148854024077779</v>
      </c>
      <c r="BA125" s="17" t="n">
        <v>0.934</v>
      </c>
      <c r="BB125" s="11" t="s">
        <v>81</v>
      </c>
      <c r="BC125" s="11" t="s">
        <v>82</v>
      </c>
      <c r="BD125" s="11" t="s">
        <v>83</v>
      </c>
      <c r="BE125" s="12" t="n">
        <v>1344725</v>
      </c>
      <c r="BF125" s="13" t="n">
        <f aca="false">IFERROR(P125/BE125-1,"")</f>
        <v>0.0120411236498168</v>
      </c>
      <c r="BG125" s="17" t="n">
        <v>-0.02</v>
      </c>
      <c r="BH125" s="17" t="n">
        <v>-0.038</v>
      </c>
      <c r="BI125" s="14" t="n">
        <f aca="false">P125*(1+IFERROR(Q125,0))^4</f>
        <v>2434780.14026931</v>
      </c>
      <c r="BJ125" s="12" t="n">
        <v>-991613</v>
      </c>
      <c r="BK125" s="11" t="s">
        <v>84</v>
      </c>
      <c r="BL125" s="11" t="s">
        <v>162</v>
      </c>
      <c r="BM125" s="14" t="n">
        <f aca="false">O125</f>
        <v>49716477</v>
      </c>
      <c r="BN125" s="11" t="s">
        <v>234</v>
      </c>
      <c r="BO125" s="13" t="n">
        <f aca="false">IFERROR(1-L125/M125,"")</f>
        <v>0.0948707079270877</v>
      </c>
      <c r="BP125" s="11" t="s">
        <v>198</v>
      </c>
      <c r="BQ125" s="12" t="n">
        <v>1568222</v>
      </c>
      <c r="BR125" s="11" t="s">
        <v>88</v>
      </c>
      <c r="BS125" s="11" t="s">
        <v>89</v>
      </c>
      <c r="BT125" s="19" t="str">
        <f aca="false">IF(OR(Z125&lt;6,AH125&lt;0.9,S125&lt;0.02,AK125&lt;1),"REVIEW",IF(AND(S125&gt;0.25,AH125&gt;1.2),"ACCELERATING","STABLE"))</f>
        <v>STABLE</v>
      </c>
    </row>
    <row r="126" customFormat="false" ht="15" hidden="false" customHeight="false" outlineLevel="0" collapsed="false">
      <c r="A126" s="3" t="s">
        <v>235</v>
      </c>
      <c r="B126" s="3" t="s">
        <v>73</v>
      </c>
      <c r="C126" s="3" t="s">
        <v>74</v>
      </c>
      <c r="D126" s="3" t="s">
        <v>210</v>
      </c>
      <c r="E126" s="3" t="s">
        <v>105</v>
      </c>
      <c r="F126" s="3" t="s">
        <v>236</v>
      </c>
      <c r="G126" s="3" t="s">
        <v>78</v>
      </c>
      <c r="H126" s="3" t="s">
        <v>79</v>
      </c>
      <c r="I126" s="3" t="s">
        <v>78</v>
      </c>
      <c r="J126" s="4" t="n">
        <v>1157000</v>
      </c>
      <c r="K126" s="5" t="n">
        <f aca="false">IFERROR(J126/M126,"")</f>
        <v>0.110876856732151</v>
      </c>
      <c r="L126" s="4" t="n">
        <v>9278000</v>
      </c>
      <c r="M126" s="6" t="n">
        <f aca="false">L126+J126</f>
        <v>10435000</v>
      </c>
      <c r="N126" s="4" t="n">
        <v>5490000</v>
      </c>
      <c r="O126" s="4" t="n">
        <v>13446661</v>
      </c>
      <c r="P126" s="4" t="n">
        <v>943272</v>
      </c>
      <c r="Q126" s="7"/>
      <c r="R126" s="4" t="n">
        <v>1092403</v>
      </c>
      <c r="S126" s="7"/>
      <c r="T126" s="4" t="n">
        <v>688398</v>
      </c>
      <c r="U126" s="5" t="n">
        <f aca="false">IFERROR(T126/P126,"")</f>
        <v>0.72979797979798</v>
      </c>
      <c r="V126" s="6" t="n">
        <f aca="false">T126-AV126</f>
        <v>-1531599</v>
      </c>
      <c r="W126" s="6" t="n">
        <f aca="false">V126-AA126*0.1</f>
        <v>-1632599</v>
      </c>
      <c r="X126" s="4" t="n">
        <v>4768392</v>
      </c>
      <c r="Y126" s="4" t="n">
        <v>138320</v>
      </c>
      <c r="Z126" s="8" t="n">
        <f aca="false">IFERROR(X126/Y126,"")</f>
        <v>34.4736263736264</v>
      </c>
      <c r="AA126" s="4" t="n">
        <v>1010000</v>
      </c>
      <c r="AB126" s="6" t="n">
        <f aca="false">W126-0.02*P126</f>
        <v>-1651464.44</v>
      </c>
      <c r="AC126" s="9" t="n">
        <v>37</v>
      </c>
      <c r="AD126" s="7"/>
      <c r="AE126" s="7" t="n">
        <v>0.084</v>
      </c>
      <c r="AF126" s="7" t="n">
        <v>0.057</v>
      </c>
      <c r="AG126" s="5" t="n">
        <f aca="false">1-AF126</f>
        <v>0.943</v>
      </c>
      <c r="AH126" s="7" t="n">
        <v>1.051</v>
      </c>
      <c r="AI126" s="4" t="n">
        <v>62010</v>
      </c>
      <c r="AJ126" s="6" t="n">
        <f aca="false">IFERROR(AM126*U126*MIN(1/AE126,5),"")</f>
        <v>135012.626262626</v>
      </c>
      <c r="AK126" s="10" t="n">
        <f aca="false">IFERROR(AJ126/AI126,"")</f>
        <v>2.17727183135988</v>
      </c>
      <c r="AL126" s="8" t="n">
        <f aca="false">IFERROR(AI126/(AM126*U126/12),"")</f>
        <v>27.5574226129243</v>
      </c>
      <c r="AM126" s="4" t="n">
        <v>37000</v>
      </c>
      <c r="AN126" s="4" t="n">
        <v>1632113</v>
      </c>
      <c r="AO126" s="4" t="n">
        <v>4097727</v>
      </c>
      <c r="AP126" s="7" t="n">
        <v>0.149</v>
      </c>
      <c r="AQ126" s="9" t="n">
        <v>43</v>
      </c>
      <c r="AR126" s="9" t="n">
        <v>3</v>
      </c>
      <c r="AS126" s="7"/>
      <c r="AT126" s="3" t="s">
        <v>80</v>
      </c>
      <c r="AU126" s="6" t="n">
        <f aca="false">IFERROR(P126/AR126,"")</f>
        <v>314424</v>
      </c>
      <c r="AV126" s="4" t="n">
        <v>2219997</v>
      </c>
      <c r="AW126" s="4" t="n">
        <v>809790</v>
      </c>
      <c r="AX126" s="4" t="n">
        <v>732967</v>
      </c>
      <c r="AY126" s="9" t="n">
        <v>17140</v>
      </c>
      <c r="AZ126" s="7"/>
      <c r="BA126" s="7" t="n">
        <v>0.93</v>
      </c>
      <c r="BB126" s="3" t="s">
        <v>161</v>
      </c>
      <c r="BC126" s="3" t="s">
        <v>100</v>
      </c>
      <c r="BD126" s="3" t="s">
        <v>157</v>
      </c>
      <c r="BE126" s="4" t="n">
        <v>918990</v>
      </c>
      <c r="BF126" s="5" t="n">
        <f aca="false">IFERROR(P126/BE126-1,"")</f>
        <v>0.0264224855547939</v>
      </c>
      <c r="BG126" s="7" t="n">
        <v>0.019</v>
      </c>
      <c r="BH126" s="7" t="n">
        <v>-0.071</v>
      </c>
      <c r="BI126" s="6" t="n">
        <f aca="false">P126</f>
        <v>943272</v>
      </c>
      <c r="BJ126" s="4" t="n">
        <v>-1438905</v>
      </c>
      <c r="BK126" s="3" t="s">
        <v>192</v>
      </c>
      <c r="BL126" s="3" t="s">
        <v>85</v>
      </c>
      <c r="BM126" s="6" t="n">
        <f aca="false">O126</f>
        <v>13446661</v>
      </c>
      <c r="BN126" s="3" t="s">
        <v>237</v>
      </c>
      <c r="BO126" s="5" t="n">
        <f aca="false">IFERROR(1-L126/M126,"")</f>
        <v>0.110876856732151</v>
      </c>
      <c r="BP126" s="3" t="s">
        <v>198</v>
      </c>
      <c r="BQ126" s="4" t="n">
        <v>2563297</v>
      </c>
      <c r="BR126" s="3" t="s">
        <v>88</v>
      </c>
      <c r="BS126" s="3" t="s">
        <v>89</v>
      </c>
      <c r="BT126" s="3" t="s">
        <v>90</v>
      </c>
    </row>
    <row r="127" customFormat="false" ht="15" hidden="false" customHeight="false" outlineLevel="0" collapsed="false">
      <c r="A127" s="11" t="s">
        <v>235</v>
      </c>
      <c r="B127" s="11" t="s">
        <v>91</v>
      </c>
      <c r="C127" s="11" t="s">
        <v>74</v>
      </c>
      <c r="D127" s="11" t="s">
        <v>210</v>
      </c>
      <c r="E127" s="11" t="s">
        <v>105</v>
      </c>
      <c r="F127" s="11" t="s">
        <v>236</v>
      </c>
      <c r="G127" s="11" t="s">
        <v>78</v>
      </c>
      <c r="H127" s="11" t="s">
        <v>79</v>
      </c>
      <c r="I127" s="11" t="s">
        <v>78</v>
      </c>
      <c r="J127" s="12" t="n">
        <v>1157000</v>
      </c>
      <c r="K127" s="13" t="n">
        <f aca="false">IFERROR(J127/M127,"")</f>
        <v>0.110876856732151</v>
      </c>
      <c r="L127" s="12" t="n">
        <v>9278000</v>
      </c>
      <c r="M127" s="14" t="n">
        <f aca="false">L127+J127</f>
        <v>10435000</v>
      </c>
      <c r="N127" s="12" t="n">
        <v>5490000</v>
      </c>
      <c r="O127" s="12" t="n">
        <v>13446661</v>
      </c>
      <c r="P127" s="12" t="n">
        <v>1084879</v>
      </c>
      <c r="Q127" s="13" t="n">
        <f aca="false">IFERROR(P127/P126-1,"")</f>
        <v>0.150123188221425</v>
      </c>
      <c r="R127" s="12" t="n">
        <v>1268816</v>
      </c>
      <c r="S127" s="13" t="n">
        <f aca="false">IFERROR(R127/R126-1,"")</f>
        <v>0.161490768516747</v>
      </c>
      <c r="T127" s="12" t="n">
        <v>794948</v>
      </c>
      <c r="U127" s="13" t="n">
        <f aca="false">IFERROR(T127/P127,"")</f>
        <v>0.73275268486163</v>
      </c>
      <c r="V127" s="14" t="n">
        <f aca="false">T127-AV127</f>
        <v>-1390610</v>
      </c>
      <c r="W127" s="14" t="n">
        <f aca="false">V127-AA127*0.1</f>
        <v>-1491610</v>
      </c>
      <c r="X127" s="12" t="n">
        <v>4419552</v>
      </c>
      <c r="Y127" s="12" t="n">
        <v>142880</v>
      </c>
      <c r="Z127" s="15" t="n">
        <f aca="false">IFERROR(X127/Y127,"")</f>
        <v>30.931914893617</v>
      </c>
      <c r="AA127" s="12" t="n">
        <v>1010000</v>
      </c>
      <c r="AB127" s="14" t="n">
        <f aca="false">W127-0.02*P127</f>
        <v>-1513307.58</v>
      </c>
      <c r="AC127" s="16" t="n">
        <v>41</v>
      </c>
      <c r="AD127" s="13" t="n">
        <f aca="false">IFERROR(AC127/AC126-1,"")</f>
        <v>0.108108108108108</v>
      </c>
      <c r="AE127" s="17" t="n">
        <v>0.082</v>
      </c>
      <c r="AF127" s="17" t="n">
        <v>0.074</v>
      </c>
      <c r="AG127" s="13" t="n">
        <f aca="false">1-AF127</f>
        <v>0.926</v>
      </c>
      <c r="AH127" s="17" t="n">
        <v>1.046</v>
      </c>
      <c r="AI127" s="12" t="n">
        <v>60840</v>
      </c>
      <c r="AJ127" s="14" t="n">
        <f aca="false">IFERROR(AM127*U127*MIN(1/AE127,5),"")</f>
        <v>138270.43163339</v>
      </c>
      <c r="AK127" s="18" t="n">
        <f aca="false">IFERROR(AJ127/AI127,"")</f>
        <v>2.27268954032527</v>
      </c>
      <c r="AL127" s="15" t="n">
        <f aca="false">IFERROR(AI127/(AM127*U127/12),"")</f>
        <v>26.4004383068585</v>
      </c>
      <c r="AM127" s="12" t="n">
        <v>37740</v>
      </c>
      <c r="AN127" s="12" t="n">
        <v>1835286</v>
      </c>
      <c r="AO127" s="12" t="n">
        <v>3072835</v>
      </c>
      <c r="AP127" s="17" t="n">
        <v>0.149</v>
      </c>
      <c r="AQ127" s="16" t="n">
        <v>43</v>
      </c>
      <c r="AR127" s="16" t="n">
        <v>3</v>
      </c>
      <c r="AS127" s="13" t="n">
        <f aca="false">IFERROR(AR127/AR126-1,"")</f>
        <v>0</v>
      </c>
      <c r="AT127" s="11" t="s">
        <v>80</v>
      </c>
      <c r="AU127" s="14" t="n">
        <f aca="false">IFERROR(P127/AR127,"")</f>
        <v>361626.333333333</v>
      </c>
      <c r="AV127" s="12" t="n">
        <v>2185558</v>
      </c>
      <c r="AW127" s="12" t="n">
        <v>1021991</v>
      </c>
      <c r="AX127" s="12" t="n">
        <v>669618</v>
      </c>
      <c r="AY127" s="16" t="n">
        <v>22348</v>
      </c>
      <c r="AZ127" s="13" t="n">
        <f aca="false">IFERROR(AY127/AY126-1,"")</f>
        <v>0.303850641773629</v>
      </c>
      <c r="BA127" s="17" t="n">
        <v>0.91</v>
      </c>
      <c r="BB127" s="11" t="s">
        <v>161</v>
      </c>
      <c r="BC127" s="11" t="s">
        <v>100</v>
      </c>
      <c r="BD127" s="11" t="s">
        <v>157</v>
      </c>
      <c r="BE127" s="12" t="n">
        <v>1290028</v>
      </c>
      <c r="BF127" s="13" t="n">
        <f aca="false">IFERROR(P127/BE127-1,"")</f>
        <v>-0.15902678081406</v>
      </c>
      <c r="BG127" s="17" t="n">
        <v>0.047</v>
      </c>
      <c r="BH127" s="17" t="n">
        <v>0.052</v>
      </c>
      <c r="BI127" s="14" t="n">
        <f aca="false">P127*(1+IFERROR(Q127,0))^4</f>
        <v>1898273.30732729</v>
      </c>
      <c r="BJ127" s="12" t="n">
        <v>-1066935</v>
      </c>
      <c r="BK127" s="11" t="s">
        <v>192</v>
      </c>
      <c r="BL127" s="11" t="s">
        <v>85</v>
      </c>
      <c r="BM127" s="14" t="n">
        <f aca="false">O127</f>
        <v>13446661</v>
      </c>
      <c r="BN127" s="11" t="s">
        <v>237</v>
      </c>
      <c r="BO127" s="13" t="n">
        <f aca="false">IFERROR(1-L127/M127,"")</f>
        <v>0.110876856732151</v>
      </c>
      <c r="BP127" s="11" t="s">
        <v>198</v>
      </c>
      <c r="BQ127" s="12" t="n">
        <v>2507075</v>
      </c>
      <c r="BR127" s="11" t="s">
        <v>88</v>
      </c>
      <c r="BS127" s="11" t="s">
        <v>89</v>
      </c>
      <c r="BT127" s="19" t="str">
        <f aca="false">IF(OR(Z127&lt;6,AH127&lt;0.9,S127&lt;0.02,AK127&lt;1),"REVIEW",IF(AND(S127&gt;0.25,AH127&gt;1.2),"ACCELERATING","STABLE"))</f>
        <v>STABLE</v>
      </c>
    </row>
    <row r="128" customFormat="false" ht="15" hidden="false" customHeight="false" outlineLevel="0" collapsed="false">
      <c r="A128" s="11" t="s">
        <v>235</v>
      </c>
      <c r="B128" s="11" t="s">
        <v>92</v>
      </c>
      <c r="C128" s="11" t="s">
        <v>74</v>
      </c>
      <c r="D128" s="11" t="s">
        <v>210</v>
      </c>
      <c r="E128" s="11" t="s">
        <v>105</v>
      </c>
      <c r="F128" s="11" t="s">
        <v>236</v>
      </c>
      <c r="G128" s="11" t="s">
        <v>78</v>
      </c>
      <c r="H128" s="11" t="s">
        <v>79</v>
      </c>
      <c r="I128" s="11" t="s">
        <v>78</v>
      </c>
      <c r="J128" s="12" t="n">
        <v>1157000</v>
      </c>
      <c r="K128" s="13" t="n">
        <f aca="false">IFERROR(J128/M128,"")</f>
        <v>0.110876856732151</v>
      </c>
      <c r="L128" s="12" t="n">
        <v>9278000</v>
      </c>
      <c r="M128" s="14" t="n">
        <f aca="false">L128+J128</f>
        <v>10435000</v>
      </c>
      <c r="N128" s="12" t="n">
        <v>5490000</v>
      </c>
      <c r="O128" s="12" t="n">
        <v>13446661</v>
      </c>
      <c r="P128" s="12" t="n">
        <v>1395642</v>
      </c>
      <c r="Q128" s="13" t="n">
        <f aca="false">IFERROR(P128/P127-1,"")</f>
        <v>0.286449456575342</v>
      </c>
      <c r="R128" s="12" t="n">
        <v>1618730</v>
      </c>
      <c r="S128" s="13" t="n">
        <f aca="false">IFERROR(R128/R127-1,"")</f>
        <v>0.275779939723333</v>
      </c>
      <c r="T128" s="12" t="n">
        <v>1026784</v>
      </c>
      <c r="U128" s="13" t="n">
        <f aca="false">IFERROR(T128/P128,"")</f>
        <v>0.735707294564079</v>
      </c>
      <c r="V128" s="14" t="n">
        <f aca="false">T128-AV128</f>
        <v>-1717987</v>
      </c>
      <c r="W128" s="14" t="n">
        <f aca="false">V128-AA128*0.1</f>
        <v>-1818987</v>
      </c>
      <c r="X128" s="12" t="n">
        <v>4046088</v>
      </c>
      <c r="Y128" s="12" t="n">
        <v>147440</v>
      </c>
      <c r="Z128" s="15" t="n">
        <f aca="false">IFERROR(X128/Y128,"")</f>
        <v>27.4422680412371</v>
      </c>
      <c r="AA128" s="12" t="n">
        <v>1010000</v>
      </c>
      <c r="AB128" s="14" t="n">
        <f aca="false">W128-0.02*P128</f>
        <v>-1846899.84</v>
      </c>
      <c r="AC128" s="16" t="n">
        <v>47</v>
      </c>
      <c r="AD128" s="13" t="n">
        <f aca="false">IFERROR(AC128/AC127-1,"")</f>
        <v>0.146341463414634</v>
      </c>
      <c r="AE128" s="17" t="n">
        <v>0.079</v>
      </c>
      <c r="AF128" s="17" t="n">
        <v>0.058</v>
      </c>
      <c r="AG128" s="13" t="n">
        <f aca="false">1-AF128</f>
        <v>0.942</v>
      </c>
      <c r="AH128" s="17" t="n">
        <v>1.041</v>
      </c>
      <c r="AI128" s="12" t="n">
        <v>59670</v>
      </c>
      <c r="AJ128" s="14" t="n">
        <f aca="false">IFERROR(AM128*U128*MIN(1/AE128,5),"")</f>
        <v>141550.083474129</v>
      </c>
      <c r="AK128" s="18" t="n">
        <f aca="false">IFERROR(AJ128/AI128,"")</f>
        <v>2.37221524173167</v>
      </c>
      <c r="AL128" s="15" t="n">
        <f aca="false">IFERROR(AI128/(AM128*U128/12),"")</f>
        <v>25.2928144733617</v>
      </c>
      <c r="AM128" s="12" t="n">
        <v>38480</v>
      </c>
      <c r="AN128" s="12" t="n">
        <v>1705288</v>
      </c>
      <c r="AO128" s="12" t="n">
        <v>3613780</v>
      </c>
      <c r="AP128" s="17" t="n">
        <v>0.149</v>
      </c>
      <c r="AQ128" s="16" t="n">
        <v>43</v>
      </c>
      <c r="AR128" s="16" t="n">
        <v>3</v>
      </c>
      <c r="AS128" s="13" t="n">
        <f aca="false">IFERROR(AR128/AR127-1,"")</f>
        <v>0</v>
      </c>
      <c r="AT128" s="11" t="s">
        <v>80</v>
      </c>
      <c r="AU128" s="14" t="n">
        <f aca="false">IFERROR(P128/AR128,"")</f>
        <v>465214</v>
      </c>
      <c r="AV128" s="12" t="n">
        <v>2744771</v>
      </c>
      <c r="AW128" s="12" t="n">
        <v>1108568</v>
      </c>
      <c r="AX128" s="12" t="n">
        <v>619713</v>
      </c>
      <c r="AY128" s="16" t="n">
        <v>24451</v>
      </c>
      <c r="AZ128" s="13" t="n">
        <f aca="false">IFERROR(AY128/AY127-1,"")</f>
        <v>0.0941023805262216</v>
      </c>
      <c r="BA128" s="17" t="n">
        <v>0.94</v>
      </c>
      <c r="BB128" s="11" t="s">
        <v>161</v>
      </c>
      <c r="BC128" s="11" t="s">
        <v>100</v>
      </c>
      <c r="BD128" s="11" t="s">
        <v>157</v>
      </c>
      <c r="BE128" s="12" t="n">
        <v>1346166</v>
      </c>
      <c r="BF128" s="13" t="n">
        <f aca="false">IFERROR(P128/BE128-1,"")</f>
        <v>0.0367532681704932</v>
      </c>
      <c r="BG128" s="17" t="n">
        <v>0.048</v>
      </c>
      <c r="BH128" s="17" t="n">
        <v>0.015</v>
      </c>
      <c r="BI128" s="14" t="n">
        <f aca="false">P128*(1+IFERROR(Q128,0))^4</f>
        <v>3822477.53652267</v>
      </c>
      <c r="BJ128" s="12" t="n">
        <v>-1377959</v>
      </c>
      <c r="BK128" s="11" t="s">
        <v>192</v>
      </c>
      <c r="BL128" s="11" t="s">
        <v>85</v>
      </c>
      <c r="BM128" s="14" t="n">
        <f aca="false">O128</f>
        <v>13446661</v>
      </c>
      <c r="BN128" s="11" t="s">
        <v>237</v>
      </c>
      <c r="BO128" s="13" t="n">
        <f aca="false">IFERROR(1-L128/M128,"")</f>
        <v>0.110876856732151</v>
      </c>
      <c r="BP128" s="11" t="s">
        <v>198</v>
      </c>
      <c r="BQ128" s="12" t="n">
        <v>2424821</v>
      </c>
      <c r="BR128" s="11" t="s">
        <v>88</v>
      </c>
      <c r="BS128" s="11" t="s">
        <v>89</v>
      </c>
      <c r="BT128" s="19" t="str">
        <f aca="false">IF(OR(Z128&lt;6,AH128&lt;0.9,S128&lt;0.02,AK128&lt;1),"REVIEW",IF(AND(S128&gt;0.25,AH128&gt;1.2),"ACCELERATING","STABLE"))</f>
        <v>STABLE</v>
      </c>
    </row>
    <row r="129" customFormat="false" ht="15" hidden="false" customHeight="false" outlineLevel="0" collapsed="false">
      <c r="A129" s="11" t="s">
        <v>235</v>
      </c>
      <c r="B129" s="11" t="s">
        <v>93</v>
      </c>
      <c r="C129" s="11" t="s">
        <v>74</v>
      </c>
      <c r="D129" s="11" t="s">
        <v>210</v>
      </c>
      <c r="E129" s="11" t="s">
        <v>105</v>
      </c>
      <c r="F129" s="11" t="s">
        <v>236</v>
      </c>
      <c r="G129" s="11" t="s">
        <v>78</v>
      </c>
      <c r="H129" s="11" t="s">
        <v>79</v>
      </c>
      <c r="I129" s="11" t="s">
        <v>78</v>
      </c>
      <c r="J129" s="12" t="n">
        <v>1157000</v>
      </c>
      <c r="K129" s="13" t="n">
        <f aca="false">IFERROR(J129/M129,"")</f>
        <v>0.110876856732151</v>
      </c>
      <c r="L129" s="12" t="n">
        <v>9278000</v>
      </c>
      <c r="M129" s="14" t="n">
        <f aca="false">L129+J129</f>
        <v>10435000</v>
      </c>
      <c r="N129" s="12" t="n">
        <v>5490000</v>
      </c>
      <c r="O129" s="12" t="n">
        <v>13446661</v>
      </c>
      <c r="P129" s="12" t="n">
        <v>1648648</v>
      </c>
      <c r="Q129" s="13" t="n">
        <f aca="false">IFERROR(P129/P128-1,"")</f>
        <v>0.181282879133761</v>
      </c>
      <c r="R129" s="12" t="n">
        <v>2007371</v>
      </c>
      <c r="S129" s="13" t="n">
        <f aca="false">IFERROR(R129/R128-1,"")</f>
        <v>0.240090070610911</v>
      </c>
      <c r="T129" s="12" t="n">
        <v>1217794</v>
      </c>
      <c r="U129" s="13" t="n">
        <f aca="false">IFERROR(T129/P129,"")</f>
        <v>0.738662225047433</v>
      </c>
      <c r="V129" s="14" t="n">
        <f aca="false">T129-AV129</f>
        <v>-1639297</v>
      </c>
      <c r="W129" s="14" t="n">
        <f aca="false">V129-AA129*0.1</f>
        <v>-1740297</v>
      </c>
      <c r="X129" s="12" t="n">
        <v>3648000</v>
      </c>
      <c r="Y129" s="12" t="n">
        <v>152000</v>
      </c>
      <c r="Z129" s="15" t="n">
        <f aca="false">IFERROR(X129/Y129,"")</f>
        <v>24</v>
      </c>
      <c r="AA129" s="12" t="n">
        <v>1010000</v>
      </c>
      <c r="AB129" s="14" t="n">
        <f aca="false">W129-0.02*P129</f>
        <v>-1773269.96</v>
      </c>
      <c r="AC129" s="16" t="n">
        <v>55</v>
      </c>
      <c r="AD129" s="13" t="n">
        <f aca="false">IFERROR(AC129/AC128-1,"")</f>
        <v>0.170212765957447</v>
      </c>
      <c r="AE129" s="17" t="n">
        <v>0.077</v>
      </c>
      <c r="AF129" s="17" t="n">
        <v>0.062</v>
      </c>
      <c r="AG129" s="13" t="n">
        <f aca="false">1-AF129</f>
        <v>0.938</v>
      </c>
      <c r="AH129" s="17" t="n">
        <v>1.036</v>
      </c>
      <c r="AI129" s="12" t="n">
        <v>58500</v>
      </c>
      <c r="AJ129" s="14" t="n">
        <f aca="false">IFERROR(AM129*U129*MIN(1/AE129,5),"")</f>
        <v>144851.662331802</v>
      </c>
      <c r="AK129" s="18" t="n">
        <f aca="false">IFERROR(AJ129/AI129,"")</f>
        <v>2.47609679199661</v>
      </c>
      <c r="AL129" s="15" t="n">
        <f aca="false">IFERROR(AI129/(AM129*U129/12),"")</f>
        <v>24.231686012411</v>
      </c>
      <c r="AM129" s="12" t="n">
        <v>39220</v>
      </c>
      <c r="AN129" s="12" t="n">
        <v>2816425</v>
      </c>
      <c r="AO129" s="12" t="n">
        <v>7968905</v>
      </c>
      <c r="AP129" s="17" t="n">
        <v>0.149</v>
      </c>
      <c r="AQ129" s="16" t="n">
        <v>43</v>
      </c>
      <c r="AR129" s="16" t="n">
        <v>3</v>
      </c>
      <c r="AS129" s="13" t="n">
        <f aca="false">IFERROR(AR129/AR128-1,"")</f>
        <v>0</v>
      </c>
      <c r="AT129" s="11" t="s">
        <v>80</v>
      </c>
      <c r="AU129" s="14" t="n">
        <f aca="false">IFERROR(P129/AR129,"")</f>
        <v>549549.333333333</v>
      </c>
      <c r="AV129" s="12" t="n">
        <v>2857091</v>
      </c>
      <c r="AW129" s="12" t="n">
        <v>1108291</v>
      </c>
      <c r="AX129" s="12" t="n">
        <v>662434</v>
      </c>
      <c r="AY129" s="16" t="n">
        <v>31560</v>
      </c>
      <c r="AZ129" s="13" t="n">
        <f aca="false">IFERROR(AY129/AY128-1,"")</f>
        <v>0.290744754815754</v>
      </c>
      <c r="BA129" s="17" t="n">
        <v>0.925</v>
      </c>
      <c r="BB129" s="11" t="s">
        <v>161</v>
      </c>
      <c r="BC129" s="11" t="s">
        <v>100</v>
      </c>
      <c r="BD129" s="11" t="s">
        <v>157</v>
      </c>
      <c r="BE129" s="12" t="n">
        <v>1691368</v>
      </c>
      <c r="BF129" s="13" t="n">
        <f aca="false">IFERROR(P129/BE129-1,"")</f>
        <v>-0.0252576612540855</v>
      </c>
      <c r="BG129" s="17" t="n">
        <v>-0.021</v>
      </c>
      <c r="BH129" s="17" t="n">
        <v>0.026</v>
      </c>
      <c r="BI129" s="14" t="n">
        <f aca="false">P129*(1+IFERROR(Q129,0))^4</f>
        <v>3210284.91763032</v>
      </c>
      <c r="BJ129" s="12" t="n">
        <v>-1032558</v>
      </c>
      <c r="BK129" s="11" t="s">
        <v>192</v>
      </c>
      <c r="BL129" s="11" t="s">
        <v>85</v>
      </c>
      <c r="BM129" s="14" t="n">
        <f aca="false">O129</f>
        <v>13446661</v>
      </c>
      <c r="BN129" s="11" t="s">
        <v>237</v>
      </c>
      <c r="BO129" s="13" t="n">
        <f aca="false">IFERROR(1-L129/M129,"")</f>
        <v>0.110876856732151</v>
      </c>
      <c r="BP129" s="11" t="s">
        <v>198</v>
      </c>
      <c r="BQ129" s="12" t="n">
        <v>2034365</v>
      </c>
      <c r="BR129" s="11" t="s">
        <v>88</v>
      </c>
      <c r="BS129" s="11" t="s">
        <v>89</v>
      </c>
      <c r="BT129" s="19" t="str">
        <f aca="false">IF(OR(Z129&lt;6,AH129&lt;0.9,S129&lt;0.02,AK129&lt;1),"REVIEW",IF(AND(S129&gt;0.25,AH129&gt;1.2),"ACCELERATING","STABLE"))</f>
        <v>STABLE</v>
      </c>
    </row>
    <row r="130" customFormat="false" ht="15" hidden="false" customHeight="false" outlineLevel="0" collapsed="false">
      <c r="A130" s="3" t="s">
        <v>238</v>
      </c>
      <c r="B130" s="3" t="s">
        <v>73</v>
      </c>
      <c r="C130" s="3" t="s">
        <v>74</v>
      </c>
      <c r="D130" s="3" t="s">
        <v>151</v>
      </c>
      <c r="E130" s="3" t="s">
        <v>105</v>
      </c>
      <c r="F130" s="3" t="s">
        <v>239</v>
      </c>
      <c r="G130" s="3" t="s">
        <v>78</v>
      </c>
      <c r="H130" s="3" t="s">
        <v>79</v>
      </c>
      <c r="I130" s="3" t="s">
        <v>78</v>
      </c>
      <c r="J130" s="4" t="n">
        <v>2924000</v>
      </c>
      <c r="K130" s="5" t="n">
        <f aca="false">IFERROR(J130/M130,"")</f>
        <v>0.149841139694578</v>
      </c>
      <c r="L130" s="4" t="n">
        <v>16590000</v>
      </c>
      <c r="M130" s="6" t="n">
        <f aca="false">L130+J130</f>
        <v>19514000</v>
      </c>
      <c r="N130" s="4" t="n">
        <v>4781000</v>
      </c>
      <c r="O130" s="4" t="n">
        <v>18505143</v>
      </c>
      <c r="P130" s="4" t="n">
        <v>656473</v>
      </c>
      <c r="Q130" s="7"/>
      <c r="R130" s="4" t="n">
        <v>856284</v>
      </c>
      <c r="S130" s="7"/>
      <c r="T130" s="4" t="n">
        <v>485786</v>
      </c>
      <c r="U130" s="5" t="n">
        <f aca="false">IFERROR(T130/P130,"")</f>
        <v>0.739993876366583</v>
      </c>
      <c r="V130" s="6" t="n">
        <f aca="false">T130-AV130</f>
        <v>-1255873</v>
      </c>
      <c r="W130" s="6" t="n">
        <f aca="false">V130-AA130*0.1</f>
        <v>-1307173</v>
      </c>
      <c r="X130" s="4" t="n">
        <v>3482181</v>
      </c>
      <c r="Y130" s="4" t="n">
        <v>101010</v>
      </c>
      <c r="Z130" s="8" t="n">
        <f aca="false">IFERROR(X130/Y130,"")</f>
        <v>34.4736263736264</v>
      </c>
      <c r="AA130" s="4" t="n">
        <v>513000</v>
      </c>
      <c r="AB130" s="6" t="n">
        <f aca="false">W130-0.02*P130</f>
        <v>-1320302.46</v>
      </c>
      <c r="AC130" s="9" t="n">
        <v>39</v>
      </c>
      <c r="AD130" s="7"/>
      <c r="AE130" s="7" t="n">
        <v>0.098</v>
      </c>
      <c r="AF130" s="7" t="n">
        <v>0.087</v>
      </c>
      <c r="AG130" s="5" t="n">
        <f aca="false">1-AF130</f>
        <v>0.913</v>
      </c>
      <c r="AH130" s="7" t="n">
        <v>1.091</v>
      </c>
      <c r="AI130" s="4" t="n">
        <v>60632</v>
      </c>
      <c r="AJ130" s="6" t="n">
        <f aca="false">IFERROR(AM130*U130*MIN(1/AE130,5),"")</f>
        <v>118399.020218653</v>
      </c>
      <c r="AK130" s="10" t="n">
        <f aca="false">IFERROR(AJ130/AI130,"")</f>
        <v>1.9527480574392</v>
      </c>
      <c r="AL130" s="8" t="n">
        <f aca="false">IFERROR(AI130/(AM130*U130/12),"")</f>
        <v>30.7259299382856</v>
      </c>
      <c r="AM130" s="4" t="n">
        <v>32000</v>
      </c>
      <c r="AN130" s="4" t="n">
        <v>1194195</v>
      </c>
      <c r="AO130" s="4" t="n">
        <v>2068968</v>
      </c>
      <c r="AP130" s="7" t="n">
        <v>0.323</v>
      </c>
      <c r="AQ130" s="9" t="n">
        <v>90</v>
      </c>
      <c r="AR130" s="9" t="n">
        <v>5</v>
      </c>
      <c r="AS130" s="7"/>
      <c r="AT130" s="3" t="s">
        <v>201</v>
      </c>
      <c r="AU130" s="6" t="n">
        <f aca="false">IFERROR(P130/AR130,"")</f>
        <v>131294.6</v>
      </c>
      <c r="AV130" s="4" t="n">
        <v>1741659</v>
      </c>
      <c r="AW130" s="4" t="n">
        <v>726714</v>
      </c>
      <c r="AX130" s="4" t="n">
        <v>323350</v>
      </c>
      <c r="AY130" s="9" t="n">
        <v>17477</v>
      </c>
      <c r="AZ130" s="7"/>
      <c r="BA130" s="7" t="n">
        <v>0.925</v>
      </c>
      <c r="BB130" s="3" t="s">
        <v>107</v>
      </c>
      <c r="BC130" s="3" t="s">
        <v>108</v>
      </c>
      <c r="BD130" s="3" t="s">
        <v>109</v>
      </c>
      <c r="BE130" s="4" t="n">
        <v>811982</v>
      </c>
      <c r="BF130" s="5" t="n">
        <f aca="false">IFERROR(P130/BE130-1,"")</f>
        <v>-0.191517792266331</v>
      </c>
      <c r="BG130" s="7" t="n">
        <v>0.003</v>
      </c>
      <c r="BH130" s="7" t="n">
        <v>0.036</v>
      </c>
      <c r="BI130" s="6" t="n">
        <f aca="false">P130</f>
        <v>656473</v>
      </c>
      <c r="BJ130" s="4" t="n">
        <v>-1187267</v>
      </c>
      <c r="BK130" s="3" t="s">
        <v>192</v>
      </c>
      <c r="BL130" s="3" t="s">
        <v>85</v>
      </c>
      <c r="BM130" s="6" t="n">
        <f aca="false">O130</f>
        <v>18505143</v>
      </c>
      <c r="BN130" s="3" t="s">
        <v>240</v>
      </c>
      <c r="BO130" s="5" t="n">
        <f aca="false">IFERROR(1-L130/M130,"")</f>
        <v>0.149841139694578</v>
      </c>
      <c r="BP130" s="3" t="s">
        <v>198</v>
      </c>
      <c r="BQ130" s="4" t="n">
        <v>1461348</v>
      </c>
      <c r="BR130" s="3" t="s">
        <v>88</v>
      </c>
      <c r="BS130" s="3" t="s">
        <v>89</v>
      </c>
      <c r="BT130" s="3" t="s">
        <v>90</v>
      </c>
    </row>
    <row r="131" customFormat="false" ht="15" hidden="false" customHeight="false" outlineLevel="0" collapsed="false">
      <c r="A131" s="11" t="s">
        <v>238</v>
      </c>
      <c r="B131" s="11" t="s">
        <v>91</v>
      </c>
      <c r="C131" s="11" t="s">
        <v>74</v>
      </c>
      <c r="D131" s="11" t="s">
        <v>151</v>
      </c>
      <c r="E131" s="11" t="s">
        <v>105</v>
      </c>
      <c r="F131" s="11" t="s">
        <v>239</v>
      </c>
      <c r="G131" s="11" t="s">
        <v>78</v>
      </c>
      <c r="H131" s="11" t="s">
        <v>79</v>
      </c>
      <c r="I131" s="11" t="s">
        <v>78</v>
      </c>
      <c r="J131" s="12" t="n">
        <v>2924000</v>
      </c>
      <c r="K131" s="13" t="n">
        <f aca="false">IFERROR(J131/M131,"")</f>
        <v>0.149841139694578</v>
      </c>
      <c r="L131" s="12" t="n">
        <v>16590000</v>
      </c>
      <c r="M131" s="14" t="n">
        <f aca="false">L131+J131</f>
        <v>19514000</v>
      </c>
      <c r="N131" s="12" t="n">
        <v>4781000</v>
      </c>
      <c r="O131" s="12" t="n">
        <v>18505143</v>
      </c>
      <c r="P131" s="12" t="n">
        <v>792161</v>
      </c>
      <c r="Q131" s="13" t="n">
        <f aca="false">IFERROR(P131/P130-1,"")</f>
        <v>0.206692430610246</v>
      </c>
      <c r="R131" s="12" t="n">
        <v>963690</v>
      </c>
      <c r="S131" s="13" t="n">
        <f aca="false">IFERROR(R131/R130-1,"")</f>
        <v>0.125432683548916</v>
      </c>
      <c r="T131" s="12" t="n">
        <v>588568</v>
      </c>
      <c r="U131" s="13" t="n">
        <f aca="false">IFERROR(T131/P131,"")</f>
        <v>0.7429903769562</v>
      </c>
      <c r="V131" s="14" t="n">
        <f aca="false">T131-AV131</f>
        <v>-1280491</v>
      </c>
      <c r="W131" s="14" t="n">
        <f aca="false">V131-AA131*0.1</f>
        <v>-1331791</v>
      </c>
      <c r="X131" s="12" t="n">
        <v>3227436</v>
      </c>
      <c r="Y131" s="12" t="n">
        <v>104340</v>
      </c>
      <c r="Z131" s="15" t="n">
        <f aca="false">IFERROR(X131/Y131,"")</f>
        <v>30.931914893617</v>
      </c>
      <c r="AA131" s="12" t="n">
        <v>513000</v>
      </c>
      <c r="AB131" s="14" t="n">
        <f aca="false">W131-0.02*P131</f>
        <v>-1347634.22</v>
      </c>
      <c r="AC131" s="16" t="n">
        <v>47</v>
      </c>
      <c r="AD131" s="13" t="n">
        <f aca="false">IFERROR(AC131/AC130-1,"")</f>
        <v>0.205128205128205</v>
      </c>
      <c r="AE131" s="17" t="n">
        <v>0.095</v>
      </c>
      <c r="AF131" s="17" t="n">
        <v>0.08</v>
      </c>
      <c r="AG131" s="13" t="n">
        <f aca="false">1-AF131</f>
        <v>0.92</v>
      </c>
      <c r="AH131" s="17" t="n">
        <v>1.086</v>
      </c>
      <c r="AI131" s="12" t="n">
        <v>59488</v>
      </c>
      <c r="AJ131" s="14" t="n">
        <f aca="false">IFERROR(AM131*U131*MIN(1/AE131,5),"")</f>
        <v>121256.029519252</v>
      </c>
      <c r="AK131" s="18" t="n">
        <f aca="false">IFERROR(AJ131/AI131,"")</f>
        <v>2.03832755377978</v>
      </c>
      <c r="AL131" s="15" t="n">
        <f aca="false">IFERROR(AI131/(AM131*U131/12),"")</f>
        <v>29.4358970366361</v>
      </c>
      <c r="AM131" s="12" t="n">
        <v>32640</v>
      </c>
      <c r="AN131" s="12" t="n">
        <v>1101752</v>
      </c>
      <c r="AO131" s="12" t="n">
        <v>2154670</v>
      </c>
      <c r="AP131" s="17" t="n">
        <v>0.323</v>
      </c>
      <c r="AQ131" s="16" t="n">
        <v>90</v>
      </c>
      <c r="AR131" s="16" t="n">
        <v>5</v>
      </c>
      <c r="AS131" s="13" t="n">
        <f aca="false">IFERROR(AR131/AR130-1,"")</f>
        <v>0</v>
      </c>
      <c r="AT131" s="11" t="s">
        <v>201</v>
      </c>
      <c r="AU131" s="14" t="n">
        <f aca="false">IFERROR(P131/AR131,"")</f>
        <v>158432.2</v>
      </c>
      <c r="AV131" s="12" t="n">
        <v>1869059</v>
      </c>
      <c r="AW131" s="12" t="n">
        <v>851904</v>
      </c>
      <c r="AX131" s="12" t="n">
        <v>358588</v>
      </c>
      <c r="AY131" s="16" t="n">
        <v>19508</v>
      </c>
      <c r="AZ131" s="13" t="n">
        <f aca="false">IFERROR(AY131/AY130-1,"")</f>
        <v>0.116209875836814</v>
      </c>
      <c r="BA131" s="17" t="n">
        <v>0.929</v>
      </c>
      <c r="BB131" s="11" t="s">
        <v>107</v>
      </c>
      <c r="BC131" s="11" t="s">
        <v>108</v>
      </c>
      <c r="BD131" s="11" t="s">
        <v>109</v>
      </c>
      <c r="BE131" s="12" t="n">
        <v>967188</v>
      </c>
      <c r="BF131" s="13" t="n">
        <f aca="false">IFERROR(P131/BE131-1,"")</f>
        <v>-0.180964817594925</v>
      </c>
      <c r="BG131" s="17" t="n">
        <v>-0.004</v>
      </c>
      <c r="BH131" s="17" t="n">
        <v>0.018</v>
      </c>
      <c r="BI131" s="14" t="n">
        <f aca="false">P131*(1+IFERROR(Q131,0))^4</f>
        <v>1679576.58364676</v>
      </c>
      <c r="BJ131" s="12" t="n">
        <v>-883424</v>
      </c>
      <c r="BK131" s="11" t="s">
        <v>192</v>
      </c>
      <c r="BL131" s="11" t="s">
        <v>85</v>
      </c>
      <c r="BM131" s="14" t="n">
        <f aca="false">O131</f>
        <v>18505143</v>
      </c>
      <c r="BN131" s="11" t="s">
        <v>240</v>
      </c>
      <c r="BO131" s="13" t="n">
        <f aca="false">IFERROR(1-L131/M131,"")</f>
        <v>0.149841139694578</v>
      </c>
      <c r="BP131" s="11" t="s">
        <v>198</v>
      </c>
      <c r="BQ131" s="12" t="n">
        <v>1402964</v>
      </c>
      <c r="BR131" s="11" t="s">
        <v>88</v>
      </c>
      <c r="BS131" s="11" t="s">
        <v>89</v>
      </c>
      <c r="BT131" s="19" t="str">
        <f aca="false">IF(OR(Z131&lt;6,AH131&lt;0.9,S131&lt;0.02,AK131&lt;1),"REVIEW",IF(AND(S131&gt;0.25,AH131&gt;1.2),"ACCELERATING","STABLE"))</f>
        <v>STABLE</v>
      </c>
    </row>
    <row r="132" customFormat="false" ht="15" hidden="false" customHeight="false" outlineLevel="0" collapsed="false">
      <c r="A132" s="11" t="s">
        <v>238</v>
      </c>
      <c r="B132" s="11" t="s">
        <v>92</v>
      </c>
      <c r="C132" s="11" t="s">
        <v>74</v>
      </c>
      <c r="D132" s="11" t="s">
        <v>151</v>
      </c>
      <c r="E132" s="11" t="s">
        <v>105</v>
      </c>
      <c r="F132" s="11" t="s">
        <v>239</v>
      </c>
      <c r="G132" s="11" t="s">
        <v>78</v>
      </c>
      <c r="H132" s="11" t="s">
        <v>79</v>
      </c>
      <c r="I132" s="11" t="s">
        <v>78</v>
      </c>
      <c r="J132" s="12" t="n">
        <v>2924000</v>
      </c>
      <c r="K132" s="13" t="n">
        <f aca="false">IFERROR(J132/M132,"")</f>
        <v>0.149841139694578</v>
      </c>
      <c r="L132" s="12" t="n">
        <v>16590000</v>
      </c>
      <c r="M132" s="14" t="n">
        <f aca="false">L132+J132</f>
        <v>19514000</v>
      </c>
      <c r="N132" s="12" t="n">
        <v>4781000</v>
      </c>
      <c r="O132" s="12" t="n">
        <v>18505143</v>
      </c>
      <c r="P132" s="12" t="n">
        <v>923036</v>
      </c>
      <c r="Q132" s="13" t="n">
        <f aca="false">IFERROR(P132/P131-1,"")</f>
        <v>0.165212627231081</v>
      </c>
      <c r="R132" s="12" t="n">
        <v>1184419</v>
      </c>
      <c r="S132" s="13" t="n">
        <f aca="false">IFERROR(R132/R131-1,"")</f>
        <v>0.229045647459245</v>
      </c>
      <c r="T132" s="12" t="n">
        <v>688572</v>
      </c>
      <c r="U132" s="13" t="n">
        <f aca="false">IFERROR(T132/P132,"")</f>
        <v>0.745986072049194</v>
      </c>
      <c r="V132" s="14" t="n">
        <f aca="false">T132-AV132</f>
        <v>-1366842</v>
      </c>
      <c r="W132" s="14" t="n">
        <f aca="false">V132-AA132*0.1</f>
        <v>-1418142</v>
      </c>
      <c r="X132" s="12" t="n">
        <v>2954709</v>
      </c>
      <c r="Y132" s="12" t="n">
        <v>107670</v>
      </c>
      <c r="Z132" s="15" t="n">
        <f aca="false">IFERROR(X132/Y132,"")</f>
        <v>27.4422680412371</v>
      </c>
      <c r="AA132" s="12" t="n">
        <v>513000</v>
      </c>
      <c r="AB132" s="14" t="n">
        <f aca="false">W132-0.02*P132</f>
        <v>-1436602.72</v>
      </c>
      <c r="AC132" s="16" t="n">
        <v>54</v>
      </c>
      <c r="AD132" s="13" t="n">
        <f aca="false">IFERROR(AC132/AC131-1,"")</f>
        <v>0.148936170212766</v>
      </c>
      <c r="AE132" s="17" t="n">
        <v>0.093</v>
      </c>
      <c r="AF132" s="17" t="n">
        <v>0.095</v>
      </c>
      <c r="AG132" s="13" t="n">
        <f aca="false">1-AF132</f>
        <v>0.905</v>
      </c>
      <c r="AH132" s="17" t="n">
        <v>1.081</v>
      </c>
      <c r="AI132" s="12" t="n">
        <v>58344</v>
      </c>
      <c r="AJ132" s="14" t="n">
        <f aca="false">IFERROR(AM132*U132*MIN(1/AE132,5),"")</f>
        <v>124132.082388986</v>
      </c>
      <c r="AK132" s="18" t="n">
        <f aca="false">IFERROR(AJ132/AI132,"")</f>
        <v>2.12758951030073</v>
      </c>
      <c r="AL132" s="15" t="n">
        <f aca="false">IFERROR(AI132/(AM132*U132/12),"")</f>
        <v>28.2009286610551</v>
      </c>
      <c r="AM132" s="12" t="n">
        <v>33280</v>
      </c>
      <c r="AN132" s="12" t="n">
        <v>1150226</v>
      </c>
      <c r="AO132" s="12" t="n">
        <v>4021039</v>
      </c>
      <c r="AP132" s="17" t="n">
        <v>0.323</v>
      </c>
      <c r="AQ132" s="16" t="n">
        <v>90</v>
      </c>
      <c r="AR132" s="16" t="n">
        <v>6</v>
      </c>
      <c r="AS132" s="13" t="n">
        <f aca="false">IFERROR(AR132/AR131-1,"")</f>
        <v>0.2</v>
      </c>
      <c r="AT132" s="11" t="s">
        <v>201</v>
      </c>
      <c r="AU132" s="14" t="n">
        <f aca="false">IFERROR(P132/AR132,"")</f>
        <v>153839.333333333</v>
      </c>
      <c r="AV132" s="12" t="n">
        <v>2055414</v>
      </c>
      <c r="AW132" s="12" t="n">
        <v>774698</v>
      </c>
      <c r="AX132" s="12" t="n">
        <v>652766</v>
      </c>
      <c r="AY132" s="16" t="n">
        <v>20663</v>
      </c>
      <c r="AZ132" s="13" t="n">
        <f aca="false">IFERROR(AY132/AY131-1,"")</f>
        <v>0.0592064793930696</v>
      </c>
      <c r="BA132" s="17" t="n">
        <v>0.916</v>
      </c>
      <c r="BB132" s="11" t="s">
        <v>107</v>
      </c>
      <c r="BC132" s="11" t="s">
        <v>108</v>
      </c>
      <c r="BD132" s="11" t="s">
        <v>109</v>
      </c>
      <c r="BE132" s="12" t="n">
        <v>909738</v>
      </c>
      <c r="BF132" s="13" t="n">
        <f aca="false">IFERROR(P132/BE132-1,"")</f>
        <v>0.0146173953379984</v>
      </c>
      <c r="BG132" s="17" t="n">
        <v>0.015</v>
      </c>
      <c r="BH132" s="17" t="n">
        <v>0.032</v>
      </c>
      <c r="BI132" s="14" t="n">
        <f aca="false">P132*(1+IFERROR(Q132,0))^4</f>
        <v>1701529.05350926</v>
      </c>
      <c r="BJ132" s="12" t="n">
        <v>-891562</v>
      </c>
      <c r="BK132" s="11" t="s">
        <v>192</v>
      </c>
      <c r="BL132" s="11" t="s">
        <v>85</v>
      </c>
      <c r="BM132" s="14" t="n">
        <f aca="false">O132</f>
        <v>18505143</v>
      </c>
      <c r="BN132" s="11" t="s">
        <v>240</v>
      </c>
      <c r="BO132" s="13" t="n">
        <f aca="false">IFERROR(1-L132/M132,"")</f>
        <v>0.149841139694578</v>
      </c>
      <c r="BP132" s="11" t="s">
        <v>198</v>
      </c>
      <c r="BQ132" s="12" t="n">
        <v>1894176</v>
      </c>
      <c r="BR132" s="11" t="s">
        <v>88</v>
      </c>
      <c r="BS132" s="11" t="s">
        <v>89</v>
      </c>
      <c r="BT132" s="19" t="str">
        <f aca="false">IF(OR(Z132&lt;6,AH132&lt;0.9,S132&lt;0.02,AK132&lt;1),"REVIEW",IF(AND(S132&gt;0.25,AH132&gt;1.2),"ACCELERATING","STABLE"))</f>
        <v>STABLE</v>
      </c>
    </row>
    <row r="133" customFormat="false" ht="15" hidden="false" customHeight="false" outlineLevel="0" collapsed="false">
      <c r="A133" s="11" t="s">
        <v>238</v>
      </c>
      <c r="B133" s="11" t="s">
        <v>93</v>
      </c>
      <c r="C133" s="11" t="s">
        <v>74</v>
      </c>
      <c r="D133" s="11" t="s">
        <v>151</v>
      </c>
      <c r="E133" s="11" t="s">
        <v>105</v>
      </c>
      <c r="F133" s="11" t="s">
        <v>239</v>
      </c>
      <c r="G133" s="11" t="s">
        <v>78</v>
      </c>
      <c r="H133" s="11" t="s">
        <v>79</v>
      </c>
      <c r="I133" s="11" t="s">
        <v>78</v>
      </c>
      <c r="J133" s="12" t="n">
        <v>2924000</v>
      </c>
      <c r="K133" s="13" t="n">
        <f aca="false">IFERROR(J133/M133,"")</f>
        <v>0.149841139694578</v>
      </c>
      <c r="L133" s="12" t="n">
        <v>16590000</v>
      </c>
      <c r="M133" s="14" t="n">
        <f aca="false">L133+J133</f>
        <v>19514000</v>
      </c>
      <c r="N133" s="12" t="n">
        <v>4781000</v>
      </c>
      <c r="O133" s="12" t="n">
        <v>18505143</v>
      </c>
      <c r="P133" s="12" t="n">
        <v>1045490</v>
      </c>
      <c r="Q133" s="13" t="n">
        <f aca="false">IFERROR(P133/P132-1,"")</f>
        <v>0.132664381454245</v>
      </c>
      <c r="R133" s="12" t="n">
        <v>1334232</v>
      </c>
      <c r="S133" s="13" t="n">
        <f aca="false">IFERROR(R133/R132-1,"")</f>
        <v>0.126486488311991</v>
      </c>
      <c r="T133" s="12" t="n">
        <v>783053</v>
      </c>
      <c r="U133" s="13" t="n">
        <f aca="false">IFERROR(T133/P133,"")</f>
        <v>0.748981817138375</v>
      </c>
      <c r="V133" s="14" t="n">
        <f aca="false">T133-AV133</f>
        <v>-1165338</v>
      </c>
      <c r="W133" s="14" t="n">
        <f aca="false">V133-AA133*0.1</f>
        <v>-1216638</v>
      </c>
      <c r="X133" s="12" t="n">
        <v>2664000</v>
      </c>
      <c r="Y133" s="12" t="n">
        <v>111000</v>
      </c>
      <c r="Z133" s="15" t="n">
        <f aca="false">IFERROR(X133/Y133,"")</f>
        <v>24</v>
      </c>
      <c r="AA133" s="12" t="n">
        <v>513000</v>
      </c>
      <c r="AB133" s="14" t="n">
        <f aca="false">W133-0.02*P133</f>
        <v>-1237547.8</v>
      </c>
      <c r="AC133" s="16" t="n">
        <v>56</v>
      </c>
      <c r="AD133" s="13" t="n">
        <f aca="false">IFERROR(AC133/AC132-1,"")</f>
        <v>0.037037037037037</v>
      </c>
      <c r="AE133" s="17" t="n">
        <v>0.09</v>
      </c>
      <c r="AF133" s="17" t="n">
        <v>0.054</v>
      </c>
      <c r="AG133" s="13" t="n">
        <f aca="false">1-AF133</f>
        <v>0.946</v>
      </c>
      <c r="AH133" s="17" t="n">
        <v>1.076</v>
      </c>
      <c r="AI133" s="12" t="n">
        <v>57200</v>
      </c>
      <c r="AJ133" s="14" t="n">
        <f aca="false">IFERROR(AM133*U133*MIN(1/AE133,5),"")</f>
        <v>127027.316186668</v>
      </c>
      <c r="AK133" s="18" t="n">
        <f aca="false">IFERROR(AJ133/AI133,"")</f>
        <v>2.22075727599071</v>
      </c>
      <c r="AL133" s="15" t="n">
        <f aca="false">IFERROR(AI133/(AM133*U133/12),"")</f>
        <v>27.017810838077</v>
      </c>
      <c r="AM133" s="12" t="n">
        <v>33920</v>
      </c>
      <c r="AN133" s="12" t="n">
        <v>1704124</v>
      </c>
      <c r="AO133" s="12" t="n">
        <v>3960879</v>
      </c>
      <c r="AP133" s="17" t="n">
        <v>0.323</v>
      </c>
      <c r="AQ133" s="16" t="n">
        <v>90</v>
      </c>
      <c r="AR133" s="16" t="n">
        <v>7</v>
      </c>
      <c r="AS133" s="13" t="n">
        <f aca="false">IFERROR(AR133/AR132-1,"")</f>
        <v>0.166666666666667</v>
      </c>
      <c r="AT133" s="11" t="s">
        <v>201</v>
      </c>
      <c r="AU133" s="14" t="n">
        <f aca="false">IFERROR(P133/AR133,"")</f>
        <v>149355.714285714</v>
      </c>
      <c r="AV133" s="12" t="n">
        <v>1948391</v>
      </c>
      <c r="AW133" s="12" t="n">
        <v>742345</v>
      </c>
      <c r="AX133" s="12" t="n">
        <v>387408</v>
      </c>
      <c r="AY133" s="16" t="n">
        <v>24489</v>
      </c>
      <c r="AZ133" s="13" t="n">
        <f aca="false">IFERROR(AY133/AY132-1,"")</f>
        <v>0.185161883559986</v>
      </c>
      <c r="BA133" s="17" t="n">
        <v>0.911</v>
      </c>
      <c r="BB133" s="11" t="s">
        <v>107</v>
      </c>
      <c r="BC133" s="11" t="s">
        <v>108</v>
      </c>
      <c r="BD133" s="11" t="s">
        <v>109</v>
      </c>
      <c r="BE133" s="12" t="n">
        <v>1114880</v>
      </c>
      <c r="BF133" s="13" t="n">
        <f aca="false">IFERROR(P133/BE133-1,"")</f>
        <v>-0.0622398823191733</v>
      </c>
      <c r="BG133" s="17" t="n">
        <v>0.073</v>
      </c>
      <c r="BH133" s="17" t="n">
        <v>0.052</v>
      </c>
      <c r="BI133" s="14" t="n">
        <f aca="false">P133*(1+IFERROR(Q133,0))^4</f>
        <v>1720778.04993095</v>
      </c>
      <c r="BJ133" s="12" t="n">
        <v>-1297923</v>
      </c>
      <c r="BK133" s="11" t="s">
        <v>192</v>
      </c>
      <c r="BL133" s="11" t="s">
        <v>85</v>
      </c>
      <c r="BM133" s="14" t="n">
        <f aca="false">O133</f>
        <v>18505143</v>
      </c>
      <c r="BN133" s="11" t="s">
        <v>240</v>
      </c>
      <c r="BO133" s="13" t="n">
        <f aca="false">IFERROR(1-L133/M133,"")</f>
        <v>0.149841139694578</v>
      </c>
      <c r="BP133" s="11" t="s">
        <v>198</v>
      </c>
      <c r="BQ133" s="12" t="n">
        <v>2099417</v>
      </c>
      <c r="BR133" s="11" t="s">
        <v>88</v>
      </c>
      <c r="BS133" s="11" t="s">
        <v>89</v>
      </c>
      <c r="BT133" s="19" t="str">
        <f aca="false">IF(OR(Z133&lt;6,AH133&lt;0.9,S133&lt;0.02,AK133&lt;1),"REVIEW",IF(AND(S133&gt;0.25,AH133&gt;1.2),"ACCELERATING","STABLE"))</f>
        <v>STABLE</v>
      </c>
    </row>
    <row r="134" customFormat="false" ht="15" hidden="false" customHeight="false" outlineLevel="0" collapsed="false">
      <c r="A134" s="3" t="s">
        <v>241</v>
      </c>
      <c r="B134" s="3" t="s">
        <v>73</v>
      </c>
      <c r="C134" s="3" t="s">
        <v>74</v>
      </c>
      <c r="D134" s="3" t="s">
        <v>151</v>
      </c>
      <c r="E134" s="3" t="s">
        <v>105</v>
      </c>
      <c r="F134" s="3" t="s">
        <v>242</v>
      </c>
      <c r="G134" s="3" t="s">
        <v>78</v>
      </c>
      <c r="H134" s="3" t="s">
        <v>79</v>
      </c>
      <c r="I134" s="3" t="s">
        <v>78</v>
      </c>
      <c r="J134" s="4" t="n">
        <v>3083000</v>
      </c>
      <c r="K134" s="5" t="n">
        <f aca="false">IFERROR(J134/M134,"")</f>
        <v>0.160664964302465</v>
      </c>
      <c r="L134" s="4" t="n">
        <v>16106000</v>
      </c>
      <c r="M134" s="6" t="n">
        <f aca="false">L134+J134</f>
        <v>19189000</v>
      </c>
      <c r="N134" s="4" t="n">
        <v>6953000</v>
      </c>
      <c r="O134" s="4" t="n">
        <v>41691736</v>
      </c>
      <c r="P134" s="4" t="n">
        <v>1026988</v>
      </c>
      <c r="Q134" s="7"/>
      <c r="R134" s="4" t="n">
        <v>1247957</v>
      </c>
      <c r="S134" s="7"/>
      <c r="T134" s="4" t="n">
        <v>823452</v>
      </c>
      <c r="U134" s="5" t="n">
        <f aca="false">IFERROR(T134/P134,"")</f>
        <v>0.801812679408133</v>
      </c>
      <c r="V134" s="6" t="n">
        <f aca="false">T134-AV134</f>
        <v>-2357357</v>
      </c>
      <c r="W134" s="6" t="n">
        <f aca="false">V134-AA134*0.1</f>
        <v>-2357357</v>
      </c>
      <c r="X134" s="4" t="n">
        <v>1537200</v>
      </c>
      <c r="Y134" s="4" t="n">
        <v>191100</v>
      </c>
      <c r="Z134" s="8" t="n">
        <f aca="false">IFERROR(X134/Y134,"")</f>
        <v>8.04395604395604</v>
      </c>
      <c r="AA134" s="4" t="n">
        <v>0</v>
      </c>
      <c r="AB134" s="6" t="n">
        <f aca="false">W134-0.02*P134</f>
        <v>-2377896.76</v>
      </c>
      <c r="AC134" s="9" t="n">
        <v>17</v>
      </c>
      <c r="AD134" s="7"/>
      <c r="AE134" s="7" t="n">
        <v>0.066</v>
      </c>
      <c r="AF134" s="7" t="n">
        <v>0.05</v>
      </c>
      <c r="AG134" s="5" t="n">
        <f aca="false">1-AF134</f>
        <v>0.95</v>
      </c>
      <c r="AH134" s="7" t="n">
        <v>1.198</v>
      </c>
      <c r="AI134" s="4" t="n">
        <v>50562</v>
      </c>
      <c r="AJ134" s="6" t="n">
        <f aca="false">IFERROR(AM134*U134*MIN(1/AE134,5),"")</f>
        <v>196444.106454993</v>
      </c>
      <c r="AK134" s="10" t="n">
        <f aca="false">IFERROR(AJ134/AI134,"")</f>
        <v>3.8852123423716</v>
      </c>
      <c r="AL134" s="8" t="n">
        <f aca="false">IFERROR(AI134/(AM134*U134/12),"")</f>
        <v>15.4431713668898</v>
      </c>
      <c r="AM134" s="4" t="n">
        <v>49000</v>
      </c>
      <c r="AN134" s="4" t="n">
        <v>1333670</v>
      </c>
      <c r="AO134" s="4" t="n">
        <v>2941402</v>
      </c>
      <c r="AP134" s="7" t="n">
        <v>0.235</v>
      </c>
      <c r="AQ134" s="9" t="n">
        <v>45</v>
      </c>
      <c r="AR134" s="9" t="n">
        <v>2</v>
      </c>
      <c r="AS134" s="7"/>
      <c r="AT134" s="3" t="s">
        <v>98</v>
      </c>
      <c r="AU134" s="6" t="n">
        <f aca="false">IFERROR(P134/AR134,"")</f>
        <v>513494</v>
      </c>
      <c r="AV134" s="4" t="n">
        <v>3180809</v>
      </c>
      <c r="AW134" s="4" t="n">
        <v>1300229</v>
      </c>
      <c r="AX134" s="4" t="n">
        <v>1015217</v>
      </c>
      <c r="AY134" s="9" t="n">
        <v>10552</v>
      </c>
      <c r="AZ134" s="7"/>
      <c r="BA134" s="7" t="n">
        <v>0.941</v>
      </c>
      <c r="BB134" s="3" t="s">
        <v>161</v>
      </c>
      <c r="BC134" s="3" t="s">
        <v>126</v>
      </c>
      <c r="BD134" s="3" t="s">
        <v>101</v>
      </c>
      <c r="BE134" s="4" t="n">
        <v>1118762</v>
      </c>
      <c r="BF134" s="5" t="n">
        <f aca="false">IFERROR(P134/BE134-1,"")</f>
        <v>-0.0820317458047377</v>
      </c>
      <c r="BG134" s="7" t="n">
        <v>-0.048</v>
      </c>
      <c r="BH134" s="7" t="n">
        <v>0.091</v>
      </c>
      <c r="BI134" s="6" t="n">
        <f aca="false">P134</f>
        <v>1026988</v>
      </c>
      <c r="BJ134" s="4" t="n">
        <v>-1888018</v>
      </c>
      <c r="BK134" s="3" t="s">
        <v>127</v>
      </c>
      <c r="BL134" s="3" t="s">
        <v>111</v>
      </c>
      <c r="BM134" s="6" t="n">
        <f aca="false">O134</f>
        <v>41691736</v>
      </c>
      <c r="BN134" s="3" t="s">
        <v>243</v>
      </c>
      <c r="BO134" s="5" t="n">
        <f aca="false">IFERROR(1-L134/M134,"")</f>
        <v>0.160664964302465</v>
      </c>
      <c r="BP134" s="3" t="s">
        <v>113</v>
      </c>
      <c r="BQ134" s="4" t="n">
        <v>2675350</v>
      </c>
      <c r="BR134" s="3" t="s">
        <v>88</v>
      </c>
      <c r="BS134" s="3" t="s">
        <v>89</v>
      </c>
      <c r="BT134" s="3" t="s">
        <v>90</v>
      </c>
    </row>
    <row r="135" customFormat="false" ht="15" hidden="false" customHeight="false" outlineLevel="0" collapsed="false">
      <c r="A135" s="11" t="s">
        <v>241</v>
      </c>
      <c r="B135" s="11" t="s">
        <v>91</v>
      </c>
      <c r="C135" s="11" t="s">
        <v>74</v>
      </c>
      <c r="D135" s="11" t="s">
        <v>151</v>
      </c>
      <c r="E135" s="11" t="s">
        <v>105</v>
      </c>
      <c r="F135" s="11" t="s">
        <v>242</v>
      </c>
      <c r="G135" s="11" t="s">
        <v>78</v>
      </c>
      <c r="H135" s="11" t="s">
        <v>79</v>
      </c>
      <c r="I135" s="11" t="s">
        <v>78</v>
      </c>
      <c r="J135" s="12" t="n">
        <v>3083000</v>
      </c>
      <c r="K135" s="13" t="n">
        <f aca="false">IFERROR(J135/M135,"")</f>
        <v>0.160664964302465</v>
      </c>
      <c r="L135" s="12" t="n">
        <v>16106000</v>
      </c>
      <c r="M135" s="14" t="n">
        <f aca="false">L135+J135</f>
        <v>19189000</v>
      </c>
      <c r="N135" s="12" t="n">
        <v>6953000</v>
      </c>
      <c r="O135" s="12" t="n">
        <v>41691736</v>
      </c>
      <c r="P135" s="12" t="n">
        <v>1424464</v>
      </c>
      <c r="Q135" s="13" t="n">
        <f aca="false">IFERROR(P135/P134-1,"")</f>
        <v>0.387030812434031</v>
      </c>
      <c r="R135" s="12" t="n">
        <v>1786628</v>
      </c>
      <c r="S135" s="13" t="n">
        <f aca="false">IFERROR(R135/R134-1,"")</f>
        <v>0.431642276136117</v>
      </c>
      <c r="T135" s="12" t="n">
        <v>1146777</v>
      </c>
      <c r="U135" s="13" t="n">
        <f aca="false">IFERROR(T135/P135,"")</f>
        <v>0.805058604499657</v>
      </c>
      <c r="V135" s="14" t="n">
        <f aca="false">T135-AV135</f>
        <v>-2044417</v>
      </c>
      <c r="W135" s="14" t="n">
        <f aca="false">V135-AA135*0.1</f>
        <v>-2044417</v>
      </c>
      <c r="X135" s="12" t="n">
        <v>1976400</v>
      </c>
      <c r="Y135" s="12" t="n">
        <v>197400</v>
      </c>
      <c r="Z135" s="15" t="n">
        <f aca="false">IFERROR(X135/Y135,"")</f>
        <v>10.0121580547112</v>
      </c>
      <c r="AA135" s="12" t="n">
        <v>0</v>
      </c>
      <c r="AB135" s="14" t="n">
        <f aca="false">W135-0.02*P135</f>
        <v>-2072906.28</v>
      </c>
      <c r="AC135" s="16" t="n">
        <v>21</v>
      </c>
      <c r="AD135" s="13" t="n">
        <f aca="false">IFERROR(AC135/AC134-1,"")</f>
        <v>0.235294117647059</v>
      </c>
      <c r="AE135" s="17" t="n">
        <v>0.065</v>
      </c>
      <c r="AF135" s="17" t="n">
        <v>0.053</v>
      </c>
      <c r="AG135" s="13" t="n">
        <f aca="false">1-AF135</f>
        <v>0.947</v>
      </c>
      <c r="AH135" s="17" t="n">
        <v>1.228</v>
      </c>
      <c r="AI135" s="12" t="n">
        <v>49608</v>
      </c>
      <c r="AJ135" s="14" t="n">
        <f aca="false">IFERROR(AM135*U135*MIN(1/AE135,5),"")</f>
        <v>201184.145264464</v>
      </c>
      <c r="AK135" s="18" t="n">
        <f aca="false">IFERROR(AJ135/AI135,"")</f>
        <v>4.05547785164619</v>
      </c>
      <c r="AL135" s="15" t="n">
        <f aca="false">IFERROR(AI135/(AM135*U135/12),"")</f>
        <v>14.7948040144381</v>
      </c>
      <c r="AM135" s="12" t="n">
        <v>49980</v>
      </c>
      <c r="AN135" s="12" t="n">
        <v>2570612</v>
      </c>
      <c r="AO135" s="12" t="n">
        <v>2916835</v>
      </c>
      <c r="AP135" s="17" t="n">
        <v>0.235</v>
      </c>
      <c r="AQ135" s="16" t="n">
        <v>45</v>
      </c>
      <c r="AR135" s="16" t="n">
        <v>3</v>
      </c>
      <c r="AS135" s="13" t="n">
        <f aca="false">IFERROR(AR135/AR134-1,"")</f>
        <v>0.5</v>
      </c>
      <c r="AT135" s="11" t="s">
        <v>98</v>
      </c>
      <c r="AU135" s="14" t="n">
        <f aca="false">IFERROR(P135/AR135,"")</f>
        <v>474821.333333333</v>
      </c>
      <c r="AV135" s="12" t="n">
        <v>3191194</v>
      </c>
      <c r="AW135" s="12" t="n">
        <v>1045560</v>
      </c>
      <c r="AX135" s="12" t="n">
        <v>670120</v>
      </c>
      <c r="AY135" s="16" t="n">
        <v>13942</v>
      </c>
      <c r="AZ135" s="13" t="n">
        <f aca="false">IFERROR(AY135/AY134-1,"")</f>
        <v>0.321266110689917</v>
      </c>
      <c r="BA135" s="17" t="n">
        <v>0.954</v>
      </c>
      <c r="BB135" s="11" t="s">
        <v>161</v>
      </c>
      <c r="BC135" s="11" t="s">
        <v>126</v>
      </c>
      <c r="BD135" s="11" t="s">
        <v>101</v>
      </c>
      <c r="BE135" s="12" t="n">
        <v>1661672</v>
      </c>
      <c r="BF135" s="13" t="n">
        <f aca="false">IFERROR(P135/BE135-1,"")</f>
        <v>-0.142752600994661</v>
      </c>
      <c r="BG135" s="17" t="n">
        <v>-0.038</v>
      </c>
      <c r="BH135" s="17" t="n">
        <v>-0.022</v>
      </c>
      <c r="BI135" s="14" t="n">
        <f aca="false">P135*(1+IFERROR(Q135,0))^4</f>
        <v>5272249.00462959</v>
      </c>
      <c r="BJ135" s="12" t="n">
        <v>-1770177</v>
      </c>
      <c r="BK135" s="11" t="s">
        <v>127</v>
      </c>
      <c r="BL135" s="11" t="s">
        <v>111</v>
      </c>
      <c r="BM135" s="14" t="n">
        <f aca="false">O135</f>
        <v>41691736</v>
      </c>
      <c r="BN135" s="11" t="s">
        <v>243</v>
      </c>
      <c r="BO135" s="13" t="n">
        <f aca="false">IFERROR(1-L135/M135,"")</f>
        <v>0.160664964302465</v>
      </c>
      <c r="BP135" s="11" t="s">
        <v>113</v>
      </c>
      <c r="BQ135" s="12" t="n">
        <v>3484596</v>
      </c>
      <c r="BR135" s="11" t="s">
        <v>88</v>
      </c>
      <c r="BS135" s="11" t="s">
        <v>89</v>
      </c>
      <c r="BT135" s="19" t="str">
        <f aca="false">IF(OR(Z135&lt;6,AH135&lt;0.9,S135&lt;0.02,AK135&lt;1),"REVIEW",IF(AND(S135&gt;0.25,AH135&gt;1.2),"ACCELERATING","STABLE"))</f>
        <v>ACCELERATING</v>
      </c>
    </row>
    <row r="136" customFormat="false" ht="15" hidden="false" customHeight="false" outlineLevel="0" collapsed="false">
      <c r="A136" s="11" t="s">
        <v>241</v>
      </c>
      <c r="B136" s="11" t="s">
        <v>92</v>
      </c>
      <c r="C136" s="11" t="s">
        <v>74</v>
      </c>
      <c r="D136" s="11" t="s">
        <v>151</v>
      </c>
      <c r="E136" s="11" t="s">
        <v>105</v>
      </c>
      <c r="F136" s="11" t="s">
        <v>242</v>
      </c>
      <c r="G136" s="11" t="s">
        <v>78</v>
      </c>
      <c r="H136" s="11" t="s">
        <v>79</v>
      </c>
      <c r="I136" s="11" t="s">
        <v>78</v>
      </c>
      <c r="J136" s="12" t="n">
        <v>3083000</v>
      </c>
      <c r="K136" s="13" t="n">
        <f aca="false">IFERROR(J136/M136,"")</f>
        <v>0.160664964302465</v>
      </c>
      <c r="L136" s="12" t="n">
        <v>16106000</v>
      </c>
      <c r="M136" s="14" t="n">
        <f aca="false">L136+J136</f>
        <v>19189000</v>
      </c>
      <c r="N136" s="12" t="n">
        <v>6953000</v>
      </c>
      <c r="O136" s="12" t="n">
        <v>41691736</v>
      </c>
      <c r="P136" s="12" t="n">
        <v>1956308</v>
      </c>
      <c r="Q136" s="13" t="n">
        <f aca="false">IFERROR(P136/P135-1,"")</f>
        <v>0.373364297026811</v>
      </c>
      <c r="R136" s="12" t="n">
        <v>2469127</v>
      </c>
      <c r="S136" s="13" t="n">
        <f aca="false">IFERROR(R136/R135-1,"")</f>
        <v>0.382003976205455</v>
      </c>
      <c r="T136" s="12" t="n">
        <v>1581294</v>
      </c>
      <c r="U136" s="13" t="n">
        <f aca="false">IFERROR(T136/P136,"")</f>
        <v>0.808305236189802</v>
      </c>
      <c r="V136" s="14" t="n">
        <f aca="false">T136-AV136</f>
        <v>-2046872</v>
      </c>
      <c r="W136" s="14" t="n">
        <f aca="false">V136-AA136*0.1</f>
        <v>-2046872</v>
      </c>
      <c r="X136" s="12" t="n">
        <v>2415600</v>
      </c>
      <c r="Y136" s="12" t="n">
        <v>203700</v>
      </c>
      <c r="Z136" s="15" t="n">
        <f aca="false">IFERROR(X136/Y136,"")</f>
        <v>11.8586156111929</v>
      </c>
      <c r="AA136" s="12" t="n">
        <v>0</v>
      </c>
      <c r="AB136" s="14" t="n">
        <f aca="false">W136-0.02*P136</f>
        <v>-2085998.16</v>
      </c>
      <c r="AC136" s="16" t="n">
        <v>27</v>
      </c>
      <c r="AD136" s="13" t="n">
        <f aca="false">IFERROR(AC136/AC135-1,"")</f>
        <v>0.285714285714286</v>
      </c>
      <c r="AE136" s="17" t="n">
        <v>0.063</v>
      </c>
      <c r="AF136" s="17" t="n">
        <v>0.052</v>
      </c>
      <c r="AG136" s="13" t="n">
        <f aca="false">1-AF136</f>
        <v>0.948</v>
      </c>
      <c r="AH136" s="17" t="n">
        <v>1.258</v>
      </c>
      <c r="AI136" s="12" t="n">
        <v>48654</v>
      </c>
      <c r="AJ136" s="14" t="n">
        <f aca="false">IFERROR(AM136*U136*MIN(1/AE136,5),"")</f>
        <v>205956.174181162</v>
      </c>
      <c r="AK136" s="18" t="n">
        <f aca="false">IFERROR(AJ136/AI136,"")</f>
        <v>4.23307794181695</v>
      </c>
      <c r="AL136" s="15" t="n">
        <f aca="false">IFERROR(AI136/(AM136*U136/12),"")</f>
        <v>14.174083450551</v>
      </c>
      <c r="AM136" s="12" t="n">
        <v>50960</v>
      </c>
      <c r="AN136" s="12" t="n">
        <v>3467295</v>
      </c>
      <c r="AO136" s="12" t="n">
        <v>8068294</v>
      </c>
      <c r="AP136" s="17" t="n">
        <v>0.235</v>
      </c>
      <c r="AQ136" s="16" t="n">
        <v>45</v>
      </c>
      <c r="AR136" s="16" t="n">
        <v>3</v>
      </c>
      <c r="AS136" s="13" t="n">
        <f aca="false">IFERROR(AR136/AR135-1,"")</f>
        <v>0</v>
      </c>
      <c r="AT136" s="11" t="s">
        <v>98</v>
      </c>
      <c r="AU136" s="14" t="n">
        <f aca="false">IFERROR(P136/AR136,"")</f>
        <v>652102.666666667</v>
      </c>
      <c r="AV136" s="12" t="n">
        <v>3628166</v>
      </c>
      <c r="AW136" s="12" t="n">
        <v>1270464</v>
      </c>
      <c r="AX136" s="12" t="n">
        <v>725892</v>
      </c>
      <c r="AY136" s="16" t="n">
        <v>17996</v>
      </c>
      <c r="AZ136" s="13" t="n">
        <f aca="false">IFERROR(AY136/AY135-1,"")</f>
        <v>0.290776072299527</v>
      </c>
      <c r="BA136" s="17" t="n">
        <v>0.932</v>
      </c>
      <c r="BB136" s="11" t="s">
        <v>161</v>
      </c>
      <c r="BC136" s="11" t="s">
        <v>126</v>
      </c>
      <c r="BD136" s="11" t="s">
        <v>101</v>
      </c>
      <c r="BE136" s="12" t="n">
        <v>2220664</v>
      </c>
      <c r="BF136" s="13" t="n">
        <f aca="false">IFERROR(P136/BE136-1,"")</f>
        <v>-0.119043673423805</v>
      </c>
      <c r="BG136" s="17" t="n">
        <v>0.022</v>
      </c>
      <c r="BH136" s="17" t="n">
        <v>-0.068</v>
      </c>
      <c r="BI136" s="14" t="n">
        <f aca="false">P136*(1+IFERROR(Q136,0))^4</f>
        <v>6959535.31269991</v>
      </c>
      <c r="BJ136" s="12" t="n">
        <v>-1820855</v>
      </c>
      <c r="BK136" s="11" t="s">
        <v>127</v>
      </c>
      <c r="BL136" s="11" t="s">
        <v>111</v>
      </c>
      <c r="BM136" s="14" t="n">
        <f aca="false">O136</f>
        <v>41691736</v>
      </c>
      <c r="BN136" s="11" t="s">
        <v>243</v>
      </c>
      <c r="BO136" s="13" t="n">
        <f aca="false">IFERROR(1-L136/M136,"")</f>
        <v>0.160664964302465</v>
      </c>
      <c r="BP136" s="11" t="s">
        <v>113</v>
      </c>
      <c r="BQ136" s="12" t="n">
        <v>2795425</v>
      </c>
      <c r="BR136" s="11" t="s">
        <v>88</v>
      </c>
      <c r="BS136" s="11" t="s">
        <v>89</v>
      </c>
      <c r="BT136" s="19" t="str">
        <f aca="false">IF(OR(Z136&lt;6,AH136&lt;0.9,S136&lt;0.02,AK136&lt;1),"REVIEW",IF(AND(S136&gt;0.25,AH136&gt;1.2),"ACCELERATING","STABLE"))</f>
        <v>ACCELERATING</v>
      </c>
    </row>
    <row r="137" customFormat="false" ht="15" hidden="false" customHeight="false" outlineLevel="0" collapsed="false">
      <c r="A137" s="11" t="s">
        <v>241</v>
      </c>
      <c r="B137" s="11" t="s">
        <v>93</v>
      </c>
      <c r="C137" s="11" t="s">
        <v>74</v>
      </c>
      <c r="D137" s="11" t="s">
        <v>151</v>
      </c>
      <c r="E137" s="11" t="s">
        <v>105</v>
      </c>
      <c r="F137" s="11" t="s">
        <v>242</v>
      </c>
      <c r="G137" s="11" t="s">
        <v>78</v>
      </c>
      <c r="H137" s="11" t="s">
        <v>79</v>
      </c>
      <c r="I137" s="11" t="s">
        <v>78</v>
      </c>
      <c r="J137" s="12" t="n">
        <v>3083000</v>
      </c>
      <c r="K137" s="13" t="n">
        <f aca="false">IFERROR(J137/M137,"")</f>
        <v>0.160664964302465</v>
      </c>
      <c r="L137" s="12" t="n">
        <v>16106000</v>
      </c>
      <c r="M137" s="14" t="n">
        <f aca="false">L137+J137</f>
        <v>19189000</v>
      </c>
      <c r="N137" s="12" t="n">
        <v>6953000</v>
      </c>
      <c r="O137" s="12" t="n">
        <v>41691736</v>
      </c>
      <c r="P137" s="12" t="n">
        <v>2697702</v>
      </c>
      <c r="Q137" s="13" t="n">
        <f aca="false">IFERROR(P137/P136-1,"")</f>
        <v>0.37897611214594</v>
      </c>
      <c r="R137" s="12" t="n">
        <v>3413731</v>
      </c>
      <c r="S137" s="13" t="n">
        <f aca="false">IFERROR(R137/R136-1,"")</f>
        <v>0.382565983847732</v>
      </c>
      <c r="T137" s="12" t="n">
        <v>2189324</v>
      </c>
      <c r="U137" s="13" t="n">
        <f aca="false">IFERROR(T137/P137,"")</f>
        <v>0.811551461206612</v>
      </c>
      <c r="V137" s="14" t="n">
        <f aca="false">T137-AV137</f>
        <v>-2157177</v>
      </c>
      <c r="W137" s="14" t="n">
        <f aca="false">V137-AA137*0.1</f>
        <v>-2157177</v>
      </c>
      <c r="X137" s="12" t="n">
        <v>4392000</v>
      </c>
      <c r="Y137" s="12" t="n">
        <v>210000</v>
      </c>
      <c r="Z137" s="15" t="n">
        <f aca="false">IFERROR(X137/Y137,"")</f>
        <v>20.9142857142857</v>
      </c>
      <c r="AA137" s="12" t="n">
        <v>0</v>
      </c>
      <c r="AB137" s="14" t="n">
        <f aca="false">W137-0.02*P137</f>
        <v>-2211131.04</v>
      </c>
      <c r="AC137" s="16" t="n">
        <v>36</v>
      </c>
      <c r="AD137" s="13" t="n">
        <f aca="false">IFERROR(AC137/AC136-1,"")</f>
        <v>0.333333333333333</v>
      </c>
      <c r="AE137" s="17" t="n">
        <v>0.061</v>
      </c>
      <c r="AF137" s="17" t="n">
        <v>0.045</v>
      </c>
      <c r="AG137" s="13" t="n">
        <f aca="false">1-AF137</f>
        <v>0.955</v>
      </c>
      <c r="AH137" s="17" t="n">
        <v>1.288</v>
      </c>
      <c r="AI137" s="12" t="n">
        <v>47700</v>
      </c>
      <c r="AJ137" s="14" t="n">
        <f aca="false">IFERROR(AM137*U137*MIN(1/AE137,5),"")</f>
        <v>210759.914475357</v>
      </c>
      <c r="AK137" s="18" t="n">
        <f aca="false">IFERROR(AJ137/AI137,"")</f>
        <v>4.41844684434711</v>
      </c>
      <c r="AL137" s="15" t="n">
        <f aca="false">IFERROR(AI137/(AM137*U137/12),"")</f>
        <v>13.5794323466317</v>
      </c>
      <c r="AM137" s="12" t="n">
        <v>51940</v>
      </c>
      <c r="AN137" s="12" t="n">
        <v>4677947</v>
      </c>
      <c r="AO137" s="12" t="n">
        <v>10269459</v>
      </c>
      <c r="AP137" s="17" t="n">
        <v>0.235</v>
      </c>
      <c r="AQ137" s="16" t="n">
        <v>45</v>
      </c>
      <c r="AR137" s="16" t="n">
        <v>4</v>
      </c>
      <c r="AS137" s="13" t="n">
        <f aca="false">IFERROR(AR137/AR136-1,"")</f>
        <v>0.333333333333333</v>
      </c>
      <c r="AT137" s="11" t="s">
        <v>98</v>
      </c>
      <c r="AU137" s="14" t="n">
        <f aca="false">IFERROR(P137/AR137,"")</f>
        <v>674425.5</v>
      </c>
      <c r="AV137" s="12" t="n">
        <v>4346501</v>
      </c>
      <c r="AW137" s="12" t="n">
        <v>1819943</v>
      </c>
      <c r="AX137" s="12" t="n">
        <v>934727</v>
      </c>
      <c r="AY137" s="16" t="n">
        <v>24147</v>
      </c>
      <c r="AZ137" s="13" t="n">
        <f aca="false">IFERROR(AY137/AY136-1,"")</f>
        <v>0.341798177372749</v>
      </c>
      <c r="BA137" s="17" t="n">
        <v>0.942</v>
      </c>
      <c r="BB137" s="11" t="s">
        <v>161</v>
      </c>
      <c r="BC137" s="11" t="s">
        <v>126</v>
      </c>
      <c r="BD137" s="11" t="s">
        <v>101</v>
      </c>
      <c r="BE137" s="12" t="n">
        <v>2510353</v>
      </c>
      <c r="BF137" s="13" t="n">
        <f aca="false">IFERROR(P137/BE137-1,"")</f>
        <v>0.0746305400077201</v>
      </c>
      <c r="BG137" s="17" t="n">
        <v>0.017</v>
      </c>
      <c r="BH137" s="17" t="n">
        <v>0.002</v>
      </c>
      <c r="BI137" s="14" t="n">
        <f aca="false">P137*(1+IFERROR(Q137,0))^4</f>
        <v>9754857.86776671</v>
      </c>
      <c r="BJ137" s="12" t="n">
        <v>-1637677</v>
      </c>
      <c r="BK137" s="11" t="s">
        <v>127</v>
      </c>
      <c r="BL137" s="11" t="s">
        <v>111</v>
      </c>
      <c r="BM137" s="14" t="n">
        <f aca="false">O137</f>
        <v>41691736</v>
      </c>
      <c r="BN137" s="11" t="s">
        <v>243</v>
      </c>
      <c r="BO137" s="13" t="n">
        <f aca="false">IFERROR(1-L137/M137,"")</f>
        <v>0.160664964302465</v>
      </c>
      <c r="BP137" s="11" t="s">
        <v>113</v>
      </c>
      <c r="BQ137" s="12" t="n">
        <v>3764776</v>
      </c>
      <c r="BR137" s="11" t="s">
        <v>88</v>
      </c>
      <c r="BS137" s="11" t="s">
        <v>89</v>
      </c>
      <c r="BT137" s="19" t="str">
        <f aca="false">IF(OR(Z137&lt;6,AH137&lt;0.9,S137&lt;0.02,AK137&lt;1),"REVIEW",IF(AND(S137&gt;0.25,AH137&gt;1.2),"ACCELERATING","STABLE"))</f>
        <v>ACCELERATING</v>
      </c>
    </row>
    <row r="138" customFormat="false" ht="15" hidden="false" customHeight="false" outlineLevel="0" collapsed="false">
      <c r="A138" s="3" t="s">
        <v>244</v>
      </c>
      <c r="B138" s="3" t="s">
        <v>73</v>
      </c>
      <c r="C138" s="3" t="s">
        <v>74</v>
      </c>
      <c r="D138" s="3" t="s">
        <v>165</v>
      </c>
      <c r="E138" s="3" t="s">
        <v>187</v>
      </c>
      <c r="F138" s="3" t="s">
        <v>245</v>
      </c>
      <c r="G138" s="3" t="s">
        <v>78</v>
      </c>
      <c r="H138" s="3" t="s">
        <v>79</v>
      </c>
      <c r="I138" s="3" t="s">
        <v>78</v>
      </c>
      <c r="J138" s="4" t="n">
        <v>6636000</v>
      </c>
      <c r="K138" s="5" t="n">
        <f aca="false">IFERROR(J138/M138,"")</f>
        <v>0.195084666039511</v>
      </c>
      <c r="L138" s="4" t="n">
        <v>27380000</v>
      </c>
      <c r="M138" s="6" t="n">
        <f aca="false">L138+J138</f>
        <v>34016000</v>
      </c>
      <c r="N138" s="4" t="n">
        <v>6636000</v>
      </c>
      <c r="O138" s="4" t="n">
        <v>49167692</v>
      </c>
      <c r="P138" s="4" t="n">
        <v>395781</v>
      </c>
      <c r="Q138" s="7"/>
      <c r="R138" s="4" t="n">
        <v>420832</v>
      </c>
      <c r="S138" s="7"/>
      <c r="T138" s="4" t="n">
        <v>262750</v>
      </c>
      <c r="U138" s="5" t="n">
        <f aca="false">IFERROR(T138/P138,"")</f>
        <v>0.663877245244213</v>
      </c>
      <c r="V138" s="6" t="n">
        <f aca="false">T138-AV138</f>
        <v>-1503811</v>
      </c>
      <c r="W138" s="6" t="n">
        <f aca="false">V138-AA138*0.1</f>
        <v>-1580311</v>
      </c>
      <c r="X138" s="4" t="n">
        <v>5709522</v>
      </c>
      <c r="Y138" s="4" t="n">
        <v>165620</v>
      </c>
      <c r="Z138" s="8" t="n">
        <f aca="false">IFERROR(X138/Y138,"")</f>
        <v>34.4736263736264</v>
      </c>
      <c r="AA138" s="4" t="n">
        <v>765000</v>
      </c>
      <c r="AB138" s="6" t="n">
        <f aca="false">W138-0.02*P138</f>
        <v>-1588226.62</v>
      </c>
      <c r="AC138" s="9" t="n">
        <v>38</v>
      </c>
      <c r="AD138" s="7"/>
      <c r="AE138" s="7" t="n">
        <v>0.134</v>
      </c>
      <c r="AF138" s="7" t="n">
        <v>0.083</v>
      </c>
      <c r="AG138" s="5" t="n">
        <f aca="false">1-AF138</f>
        <v>0.917</v>
      </c>
      <c r="AH138" s="7" t="n">
        <v>1.187</v>
      </c>
      <c r="AI138" s="4" t="n">
        <v>57982</v>
      </c>
      <c r="AJ138" s="6" t="n">
        <f aca="false">IFERROR(AM138*U138*MIN(1/AE138,5),"")</f>
        <v>152691.766406169</v>
      </c>
      <c r="AK138" s="10" t="n">
        <f aca="false">IFERROR(AJ138/AI138,"")</f>
        <v>2.63343393477578</v>
      </c>
      <c r="AL138" s="8" t="n">
        <f aca="false">IFERROR(AI138/(AM138*U138/12),"")</f>
        <v>22.7839397099243</v>
      </c>
      <c r="AM138" s="4" t="n">
        <v>46000</v>
      </c>
      <c r="AN138" s="4" t="n">
        <v>499022</v>
      </c>
      <c r="AO138" s="4" t="n">
        <v>1477190</v>
      </c>
      <c r="AP138" s="7" t="n">
        <v>0.187</v>
      </c>
      <c r="AQ138" s="9" t="n">
        <v>66</v>
      </c>
      <c r="AR138" s="9" t="n">
        <v>1</v>
      </c>
      <c r="AS138" s="7"/>
      <c r="AT138" s="3" t="s">
        <v>80</v>
      </c>
      <c r="AU138" s="6" t="n">
        <f aca="false">IFERROR(P138/AR138,"")</f>
        <v>395781</v>
      </c>
      <c r="AV138" s="4" t="n">
        <v>1766561</v>
      </c>
      <c r="AW138" s="4" t="n">
        <v>530795</v>
      </c>
      <c r="AX138" s="4" t="n">
        <v>431328</v>
      </c>
      <c r="AY138" s="9" t="n">
        <v>9401</v>
      </c>
      <c r="AZ138" s="7"/>
      <c r="BA138" s="7" t="n">
        <v>0.892</v>
      </c>
      <c r="BB138" s="3" t="s">
        <v>161</v>
      </c>
      <c r="BC138" s="3" t="s">
        <v>108</v>
      </c>
      <c r="BD138" s="3" t="s">
        <v>101</v>
      </c>
      <c r="BE138" s="4" t="n">
        <v>479105</v>
      </c>
      <c r="BF138" s="5" t="n">
        <f aca="false">IFERROR(P138/BE138-1,"")</f>
        <v>-0.173915947443671</v>
      </c>
      <c r="BG138" s="7" t="n">
        <v>-0.011</v>
      </c>
      <c r="BH138" s="7" t="n">
        <v>0.083</v>
      </c>
      <c r="BI138" s="6" t="n">
        <f aca="false">P138</f>
        <v>395781</v>
      </c>
      <c r="BJ138" s="4" t="n">
        <v>-1741566</v>
      </c>
      <c r="BK138" s="3" t="s">
        <v>102</v>
      </c>
      <c r="BL138" s="3" t="s">
        <v>162</v>
      </c>
      <c r="BM138" s="6" t="n">
        <f aca="false">O138</f>
        <v>49167692</v>
      </c>
      <c r="BN138" s="3" t="s">
        <v>246</v>
      </c>
      <c r="BO138" s="5" t="n">
        <f aca="false">IFERROR(1-L138/M138,"")</f>
        <v>0.195084666039511</v>
      </c>
      <c r="BP138" s="3" t="s">
        <v>142</v>
      </c>
      <c r="BQ138" s="4" t="n">
        <v>2356651</v>
      </c>
      <c r="BR138" s="3" t="s">
        <v>88</v>
      </c>
      <c r="BS138" s="3" t="s">
        <v>89</v>
      </c>
      <c r="BT138" s="3" t="s">
        <v>90</v>
      </c>
    </row>
    <row r="139" customFormat="false" ht="15" hidden="false" customHeight="false" outlineLevel="0" collapsed="false">
      <c r="A139" s="11" t="s">
        <v>244</v>
      </c>
      <c r="B139" s="11" t="s">
        <v>91</v>
      </c>
      <c r="C139" s="11" t="s">
        <v>74</v>
      </c>
      <c r="D139" s="11" t="s">
        <v>165</v>
      </c>
      <c r="E139" s="11" t="s">
        <v>187</v>
      </c>
      <c r="F139" s="11" t="s">
        <v>245</v>
      </c>
      <c r="G139" s="11" t="s">
        <v>78</v>
      </c>
      <c r="H139" s="11" t="s">
        <v>79</v>
      </c>
      <c r="I139" s="11" t="s">
        <v>78</v>
      </c>
      <c r="J139" s="12" t="n">
        <v>6636000</v>
      </c>
      <c r="K139" s="13" t="n">
        <f aca="false">IFERROR(J139/M139,"")</f>
        <v>0.195084666039511</v>
      </c>
      <c r="L139" s="12" t="n">
        <v>27380000</v>
      </c>
      <c r="M139" s="14" t="n">
        <f aca="false">L139+J139</f>
        <v>34016000</v>
      </c>
      <c r="N139" s="12" t="n">
        <v>6636000</v>
      </c>
      <c r="O139" s="12" t="n">
        <v>49167692</v>
      </c>
      <c r="P139" s="12" t="n">
        <v>519035</v>
      </c>
      <c r="Q139" s="13" t="n">
        <f aca="false">IFERROR(P139/P138-1,"")</f>
        <v>0.311419699278136</v>
      </c>
      <c r="R139" s="12" t="n">
        <v>516985</v>
      </c>
      <c r="S139" s="13" t="n">
        <f aca="false">IFERROR(R139/R138-1,"")</f>
        <v>0.228483100144476</v>
      </c>
      <c r="T139" s="12" t="n">
        <v>345971</v>
      </c>
      <c r="U139" s="13" t="n">
        <f aca="false">IFERROR(T139/P139,"")</f>
        <v>0.666565838527267</v>
      </c>
      <c r="V139" s="14" t="n">
        <f aca="false">T139-AV139</f>
        <v>-2054500</v>
      </c>
      <c r="W139" s="14" t="n">
        <f aca="false">V139-AA139*0.1</f>
        <v>-2131000</v>
      </c>
      <c r="X139" s="12" t="n">
        <v>5291832</v>
      </c>
      <c r="Y139" s="12" t="n">
        <v>171080</v>
      </c>
      <c r="Z139" s="15" t="n">
        <f aca="false">IFERROR(X139/Y139,"")</f>
        <v>30.931914893617</v>
      </c>
      <c r="AA139" s="12" t="n">
        <v>765000</v>
      </c>
      <c r="AB139" s="14" t="n">
        <f aca="false">W139-0.02*P139</f>
        <v>-2141380.7</v>
      </c>
      <c r="AC139" s="16" t="n">
        <v>48</v>
      </c>
      <c r="AD139" s="13" t="n">
        <f aca="false">IFERROR(AC139/AC138-1,"")</f>
        <v>0.263157894736842</v>
      </c>
      <c r="AE139" s="17" t="n">
        <v>0.13</v>
      </c>
      <c r="AF139" s="17" t="n">
        <v>0.134</v>
      </c>
      <c r="AG139" s="13" t="n">
        <f aca="false">1-AF139</f>
        <v>0.866</v>
      </c>
      <c r="AH139" s="17" t="n">
        <v>1.182</v>
      </c>
      <c r="AI139" s="12" t="n">
        <v>56888</v>
      </c>
      <c r="AJ139" s="14" t="n">
        <f aca="false">IFERROR(AM139*U139*MIN(1/AE139,5),"")</f>
        <v>156376.345718497</v>
      </c>
      <c r="AK139" s="18" t="n">
        <f aca="false">IFERROR(AJ139/AI139,"")</f>
        <v>2.74884590280018</v>
      </c>
      <c r="AL139" s="15" t="n">
        <f aca="false">IFERROR(AI139/(AM139*U139/12),"")</f>
        <v>21.8273421361596</v>
      </c>
      <c r="AM139" s="12" t="n">
        <v>46920</v>
      </c>
      <c r="AN139" s="12" t="n">
        <v>743212</v>
      </c>
      <c r="AO139" s="12" t="n">
        <v>943953</v>
      </c>
      <c r="AP139" s="17" t="n">
        <v>0.187</v>
      </c>
      <c r="AQ139" s="16" t="n">
        <v>66</v>
      </c>
      <c r="AR139" s="16" t="n">
        <v>2</v>
      </c>
      <c r="AS139" s="13" t="n">
        <f aca="false">IFERROR(AR139/AR138-1,"")</f>
        <v>1</v>
      </c>
      <c r="AT139" s="11" t="s">
        <v>80</v>
      </c>
      <c r="AU139" s="14" t="n">
        <f aca="false">IFERROR(P139/AR139,"")</f>
        <v>259517.5</v>
      </c>
      <c r="AV139" s="12" t="n">
        <v>2400471</v>
      </c>
      <c r="AW139" s="12" t="n">
        <v>1115651</v>
      </c>
      <c r="AX139" s="12" t="n">
        <v>497459</v>
      </c>
      <c r="AY139" s="16" t="n">
        <v>11591</v>
      </c>
      <c r="AZ139" s="13" t="n">
        <f aca="false">IFERROR(AY139/AY138-1,"")</f>
        <v>0.232953941070099</v>
      </c>
      <c r="BA139" s="17" t="n">
        <v>0.868</v>
      </c>
      <c r="BB139" s="11" t="s">
        <v>161</v>
      </c>
      <c r="BC139" s="11" t="s">
        <v>108</v>
      </c>
      <c r="BD139" s="11" t="s">
        <v>101</v>
      </c>
      <c r="BE139" s="12" t="n">
        <v>576140</v>
      </c>
      <c r="BF139" s="13" t="n">
        <f aca="false">IFERROR(P139/BE139-1,"")</f>
        <v>-0.0991165341757212</v>
      </c>
      <c r="BG139" s="17" t="n">
        <v>-0.013</v>
      </c>
      <c r="BH139" s="17" t="n">
        <v>0.003</v>
      </c>
      <c r="BI139" s="14" t="n">
        <f aca="false">P139*(1+IFERROR(Q139,0))^4</f>
        <v>1535194.68018764</v>
      </c>
      <c r="BJ139" s="12" t="n">
        <v>-1121026</v>
      </c>
      <c r="BK139" s="11" t="s">
        <v>102</v>
      </c>
      <c r="BL139" s="11" t="s">
        <v>162</v>
      </c>
      <c r="BM139" s="14" t="n">
        <f aca="false">O139</f>
        <v>49167692</v>
      </c>
      <c r="BN139" s="11" t="s">
        <v>246</v>
      </c>
      <c r="BO139" s="13" t="n">
        <f aca="false">IFERROR(1-L139/M139,"")</f>
        <v>0.195084666039511</v>
      </c>
      <c r="BP139" s="11" t="s">
        <v>142</v>
      </c>
      <c r="BQ139" s="12" t="n">
        <v>2135660</v>
      </c>
      <c r="BR139" s="11" t="s">
        <v>88</v>
      </c>
      <c r="BS139" s="11" t="s">
        <v>89</v>
      </c>
      <c r="BT139" s="19" t="str">
        <f aca="false">IF(OR(Z139&lt;6,AH139&lt;0.9,S139&lt;0.02,AK139&lt;1),"REVIEW",IF(AND(S139&gt;0.25,AH139&gt;1.2),"ACCELERATING","STABLE"))</f>
        <v>STABLE</v>
      </c>
    </row>
    <row r="140" customFormat="false" ht="15" hidden="false" customHeight="false" outlineLevel="0" collapsed="false">
      <c r="A140" s="11" t="s">
        <v>244</v>
      </c>
      <c r="B140" s="11" t="s">
        <v>92</v>
      </c>
      <c r="C140" s="11" t="s">
        <v>74</v>
      </c>
      <c r="D140" s="11" t="s">
        <v>165</v>
      </c>
      <c r="E140" s="11" t="s">
        <v>187</v>
      </c>
      <c r="F140" s="11" t="s">
        <v>245</v>
      </c>
      <c r="G140" s="11" t="s">
        <v>78</v>
      </c>
      <c r="H140" s="11" t="s">
        <v>79</v>
      </c>
      <c r="I140" s="11" t="s">
        <v>78</v>
      </c>
      <c r="J140" s="12" t="n">
        <v>6636000</v>
      </c>
      <c r="K140" s="13" t="n">
        <f aca="false">IFERROR(J140/M140,"")</f>
        <v>0.195084666039511</v>
      </c>
      <c r="L140" s="12" t="n">
        <v>27380000</v>
      </c>
      <c r="M140" s="14" t="n">
        <f aca="false">L140+J140</f>
        <v>34016000</v>
      </c>
      <c r="N140" s="12" t="n">
        <v>6636000</v>
      </c>
      <c r="O140" s="12" t="n">
        <v>49167692</v>
      </c>
      <c r="P140" s="12" t="n">
        <v>601975</v>
      </c>
      <c r="Q140" s="13" t="n">
        <f aca="false">IFERROR(P140/P139-1,"")</f>
        <v>0.159796545512345</v>
      </c>
      <c r="R140" s="12" t="n">
        <v>589198</v>
      </c>
      <c r="S140" s="13" t="n">
        <f aca="false">IFERROR(R140/R139-1,"")</f>
        <v>0.139681035233131</v>
      </c>
      <c r="T140" s="12" t="n">
        <v>402874</v>
      </c>
      <c r="U140" s="13" t="n">
        <f aca="false">IFERROR(T140/P140,"")</f>
        <v>0.669253706549275</v>
      </c>
      <c r="V140" s="14" t="n">
        <f aca="false">T140-AV140</f>
        <v>-1796674</v>
      </c>
      <c r="W140" s="14" t="n">
        <f aca="false">V140-AA140*0.1</f>
        <v>-1873174</v>
      </c>
      <c r="X140" s="12" t="n">
        <v>4844658</v>
      </c>
      <c r="Y140" s="12" t="n">
        <v>176540</v>
      </c>
      <c r="Z140" s="15" t="n">
        <f aca="false">IFERROR(X140/Y140,"")</f>
        <v>27.4422680412371</v>
      </c>
      <c r="AA140" s="12" t="n">
        <v>765000</v>
      </c>
      <c r="AB140" s="14" t="n">
        <f aca="false">W140-0.02*P140</f>
        <v>-1885213.5</v>
      </c>
      <c r="AC140" s="16" t="n">
        <v>53</v>
      </c>
      <c r="AD140" s="13" t="n">
        <f aca="false">IFERROR(AC140/AC139-1,"")</f>
        <v>0.104166666666667</v>
      </c>
      <c r="AE140" s="17" t="n">
        <v>0.127</v>
      </c>
      <c r="AF140" s="17" t="n">
        <v>0.082</v>
      </c>
      <c r="AG140" s="13" t="n">
        <f aca="false">1-AF140</f>
        <v>0.918</v>
      </c>
      <c r="AH140" s="17" t="n">
        <v>1.177</v>
      </c>
      <c r="AI140" s="12" t="n">
        <v>55794</v>
      </c>
      <c r="AJ140" s="14" t="n">
        <f aca="false">IFERROR(AM140*U140*MIN(1/AE140,5),"")</f>
        <v>160085.486606587</v>
      </c>
      <c r="AK140" s="18" t="n">
        <f aca="false">IFERROR(AJ140/AI140,"")</f>
        <v>2.86922404929897</v>
      </c>
      <c r="AL140" s="15" t="n">
        <f aca="false">IFERROR(AI140/(AM140*U140/12),"")</f>
        <v>20.9115771264568</v>
      </c>
      <c r="AM140" s="12" t="n">
        <v>47840</v>
      </c>
      <c r="AN140" s="12" t="n">
        <v>643380</v>
      </c>
      <c r="AO140" s="12" t="n">
        <v>1654106</v>
      </c>
      <c r="AP140" s="17" t="n">
        <v>0.187</v>
      </c>
      <c r="AQ140" s="16" t="n">
        <v>66</v>
      </c>
      <c r="AR140" s="16" t="n">
        <v>2</v>
      </c>
      <c r="AS140" s="13" t="n">
        <f aca="false">IFERROR(AR140/AR139-1,"")</f>
        <v>0</v>
      </c>
      <c r="AT140" s="11" t="s">
        <v>80</v>
      </c>
      <c r="AU140" s="14" t="n">
        <f aca="false">IFERROR(P140/AR140,"")</f>
        <v>300987.5</v>
      </c>
      <c r="AV140" s="12" t="n">
        <v>2199548</v>
      </c>
      <c r="AW140" s="12" t="n">
        <v>775178</v>
      </c>
      <c r="AX140" s="12" t="n">
        <v>682495</v>
      </c>
      <c r="AY140" s="16" t="n">
        <v>13765</v>
      </c>
      <c r="AZ140" s="13" t="n">
        <f aca="false">IFERROR(AY140/AY139-1,"")</f>
        <v>0.187559313260288</v>
      </c>
      <c r="BA140" s="17" t="n">
        <v>0.881</v>
      </c>
      <c r="BB140" s="11" t="s">
        <v>161</v>
      </c>
      <c r="BC140" s="11" t="s">
        <v>108</v>
      </c>
      <c r="BD140" s="11" t="s">
        <v>101</v>
      </c>
      <c r="BE140" s="12" t="n">
        <v>598719</v>
      </c>
      <c r="BF140" s="13" t="n">
        <f aca="false">IFERROR(P140/BE140-1,"")</f>
        <v>0.00543827738889191</v>
      </c>
      <c r="BG140" s="17" t="n">
        <v>0.069</v>
      </c>
      <c r="BH140" s="17" t="n">
        <v>-0.016</v>
      </c>
      <c r="BI140" s="14" t="n">
        <f aca="false">P140*(1+IFERROR(Q140,0))^4</f>
        <v>1089195.14996681</v>
      </c>
      <c r="BJ140" s="12" t="n">
        <v>-1782750</v>
      </c>
      <c r="BK140" s="11" t="s">
        <v>102</v>
      </c>
      <c r="BL140" s="11" t="s">
        <v>162</v>
      </c>
      <c r="BM140" s="14" t="n">
        <f aca="false">O140</f>
        <v>49167692</v>
      </c>
      <c r="BN140" s="11" t="s">
        <v>246</v>
      </c>
      <c r="BO140" s="13" t="n">
        <f aca="false">IFERROR(1-L140/M140,"")</f>
        <v>0.195084666039511</v>
      </c>
      <c r="BP140" s="11" t="s">
        <v>142</v>
      </c>
      <c r="BQ140" s="12" t="n">
        <v>2263467</v>
      </c>
      <c r="BR140" s="11" t="s">
        <v>88</v>
      </c>
      <c r="BS140" s="11" t="s">
        <v>89</v>
      </c>
      <c r="BT140" s="19" t="str">
        <f aca="false">IF(OR(Z140&lt;6,AH140&lt;0.9,S140&lt;0.02,AK140&lt;1),"REVIEW",IF(AND(S140&gt;0.25,AH140&gt;1.2),"ACCELERATING","STABLE"))</f>
        <v>STABLE</v>
      </c>
    </row>
    <row r="141" customFormat="false" ht="15" hidden="false" customHeight="false" outlineLevel="0" collapsed="false">
      <c r="A141" s="11" t="s">
        <v>244</v>
      </c>
      <c r="B141" s="11" t="s">
        <v>93</v>
      </c>
      <c r="C141" s="11" t="s">
        <v>74</v>
      </c>
      <c r="D141" s="11" t="s">
        <v>165</v>
      </c>
      <c r="E141" s="11" t="s">
        <v>187</v>
      </c>
      <c r="F141" s="11" t="s">
        <v>245</v>
      </c>
      <c r="G141" s="11" t="s">
        <v>78</v>
      </c>
      <c r="H141" s="11" t="s">
        <v>79</v>
      </c>
      <c r="I141" s="11" t="s">
        <v>78</v>
      </c>
      <c r="J141" s="12" t="n">
        <v>6636000</v>
      </c>
      <c r="K141" s="13" t="n">
        <f aca="false">IFERROR(J141/M141,"")</f>
        <v>0.195084666039511</v>
      </c>
      <c r="L141" s="12" t="n">
        <v>27380000</v>
      </c>
      <c r="M141" s="14" t="n">
        <f aca="false">L141+J141</f>
        <v>34016000</v>
      </c>
      <c r="N141" s="12" t="n">
        <v>6636000</v>
      </c>
      <c r="O141" s="12" t="n">
        <v>49167692</v>
      </c>
      <c r="P141" s="12" t="n">
        <v>745825</v>
      </c>
      <c r="Q141" s="13" t="n">
        <f aca="false">IFERROR(P141/P140-1,"")</f>
        <v>0.238963412101831</v>
      </c>
      <c r="R141" s="12" t="n">
        <v>734410</v>
      </c>
      <c r="S141" s="13" t="n">
        <f aca="false">IFERROR(R141/R140-1,"")</f>
        <v>0.246457048394597</v>
      </c>
      <c r="T141" s="12" t="n">
        <v>501150</v>
      </c>
      <c r="U141" s="13" t="n">
        <f aca="false">IFERROR(T141/P141,"")</f>
        <v>0.671940468608588</v>
      </c>
      <c r="V141" s="14" t="n">
        <f aca="false">T141-AV141</f>
        <v>-2038406</v>
      </c>
      <c r="W141" s="14" t="n">
        <f aca="false">V141-AA141*0.1</f>
        <v>-2114906</v>
      </c>
      <c r="X141" s="12" t="n">
        <v>4368000</v>
      </c>
      <c r="Y141" s="12" t="n">
        <v>182000</v>
      </c>
      <c r="Z141" s="15" t="n">
        <f aca="false">IFERROR(X141/Y141,"")</f>
        <v>24</v>
      </c>
      <c r="AA141" s="12" t="n">
        <v>765000</v>
      </c>
      <c r="AB141" s="14" t="n">
        <f aca="false">W141-0.02*P141</f>
        <v>-2129822.5</v>
      </c>
      <c r="AC141" s="16" t="n">
        <v>62</v>
      </c>
      <c r="AD141" s="13" t="n">
        <f aca="false">IFERROR(AC141/AC140-1,"")</f>
        <v>0.169811320754717</v>
      </c>
      <c r="AE141" s="17" t="n">
        <v>0.123</v>
      </c>
      <c r="AF141" s="17" t="n">
        <v>0.079</v>
      </c>
      <c r="AG141" s="13" t="n">
        <f aca="false">1-AF141</f>
        <v>0.921</v>
      </c>
      <c r="AH141" s="17" t="n">
        <v>1.172</v>
      </c>
      <c r="AI141" s="12" t="n">
        <v>54700</v>
      </c>
      <c r="AJ141" s="14" t="n">
        <f aca="false">IFERROR(AM141*U141*MIN(1/AE141,5),"")</f>
        <v>163819.086246774</v>
      </c>
      <c r="AK141" s="18" t="n">
        <f aca="false">IFERROR(AJ141/AI141,"")</f>
        <v>2.9948644652061</v>
      </c>
      <c r="AL141" s="15" t="n">
        <f aca="false">IFERROR(AI141/(AM141*U141/12),"")</f>
        <v>20.0342956073877</v>
      </c>
      <c r="AM141" s="12" t="n">
        <v>48760</v>
      </c>
      <c r="AN141" s="12" t="n">
        <v>875903</v>
      </c>
      <c r="AO141" s="12" t="n">
        <v>1850914</v>
      </c>
      <c r="AP141" s="17" t="n">
        <v>0.187</v>
      </c>
      <c r="AQ141" s="16" t="n">
        <v>66</v>
      </c>
      <c r="AR141" s="16" t="n">
        <v>2</v>
      </c>
      <c r="AS141" s="13" t="n">
        <f aca="false">IFERROR(AR141/AR140-1,"")</f>
        <v>0</v>
      </c>
      <c r="AT141" s="11" t="s">
        <v>80</v>
      </c>
      <c r="AU141" s="14" t="n">
        <f aca="false">IFERROR(P141/AR141,"")</f>
        <v>372912.5</v>
      </c>
      <c r="AV141" s="12" t="n">
        <v>2539556</v>
      </c>
      <c r="AW141" s="12" t="n">
        <v>1101598</v>
      </c>
      <c r="AX141" s="12" t="n">
        <v>779492</v>
      </c>
      <c r="AY141" s="16" t="n">
        <v>16766</v>
      </c>
      <c r="AZ141" s="13" t="n">
        <f aca="false">IFERROR(AY141/AY140-1,"")</f>
        <v>0.218016709044679</v>
      </c>
      <c r="BA141" s="17" t="n">
        <v>0.869</v>
      </c>
      <c r="BB141" s="11" t="s">
        <v>161</v>
      </c>
      <c r="BC141" s="11" t="s">
        <v>108</v>
      </c>
      <c r="BD141" s="11" t="s">
        <v>101</v>
      </c>
      <c r="BE141" s="12" t="n">
        <v>734069</v>
      </c>
      <c r="BF141" s="13" t="n">
        <f aca="false">IFERROR(P141/BE141-1,"")</f>
        <v>0.0160148432912983</v>
      </c>
      <c r="BG141" s="17" t="n">
        <v>0.007</v>
      </c>
      <c r="BH141" s="17" t="n">
        <v>0.033</v>
      </c>
      <c r="BI141" s="14" t="n">
        <f aca="false">P141*(1+IFERROR(Q141,0))^4</f>
        <v>1757400.97233398</v>
      </c>
      <c r="BJ141" s="12" t="n">
        <v>-1580893</v>
      </c>
      <c r="BK141" s="11" t="s">
        <v>102</v>
      </c>
      <c r="BL141" s="11" t="s">
        <v>162</v>
      </c>
      <c r="BM141" s="14" t="n">
        <f aca="false">O141</f>
        <v>49167692</v>
      </c>
      <c r="BN141" s="11" t="s">
        <v>246</v>
      </c>
      <c r="BO141" s="13" t="n">
        <f aca="false">IFERROR(1-L141/M141,"")</f>
        <v>0.195084666039511</v>
      </c>
      <c r="BP141" s="11" t="s">
        <v>142</v>
      </c>
      <c r="BQ141" s="12" t="n">
        <v>2770815</v>
      </c>
      <c r="BR141" s="11" t="s">
        <v>88</v>
      </c>
      <c r="BS141" s="11" t="s">
        <v>89</v>
      </c>
      <c r="BT141" s="19" t="str">
        <f aca="false">IF(OR(Z141&lt;6,AH141&lt;0.9,S141&lt;0.02,AK141&lt;1),"REVIEW",IF(AND(S141&gt;0.25,AH141&gt;1.2),"ACCELERATING","STABLE"))</f>
        <v>STABLE</v>
      </c>
    </row>
    <row r="142" customFormat="false" ht="15" hidden="false" customHeight="false" outlineLevel="0" collapsed="false">
      <c r="A142" s="3" t="s">
        <v>247</v>
      </c>
      <c r="B142" s="3" t="s">
        <v>73</v>
      </c>
      <c r="C142" s="3" t="s">
        <v>74</v>
      </c>
      <c r="D142" s="3" t="s">
        <v>115</v>
      </c>
      <c r="E142" s="3" t="s">
        <v>105</v>
      </c>
      <c r="F142" s="3" t="s">
        <v>248</v>
      </c>
      <c r="G142" s="3" t="s">
        <v>78</v>
      </c>
      <c r="H142" s="3" t="s">
        <v>79</v>
      </c>
      <c r="I142" s="3" t="s">
        <v>78</v>
      </c>
      <c r="J142" s="4" t="n">
        <v>3776000</v>
      </c>
      <c r="K142" s="5" t="n">
        <f aca="false">IFERROR(J142/M142,"")</f>
        <v>0.19132549655452</v>
      </c>
      <c r="L142" s="4" t="n">
        <v>15960000</v>
      </c>
      <c r="M142" s="6" t="n">
        <f aca="false">L142+J142</f>
        <v>19736000</v>
      </c>
      <c r="N142" s="4" t="n">
        <v>7907000</v>
      </c>
      <c r="O142" s="4" t="n">
        <v>17942727</v>
      </c>
      <c r="P142" s="4" t="n">
        <v>1205148</v>
      </c>
      <c r="Q142" s="7"/>
      <c r="R142" s="4" t="n">
        <v>1262525</v>
      </c>
      <c r="S142" s="7"/>
      <c r="T142" s="4" t="n">
        <v>867064</v>
      </c>
      <c r="U142" s="5" t="n">
        <f aca="false">IFERROR(T142/P142,"")</f>
        <v>0.719466820672648</v>
      </c>
      <c r="V142" s="6" t="n">
        <f aca="false">T142-AV142</f>
        <v>-1396291</v>
      </c>
      <c r="W142" s="6" t="n">
        <f aca="false">V142-AA142*0.1</f>
        <v>-1396291</v>
      </c>
      <c r="X142" s="4" t="n">
        <v>4078230</v>
      </c>
      <c r="Y142" s="4" t="n">
        <v>118300</v>
      </c>
      <c r="Z142" s="8" t="n">
        <f aca="false">IFERROR(X142/Y142,"")</f>
        <v>34.4736263736264</v>
      </c>
      <c r="AA142" s="4" t="n">
        <v>0</v>
      </c>
      <c r="AB142" s="6" t="n">
        <f aca="false">W142-0.02*P142</f>
        <v>-1420393.96</v>
      </c>
      <c r="AC142" s="9" t="n">
        <v>11</v>
      </c>
      <c r="AD142" s="7"/>
      <c r="AE142" s="7" t="n">
        <v>0.101</v>
      </c>
      <c r="AF142" s="7" t="n">
        <v>0.072</v>
      </c>
      <c r="AG142" s="5" t="n">
        <f aca="false">1-AF142</f>
        <v>0.928</v>
      </c>
      <c r="AH142" s="7" t="n">
        <v>1.065</v>
      </c>
      <c r="AI142" s="4" t="n">
        <v>89040</v>
      </c>
      <c r="AJ142" s="6" t="n">
        <f aca="false">IFERROR(AM142*U142*MIN(1/AE142,5),"")</f>
        <v>161880.034651346</v>
      </c>
      <c r="AK142" s="10" t="n">
        <f aca="false">IFERROR(AJ142/AI142,"")</f>
        <v>1.81805968835743</v>
      </c>
      <c r="AL142" s="8" t="n">
        <f aca="false">IFERROR(AI142/(AM142*U142/12),"")</f>
        <v>33.0022168052185</v>
      </c>
      <c r="AM142" s="4" t="n">
        <v>45000</v>
      </c>
      <c r="AN142" s="4" t="n">
        <v>1881928</v>
      </c>
      <c r="AO142" s="4" t="n">
        <v>3960233</v>
      </c>
      <c r="AP142" s="7" t="n">
        <v>0.346</v>
      </c>
      <c r="AQ142" s="9" t="n">
        <v>54</v>
      </c>
      <c r="AR142" s="9" t="n">
        <v>2</v>
      </c>
      <c r="AS142" s="7"/>
      <c r="AT142" s="3" t="s">
        <v>134</v>
      </c>
      <c r="AU142" s="6" t="n">
        <f aca="false">IFERROR(P142/AR142,"")</f>
        <v>602574</v>
      </c>
      <c r="AV142" s="4" t="n">
        <v>2263355</v>
      </c>
      <c r="AW142" s="4" t="n">
        <v>1079990</v>
      </c>
      <c r="AX142" s="4" t="n">
        <v>593811</v>
      </c>
      <c r="AY142" s="9" t="n">
        <v>638</v>
      </c>
      <c r="AZ142" s="7"/>
      <c r="BA142" s="7" t="n">
        <v>0.921</v>
      </c>
      <c r="BB142" s="3" t="s">
        <v>107</v>
      </c>
      <c r="BC142" s="3" t="s">
        <v>108</v>
      </c>
      <c r="BD142" s="3" t="s">
        <v>83</v>
      </c>
      <c r="BE142" s="4" t="n">
        <v>1301569</v>
      </c>
      <c r="BF142" s="5" t="n">
        <f aca="false">IFERROR(P142/BE142-1,"")</f>
        <v>-0.0740805904258629</v>
      </c>
      <c r="BG142" s="7" t="n">
        <v>-0.054</v>
      </c>
      <c r="BH142" s="7" t="n">
        <v>-0.055</v>
      </c>
      <c r="BI142" s="6" t="n">
        <f aca="false">P142</f>
        <v>1205148</v>
      </c>
      <c r="BJ142" s="4" t="n">
        <v>-849200</v>
      </c>
      <c r="BK142" s="3" t="s">
        <v>110</v>
      </c>
      <c r="BL142" s="3" t="s">
        <v>111</v>
      </c>
      <c r="BM142" s="6" t="n">
        <f aca="false">O142</f>
        <v>17942727</v>
      </c>
      <c r="BN142" s="3" t="s">
        <v>249</v>
      </c>
      <c r="BO142" s="5" t="n">
        <f aca="false">IFERROR(1-L142/M142,"")</f>
        <v>0.19132549655452</v>
      </c>
      <c r="BP142" s="3" t="s">
        <v>198</v>
      </c>
      <c r="BQ142" s="4" t="n">
        <v>2071371</v>
      </c>
      <c r="BR142" s="3" t="s">
        <v>88</v>
      </c>
      <c r="BS142" s="3" t="s">
        <v>89</v>
      </c>
      <c r="BT142" s="3" t="s">
        <v>90</v>
      </c>
    </row>
    <row r="143" customFormat="false" ht="15" hidden="false" customHeight="false" outlineLevel="0" collapsed="false">
      <c r="A143" s="11" t="s">
        <v>247</v>
      </c>
      <c r="B143" s="11" t="s">
        <v>91</v>
      </c>
      <c r="C143" s="11" t="s">
        <v>74</v>
      </c>
      <c r="D143" s="11" t="s">
        <v>115</v>
      </c>
      <c r="E143" s="11" t="s">
        <v>105</v>
      </c>
      <c r="F143" s="11" t="s">
        <v>248</v>
      </c>
      <c r="G143" s="11" t="s">
        <v>78</v>
      </c>
      <c r="H143" s="11" t="s">
        <v>79</v>
      </c>
      <c r="I143" s="11" t="s">
        <v>78</v>
      </c>
      <c r="J143" s="12" t="n">
        <v>3776000</v>
      </c>
      <c r="K143" s="13" t="n">
        <f aca="false">IFERROR(J143/M143,"")</f>
        <v>0.19132549655452</v>
      </c>
      <c r="L143" s="12" t="n">
        <v>15960000</v>
      </c>
      <c r="M143" s="14" t="n">
        <f aca="false">L143+J143</f>
        <v>19736000</v>
      </c>
      <c r="N143" s="12" t="n">
        <v>7907000</v>
      </c>
      <c r="O143" s="12" t="n">
        <v>17942727</v>
      </c>
      <c r="P143" s="12" t="n">
        <v>1314971</v>
      </c>
      <c r="Q143" s="13" t="n">
        <f aca="false">IFERROR(P143/P142-1,"")</f>
        <v>0.0911282265746614</v>
      </c>
      <c r="R143" s="12" t="n">
        <v>1592247</v>
      </c>
      <c r="S143" s="13" t="n">
        <f aca="false">IFERROR(R143/R142-1,"")</f>
        <v>0.261160769093681</v>
      </c>
      <c r="T143" s="12" t="n">
        <v>949908</v>
      </c>
      <c r="U143" s="13" t="n">
        <f aca="false">IFERROR(T143/P143,"")</f>
        <v>0.722379428899953</v>
      </c>
      <c r="V143" s="14" t="n">
        <f aca="false">T143-AV143</f>
        <v>-1353054</v>
      </c>
      <c r="W143" s="14" t="n">
        <f aca="false">V143-AA143*0.1</f>
        <v>-1353054</v>
      </c>
      <c r="X143" s="12" t="n">
        <v>3779880</v>
      </c>
      <c r="Y143" s="12" t="n">
        <v>122200</v>
      </c>
      <c r="Z143" s="15" t="n">
        <f aca="false">IFERROR(X143/Y143,"")</f>
        <v>30.931914893617</v>
      </c>
      <c r="AA143" s="12" t="n">
        <v>0</v>
      </c>
      <c r="AB143" s="14" t="n">
        <f aca="false">W143-0.02*P143</f>
        <v>-1379353.42</v>
      </c>
      <c r="AC143" s="16" t="n">
        <v>12</v>
      </c>
      <c r="AD143" s="13" t="n">
        <f aca="false">IFERROR(AC143/AC142-1,"")</f>
        <v>0.0909090909090908</v>
      </c>
      <c r="AE143" s="17" t="n">
        <v>0.099</v>
      </c>
      <c r="AF143" s="17" t="n">
        <v>0.1</v>
      </c>
      <c r="AG143" s="13" t="n">
        <f aca="false">1-AF143</f>
        <v>0.9</v>
      </c>
      <c r="AH143" s="17" t="n">
        <v>1.06</v>
      </c>
      <c r="AI143" s="12" t="n">
        <v>87360</v>
      </c>
      <c r="AJ143" s="14" t="n">
        <f aca="false">IFERROR(AM143*U143*MIN(1/AE143,5),"")</f>
        <v>165786.078932539</v>
      </c>
      <c r="AK143" s="18" t="n">
        <f aca="false">IFERROR(AJ143/AI143,"")</f>
        <v>1.89773442001533</v>
      </c>
      <c r="AL143" s="15" t="n">
        <f aca="false">IFERROR(AI143/(AM143*U143/12),"")</f>
        <v>31.6166473913222</v>
      </c>
      <c r="AM143" s="12" t="n">
        <v>45900</v>
      </c>
      <c r="AN143" s="12" t="n">
        <v>2254201</v>
      </c>
      <c r="AO143" s="12" t="n">
        <v>3182675</v>
      </c>
      <c r="AP143" s="17" t="n">
        <v>0.346</v>
      </c>
      <c r="AQ143" s="16" t="n">
        <v>54</v>
      </c>
      <c r="AR143" s="16" t="n">
        <v>2</v>
      </c>
      <c r="AS143" s="13" t="n">
        <f aca="false">IFERROR(AR143/AR142-1,"")</f>
        <v>0</v>
      </c>
      <c r="AT143" s="11" t="s">
        <v>134</v>
      </c>
      <c r="AU143" s="14" t="n">
        <f aca="false">IFERROR(P143/AR143,"")</f>
        <v>657485.5</v>
      </c>
      <c r="AV143" s="12" t="n">
        <v>2302962</v>
      </c>
      <c r="AW143" s="12" t="n">
        <v>971289</v>
      </c>
      <c r="AX143" s="12" t="n">
        <v>563515</v>
      </c>
      <c r="AY143" s="16" t="n">
        <v>771</v>
      </c>
      <c r="AZ143" s="13" t="n">
        <f aca="false">IFERROR(AY143/AY142-1,"")</f>
        <v>0.20846394984326</v>
      </c>
      <c r="BA143" s="17" t="n">
        <v>0.902</v>
      </c>
      <c r="BB143" s="11" t="s">
        <v>107</v>
      </c>
      <c r="BC143" s="11" t="s">
        <v>108</v>
      </c>
      <c r="BD143" s="11" t="s">
        <v>83</v>
      </c>
      <c r="BE143" s="12" t="n">
        <v>1254116</v>
      </c>
      <c r="BF143" s="13" t="n">
        <f aca="false">IFERROR(P143/BE143-1,"")</f>
        <v>0.0485242194501945</v>
      </c>
      <c r="BG143" s="17" t="n">
        <v>0.055</v>
      </c>
      <c r="BH143" s="17" t="n">
        <v>0.033</v>
      </c>
      <c r="BI143" s="14" t="n">
        <f aca="false">P143*(1+IFERROR(Q143,0))^4</f>
        <v>1863885.96508663</v>
      </c>
      <c r="BJ143" s="12" t="n">
        <v>-1061426</v>
      </c>
      <c r="BK143" s="11" t="s">
        <v>110</v>
      </c>
      <c r="BL143" s="11" t="s">
        <v>111</v>
      </c>
      <c r="BM143" s="14" t="n">
        <f aca="false">O143</f>
        <v>17942727</v>
      </c>
      <c r="BN143" s="11" t="s">
        <v>249</v>
      </c>
      <c r="BO143" s="13" t="n">
        <f aca="false">IFERROR(1-L143/M143,"")</f>
        <v>0.19132549655452</v>
      </c>
      <c r="BP143" s="11" t="s">
        <v>198</v>
      </c>
      <c r="BQ143" s="12" t="n">
        <v>2037513</v>
      </c>
      <c r="BR143" s="11" t="s">
        <v>88</v>
      </c>
      <c r="BS143" s="11" t="s">
        <v>89</v>
      </c>
      <c r="BT143" s="19" t="str">
        <f aca="false">IF(OR(Z143&lt;6,AH143&lt;0.9,S143&lt;0.02,AK143&lt;1),"REVIEW",IF(AND(S143&gt;0.25,AH143&gt;1.2),"ACCELERATING","STABLE"))</f>
        <v>STABLE</v>
      </c>
    </row>
    <row r="144" customFormat="false" ht="15" hidden="false" customHeight="false" outlineLevel="0" collapsed="false">
      <c r="A144" s="11" t="s">
        <v>247</v>
      </c>
      <c r="B144" s="11" t="s">
        <v>92</v>
      </c>
      <c r="C144" s="11" t="s">
        <v>74</v>
      </c>
      <c r="D144" s="11" t="s">
        <v>115</v>
      </c>
      <c r="E144" s="11" t="s">
        <v>105</v>
      </c>
      <c r="F144" s="11" t="s">
        <v>248</v>
      </c>
      <c r="G144" s="11" t="s">
        <v>78</v>
      </c>
      <c r="H144" s="11" t="s">
        <v>79</v>
      </c>
      <c r="I144" s="11" t="s">
        <v>78</v>
      </c>
      <c r="J144" s="12" t="n">
        <v>3776000</v>
      </c>
      <c r="K144" s="13" t="n">
        <f aca="false">IFERROR(J144/M144,"")</f>
        <v>0.19132549655452</v>
      </c>
      <c r="L144" s="12" t="n">
        <v>15960000</v>
      </c>
      <c r="M144" s="14" t="n">
        <f aca="false">L144+J144</f>
        <v>19736000</v>
      </c>
      <c r="N144" s="12" t="n">
        <v>7907000</v>
      </c>
      <c r="O144" s="12" t="n">
        <v>17942727</v>
      </c>
      <c r="P144" s="12" t="n">
        <v>1688299</v>
      </c>
      <c r="Q144" s="13" t="n">
        <f aca="false">IFERROR(P144/P143-1,"")</f>
        <v>0.283905880814102</v>
      </c>
      <c r="R144" s="12" t="n">
        <v>1794040</v>
      </c>
      <c r="S144" s="13" t="n">
        <f aca="false">IFERROR(R144/R143-1,"")</f>
        <v>0.126734733995417</v>
      </c>
      <c r="T144" s="12" t="n">
        <v>1224511</v>
      </c>
      <c r="U144" s="13" t="n">
        <f aca="false">IFERROR(T144/P144,"")</f>
        <v>0.72529273546925</v>
      </c>
      <c r="V144" s="14" t="n">
        <f aca="false">T144-AV144</f>
        <v>-1247221</v>
      </c>
      <c r="W144" s="14" t="n">
        <f aca="false">V144-AA144*0.1</f>
        <v>-1247221</v>
      </c>
      <c r="X144" s="12" t="n">
        <v>3460470</v>
      </c>
      <c r="Y144" s="12" t="n">
        <v>126100</v>
      </c>
      <c r="Z144" s="15" t="n">
        <f aca="false">IFERROR(X144/Y144,"")</f>
        <v>27.4422680412371</v>
      </c>
      <c r="AA144" s="12" t="n">
        <v>0</v>
      </c>
      <c r="AB144" s="14" t="n">
        <f aca="false">W144-0.02*P144</f>
        <v>-1280986.98</v>
      </c>
      <c r="AC144" s="16" t="n">
        <v>13</v>
      </c>
      <c r="AD144" s="13" t="n">
        <f aca="false">IFERROR(AC144/AC143-1,"")</f>
        <v>0.0833333333333333</v>
      </c>
      <c r="AE144" s="17" t="n">
        <v>0.096</v>
      </c>
      <c r="AF144" s="17" t="n">
        <v>0.105</v>
      </c>
      <c r="AG144" s="13" t="n">
        <f aca="false">1-AF144</f>
        <v>0.895</v>
      </c>
      <c r="AH144" s="17" t="n">
        <v>1.055</v>
      </c>
      <c r="AI144" s="12" t="n">
        <v>85680</v>
      </c>
      <c r="AJ144" s="14" t="n">
        <f aca="false">IFERROR(AM144*U144*MIN(1/AE144,5),"")</f>
        <v>169718.500099805</v>
      </c>
      <c r="AK144" s="18" t="n">
        <f aca="false">IFERROR(AJ144/AI144,"")</f>
        <v>1.98084150443283</v>
      </c>
      <c r="AL144" s="15" t="n">
        <f aca="false">IFERROR(AI144/(AM144*U144/12),"")</f>
        <v>30.2901569185263</v>
      </c>
      <c r="AM144" s="12" t="n">
        <v>46800</v>
      </c>
      <c r="AN144" s="12" t="n">
        <v>2252261</v>
      </c>
      <c r="AO144" s="12" t="n">
        <v>3178752</v>
      </c>
      <c r="AP144" s="17" t="n">
        <v>0.346</v>
      </c>
      <c r="AQ144" s="16" t="n">
        <v>54</v>
      </c>
      <c r="AR144" s="16" t="n">
        <v>2</v>
      </c>
      <c r="AS144" s="13" t="n">
        <f aca="false">IFERROR(AR144/AR143-1,"")</f>
        <v>0</v>
      </c>
      <c r="AT144" s="11" t="s">
        <v>134</v>
      </c>
      <c r="AU144" s="14" t="n">
        <f aca="false">IFERROR(P144/AR144,"")</f>
        <v>844149.5</v>
      </c>
      <c r="AV144" s="12" t="n">
        <v>2471732</v>
      </c>
      <c r="AW144" s="12" t="n">
        <v>999481</v>
      </c>
      <c r="AX144" s="12" t="n">
        <v>765261</v>
      </c>
      <c r="AY144" s="16" t="n">
        <v>868</v>
      </c>
      <c r="AZ144" s="13" t="n">
        <f aca="false">IFERROR(AY144/AY143-1,"")</f>
        <v>0.125810635538262</v>
      </c>
      <c r="BA144" s="17" t="n">
        <v>0.899</v>
      </c>
      <c r="BB144" s="11" t="s">
        <v>107</v>
      </c>
      <c r="BC144" s="11" t="s">
        <v>108</v>
      </c>
      <c r="BD144" s="11" t="s">
        <v>83</v>
      </c>
      <c r="BE144" s="12" t="n">
        <v>2106972</v>
      </c>
      <c r="BF144" s="13" t="n">
        <f aca="false">IFERROR(P144/BE144-1,"")</f>
        <v>-0.19870838340519</v>
      </c>
      <c r="BG144" s="17" t="n">
        <v>-0.005</v>
      </c>
      <c r="BH144" s="17" t="n">
        <v>0.002</v>
      </c>
      <c r="BI144" s="14" t="n">
        <f aca="false">P144*(1+IFERROR(Q144,0))^4</f>
        <v>4587563.78479604</v>
      </c>
      <c r="BJ144" s="12" t="n">
        <v>-1326270</v>
      </c>
      <c r="BK144" s="11" t="s">
        <v>110</v>
      </c>
      <c r="BL144" s="11" t="s">
        <v>111</v>
      </c>
      <c r="BM144" s="14" t="n">
        <f aca="false">O144</f>
        <v>17942727</v>
      </c>
      <c r="BN144" s="11" t="s">
        <v>249</v>
      </c>
      <c r="BO144" s="13" t="n">
        <f aca="false">IFERROR(1-L144/M144,"")</f>
        <v>0.19132549655452</v>
      </c>
      <c r="BP144" s="11" t="s">
        <v>198</v>
      </c>
      <c r="BQ144" s="12" t="n">
        <v>1635819</v>
      </c>
      <c r="BR144" s="11" t="s">
        <v>88</v>
      </c>
      <c r="BS144" s="11" t="s">
        <v>89</v>
      </c>
      <c r="BT144" s="19" t="str">
        <f aca="false">IF(OR(Z144&lt;6,AH144&lt;0.9,S144&lt;0.02,AK144&lt;1),"REVIEW",IF(AND(S144&gt;0.25,AH144&gt;1.2),"ACCELERATING","STABLE"))</f>
        <v>STABLE</v>
      </c>
    </row>
    <row r="145" customFormat="false" ht="15" hidden="false" customHeight="false" outlineLevel="0" collapsed="false">
      <c r="A145" s="11" t="s">
        <v>247</v>
      </c>
      <c r="B145" s="11" t="s">
        <v>93</v>
      </c>
      <c r="C145" s="11" t="s">
        <v>74</v>
      </c>
      <c r="D145" s="11" t="s">
        <v>115</v>
      </c>
      <c r="E145" s="11" t="s">
        <v>105</v>
      </c>
      <c r="F145" s="11" t="s">
        <v>248</v>
      </c>
      <c r="G145" s="11" t="s">
        <v>78</v>
      </c>
      <c r="H145" s="11" t="s">
        <v>79</v>
      </c>
      <c r="I145" s="11" t="s">
        <v>78</v>
      </c>
      <c r="J145" s="12" t="n">
        <v>3776000</v>
      </c>
      <c r="K145" s="13" t="n">
        <f aca="false">IFERROR(J145/M145,"")</f>
        <v>0.19132549655452</v>
      </c>
      <c r="L145" s="12" t="n">
        <v>15960000</v>
      </c>
      <c r="M145" s="14" t="n">
        <f aca="false">L145+J145</f>
        <v>19736000</v>
      </c>
      <c r="N145" s="12" t="n">
        <v>7907000</v>
      </c>
      <c r="O145" s="12" t="n">
        <v>17942727</v>
      </c>
      <c r="P145" s="12" t="n">
        <v>1810312</v>
      </c>
      <c r="Q145" s="13" t="n">
        <f aca="false">IFERROR(P145/P144-1,"")</f>
        <v>0.0722697815967432</v>
      </c>
      <c r="R145" s="12" t="n">
        <v>2218658</v>
      </c>
      <c r="S145" s="13" t="n">
        <f aca="false">IFERROR(R145/R144-1,"")</f>
        <v>0.23668257118013</v>
      </c>
      <c r="T145" s="12" t="n">
        <v>1318279</v>
      </c>
      <c r="U145" s="13" t="n">
        <f aca="false">IFERROR(T145/P145,"")</f>
        <v>0.728205414315323</v>
      </c>
      <c r="V145" s="14" t="n">
        <f aca="false">T145-AV145</f>
        <v>-1204505</v>
      </c>
      <c r="W145" s="14" t="n">
        <f aca="false">V145-AA145*0.1</f>
        <v>-1204505</v>
      </c>
      <c r="X145" s="12" t="n">
        <v>3120000</v>
      </c>
      <c r="Y145" s="12" t="n">
        <v>130000</v>
      </c>
      <c r="Z145" s="15" t="n">
        <f aca="false">IFERROR(X145/Y145,"")</f>
        <v>24</v>
      </c>
      <c r="AA145" s="12" t="n">
        <v>0</v>
      </c>
      <c r="AB145" s="14" t="n">
        <f aca="false">W145-0.02*P145</f>
        <v>-1240711.24</v>
      </c>
      <c r="AC145" s="16" t="n">
        <v>15</v>
      </c>
      <c r="AD145" s="13" t="n">
        <f aca="false">IFERROR(AC145/AC144-1,"")</f>
        <v>0.153846153846154</v>
      </c>
      <c r="AE145" s="17" t="n">
        <v>0.093</v>
      </c>
      <c r="AF145" s="17" t="n">
        <v>0.056</v>
      </c>
      <c r="AG145" s="13" t="n">
        <f aca="false">1-AF145</f>
        <v>0.944</v>
      </c>
      <c r="AH145" s="17" t="n">
        <v>1.05</v>
      </c>
      <c r="AI145" s="12" t="n">
        <v>84000</v>
      </c>
      <c r="AJ145" s="14" t="n">
        <f aca="false">IFERROR(AM145*U145*MIN(1/AE145,5),"")</f>
        <v>173676.991314204</v>
      </c>
      <c r="AK145" s="18" t="n">
        <f aca="false">IFERROR(AJ145/AI145,"")</f>
        <v>2.06758322993101</v>
      </c>
      <c r="AL145" s="15" t="n">
        <f aca="false">IFERROR(AI145/(AM145*U145/12),"")</f>
        <v>29.0193880137063</v>
      </c>
      <c r="AM145" s="12" t="n">
        <v>47700</v>
      </c>
      <c r="AN145" s="12" t="n">
        <v>3077878</v>
      </c>
      <c r="AO145" s="12" t="n">
        <v>4667470</v>
      </c>
      <c r="AP145" s="17" t="n">
        <v>0.346</v>
      </c>
      <c r="AQ145" s="16" t="n">
        <v>54</v>
      </c>
      <c r="AR145" s="16" t="n">
        <v>2</v>
      </c>
      <c r="AS145" s="13" t="n">
        <f aca="false">IFERROR(AR145/AR144-1,"")</f>
        <v>0</v>
      </c>
      <c r="AT145" s="11" t="s">
        <v>134</v>
      </c>
      <c r="AU145" s="14" t="n">
        <f aca="false">IFERROR(P145/AR145,"")</f>
        <v>905156</v>
      </c>
      <c r="AV145" s="12" t="n">
        <v>2522784</v>
      </c>
      <c r="AW145" s="12" t="n">
        <v>935029</v>
      </c>
      <c r="AX145" s="12" t="n">
        <v>457741</v>
      </c>
      <c r="AY145" s="16" t="n">
        <v>1012</v>
      </c>
      <c r="AZ145" s="13" t="n">
        <f aca="false">IFERROR(AY145/AY144-1,"")</f>
        <v>0.165898617511521</v>
      </c>
      <c r="BA145" s="17" t="n">
        <v>0.91</v>
      </c>
      <c r="BB145" s="11" t="s">
        <v>107</v>
      </c>
      <c r="BC145" s="11" t="s">
        <v>108</v>
      </c>
      <c r="BD145" s="11" t="s">
        <v>83</v>
      </c>
      <c r="BE145" s="12" t="n">
        <v>1990165</v>
      </c>
      <c r="BF145" s="13" t="n">
        <f aca="false">IFERROR(P145/BE145-1,"")</f>
        <v>-0.0903708988953177</v>
      </c>
      <c r="BG145" s="17" t="n">
        <v>-0.054</v>
      </c>
      <c r="BH145" s="17" t="n">
        <v>0.033</v>
      </c>
      <c r="BI145" s="14" t="n">
        <f aca="false">P145*(1+IFERROR(Q145,0))^4</f>
        <v>2393148.77476488</v>
      </c>
      <c r="BJ145" s="12" t="n">
        <v>-1172060</v>
      </c>
      <c r="BK145" s="11" t="s">
        <v>110</v>
      </c>
      <c r="BL145" s="11" t="s">
        <v>111</v>
      </c>
      <c r="BM145" s="14" t="n">
        <f aca="false">O145</f>
        <v>17942727</v>
      </c>
      <c r="BN145" s="11" t="s">
        <v>249</v>
      </c>
      <c r="BO145" s="13" t="n">
        <f aca="false">IFERROR(1-L145/M145,"")</f>
        <v>0.19132549655452</v>
      </c>
      <c r="BP145" s="11" t="s">
        <v>198</v>
      </c>
      <c r="BQ145" s="12" t="n">
        <v>2162949</v>
      </c>
      <c r="BR145" s="11" t="s">
        <v>88</v>
      </c>
      <c r="BS145" s="11" t="s">
        <v>89</v>
      </c>
      <c r="BT145" s="19" t="str">
        <f aca="false">IF(OR(Z145&lt;6,AH145&lt;0.9,S145&lt;0.02,AK145&lt;1),"REVIEW",IF(AND(S145&gt;0.25,AH145&gt;1.2),"ACCELERATING","STABLE"))</f>
        <v>STABLE</v>
      </c>
    </row>
    <row r="146" customFormat="false" ht="15" hidden="false" customHeight="false" outlineLevel="0" collapsed="false">
      <c r="A146" s="3" t="s">
        <v>250</v>
      </c>
      <c r="B146" s="3" t="s">
        <v>73</v>
      </c>
      <c r="C146" s="3" t="s">
        <v>74</v>
      </c>
      <c r="D146" s="3" t="s">
        <v>132</v>
      </c>
      <c r="E146" s="3" t="s">
        <v>105</v>
      </c>
      <c r="F146" s="3" t="s">
        <v>251</v>
      </c>
      <c r="G146" s="3" t="s">
        <v>78</v>
      </c>
      <c r="H146" s="3" t="s">
        <v>79</v>
      </c>
      <c r="I146" s="3" t="s">
        <v>78</v>
      </c>
      <c r="J146" s="4" t="n">
        <v>2710000</v>
      </c>
      <c r="K146" s="5" t="n">
        <f aca="false">IFERROR(J146/M146,"")</f>
        <v>0.135581348809286</v>
      </c>
      <c r="L146" s="4" t="n">
        <v>17278000</v>
      </c>
      <c r="M146" s="6" t="n">
        <f aca="false">L146+J146</f>
        <v>19988000</v>
      </c>
      <c r="N146" s="4" t="n">
        <v>4819000</v>
      </c>
      <c r="O146" s="4" t="n">
        <v>36875409</v>
      </c>
      <c r="P146" s="4" t="n">
        <v>943790</v>
      </c>
      <c r="Q146" s="7"/>
      <c r="R146" s="4" t="n">
        <v>1029156</v>
      </c>
      <c r="S146" s="7"/>
      <c r="T146" s="4" t="n">
        <v>682192</v>
      </c>
      <c r="U146" s="5" t="n">
        <f aca="false">IFERROR(T146/P146,"")</f>
        <v>0.722821814174763</v>
      </c>
      <c r="V146" s="6" t="n">
        <f aca="false">T146-AV146</f>
        <v>-1019075</v>
      </c>
      <c r="W146" s="6" t="n">
        <f aca="false">V146-AA146*0.1</f>
        <v>-1019075</v>
      </c>
      <c r="X146" s="4" t="n">
        <v>1041599</v>
      </c>
      <c r="Y146" s="4" t="n">
        <v>112840</v>
      </c>
      <c r="Z146" s="8" t="n">
        <f aca="false">IFERROR(X146/Y146,"")</f>
        <v>9.23076036866359</v>
      </c>
      <c r="AA146" s="4" t="n">
        <v>0</v>
      </c>
      <c r="AB146" s="6" t="n">
        <f aca="false">W146-0.02*P146</f>
        <v>-1037950.8</v>
      </c>
      <c r="AC146" s="9" t="n">
        <v>21</v>
      </c>
      <c r="AD146" s="7"/>
      <c r="AE146" s="7" t="n">
        <v>0.057</v>
      </c>
      <c r="AF146" s="7" t="n">
        <v>0.041</v>
      </c>
      <c r="AG146" s="5" t="n">
        <f aca="false">1-AF146</f>
        <v>0.959</v>
      </c>
      <c r="AH146" s="7" t="n">
        <v>1.256</v>
      </c>
      <c r="AI146" s="4" t="n">
        <v>34026</v>
      </c>
      <c r="AJ146" s="6" t="n">
        <f aca="false">IFERROR(AM146*U146*MIN(1/AE146,5),"")</f>
        <v>140950.253764079</v>
      </c>
      <c r="AK146" s="10" t="n">
        <f aca="false">IFERROR(AJ146/AI146,"")</f>
        <v>4.14242795991533</v>
      </c>
      <c r="AL146" s="8" t="n">
        <f aca="false">IFERROR(AI146/(AM146*U146/12),"")</f>
        <v>14.4842591302967</v>
      </c>
      <c r="AM146" s="4" t="n">
        <v>39000</v>
      </c>
      <c r="AN146" s="4" t="n">
        <v>1246376</v>
      </c>
      <c r="AO146" s="4" t="n">
        <v>3111650</v>
      </c>
      <c r="AP146" s="7" t="n">
        <v>0.241</v>
      </c>
      <c r="AQ146" s="9" t="n">
        <v>39</v>
      </c>
      <c r="AR146" s="9" t="n">
        <v>3</v>
      </c>
      <c r="AS146" s="7"/>
      <c r="AT146" s="3" t="s">
        <v>153</v>
      </c>
      <c r="AU146" s="6" t="n">
        <f aca="false">IFERROR(P146/AR146,"")</f>
        <v>314596.666666667</v>
      </c>
      <c r="AV146" s="4" t="n">
        <v>1701267</v>
      </c>
      <c r="AW146" s="4" t="n">
        <v>813663</v>
      </c>
      <c r="AX146" s="4" t="n">
        <v>342361</v>
      </c>
      <c r="AY146" s="9" t="n">
        <v>14829</v>
      </c>
      <c r="AZ146" s="7"/>
      <c r="BA146" s="7" t="n">
        <v>0.947</v>
      </c>
      <c r="BB146" s="3" t="s">
        <v>99</v>
      </c>
      <c r="BC146" s="3" t="s">
        <v>126</v>
      </c>
      <c r="BD146" s="3" t="s">
        <v>83</v>
      </c>
      <c r="BE146" s="4" t="n">
        <v>1038665</v>
      </c>
      <c r="BF146" s="5" t="n">
        <f aca="false">IFERROR(P146/BE146-1,"")</f>
        <v>-0.0913432146072122</v>
      </c>
      <c r="BG146" s="7" t="n">
        <v>0.022</v>
      </c>
      <c r="BH146" s="7" t="n">
        <v>0.007</v>
      </c>
      <c r="BI146" s="6" t="n">
        <f aca="false">P146</f>
        <v>943790</v>
      </c>
      <c r="BJ146" s="4" t="n">
        <v>-1154335</v>
      </c>
      <c r="BK146" s="3" t="s">
        <v>102</v>
      </c>
      <c r="BL146" s="3" t="s">
        <v>85</v>
      </c>
      <c r="BM146" s="6" t="n">
        <f aca="false">O146</f>
        <v>36875409</v>
      </c>
      <c r="BN146" s="3" t="s">
        <v>252</v>
      </c>
      <c r="BO146" s="5" t="n">
        <f aca="false">IFERROR(1-L146/M146,"")</f>
        <v>0.135581348809286</v>
      </c>
      <c r="BP146" s="3" t="s">
        <v>198</v>
      </c>
      <c r="BQ146" s="4" t="n">
        <v>1648371</v>
      </c>
      <c r="BR146" s="3" t="s">
        <v>88</v>
      </c>
      <c r="BS146" s="3" t="s">
        <v>89</v>
      </c>
      <c r="BT146" s="3" t="s">
        <v>90</v>
      </c>
    </row>
    <row r="147" customFormat="false" ht="15" hidden="false" customHeight="false" outlineLevel="0" collapsed="false">
      <c r="A147" s="11" t="s">
        <v>250</v>
      </c>
      <c r="B147" s="11" t="s">
        <v>91</v>
      </c>
      <c r="C147" s="11" t="s">
        <v>74</v>
      </c>
      <c r="D147" s="11" t="s">
        <v>132</v>
      </c>
      <c r="E147" s="11" t="s">
        <v>105</v>
      </c>
      <c r="F147" s="11" t="s">
        <v>251</v>
      </c>
      <c r="G147" s="11" t="s">
        <v>78</v>
      </c>
      <c r="H147" s="11" t="s">
        <v>79</v>
      </c>
      <c r="I147" s="11" t="s">
        <v>78</v>
      </c>
      <c r="J147" s="12" t="n">
        <v>2710000</v>
      </c>
      <c r="K147" s="13" t="n">
        <f aca="false">IFERROR(J147/M147,"")</f>
        <v>0.135581348809286</v>
      </c>
      <c r="L147" s="12" t="n">
        <v>17278000</v>
      </c>
      <c r="M147" s="14" t="n">
        <f aca="false">L147+J147</f>
        <v>19988000</v>
      </c>
      <c r="N147" s="12" t="n">
        <v>4819000</v>
      </c>
      <c r="O147" s="12" t="n">
        <v>36875409</v>
      </c>
      <c r="P147" s="12" t="n">
        <v>1277497</v>
      </c>
      <c r="Q147" s="13" t="n">
        <f aca="false">IFERROR(P147/P146-1,"")</f>
        <v>0.353581834942095</v>
      </c>
      <c r="R147" s="12" t="n">
        <v>1472963</v>
      </c>
      <c r="S147" s="13" t="n">
        <f aca="false">IFERROR(R147/R146-1,"")</f>
        <v>0.431233943153419</v>
      </c>
      <c r="T147" s="12" t="n">
        <v>927141</v>
      </c>
      <c r="U147" s="13" t="n">
        <f aca="false">IFERROR(T147/P147,"")</f>
        <v>0.725748083948534</v>
      </c>
      <c r="V147" s="14" t="n">
        <f aca="false">T147-AV147</f>
        <v>-1125789</v>
      </c>
      <c r="W147" s="14" t="n">
        <f aca="false">V147-AA147*0.1</f>
        <v>-1125789</v>
      </c>
      <c r="X147" s="12" t="n">
        <v>1339200</v>
      </c>
      <c r="Y147" s="12" t="n">
        <v>116560</v>
      </c>
      <c r="Z147" s="15" t="n">
        <f aca="false">IFERROR(X147/Y147,"")</f>
        <v>11.4893617021277</v>
      </c>
      <c r="AA147" s="12" t="n">
        <v>0</v>
      </c>
      <c r="AB147" s="14" t="n">
        <f aca="false">W147-0.02*P147</f>
        <v>-1151338.94</v>
      </c>
      <c r="AC147" s="16" t="n">
        <v>28</v>
      </c>
      <c r="AD147" s="13" t="n">
        <f aca="false">IFERROR(AC147/AC146-1,"")</f>
        <v>0.333333333333333</v>
      </c>
      <c r="AE147" s="17" t="n">
        <v>0.055</v>
      </c>
      <c r="AF147" s="17" t="n">
        <v>0.05</v>
      </c>
      <c r="AG147" s="13" t="n">
        <f aca="false">1-AF147</f>
        <v>0.95</v>
      </c>
      <c r="AH147" s="17" t="n">
        <v>1.286</v>
      </c>
      <c r="AI147" s="12" t="n">
        <v>33384</v>
      </c>
      <c r="AJ147" s="14" t="n">
        <f aca="false">IFERROR(AM147*U147*MIN(1/AE147,5),"")</f>
        <v>144351.293897363</v>
      </c>
      <c r="AK147" s="18" t="n">
        <f aca="false">IFERROR(AJ147/AI147,"")</f>
        <v>4.32396638801112</v>
      </c>
      <c r="AL147" s="15" t="n">
        <f aca="false">IFERROR(AI147/(AM147*U147/12),"")</f>
        <v>13.8761485672875</v>
      </c>
      <c r="AM147" s="12" t="n">
        <v>39780</v>
      </c>
      <c r="AN147" s="12" t="n">
        <v>1714969</v>
      </c>
      <c r="AO147" s="12" t="n">
        <v>4583835</v>
      </c>
      <c r="AP147" s="17" t="n">
        <v>0.241</v>
      </c>
      <c r="AQ147" s="16" t="n">
        <v>39</v>
      </c>
      <c r="AR147" s="16" t="n">
        <v>3</v>
      </c>
      <c r="AS147" s="13" t="n">
        <f aca="false">IFERROR(AR147/AR146-1,"")</f>
        <v>0</v>
      </c>
      <c r="AT147" s="11" t="s">
        <v>153</v>
      </c>
      <c r="AU147" s="14" t="n">
        <f aca="false">IFERROR(P147/AR147,"")</f>
        <v>425832.333333333</v>
      </c>
      <c r="AV147" s="12" t="n">
        <v>2052930</v>
      </c>
      <c r="AW147" s="12" t="n">
        <v>752340</v>
      </c>
      <c r="AX147" s="12" t="n">
        <v>501837</v>
      </c>
      <c r="AY147" s="16" t="n">
        <v>20210</v>
      </c>
      <c r="AZ147" s="13" t="n">
        <f aca="false">IFERROR(AY147/AY146-1,"")</f>
        <v>0.362870051925281</v>
      </c>
      <c r="BA147" s="17" t="n">
        <v>0.959</v>
      </c>
      <c r="BB147" s="11" t="s">
        <v>99</v>
      </c>
      <c r="BC147" s="11" t="s">
        <v>126</v>
      </c>
      <c r="BD147" s="11" t="s">
        <v>83</v>
      </c>
      <c r="BE147" s="12" t="n">
        <v>1206167</v>
      </c>
      <c r="BF147" s="13" t="n">
        <f aca="false">IFERROR(P147/BE147-1,"")</f>
        <v>0.0591377479237949</v>
      </c>
      <c r="BG147" s="17" t="n">
        <v>0.039</v>
      </c>
      <c r="BH147" s="17" t="n">
        <v>0.025</v>
      </c>
      <c r="BI147" s="14" t="n">
        <f aca="false">P147*(1+IFERROR(Q147,0))^4</f>
        <v>4288426.38071578</v>
      </c>
      <c r="BJ147" s="12" t="n">
        <v>-803517</v>
      </c>
      <c r="BK147" s="11" t="s">
        <v>102</v>
      </c>
      <c r="BL147" s="11" t="s">
        <v>85</v>
      </c>
      <c r="BM147" s="14" t="n">
        <f aca="false">O147</f>
        <v>36875409</v>
      </c>
      <c r="BN147" s="11" t="s">
        <v>252</v>
      </c>
      <c r="BO147" s="13" t="n">
        <f aca="false">IFERROR(1-L147/M147,"")</f>
        <v>0.135581348809286</v>
      </c>
      <c r="BP147" s="11" t="s">
        <v>198</v>
      </c>
      <c r="BQ147" s="12" t="n">
        <v>2220864</v>
      </c>
      <c r="BR147" s="11" t="s">
        <v>88</v>
      </c>
      <c r="BS147" s="11" t="s">
        <v>89</v>
      </c>
      <c r="BT147" s="19" t="str">
        <f aca="false">IF(OR(Z147&lt;6,AH147&lt;0.9,S147&lt;0.02,AK147&lt;1),"REVIEW",IF(AND(S147&gt;0.25,AH147&gt;1.2),"ACCELERATING","STABLE"))</f>
        <v>ACCELERATING</v>
      </c>
    </row>
    <row r="148" customFormat="false" ht="15" hidden="false" customHeight="false" outlineLevel="0" collapsed="false">
      <c r="A148" s="11" t="s">
        <v>250</v>
      </c>
      <c r="B148" s="11" t="s">
        <v>92</v>
      </c>
      <c r="C148" s="11" t="s">
        <v>74</v>
      </c>
      <c r="D148" s="11" t="s">
        <v>132</v>
      </c>
      <c r="E148" s="11" t="s">
        <v>105</v>
      </c>
      <c r="F148" s="11" t="s">
        <v>251</v>
      </c>
      <c r="G148" s="11" t="s">
        <v>78</v>
      </c>
      <c r="H148" s="11" t="s">
        <v>79</v>
      </c>
      <c r="I148" s="11" t="s">
        <v>78</v>
      </c>
      <c r="J148" s="12" t="n">
        <v>2710000</v>
      </c>
      <c r="K148" s="13" t="n">
        <f aca="false">IFERROR(J148/M148,"")</f>
        <v>0.135581348809286</v>
      </c>
      <c r="L148" s="12" t="n">
        <v>17278000</v>
      </c>
      <c r="M148" s="14" t="n">
        <f aca="false">L148+J148</f>
        <v>19988000</v>
      </c>
      <c r="N148" s="12" t="n">
        <v>4819000</v>
      </c>
      <c r="O148" s="12" t="n">
        <v>36875409</v>
      </c>
      <c r="P148" s="12" t="n">
        <v>1762232</v>
      </c>
      <c r="Q148" s="13" t="n">
        <f aca="false">IFERROR(P148/P147-1,"")</f>
        <v>0.379441204167211</v>
      </c>
      <c r="R148" s="12" t="n">
        <v>1978254</v>
      </c>
      <c r="S148" s="13" t="n">
        <f aca="false">IFERROR(R148/R147-1,"")</f>
        <v>0.34304391895791</v>
      </c>
      <c r="T148" s="12" t="n">
        <v>1284093</v>
      </c>
      <c r="U148" s="13" t="n">
        <f aca="false">IFERROR(T148/P148,"")</f>
        <v>0.728674204077556</v>
      </c>
      <c r="V148" s="14" t="n">
        <f aca="false">T148-AV148</f>
        <v>-1119533</v>
      </c>
      <c r="W148" s="14" t="n">
        <f aca="false">V148-AA148*0.1</f>
        <v>-1119533</v>
      </c>
      <c r="X148" s="12" t="n">
        <v>1636800</v>
      </c>
      <c r="Y148" s="12" t="n">
        <v>120280</v>
      </c>
      <c r="Z148" s="15" t="n">
        <f aca="false">IFERROR(X148/Y148,"")</f>
        <v>13.6082474226804</v>
      </c>
      <c r="AA148" s="12" t="n">
        <v>0</v>
      </c>
      <c r="AB148" s="14" t="n">
        <f aca="false">W148-0.02*P148</f>
        <v>-1154777.64</v>
      </c>
      <c r="AC148" s="16" t="n">
        <v>36</v>
      </c>
      <c r="AD148" s="13" t="n">
        <f aca="false">IFERROR(AC148/AC147-1,"")</f>
        <v>0.285714285714286</v>
      </c>
      <c r="AE148" s="17" t="n">
        <v>0.054</v>
      </c>
      <c r="AF148" s="17" t="n">
        <v>0.057</v>
      </c>
      <c r="AG148" s="13" t="n">
        <f aca="false">1-AF148</f>
        <v>0.943</v>
      </c>
      <c r="AH148" s="17" t="n">
        <v>1.316</v>
      </c>
      <c r="AI148" s="12" t="n">
        <v>32742</v>
      </c>
      <c r="AJ148" s="14" t="n">
        <f aca="false">IFERROR(AM148*U148*MIN(1/AE148,5),"")</f>
        <v>147775.128586928</v>
      </c>
      <c r="AK148" s="18" t="n">
        <f aca="false">IFERROR(AJ148/AI148,"")</f>
        <v>4.51332015719652</v>
      </c>
      <c r="AL148" s="15" t="n">
        <f aca="false">IFERROR(AI148/(AM148*U148/12),"")</f>
        <v>13.2939826802071</v>
      </c>
      <c r="AM148" s="12" t="n">
        <v>40560</v>
      </c>
      <c r="AN148" s="12" t="n">
        <v>1894731</v>
      </c>
      <c r="AO148" s="12" t="n">
        <v>3965370</v>
      </c>
      <c r="AP148" s="17" t="n">
        <v>0.241</v>
      </c>
      <c r="AQ148" s="16" t="n">
        <v>39</v>
      </c>
      <c r="AR148" s="16" t="n">
        <v>3</v>
      </c>
      <c r="AS148" s="13" t="n">
        <f aca="false">IFERROR(AR148/AR147-1,"")</f>
        <v>0</v>
      </c>
      <c r="AT148" s="11" t="s">
        <v>153</v>
      </c>
      <c r="AU148" s="14" t="n">
        <f aca="false">IFERROR(P148/AR148,"")</f>
        <v>587410.666666667</v>
      </c>
      <c r="AV148" s="12" t="n">
        <v>2403626</v>
      </c>
      <c r="AW148" s="12" t="n">
        <v>990019</v>
      </c>
      <c r="AX148" s="12" t="n">
        <v>582225</v>
      </c>
      <c r="AY148" s="16" t="n">
        <v>27080</v>
      </c>
      <c r="AZ148" s="13" t="n">
        <f aca="false">IFERROR(AY148/AY147-1,"")</f>
        <v>0.339930727362692</v>
      </c>
      <c r="BA148" s="17" t="n">
        <v>0.949</v>
      </c>
      <c r="BB148" s="11" t="s">
        <v>99</v>
      </c>
      <c r="BC148" s="11" t="s">
        <v>126</v>
      </c>
      <c r="BD148" s="11" t="s">
        <v>83</v>
      </c>
      <c r="BE148" s="12" t="n">
        <v>2142751</v>
      </c>
      <c r="BF148" s="13" t="n">
        <f aca="false">IFERROR(P148/BE148-1,"")</f>
        <v>-0.17758432967713</v>
      </c>
      <c r="BG148" s="17" t="n">
        <v>0.086</v>
      </c>
      <c r="BH148" s="17" t="n">
        <v>0.063</v>
      </c>
      <c r="BI148" s="14" t="n">
        <f aca="false">P148*(1+IFERROR(Q148,0))^4</f>
        <v>6380810.69840085</v>
      </c>
      <c r="BJ148" s="12" t="n">
        <v>-946949</v>
      </c>
      <c r="BK148" s="11" t="s">
        <v>102</v>
      </c>
      <c r="BL148" s="11" t="s">
        <v>85</v>
      </c>
      <c r="BM148" s="14" t="n">
        <f aca="false">O148</f>
        <v>36875409</v>
      </c>
      <c r="BN148" s="11" t="s">
        <v>252</v>
      </c>
      <c r="BO148" s="13" t="n">
        <f aca="false">IFERROR(1-L148/M148,"")</f>
        <v>0.135581348809286</v>
      </c>
      <c r="BP148" s="11" t="s">
        <v>198</v>
      </c>
      <c r="BQ148" s="12" t="n">
        <v>2231310</v>
      </c>
      <c r="BR148" s="11" t="s">
        <v>88</v>
      </c>
      <c r="BS148" s="11" t="s">
        <v>89</v>
      </c>
      <c r="BT148" s="19" t="str">
        <f aca="false">IF(OR(Z148&lt;6,AH148&lt;0.9,S148&lt;0.02,AK148&lt;1),"REVIEW",IF(AND(S148&gt;0.25,AH148&gt;1.2),"ACCELERATING","STABLE"))</f>
        <v>ACCELERATING</v>
      </c>
    </row>
    <row r="149" customFormat="false" ht="15" hidden="false" customHeight="false" outlineLevel="0" collapsed="false">
      <c r="A149" s="11" t="s">
        <v>250</v>
      </c>
      <c r="B149" s="11" t="s">
        <v>93</v>
      </c>
      <c r="C149" s="11" t="s">
        <v>74</v>
      </c>
      <c r="D149" s="11" t="s">
        <v>132</v>
      </c>
      <c r="E149" s="11" t="s">
        <v>105</v>
      </c>
      <c r="F149" s="11" t="s">
        <v>251</v>
      </c>
      <c r="G149" s="11" t="s">
        <v>78</v>
      </c>
      <c r="H149" s="11" t="s">
        <v>79</v>
      </c>
      <c r="I149" s="11" t="s">
        <v>78</v>
      </c>
      <c r="J149" s="12" t="n">
        <v>2710000</v>
      </c>
      <c r="K149" s="13" t="n">
        <f aca="false">IFERROR(J149/M149,"")</f>
        <v>0.135581348809286</v>
      </c>
      <c r="L149" s="12" t="n">
        <v>17278000</v>
      </c>
      <c r="M149" s="14" t="n">
        <f aca="false">L149+J149</f>
        <v>19988000</v>
      </c>
      <c r="N149" s="12" t="n">
        <v>4819000</v>
      </c>
      <c r="O149" s="12" t="n">
        <v>36875409</v>
      </c>
      <c r="P149" s="12" t="n">
        <v>2503714</v>
      </c>
      <c r="Q149" s="13" t="n">
        <f aca="false">IFERROR(P149/P148-1,"")</f>
        <v>0.420762986939291</v>
      </c>
      <c r="R149" s="12" t="n">
        <v>2882473</v>
      </c>
      <c r="S149" s="13" t="n">
        <f aca="false">IFERROR(R149/R148-1,"")</f>
        <v>0.457079323484244</v>
      </c>
      <c r="T149" s="12" t="n">
        <v>1831720</v>
      </c>
      <c r="U149" s="13" t="n">
        <f aca="false">IFERROR(T149/P149,"")</f>
        <v>0.731601133356286</v>
      </c>
      <c r="V149" s="14" t="n">
        <f aca="false">T149-AV149</f>
        <v>-1432300</v>
      </c>
      <c r="W149" s="14" t="n">
        <f aca="false">V149-AA149*0.1</f>
        <v>-1432300</v>
      </c>
      <c r="X149" s="12" t="n">
        <v>2976000</v>
      </c>
      <c r="Y149" s="12" t="n">
        <v>124000</v>
      </c>
      <c r="Z149" s="15" t="n">
        <f aca="false">IFERROR(X149/Y149,"")</f>
        <v>24</v>
      </c>
      <c r="AA149" s="12" t="n">
        <v>0</v>
      </c>
      <c r="AB149" s="14" t="n">
        <f aca="false">W149-0.02*P149</f>
        <v>-1482374.28</v>
      </c>
      <c r="AC149" s="16" t="n">
        <v>47</v>
      </c>
      <c r="AD149" s="13" t="n">
        <f aca="false">IFERROR(AC149/AC148-1,"")</f>
        <v>0.305555555555556</v>
      </c>
      <c r="AE149" s="17" t="n">
        <v>0.052</v>
      </c>
      <c r="AF149" s="17" t="n">
        <v>0.055</v>
      </c>
      <c r="AG149" s="13" t="n">
        <f aca="false">1-AF149</f>
        <v>0.945</v>
      </c>
      <c r="AH149" s="17" t="n">
        <v>1.346</v>
      </c>
      <c r="AI149" s="12" t="n">
        <v>32100</v>
      </c>
      <c r="AJ149" s="14" t="n">
        <f aca="false">IFERROR(AM149*U149*MIN(1/AE149,5),"")</f>
        <v>151221.954264744</v>
      </c>
      <c r="AK149" s="18" t="n">
        <f aca="false">IFERROR(AJ149/AI149,"")</f>
        <v>4.71096430731291</v>
      </c>
      <c r="AL149" s="15" t="n">
        <f aca="false">IFERROR(AI149/(AM149*U149/12),"")</f>
        <v>12.7362459331014</v>
      </c>
      <c r="AM149" s="12" t="n">
        <v>41340</v>
      </c>
      <c r="AN149" s="12" t="n">
        <v>2969366</v>
      </c>
      <c r="AO149" s="12" t="n">
        <v>8969967</v>
      </c>
      <c r="AP149" s="17" t="n">
        <v>0.241</v>
      </c>
      <c r="AQ149" s="16" t="n">
        <v>39</v>
      </c>
      <c r="AR149" s="16" t="n">
        <v>4</v>
      </c>
      <c r="AS149" s="13" t="n">
        <f aca="false">IFERROR(AR149/AR148-1,"")</f>
        <v>0.333333333333333</v>
      </c>
      <c r="AT149" s="11" t="s">
        <v>153</v>
      </c>
      <c r="AU149" s="14" t="n">
        <f aca="false">IFERROR(P149/AR149,"")</f>
        <v>625928.5</v>
      </c>
      <c r="AV149" s="12" t="n">
        <v>3264020</v>
      </c>
      <c r="AW149" s="12" t="n">
        <v>1338392</v>
      </c>
      <c r="AX149" s="12" t="n">
        <v>734635</v>
      </c>
      <c r="AY149" s="16" t="n">
        <v>35696</v>
      </c>
      <c r="AZ149" s="13" t="n">
        <f aca="false">IFERROR(AY149/AY148-1,"")</f>
        <v>0.318168389955687</v>
      </c>
      <c r="BA149" s="17" t="n">
        <v>0.957</v>
      </c>
      <c r="BB149" s="11" t="s">
        <v>99</v>
      </c>
      <c r="BC149" s="11" t="s">
        <v>126</v>
      </c>
      <c r="BD149" s="11" t="s">
        <v>83</v>
      </c>
      <c r="BE149" s="12" t="n">
        <v>2467400</v>
      </c>
      <c r="BF149" s="13" t="n">
        <f aca="false">IFERROR(P149/BE149-1,"")</f>
        <v>0.0147175164140392</v>
      </c>
      <c r="BG149" s="17" t="n">
        <v>0.022</v>
      </c>
      <c r="BH149" s="17" t="n">
        <v>0.06</v>
      </c>
      <c r="BI149" s="14" t="n">
        <f aca="false">P149*(1+IFERROR(Q149,0))^4</f>
        <v>10201669.6461283</v>
      </c>
      <c r="BJ149" s="12" t="n">
        <v>-1017367</v>
      </c>
      <c r="BK149" s="11" t="s">
        <v>102</v>
      </c>
      <c r="BL149" s="11" t="s">
        <v>85</v>
      </c>
      <c r="BM149" s="14" t="n">
        <f aca="false">O149</f>
        <v>36875409</v>
      </c>
      <c r="BN149" s="11" t="s">
        <v>252</v>
      </c>
      <c r="BO149" s="13" t="n">
        <f aca="false">IFERROR(1-L149/M149,"")</f>
        <v>0.135581348809286</v>
      </c>
      <c r="BP149" s="11" t="s">
        <v>198</v>
      </c>
      <c r="BQ149" s="12" t="n">
        <v>2001699</v>
      </c>
      <c r="BR149" s="11" t="s">
        <v>88</v>
      </c>
      <c r="BS149" s="11" t="s">
        <v>89</v>
      </c>
      <c r="BT149" s="19" t="str">
        <f aca="false">IF(OR(Z149&lt;6,AH149&lt;0.9,S149&lt;0.02,AK149&lt;1),"REVIEW",IF(AND(S149&gt;0.25,AH149&gt;1.2),"ACCELERATING","STABLE"))</f>
        <v>ACCELERATING</v>
      </c>
    </row>
    <row r="150" customFormat="false" ht="15" hidden="false" customHeight="false" outlineLevel="0" collapsed="false">
      <c r="A150" s="3" t="s">
        <v>253</v>
      </c>
      <c r="B150" s="3" t="s">
        <v>73</v>
      </c>
      <c r="C150" s="3" t="s">
        <v>74</v>
      </c>
      <c r="D150" s="3" t="s">
        <v>132</v>
      </c>
      <c r="E150" s="3" t="s">
        <v>105</v>
      </c>
      <c r="F150" s="3" t="s">
        <v>254</v>
      </c>
      <c r="G150" s="3" t="s">
        <v>78</v>
      </c>
      <c r="H150" s="3" t="s">
        <v>79</v>
      </c>
      <c r="I150" s="3" t="s">
        <v>78</v>
      </c>
      <c r="J150" s="4" t="n">
        <v>3369000</v>
      </c>
      <c r="K150" s="5" t="n">
        <f aca="false">IFERROR(J150/M150,"")</f>
        <v>0.120826309937955</v>
      </c>
      <c r="L150" s="4" t="n">
        <v>24514000</v>
      </c>
      <c r="M150" s="6" t="n">
        <f aca="false">L150+J150</f>
        <v>27883000</v>
      </c>
      <c r="N150" s="4" t="n">
        <v>4435000</v>
      </c>
      <c r="O150" s="4" t="n">
        <v>56386151</v>
      </c>
      <c r="P150" s="4" t="n">
        <v>374919</v>
      </c>
      <c r="Q150" s="7"/>
      <c r="R150" s="4" t="n">
        <v>447654</v>
      </c>
      <c r="S150" s="7"/>
      <c r="T150" s="4" t="n">
        <v>275527</v>
      </c>
      <c r="U150" s="5" t="n">
        <f aca="false">IFERROR(T150/P150,"")</f>
        <v>0.73489740450604</v>
      </c>
      <c r="V150" s="6" t="n">
        <f aca="false">T150-AV150</f>
        <v>-2356171</v>
      </c>
      <c r="W150" s="6" t="n">
        <f aca="false">V150-AA150*0.1</f>
        <v>-2356171</v>
      </c>
      <c r="X150" s="4" t="n">
        <v>3792200</v>
      </c>
      <c r="Y150" s="4" t="n">
        <v>182000</v>
      </c>
      <c r="Z150" s="8" t="n">
        <f aca="false">IFERROR(X150/Y150,"")</f>
        <v>20.8362637362637</v>
      </c>
      <c r="AA150" s="4" t="n">
        <v>0</v>
      </c>
      <c r="AB150" s="6" t="n">
        <f aca="false">W150-0.02*P150</f>
        <v>-2363669.38</v>
      </c>
      <c r="AC150" s="9" t="n">
        <v>39</v>
      </c>
      <c r="AD150" s="7"/>
      <c r="AE150" s="7" t="n">
        <v>0.089</v>
      </c>
      <c r="AF150" s="7" t="n">
        <v>0.092</v>
      </c>
      <c r="AG150" s="5" t="n">
        <f aca="false">1-AF150</f>
        <v>0.908</v>
      </c>
      <c r="AH150" s="7" t="n">
        <v>1.11</v>
      </c>
      <c r="AI150" s="4" t="n">
        <v>106000</v>
      </c>
      <c r="AJ150" s="6" t="n">
        <f aca="false">IFERROR(AM150*U150*MIN(1/AE150,5),"")</f>
        <v>191073.32517157</v>
      </c>
      <c r="AK150" s="10" t="n">
        <f aca="false">IFERROR(AJ150/AI150,"")</f>
        <v>1.80257853935444</v>
      </c>
      <c r="AL150" s="8" t="n">
        <f aca="false">IFERROR(AI150/(AM150*U150/12),"")</f>
        <v>33.2856509106604</v>
      </c>
      <c r="AM150" s="4" t="n">
        <v>52000</v>
      </c>
      <c r="AN150" s="4" t="n">
        <v>640601</v>
      </c>
      <c r="AO150" s="4" t="n">
        <v>1064911</v>
      </c>
      <c r="AP150" s="7" t="n">
        <v>0.271</v>
      </c>
      <c r="AQ150" s="9" t="n">
        <v>35</v>
      </c>
      <c r="AR150" s="9" t="n">
        <v>7</v>
      </c>
      <c r="AS150" s="7"/>
      <c r="AT150" s="3" t="s">
        <v>134</v>
      </c>
      <c r="AU150" s="6" t="n">
        <f aca="false">IFERROR(P150/AR150,"")</f>
        <v>53559.8571428571</v>
      </c>
      <c r="AV150" s="4" t="n">
        <v>2631698</v>
      </c>
      <c r="AW150" s="4" t="n">
        <v>1206143</v>
      </c>
      <c r="AX150" s="4" t="n">
        <v>583066</v>
      </c>
      <c r="AY150" s="9" t="n">
        <v>16356</v>
      </c>
      <c r="AZ150" s="7"/>
      <c r="BA150" s="7" t="n">
        <v>0.919</v>
      </c>
      <c r="BB150" s="3" t="s">
        <v>99</v>
      </c>
      <c r="BC150" s="3" t="s">
        <v>82</v>
      </c>
      <c r="BD150" s="3" t="s">
        <v>83</v>
      </c>
      <c r="BE150" s="4" t="n">
        <v>396312</v>
      </c>
      <c r="BF150" s="5" t="n">
        <f aca="false">IFERROR(P150/BE150-1,"")</f>
        <v>-0.0539801974202144</v>
      </c>
      <c r="BG150" s="7" t="n">
        <v>-0.038</v>
      </c>
      <c r="BH150" s="7" t="n">
        <v>-0.03</v>
      </c>
      <c r="BI150" s="6" t="n">
        <f aca="false">P150</f>
        <v>374919</v>
      </c>
      <c r="BJ150" s="4" t="n">
        <v>-1773801</v>
      </c>
      <c r="BK150" s="3" t="s">
        <v>110</v>
      </c>
      <c r="BL150" s="3" t="s">
        <v>111</v>
      </c>
      <c r="BM150" s="6" t="n">
        <f aca="false">O150</f>
        <v>56386151</v>
      </c>
      <c r="BN150" s="3" t="s">
        <v>255</v>
      </c>
      <c r="BO150" s="5" t="n">
        <f aca="false">IFERROR(1-L150/M150,"")</f>
        <v>0.120826309937955</v>
      </c>
      <c r="BP150" s="3" t="s">
        <v>142</v>
      </c>
      <c r="BQ150" s="4" t="n">
        <v>2567552</v>
      </c>
      <c r="BR150" s="3" t="s">
        <v>88</v>
      </c>
      <c r="BS150" s="3" t="s">
        <v>89</v>
      </c>
      <c r="BT150" s="3" t="s">
        <v>90</v>
      </c>
    </row>
    <row r="151" customFormat="false" ht="15" hidden="false" customHeight="false" outlineLevel="0" collapsed="false">
      <c r="A151" s="11" t="s">
        <v>253</v>
      </c>
      <c r="B151" s="11" t="s">
        <v>91</v>
      </c>
      <c r="C151" s="11" t="s">
        <v>74</v>
      </c>
      <c r="D151" s="11" t="s">
        <v>132</v>
      </c>
      <c r="E151" s="11" t="s">
        <v>105</v>
      </c>
      <c r="F151" s="11" t="s">
        <v>254</v>
      </c>
      <c r="G151" s="11" t="s">
        <v>78</v>
      </c>
      <c r="H151" s="11" t="s">
        <v>79</v>
      </c>
      <c r="I151" s="11" t="s">
        <v>78</v>
      </c>
      <c r="J151" s="12" t="n">
        <v>3369000</v>
      </c>
      <c r="K151" s="13" t="n">
        <f aca="false">IFERROR(J151/M151,"")</f>
        <v>0.120826309937955</v>
      </c>
      <c r="L151" s="12" t="n">
        <v>24514000</v>
      </c>
      <c r="M151" s="14" t="n">
        <f aca="false">L151+J151</f>
        <v>27883000</v>
      </c>
      <c r="N151" s="12" t="n">
        <v>4435000</v>
      </c>
      <c r="O151" s="12" t="n">
        <v>56386151</v>
      </c>
      <c r="P151" s="12" t="n">
        <v>456106</v>
      </c>
      <c r="Q151" s="13" t="n">
        <f aca="false">IFERROR(P151/P150-1,"")</f>
        <v>0.216545440481811</v>
      </c>
      <c r="R151" s="12" t="n">
        <v>450101</v>
      </c>
      <c r="S151" s="13" t="n">
        <f aca="false">IFERROR(R151/R150-1,"")</f>
        <v>0.00546627529297172</v>
      </c>
      <c r="T151" s="12" t="n">
        <v>336548</v>
      </c>
      <c r="U151" s="13" t="n">
        <f aca="false">IFERROR(T151/P151,"")</f>
        <v>0.737872336693663</v>
      </c>
      <c r="V151" s="14" t="n">
        <f aca="false">T151-AV151</f>
        <v>-2249154</v>
      </c>
      <c r="W151" s="14" t="n">
        <f aca="false">V151-AA151*0.1</f>
        <v>-2249154</v>
      </c>
      <c r="X151" s="12" t="n">
        <v>3333200</v>
      </c>
      <c r="Y151" s="12" t="n">
        <v>188000</v>
      </c>
      <c r="Z151" s="15" t="n">
        <f aca="false">IFERROR(X151/Y151,"")</f>
        <v>17.7297872340426</v>
      </c>
      <c r="AA151" s="12" t="n">
        <v>0</v>
      </c>
      <c r="AB151" s="14" t="n">
        <f aca="false">W151-0.02*P151</f>
        <v>-2258276.12</v>
      </c>
      <c r="AC151" s="16" t="n">
        <v>45</v>
      </c>
      <c r="AD151" s="13" t="n">
        <f aca="false">IFERROR(AC151/AC150-1,"")</f>
        <v>0.153846153846154</v>
      </c>
      <c r="AE151" s="17" t="n">
        <v>0.087</v>
      </c>
      <c r="AF151" s="17" t="n">
        <v>0.054</v>
      </c>
      <c r="AG151" s="13" t="n">
        <f aca="false">1-AF151</f>
        <v>0.946</v>
      </c>
      <c r="AH151" s="17" t="n">
        <v>1.105</v>
      </c>
      <c r="AI151" s="12" t="n">
        <v>104000</v>
      </c>
      <c r="AJ151" s="14" t="n">
        <f aca="false">IFERROR(AM151*U151*MIN(1/AE151,5),"")</f>
        <v>195683.74369116</v>
      </c>
      <c r="AK151" s="18" t="n">
        <f aca="false">IFERROR(AJ151/AI151,"")</f>
        <v>1.88157445856884</v>
      </c>
      <c r="AL151" s="15" t="n">
        <f aca="false">IFERROR(AI151/(AM151*U151/12),"")</f>
        <v>31.8881879623499</v>
      </c>
      <c r="AM151" s="12" t="n">
        <v>53040</v>
      </c>
      <c r="AN151" s="12" t="n">
        <v>645797</v>
      </c>
      <c r="AO151" s="12" t="n">
        <v>926408</v>
      </c>
      <c r="AP151" s="17" t="n">
        <v>0.271</v>
      </c>
      <c r="AQ151" s="16" t="n">
        <v>35</v>
      </c>
      <c r="AR151" s="16" t="n">
        <v>7</v>
      </c>
      <c r="AS151" s="13" t="n">
        <f aca="false">IFERROR(AR151/AR150-1,"")</f>
        <v>0</v>
      </c>
      <c r="AT151" s="11" t="s">
        <v>134</v>
      </c>
      <c r="AU151" s="14" t="n">
        <f aca="false">IFERROR(P151/AR151,"")</f>
        <v>65158</v>
      </c>
      <c r="AV151" s="12" t="n">
        <v>2585702</v>
      </c>
      <c r="AW151" s="12" t="n">
        <v>1022731</v>
      </c>
      <c r="AX151" s="12" t="n">
        <v>745653</v>
      </c>
      <c r="AY151" s="16" t="n">
        <v>17724</v>
      </c>
      <c r="AZ151" s="13" t="n">
        <f aca="false">IFERROR(AY151/AY150-1,"")</f>
        <v>0.0836390315480557</v>
      </c>
      <c r="BA151" s="17" t="n">
        <v>0.921</v>
      </c>
      <c r="BB151" s="11" t="s">
        <v>99</v>
      </c>
      <c r="BC151" s="11" t="s">
        <v>82</v>
      </c>
      <c r="BD151" s="11" t="s">
        <v>83</v>
      </c>
      <c r="BE151" s="12" t="n">
        <v>492636</v>
      </c>
      <c r="BF151" s="13" t="n">
        <f aca="false">IFERROR(P151/BE151-1,"")</f>
        <v>-0.0741521123101032</v>
      </c>
      <c r="BG151" s="17" t="n">
        <v>-0.026</v>
      </c>
      <c r="BH151" s="17" t="n">
        <v>0.058</v>
      </c>
      <c r="BI151" s="14" t="n">
        <f aca="false">P151*(1+IFERROR(Q151,0))^4</f>
        <v>999031.373088833</v>
      </c>
      <c r="BJ151" s="12" t="n">
        <v>-1361828</v>
      </c>
      <c r="BK151" s="11" t="s">
        <v>110</v>
      </c>
      <c r="BL151" s="11" t="s">
        <v>111</v>
      </c>
      <c r="BM151" s="14" t="n">
        <f aca="false">O151</f>
        <v>56386151</v>
      </c>
      <c r="BN151" s="11" t="s">
        <v>255</v>
      </c>
      <c r="BO151" s="13" t="n">
        <f aca="false">IFERROR(1-L151/M151,"")</f>
        <v>0.120826309937955</v>
      </c>
      <c r="BP151" s="11" t="s">
        <v>142</v>
      </c>
      <c r="BQ151" s="12" t="n">
        <v>2961618</v>
      </c>
      <c r="BR151" s="11" t="s">
        <v>88</v>
      </c>
      <c r="BS151" s="11" t="s">
        <v>89</v>
      </c>
      <c r="BT151" s="19" t="str">
        <f aca="false">IF(OR(Z151&lt;6,AH151&lt;0.9,S151&lt;0.02,AK151&lt;1),"REVIEW",IF(AND(S151&gt;0.25,AH151&gt;1.2),"ACCELERATING","STABLE"))</f>
        <v>REVIEW</v>
      </c>
    </row>
    <row r="152" customFormat="false" ht="15" hidden="false" customHeight="false" outlineLevel="0" collapsed="false">
      <c r="A152" s="11" t="s">
        <v>253</v>
      </c>
      <c r="B152" s="11" t="s">
        <v>92</v>
      </c>
      <c r="C152" s="11" t="s">
        <v>74</v>
      </c>
      <c r="D152" s="11" t="s">
        <v>132</v>
      </c>
      <c r="E152" s="11" t="s">
        <v>105</v>
      </c>
      <c r="F152" s="11" t="s">
        <v>254</v>
      </c>
      <c r="G152" s="11" t="s">
        <v>78</v>
      </c>
      <c r="H152" s="11" t="s">
        <v>79</v>
      </c>
      <c r="I152" s="11" t="s">
        <v>78</v>
      </c>
      <c r="J152" s="12" t="n">
        <v>3369000</v>
      </c>
      <c r="K152" s="13" t="n">
        <f aca="false">IFERROR(J152/M152,"")</f>
        <v>0.120826309937955</v>
      </c>
      <c r="L152" s="12" t="n">
        <v>24514000</v>
      </c>
      <c r="M152" s="14" t="n">
        <f aca="false">L152+J152</f>
        <v>27883000</v>
      </c>
      <c r="N152" s="12" t="n">
        <v>4435000</v>
      </c>
      <c r="O152" s="12" t="n">
        <v>56386151</v>
      </c>
      <c r="P152" s="12" t="n">
        <v>480505</v>
      </c>
      <c r="Q152" s="13" t="n">
        <f aca="false">IFERROR(P152/P151-1,"")</f>
        <v>0.0534941439051448</v>
      </c>
      <c r="R152" s="12" t="n">
        <v>527195</v>
      </c>
      <c r="S152" s="13" t="n">
        <f aca="false">IFERROR(R152/R151-1,"")</f>
        <v>0.171281556806139</v>
      </c>
      <c r="T152" s="12" t="n">
        <v>355981</v>
      </c>
      <c r="U152" s="13" t="n">
        <f aca="false">IFERROR(T152/P152,"")</f>
        <v>0.740847649868368</v>
      </c>
      <c r="V152" s="14" t="n">
        <f aca="false">T152-AV152</f>
        <v>-1958037</v>
      </c>
      <c r="W152" s="14" t="n">
        <f aca="false">V152-AA152*0.1</f>
        <v>-1958037</v>
      </c>
      <c r="X152" s="12" t="n">
        <v>2841800</v>
      </c>
      <c r="Y152" s="12" t="n">
        <v>194000</v>
      </c>
      <c r="Z152" s="15" t="n">
        <f aca="false">IFERROR(X152/Y152,"")</f>
        <v>14.6484536082474</v>
      </c>
      <c r="AA152" s="12" t="n">
        <v>0</v>
      </c>
      <c r="AB152" s="14" t="n">
        <f aca="false">W152-0.02*P152</f>
        <v>-1967647.1</v>
      </c>
      <c r="AC152" s="16" t="n">
        <v>47</v>
      </c>
      <c r="AD152" s="13" t="n">
        <f aca="false">IFERROR(AC152/AC151-1,"")</f>
        <v>0.0444444444444445</v>
      </c>
      <c r="AE152" s="17" t="n">
        <v>0.084</v>
      </c>
      <c r="AF152" s="17" t="n">
        <v>0.089</v>
      </c>
      <c r="AG152" s="13" t="n">
        <f aca="false">1-AF152</f>
        <v>0.911</v>
      </c>
      <c r="AH152" s="17" t="n">
        <v>1.1</v>
      </c>
      <c r="AI152" s="12" t="n">
        <v>102000</v>
      </c>
      <c r="AJ152" s="14" t="n">
        <f aca="false">IFERROR(AM152*U152*MIN(1/AE152,5),"")</f>
        <v>200325.204524407</v>
      </c>
      <c r="AK152" s="18" t="n">
        <f aca="false">IFERROR(AJ152/AI152,"")</f>
        <v>1.96397259337654</v>
      </c>
      <c r="AL152" s="15" t="n">
        <f aca="false">IFERROR(AI152/(AM152*U152/12),"")</f>
        <v>30.550324481283</v>
      </c>
      <c r="AM152" s="12" t="n">
        <v>54080</v>
      </c>
      <c r="AN152" s="12" t="n">
        <v>735550</v>
      </c>
      <c r="AO152" s="12" t="n">
        <v>876070</v>
      </c>
      <c r="AP152" s="17" t="n">
        <v>0.271</v>
      </c>
      <c r="AQ152" s="16" t="n">
        <v>35</v>
      </c>
      <c r="AR152" s="16" t="n">
        <v>8</v>
      </c>
      <c r="AS152" s="13" t="n">
        <f aca="false">IFERROR(AR152/AR151-1,"")</f>
        <v>0.142857142857143</v>
      </c>
      <c r="AT152" s="11" t="s">
        <v>134</v>
      </c>
      <c r="AU152" s="14" t="n">
        <f aca="false">IFERROR(P152/AR152,"")</f>
        <v>60063.125</v>
      </c>
      <c r="AV152" s="12" t="n">
        <v>2314018</v>
      </c>
      <c r="AW152" s="12" t="n">
        <v>699789</v>
      </c>
      <c r="AX152" s="12" t="n">
        <v>519651</v>
      </c>
      <c r="AY152" s="16" t="n">
        <v>20520</v>
      </c>
      <c r="AZ152" s="13" t="n">
        <f aca="false">IFERROR(AY152/AY151-1,"")</f>
        <v>0.157752200406229</v>
      </c>
      <c r="BA152" s="17" t="n">
        <v>0.932</v>
      </c>
      <c r="BB152" s="11" t="s">
        <v>99</v>
      </c>
      <c r="BC152" s="11" t="s">
        <v>82</v>
      </c>
      <c r="BD152" s="11" t="s">
        <v>83</v>
      </c>
      <c r="BE152" s="12" t="n">
        <v>543250</v>
      </c>
      <c r="BF152" s="13" t="n">
        <f aca="false">IFERROR(P152/BE152-1,"")</f>
        <v>-0.115499309710078</v>
      </c>
      <c r="BG152" s="17" t="n">
        <v>0.085</v>
      </c>
      <c r="BH152" s="17" t="n">
        <v>0.034</v>
      </c>
      <c r="BI152" s="14" t="n">
        <f aca="false">P152*(1+IFERROR(Q152,0))^4</f>
        <v>591870.118479592</v>
      </c>
      <c r="BJ152" s="12" t="n">
        <v>-1931165</v>
      </c>
      <c r="BK152" s="11" t="s">
        <v>110</v>
      </c>
      <c r="BL152" s="11" t="s">
        <v>111</v>
      </c>
      <c r="BM152" s="14" t="n">
        <f aca="false">O152</f>
        <v>56386151</v>
      </c>
      <c r="BN152" s="11" t="s">
        <v>255</v>
      </c>
      <c r="BO152" s="13" t="n">
        <f aca="false">IFERROR(1-L152/M152,"")</f>
        <v>0.120826309937955</v>
      </c>
      <c r="BP152" s="11" t="s">
        <v>142</v>
      </c>
      <c r="BQ152" s="12" t="n">
        <v>3527075</v>
      </c>
      <c r="BR152" s="11" t="s">
        <v>88</v>
      </c>
      <c r="BS152" s="11" t="s">
        <v>89</v>
      </c>
      <c r="BT152" s="19" t="str">
        <f aca="false">IF(OR(Z152&lt;6,AH152&lt;0.9,S152&lt;0.02,AK152&lt;1),"REVIEW",IF(AND(S152&gt;0.25,AH152&gt;1.2),"ACCELERATING","STABLE"))</f>
        <v>STABLE</v>
      </c>
    </row>
    <row r="153" customFormat="false" ht="15" hidden="false" customHeight="false" outlineLevel="0" collapsed="false">
      <c r="A153" s="11" t="s">
        <v>253</v>
      </c>
      <c r="B153" s="11" t="s">
        <v>93</v>
      </c>
      <c r="C153" s="11" t="s">
        <v>74</v>
      </c>
      <c r="D153" s="11" t="s">
        <v>132</v>
      </c>
      <c r="E153" s="11" t="s">
        <v>105</v>
      </c>
      <c r="F153" s="11" t="s">
        <v>254</v>
      </c>
      <c r="G153" s="11" t="s">
        <v>78</v>
      </c>
      <c r="H153" s="11" t="s">
        <v>79</v>
      </c>
      <c r="I153" s="11" t="s">
        <v>78</v>
      </c>
      <c r="J153" s="12" t="n">
        <v>3369000</v>
      </c>
      <c r="K153" s="13" t="n">
        <f aca="false">IFERROR(J153/M153,"")</f>
        <v>0.120826309937955</v>
      </c>
      <c r="L153" s="12" t="n">
        <v>24514000</v>
      </c>
      <c r="M153" s="14" t="n">
        <f aca="false">L153+J153</f>
        <v>27883000</v>
      </c>
      <c r="N153" s="12" t="n">
        <v>4435000</v>
      </c>
      <c r="O153" s="12" t="n">
        <v>56386151</v>
      </c>
      <c r="P153" s="12" t="n">
        <v>524361</v>
      </c>
      <c r="Q153" s="13" t="n">
        <f aca="false">IFERROR(P153/P152-1,"")</f>
        <v>0.0912706423450329</v>
      </c>
      <c r="R153" s="12" t="n">
        <v>568887</v>
      </c>
      <c r="S153" s="13" t="n">
        <f aca="false">IFERROR(R153/R152-1,"")</f>
        <v>0.0790826923624086</v>
      </c>
      <c r="T153" s="12" t="n">
        <v>390032</v>
      </c>
      <c r="U153" s="13" t="n">
        <f aca="false">IFERROR(T153/P153,"")</f>
        <v>0.743823434618517</v>
      </c>
      <c r="V153" s="14" t="n">
        <f aca="false">T153-AV153</f>
        <v>-2396524</v>
      </c>
      <c r="W153" s="14" t="n">
        <f aca="false">V153-AA153*0.1</f>
        <v>-2396524</v>
      </c>
      <c r="X153" s="12" t="n">
        <v>2318000</v>
      </c>
      <c r="Y153" s="12" t="n">
        <v>200000</v>
      </c>
      <c r="Z153" s="15" t="n">
        <f aca="false">IFERROR(X153/Y153,"")</f>
        <v>11.59</v>
      </c>
      <c r="AA153" s="12" t="n">
        <v>0</v>
      </c>
      <c r="AB153" s="14" t="n">
        <f aca="false">W153-0.02*P153</f>
        <v>-2407011.22</v>
      </c>
      <c r="AC153" s="16" t="n">
        <v>53</v>
      </c>
      <c r="AD153" s="13" t="n">
        <f aca="false">IFERROR(AC153/AC152-1,"")</f>
        <v>0.127659574468085</v>
      </c>
      <c r="AE153" s="17" t="n">
        <v>0.082</v>
      </c>
      <c r="AF153" s="17" t="n">
        <v>0.079</v>
      </c>
      <c r="AG153" s="13" t="n">
        <f aca="false">1-AF153</f>
        <v>0.921</v>
      </c>
      <c r="AH153" s="17" t="n">
        <v>1.095</v>
      </c>
      <c r="AI153" s="12" t="n">
        <v>100000</v>
      </c>
      <c r="AJ153" s="14" t="n">
        <f aca="false">IFERROR(AM153*U153*MIN(1/AE153,5),"")</f>
        <v>204997.738580863</v>
      </c>
      <c r="AK153" s="18" t="n">
        <f aca="false">IFERROR(AJ153/AI153,"")</f>
        <v>2.04997738580863</v>
      </c>
      <c r="AL153" s="15" t="n">
        <f aca="false">IFERROR(AI153/(AM153*U153/12),"")</f>
        <v>29.2686155541821</v>
      </c>
      <c r="AM153" s="12" t="n">
        <v>55120</v>
      </c>
      <c r="AN153" s="12" t="n">
        <v>728911</v>
      </c>
      <c r="AO153" s="12" t="n">
        <v>1702643</v>
      </c>
      <c r="AP153" s="17" t="n">
        <v>0.271</v>
      </c>
      <c r="AQ153" s="16" t="n">
        <v>35</v>
      </c>
      <c r="AR153" s="16" t="n">
        <v>9</v>
      </c>
      <c r="AS153" s="13" t="n">
        <f aca="false">IFERROR(AR153/AR152-1,"")</f>
        <v>0.125</v>
      </c>
      <c r="AT153" s="11" t="s">
        <v>134</v>
      </c>
      <c r="AU153" s="14" t="n">
        <f aca="false">IFERROR(P153/AR153,"")</f>
        <v>58262.3333333333</v>
      </c>
      <c r="AV153" s="12" t="n">
        <v>2786556</v>
      </c>
      <c r="AW153" s="12" t="n">
        <v>1295327</v>
      </c>
      <c r="AX153" s="12" t="n">
        <v>559248</v>
      </c>
      <c r="AY153" s="16" t="n">
        <v>21888</v>
      </c>
      <c r="AZ153" s="13" t="n">
        <f aca="false">IFERROR(AY153/AY152-1,"")</f>
        <v>0.0666666666666667</v>
      </c>
      <c r="BA153" s="17" t="n">
        <v>0.922</v>
      </c>
      <c r="BB153" s="11" t="s">
        <v>99</v>
      </c>
      <c r="BC153" s="11" t="s">
        <v>82</v>
      </c>
      <c r="BD153" s="11" t="s">
        <v>83</v>
      </c>
      <c r="BE153" s="12" t="n">
        <v>540684</v>
      </c>
      <c r="BF153" s="13" t="n">
        <f aca="false">IFERROR(P153/BE153-1,"")</f>
        <v>-0.0301895376966953</v>
      </c>
      <c r="BG153" s="17" t="n">
        <v>-0.032</v>
      </c>
      <c r="BH153" s="17" t="n">
        <v>-0.003</v>
      </c>
      <c r="BI153" s="14" t="n">
        <f aca="false">P153*(1+IFERROR(Q153,0))^4</f>
        <v>743635.76764204</v>
      </c>
      <c r="BJ153" s="12" t="n">
        <v>-2092269</v>
      </c>
      <c r="BK153" s="11" t="s">
        <v>110</v>
      </c>
      <c r="BL153" s="11" t="s">
        <v>111</v>
      </c>
      <c r="BM153" s="14" t="n">
        <f aca="false">O153</f>
        <v>56386151</v>
      </c>
      <c r="BN153" s="11" t="s">
        <v>255</v>
      </c>
      <c r="BO153" s="13" t="n">
        <f aca="false">IFERROR(1-L153/M153,"")</f>
        <v>0.120826309937955</v>
      </c>
      <c r="BP153" s="11" t="s">
        <v>142</v>
      </c>
      <c r="BQ153" s="12" t="n">
        <v>3290789</v>
      </c>
      <c r="BR153" s="11" t="s">
        <v>88</v>
      </c>
      <c r="BS153" s="11" t="s">
        <v>89</v>
      </c>
      <c r="BT153" s="19" t="str">
        <f aca="false">IF(OR(Z153&lt;6,AH153&lt;0.9,S153&lt;0.02,AK153&lt;1),"REVIEW",IF(AND(S153&gt;0.25,AH153&gt;1.2),"ACCELERATING","STABLE"))</f>
        <v>STABLE</v>
      </c>
    </row>
    <row r="154" customFormat="false" ht="15" hidden="false" customHeight="false" outlineLevel="0" collapsed="false">
      <c r="A154" s="3" t="s">
        <v>256</v>
      </c>
      <c r="B154" s="3" t="s">
        <v>73</v>
      </c>
      <c r="C154" s="3" t="s">
        <v>74</v>
      </c>
      <c r="D154" s="3" t="s">
        <v>151</v>
      </c>
      <c r="E154" s="3" t="s">
        <v>187</v>
      </c>
      <c r="F154" s="3" t="s">
        <v>257</v>
      </c>
      <c r="G154" s="3" t="s">
        <v>78</v>
      </c>
      <c r="H154" s="3" t="s">
        <v>79</v>
      </c>
      <c r="I154" s="3" t="s">
        <v>78</v>
      </c>
      <c r="J154" s="4" t="n">
        <v>2253000</v>
      </c>
      <c r="K154" s="5" t="n">
        <f aca="false">IFERROR(J154/M154,"")</f>
        <v>0.177261998426436</v>
      </c>
      <c r="L154" s="4" t="n">
        <v>10457000</v>
      </c>
      <c r="M154" s="6" t="n">
        <f aca="false">L154+J154</f>
        <v>12710000</v>
      </c>
      <c r="N154" s="4" t="n">
        <v>3036000</v>
      </c>
      <c r="O154" s="4" t="n">
        <v>20840376</v>
      </c>
      <c r="P154" s="4" t="n">
        <v>1180140</v>
      </c>
      <c r="Q154" s="7"/>
      <c r="R154" s="4" t="n">
        <v>1161393</v>
      </c>
      <c r="S154" s="7"/>
      <c r="T154" s="4" t="n">
        <v>698930</v>
      </c>
      <c r="U154" s="5" t="n">
        <f aca="false">IFERROR(T154/P154,"")</f>
        <v>0.592243293168607</v>
      </c>
      <c r="V154" s="6" t="n">
        <f aca="false">T154-AV154</f>
        <v>-1462810</v>
      </c>
      <c r="W154" s="6" t="n">
        <f aca="false">V154-AA154*0.1</f>
        <v>-1462810</v>
      </c>
      <c r="X154" s="4" t="n">
        <v>5135699</v>
      </c>
      <c r="Y154" s="4" t="n">
        <v>153790</v>
      </c>
      <c r="Z154" s="8" t="n">
        <f aca="false">IFERROR(X154/Y154,"")</f>
        <v>33.3942323948241</v>
      </c>
      <c r="AA154" s="4" t="n">
        <v>0</v>
      </c>
      <c r="AB154" s="6" t="n">
        <f aca="false">W154-0.02*P154</f>
        <v>-1486412.8</v>
      </c>
      <c r="AC154" s="9" t="n">
        <v>8</v>
      </c>
      <c r="AD154" s="7"/>
      <c r="AE154" s="7" t="n">
        <v>0.065</v>
      </c>
      <c r="AF154" s="7" t="n">
        <v>0.043</v>
      </c>
      <c r="AG154" s="5" t="n">
        <f aca="false">1-AF154</f>
        <v>0.957</v>
      </c>
      <c r="AH154" s="7" t="n">
        <v>1.179</v>
      </c>
      <c r="AI154" s="4" t="n">
        <v>41976</v>
      </c>
      <c r="AJ154" s="6" t="n">
        <f aca="false">IFERROR(AM154*U154*MIN(1/AE154,5),"")</f>
        <v>127332.308031251</v>
      </c>
      <c r="AK154" s="10" t="n">
        <f aca="false">IFERROR(AJ154/AI154,"")</f>
        <v>3.03345502266177</v>
      </c>
      <c r="AL154" s="8" t="n">
        <f aca="false">IFERROR(AI154/(AM154*U154/12),"")</f>
        <v>19.7794262818348</v>
      </c>
      <c r="AM154" s="4" t="n">
        <v>43000</v>
      </c>
      <c r="AN154" s="4" t="n">
        <v>1436011</v>
      </c>
      <c r="AO154" s="4" t="n">
        <v>2922893</v>
      </c>
      <c r="AP154" s="7" t="n">
        <v>0.234</v>
      </c>
      <c r="AQ154" s="9" t="n">
        <v>79</v>
      </c>
      <c r="AR154" s="9" t="n">
        <v>2</v>
      </c>
      <c r="AS154" s="7"/>
      <c r="AT154" s="3" t="s">
        <v>134</v>
      </c>
      <c r="AU154" s="6" t="n">
        <f aca="false">IFERROR(P154/AR154,"")</f>
        <v>590070</v>
      </c>
      <c r="AV154" s="4" t="n">
        <v>2161740</v>
      </c>
      <c r="AW154" s="4" t="n">
        <v>902117</v>
      </c>
      <c r="AX154" s="4" t="n">
        <v>399399</v>
      </c>
      <c r="AY154" s="9" t="n">
        <v>1329</v>
      </c>
      <c r="AZ154" s="7"/>
      <c r="BA154" s="7" t="n">
        <v>0.929</v>
      </c>
      <c r="BB154" s="3" t="s">
        <v>99</v>
      </c>
      <c r="BC154" s="3" t="s">
        <v>108</v>
      </c>
      <c r="BD154" s="3" t="s">
        <v>83</v>
      </c>
      <c r="BE154" s="4" t="n">
        <v>1097576</v>
      </c>
      <c r="BF154" s="5" t="n">
        <f aca="false">IFERROR(P154/BE154-1,"")</f>
        <v>0.0752239480455113</v>
      </c>
      <c r="BG154" s="7" t="n">
        <v>0.046</v>
      </c>
      <c r="BH154" s="7" t="n">
        <v>-0.043</v>
      </c>
      <c r="BI154" s="6" t="n">
        <f aca="false">P154</f>
        <v>1180140</v>
      </c>
      <c r="BJ154" s="4" t="n">
        <v>-1030740</v>
      </c>
      <c r="BK154" s="3" t="s">
        <v>127</v>
      </c>
      <c r="BL154" s="3" t="s">
        <v>85</v>
      </c>
      <c r="BM154" s="6" t="n">
        <f aca="false">O154</f>
        <v>20840376</v>
      </c>
      <c r="BN154" s="3" t="s">
        <v>258</v>
      </c>
      <c r="BO154" s="5" t="n">
        <f aca="false">IFERROR(1-L154/M154,"")</f>
        <v>0.177261998426436</v>
      </c>
      <c r="BP154" s="3" t="s">
        <v>130</v>
      </c>
      <c r="BQ154" s="4" t="n">
        <v>3028902</v>
      </c>
      <c r="BR154" s="3" t="s">
        <v>88</v>
      </c>
      <c r="BS154" s="3" t="s">
        <v>89</v>
      </c>
      <c r="BT154" s="3" t="s">
        <v>90</v>
      </c>
    </row>
    <row r="155" customFormat="false" ht="15" hidden="false" customHeight="false" outlineLevel="0" collapsed="false">
      <c r="A155" s="11" t="s">
        <v>256</v>
      </c>
      <c r="B155" s="11" t="s">
        <v>91</v>
      </c>
      <c r="C155" s="11" t="s">
        <v>74</v>
      </c>
      <c r="D155" s="11" t="s">
        <v>151</v>
      </c>
      <c r="E155" s="11" t="s">
        <v>187</v>
      </c>
      <c r="F155" s="11" t="s">
        <v>257</v>
      </c>
      <c r="G155" s="11" t="s">
        <v>78</v>
      </c>
      <c r="H155" s="11" t="s">
        <v>79</v>
      </c>
      <c r="I155" s="11" t="s">
        <v>78</v>
      </c>
      <c r="J155" s="12" t="n">
        <v>2253000</v>
      </c>
      <c r="K155" s="13" t="n">
        <f aca="false">IFERROR(J155/M155,"")</f>
        <v>0.177261998426436</v>
      </c>
      <c r="L155" s="12" t="n">
        <v>10457000</v>
      </c>
      <c r="M155" s="14" t="n">
        <f aca="false">L155+J155</f>
        <v>12710000</v>
      </c>
      <c r="N155" s="12" t="n">
        <v>3036000</v>
      </c>
      <c r="O155" s="12" t="n">
        <v>20840376</v>
      </c>
      <c r="P155" s="12" t="n">
        <v>1366567</v>
      </c>
      <c r="Q155" s="13" t="n">
        <f aca="false">IFERROR(P155/P154-1,"")</f>
        <v>0.157970240818886</v>
      </c>
      <c r="R155" s="12" t="n">
        <v>1367558</v>
      </c>
      <c r="S155" s="13" t="n">
        <f aca="false">IFERROR(R155/R154-1,"")</f>
        <v>0.177515276913155</v>
      </c>
      <c r="T155" s="12" t="n">
        <v>812617</v>
      </c>
      <c r="U155" s="13" t="n">
        <f aca="false">IFERROR(T155/P155,"")</f>
        <v>0.594641170173142</v>
      </c>
      <c r="V155" s="14" t="n">
        <f aca="false">T155-AV155</f>
        <v>-1975051</v>
      </c>
      <c r="W155" s="14" t="n">
        <f aca="false">V155-AA155*0.1</f>
        <v>-1975051</v>
      </c>
      <c r="X155" s="12" t="n">
        <v>4747844</v>
      </c>
      <c r="Y155" s="12" t="n">
        <v>158860</v>
      </c>
      <c r="Z155" s="15" t="n">
        <f aca="false">IFERROR(X155/Y155,"")</f>
        <v>29.8869696588191</v>
      </c>
      <c r="AA155" s="12" t="n">
        <v>0</v>
      </c>
      <c r="AB155" s="14" t="n">
        <f aca="false">W155-0.02*P155</f>
        <v>-2002382.34</v>
      </c>
      <c r="AC155" s="16" t="n">
        <v>8</v>
      </c>
      <c r="AD155" s="13" t="n">
        <f aca="false">IFERROR(AC155/AC154-1,"")</f>
        <v>0</v>
      </c>
      <c r="AE155" s="17" t="n">
        <v>0.064</v>
      </c>
      <c r="AF155" s="17" t="n">
        <v>0.06</v>
      </c>
      <c r="AG155" s="13" t="n">
        <f aca="false">1-AF155</f>
        <v>0.94</v>
      </c>
      <c r="AH155" s="17" t="n">
        <v>1.174</v>
      </c>
      <c r="AI155" s="12" t="n">
        <v>41184</v>
      </c>
      <c r="AJ155" s="14" t="n">
        <f aca="false">IFERROR(AM155*U155*MIN(1/AE155,5),"")</f>
        <v>130404.80861897</v>
      </c>
      <c r="AK155" s="18" t="n">
        <f aca="false">IFERROR(AJ155/AI155,"")</f>
        <v>3.16639492567429</v>
      </c>
      <c r="AL155" s="15" t="n">
        <f aca="false">IFERROR(AI155/(AM155*U155/12),"")</f>
        <v>18.9489944900739</v>
      </c>
      <c r="AM155" s="12" t="n">
        <v>43860</v>
      </c>
      <c r="AN155" s="12" t="n">
        <v>1439635</v>
      </c>
      <c r="AO155" s="12" t="n">
        <v>2777960</v>
      </c>
      <c r="AP155" s="17" t="n">
        <v>0.234</v>
      </c>
      <c r="AQ155" s="16" t="n">
        <v>79</v>
      </c>
      <c r="AR155" s="16" t="n">
        <v>3</v>
      </c>
      <c r="AS155" s="13" t="n">
        <f aca="false">IFERROR(AR155/AR154-1,"")</f>
        <v>0.5</v>
      </c>
      <c r="AT155" s="11" t="s">
        <v>134</v>
      </c>
      <c r="AU155" s="14" t="n">
        <f aca="false">IFERROR(P155/AR155,"")</f>
        <v>455522.333333333</v>
      </c>
      <c r="AV155" s="12" t="n">
        <v>2787668</v>
      </c>
      <c r="AW155" s="12" t="n">
        <v>845683</v>
      </c>
      <c r="AX155" s="12" t="n">
        <v>775826</v>
      </c>
      <c r="AY155" s="16" t="n">
        <v>1555</v>
      </c>
      <c r="AZ155" s="13" t="n">
        <f aca="false">IFERROR(AY155/AY154-1,"")</f>
        <v>0.170052671181339</v>
      </c>
      <c r="BA155" s="17" t="n">
        <v>0.945</v>
      </c>
      <c r="BB155" s="11" t="s">
        <v>99</v>
      </c>
      <c r="BC155" s="11" t="s">
        <v>108</v>
      </c>
      <c r="BD155" s="11" t="s">
        <v>83</v>
      </c>
      <c r="BE155" s="12" t="n">
        <v>1609748</v>
      </c>
      <c r="BF155" s="13" t="n">
        <f aca="false">IFERROR(P155/BE155-1,"")</f>
        <v>-0.151067744765019</v>
      </c>
      <c r="BG155" s="17" t="n">
        <v>0.006</v>
      </c>
      <c r="BH155" s="17" t="n">
        <v>0.084</v>
      </c>
      <c r="BI155" s="14" t="n">
        <f aca="false">P155*(1+IFERROR(Q155,0))^4</f>
        <v>2457086.93559858</v>
      </c>
      <c r="BJ155" s="12" t="n">
        <v>-1461781</v>
      </c>
      <c r="BK155" s="11" t="s">
        <v>127</v>
      </c>
      <c r="BL155" s="11" t="s">
        <v>85</v>
      </c>
      <c r="BM155" s="14" t="n">
        <f aca="false">O155</f>
        <v>20840376</v>
      </c>
      <c r="BN155" s="11" t="s">
        <v>258</v>
      </c>
      <c r="BO155" s="13" t="n">
        <f aca="false">IFERROR(1-L155/M155,"")</f>
        <v>0.177261998426436</v>
      </c>
      <c r="BP155" s="11" t="s">
        <v>130</v>
      </c>
      <c r="BQ155" s="12" t="n">
        <v>1926318</v>
      </c>
      <c r="BR155" s="11" t="s">
        <v>88</v>
      </c>
      <c r="BS155" s="11" t="s">
        <v>89</v>
      </c>
      <c r="BT155" s="19" t="str">
        <f aca="false">IF(OR(Z155&lt;6,AH155&lt;0.9,S155&lt;0.02,AK155&lt;1),"REVIEW",IF(AND(S155&gt;0.25,AH155&gt;1.2),"ACCELERATING","STABLE"))</f>
        <v>STABLE</v>
      </c>
    </row>
    <row r="156" customFormat="false" ht="15" hidden="false" customHeight="false" outlineLevel="0" collapsed="false">
      <c r="A156" s="11" t="s">
        <v>256</v>
      </c>
      <c r="B156" s="11" t="s">
        <v>92</v>
      </c>
      <c r="C156" s="11" t="s">
        <v>74</v>
      </c>
      <c r="D156" s="11" t="s">
        <v>151</v>
      </c>
      <c r="E156" s="11" t="s">
        <v>187</v>
      </c>
      <c r="F156" s="11" t="s">
        <v>257</v>
      </c>
      <c r="G156" s="11" t="s">
        <v>78</v>
      </c>
      <c r="H156" s="11" t="s">
        <v>79</v>
      </c>
      <c r="I156" s="11" t="s">
        <v>78</v>
      </c>
      <c r="J156" s="12" t="n">
        <v>2253000</v>
      </c>
      <c r="K156" s="13" t="n">
        <f aca="false">IFERROR(J156/M156,"")</f>
        <v>0.177261998426436</v>
      </c>
      <c r="L156" s="12" t="n">
        <v>10457000</v>
      </c>
      <c r="M156" s="14" t="n">
        <f aca="false">L156+J156</f>
        <v>12710000</v>
      </c>
      <c r="N156" s="12" t="n">
        <v>3036000</v>
      </c>
      <c r="O156" s="12" t="n">
        <v>20840376</v>
      </c>
      <c r="P156" s="12" t="n">
        <v>1487274</v>
      </c>
      <c r="Q156" s="13" t="n">
        <f aca="false">IFERROR(P156/P155-1,"")</f>
        <v>0.0883286366493556</v>
      </c>
      <c r="R156" s="12" t="n">
        <v>1591981</v>
      </c>
      <c r="S156" s="13" t="n">
        <f aca="false">IFERROR(R156/R155-1,"")</f>
        <v>0.164104922789381</v>
      </c>
      <c r="T156" s="12" t="n">
        <v>887960</v>
      </c>
      <c r="U156" s="13" t="n">
        <f aca="false">IFERROR(T156/P156,"")</f>
        <v>0.597038608891166</v>
      </c>
      <c r="V156" s="14" t="n">
        <f aca="false">T156-AV156</f>
        <v>-1866346</v>
      </c>
      <c r="W156" s="14" t="n">
        <f aca="false">V156-AA156*0.1</f>
        <v>-1866346</v>
      </c>
      <c r="X156" s="12" t="n">
        <v>4332611</v>
      </c>
      <c r="Y156" s="12" t="n">
        <v>163930</v>
      </c>
      <c r="Z156" s="15" t="n">
        <f aca="false">IFERROR(X156/Y156,"")</f>
        <v>26.4296407002989</v>
      </c>
      <c r="AA156" s="12" t="n">
        <v>0</v>
      </c>
      <c r="AB156" s="14" t="n">
        <f aca="false">W156-0.02*P156</f>
        <v>-1896091.48</v>
      </c>
      <c r="AC156" s="16" t="n">
        <v>10</v>
      </c>
      <c r="AD156" s="13" t="n">
        <f aca="false">IFERROR(AC156/AC155-1,"")</f>
        <v>0.25</v>
      </c>
      <c r="AE156" s="17" t="n">
        <v>0.062</v>
      </c>
      <c r="AF156" s="17" t="n">
        <v>0.045</v>
      </c>
      <c r="AG156" s="13" t="n">
        <f aca="false">1-AF156</f>
        <v>0.955</v>
      </c>
      <c r="AH156" s="17" t="n">
        <v>1.169</v>
      </c>
      <c r="AI156" s="12" t="n">
        <v>40392</v>
      </c>
      <c r="AJ156" s="14" t="n">
        <f aca="false">IFERROR(AM156*U156*MIN(1/AE156,5),"")</f>
        <v>133497.832948065</v>
      </c>
      <c r="AK156" s="18" t="n">
        <f aca="false">IFERROR(AJ156/AI156,"")</f>
        <v>3.30505627223373</v>
      </c>
      <c r="AL156" s="15" t="n">
        <f aca="false">IFERROR(AI156/(AM156*U156/12),"")</f>
        <v>18.154002551808</v>
      </c>
      <c r="AM156" s="12" t="n">
        <v>44720</v>
      </c>
      <c r="AN156" s="12" t="n">
        <v>1950076</v>
      </c>
      <c r="AO156" s="12" t="n">
        <v>6363482</v>
      </c>
      <c r="AP156" s="17" t="n">
        <v>0.234</v>
      </c>
      <c r="AQ156" s="16" t="n">
        <v>79</v>
      </c>
      <c r="AR156" s="16" t="n">
        <v>3</v>
      </c>
      <c r="AS156" s="13" t="n">
        <f aca="false">IFERROR(AR156/AR155-1,"")</f>
        <v>0</v>
      </c>
      <c r="AT156" s="11" t="s">
        <v>134</v>
      </c>
      <c r="AU156" s="14" t="n">
        <f aca="false">IFERROR(P156/AR156,"")</f>
        <v>495758</v>
      </c>
      <c r="AV156" s="12" t="n">
        <v>2754306</v>
      </c>
      <c r="AW156" s="12" t="n">
        <v>1193641</v>
      </c>
      <c r="AX156" s="12" t="n">
        <v>667743</v>
      </c>
      <c r="AY156" s="16" t="n">
        <v>1799</v>
      </c>
      <c r="AZ156" s="13" t="n">
        <f aca="false">IFERROR(AY156/AY155-1,"")</f>
        <v>0.156913183279743</v>
      </c>
      <c r="BA156" s="17" t="n">
        <v>0.933</v>
      </c>
      <c r="BB156" s="11" t="s">
        <v>99</v>
      </c>
      <c r="BC156" s="11" t="s">
        <v>108</v>
      </c>
      <c r="BD156" s="11" t="s">
        <v>83</v>
      </c>
      <c r="BE156" s="12" t="n">
        <v>1585250</v>
      </c>
      <c r="BF156" s="13" t="n">
        <f aca="false">IFERROR(P156/BE156-1,"")</f>
        <v>-0.0618047626557325</v>
      </c>
      <c r="BG156" s="17" t="n">
        <v>0.001</v>
      </c>
      <c r="BH156" s="17" t="n">
        <v>0.078</v>
      </c>
      <c r="BI156" s="14" t="n">
        <f aca="false">P156*(1+IFERROR(Q156,0))^4</f>
        <v>2086561.60971301</v>
      </c>
      <c r="BJ156" s="12" t="n">
        <v>-1451016</v>
      </c>
      <c r="BK156" s="11" t="s">
        <v>127</v>
      </c>
      <c r="BL156" s="11" t="s">
        <v>85</v>
      </c>
      <c r="BM156" s="14" t="n">
        <f aca="false">O156</f>
        <v>20840376</v>
      </c>
      <c r="BN156" s="11" t="s">
        <v>258</v>
      </c>
      <c r="BO156" s="13" t="n">
        <f aca="false">IFERROR(1-L156/M156,"")</f>
        <v>0.177261998426436</v>
      </c>
      <c r="BP156" s="11" t="s">
        <v>130</v>
      </c>
      <c r="BQ156" s="12" t="n">
        <v>2200567</v>
      </c>
      <c r="BR156" s="11" t="s">
        <v>88</v>
      </c>
      <c r="BS156" s="11" t="s">
        <v>89</v>
      </c>
      <c r="BT156" s="19" t="str">
        <f aca="false">IF(OR(Z156&lt;6,AH156&lt;0.9,S156&lt;0.02,AK156&lt;1),"REVIEW",IF(AND(S156&gt;0.25,AH156&gt;1.2),"ACCELERATING","STABLE"))</f>
        <v>STABLE</v>
      </c>
    </row>
    <row r="157" customFormat="false" ht="15" hidden="false" customHeight="false" outlineLevel="0" collapsed="false">
      <c r="A157" s="11" t="s">
        <v>256</v>
      </c>
      <c r="B157" s="11" t="s">
        <v>93</v>
      </c>
      <c r="C157" s="11" t="s">
        <v>74</v>
      </c>
      <c r="D157" s="11" t="s">
        <v>151</v>
      </c>
      <c r="E157" s="11" t="s">
        <v>187</v>
      </c>
      <c r="F157" s="11" t="s">
        <v>257</v>
      </c>
      <c r="G157" s="11" t="s">
        <v>78</v>
      </c>
      <c r="H157" s="11" t="s">
        <v>79</v>
      </c>
      <c r="I157" s="11" t="s">
        <v>78</v>
      </c>
      <c r="J157" s="12" t="n">
        <v>2253000</v>
      </c>
      <c r="K157" s="13" t="n">
        <f aca="false">IFERROR(J157/M157,"")</f>
        <v>0.177261998426436</v>
      </c>
      <c r="L157" s="12" t="n">
        <v>10457000</v>
      </c>
      <c r="M157" s="14" t="n">
        <f aca="false">L157+J157</f>
        <v>12710000</v>
      </c>
      <c r="N157" s="12" t="n">
        <v>3036000</v>
      </c>
      <c r="O157" s="12" t="n">
        <v>20840376</v>
      </c>
      <c r="P157" s="12" t="n">
        <v>1800357</v>
      </c>
      <c r="Q157" s="13" t="n">
        <f aca="false">IFERROR(P157/P156-1,"")</f>
        <v>0.210507949443075</v>
      </c>
      <c r="R157" s="12" t="n">
        <v>1870000</v>
      </c>
      <c r="S157" s="13" t="n">
        <f aca="false">IFERROR(R157/R156-1,"")</f>
        <v>0.174637134488414</v>
      </c>
      <c r="T157" s="12" t="n">
        <v>1079200</v>
      </c>
      <c r="U157" s="13" t="n">
        <f aca="false">IFERROR(T157/P157,"")</f>
        <v>0.599436667283211</v>
      </c>
      <c r="V157" s="14" t="n">
        <f aca="false">T157-AV157</f>
        <v>-1531193</v>
      </c>
      <c r="W157" s="14" t="n">
        <f aca="false">V157-AA157*0.1</f>
        <v>-1531193</v>
      </c>
      <c r="X157" s="12" t="n">
        <v>3890000</v>
      </c>
      <c r="Y157" s="12" t="n">
        <v>169000</v>
      </c>
      <c r="Z157" s="15" t="n">
        <f aca="false">IFERROR(X157/Y157,"")</f>
        <v>23.0177514792899</v>
      </c>
      <c r="AA157" s="12" t="n">
        <v>0</v>
      </c>
      <c r="AB157" s="14" t="n">
        <f aca="false">W157-0.02*P157</f>
        <v>-1567200.14</v>
      </c>
      <c r="AC157" s="16" t="n">
        <v>11</v>
      </c>
      <c r="AD157" s="13" t="n">
        <f aca="false">IFERROR(AC157/AC156-1,"")</f>
        <v>0.1</v>
      </c>
      <c r="AE157" s="17" t="n">
        <v>0.06</v>
      </c>
      <c r="AF157" s="17" t="n">
        <v>0.059</v>
      </c>
      <c r="AG157" s="13" t="n">
        <f aca="false">1-AF157</f>
        <v>0.941</v>
      </c>
      <c r="AH157" s="17" t="n">
        <v>1.164</v>
      </c>
      <c r="AI157" s="12" t="n">
        <v>39600</v>
      </c>
      <c r="AJ157" s="14" t="n">
        <f aca="false">IFERROR(AM157*U157*MIN(1/AE157,5),"")</f>
        <v>136611.616473844</v>
      </c>
      <c r="AK157" s="18" t="n">
        <f aca="false">IFERROR(AJ157/AI157,"")</f>
        <v>3.44978829479404</v>
      </c>
      <c r="AL157" s="15" t="n">
        <f aca="false">IFERROR(AI157/(AM157*U157/12),"")</f>
        <v>17.3923716103229</v>
      </c>
      <c r="AM157" s="12" t="n">
        <v>45580</v>
      </c>
      <c r="AN157" s="12" t="n">
        <v>2486817</v>
      </c>
      <c r="AO157" s="12" t="n">
        <v>7312730</v>
      </c>
      <c r="AP157" s="17" t="n">
        <v>0.234</v>
      </c>
      <c r="AQ157" s="16" t="n">
        <v>79</v>
      </c>
      <c r="AR157" s="16" t="n">
        <v>3</v>
      </c>
      <c r="AS157" s="13" t="n">
        <f aca="false">IFERROR(AR157/AR156-1,"")</f>
        <v>0</v>
      </c>
      <c r="AT157" s="11" t="s">
        <v>134</v>
      </c>
      <c r="AU157" s="14" t="n">
        <f aca="false">IFERROR(P157/AR157,"")</f>
        <v>600119</v>
      </c>
      <c r="AV157" s="12" t="n">
        <v>2610393</v>
      </c>
      <c r="AW157" s="12" t="n">
        <v>784601</v>
      </c>
      <c r="AX157" s="12" t="n">
        <v>640089</v>
      </c>
      <c r="AY157" s="16" t="n">
        <v>2123</v>
      </c>
      <c r="AZ157" s="13" t="n">
        <f aca="false">IFERROR(AY157/AY156-1,"")</f>
        <v>0.180100055586437</v>
      </c>
      <c r="BA157" s="17" t="n">
        <v>0.946</v>
      </c>
      <c r="BB157" s="11" t="s">
        <v>99</v>
      </c>
      <c r="BC157" s="11" t="s">
        <v>108</v>
      </c>
      <c r="BD157" s="11" t="s">
        <v>83</v>
      </c>
      <c r="BE157" s="12" t="n">
        <v>2128755</v>
      </c>
      <c r="BF157" s="13" t="n">
        <f aca="false">IFERROR(P157/BE157-1,"")</f>
        <v>-0.154267635307962</v>
      </c>
      <c r="BG157" s="17" t="n">
        <v>0.012</v>
      </c>
      <c r="BH157" s="17" t="n">
        <v>-0.049</v>
      </c>
      <c r="BI157" s="14" t="n">
        <f aca="false">P157*(1+IFERROR(Q157,0))^4</f>
        <v>3865709.5025774</v>
      </c>
      <c r="BJ157" s="12" t="n">
        <v>-1311027</v>
      </c>
      <c r="BK157" s="11" t="s">
        <v>127</v>
      </c>
      <c r="BL157" s="11" t="s">
        <v>85</v>
      </c>
      <c r="BM157" s="14" t="n">
        <f aca="false">O157</f>
        <v>20840376</v>
      </c>
      <c r="BN157" s="11" t="s">
        <v>258</v>
      </c>
      <c r="BO157" s="13" t="n">
        <f aca="false">IFERROR(1-L157/M157,"")</f>
        <v>0.177261998426436</v>
      </c>
      <c r="BP157" s="11" t="s">
        <v>130</v>
      </c>
      <c r="BQ157" s="12" t="n">
        <v>2883108</v>
      </c>
      <c r="BR157" s="11" t="s">
        <v>88</v>
      </c>
      <c r="BS157" s="11" t="s">
        <v>89</v>
      </c>
      <c r="BT157" s="19" t="str">
        <f aca="false">IF(OR(Z157&lt;6,AH157&lt;0.9,S157&lt;0.02,AK157&lt;1),"REVIEW",IF(AND(S157&gt;0.25,AH157&gt;1.2),"ACCELERATING","STABLE"))</f>
        <v>STABLE</v>
      </c>
    </row>
    <row r="158" customFormat="false" ht="15" hidden="false" customHeight="false" outlineLevel="0" collapsed="false">
      <c r="A158" s="3" t="s">
        <v>259</v>
      </c>
      <c r="B158" s="3" t="s">
        <v>73</v>
      </c>
      <c r="C158" s="3" t="s">
        <v>74</v>
      </c>
      <c r="D158" s="3" t="s">
        <v>165</v>
      </c>
      <c r="E158" s="3" t="s">
        <v>260</v>
      </c>
      <c r="F158" s="3" t="s">
        <v>261</v>
      </c>
      <c r="G158" s="3" t="s">
        <v>78</v>
      </c>
      <c r="H158" s="3" t="s">
        <v>79</v>
      </c>
      <c r="I158" s="3" t="s">
        <v>78</v>
      </c>
      <c r="J158" s="4" t="n">
        <v>5222000</v>
      </c>
      <c r="K158" s="5" t="n">
        <f aca="false">IFERROR(J158/M158,"")</f>
        <v>0.187208718720872</v>
      </c>
      <c r="L158" s="4" t="n">
        <v>22672000</v>
      </c>
      <c r="M158" s="6" t="n">
        <f aca="false">L158+J158</f>
        <v>27894000</v>
      </c>
      <c r="N158" s="4" t="n">
        <v>7630000</v>
      </c>
      <c r="O158" s="4" t="n">
        <v>58734579</v>
      </c>
      <c r="P158" s="4" t="n">
        <v>467985</v>
      </c>
      <c r="Q158" s="7"/>
      <c r="R158" s="4" t="n">
        <v>473600</v>
      </c>
      <c r="S158" s="7"/>
      <c r="T158" s="4" t="n">
        <v>301093</v>
      </c>
      <c r="U158" s="5" t="n">
        <f aca="false">IFERROR(T158/P158,"")</f>
        <v>0.64338173232048</v>
      </c>
      <c r="V158" s="6" t="n">
        <f aca="false">T158-AV158</f>
        <v>-916970</v>
      </c>
      <c r="W158" s="6" t="n">
        <f aca="false">V158-AA158*0.1</f>
        <v>-916970</v>
      </c>
      <c r="X158" s="4" t="n">
        <v>3231213</v>
      </c>
      <c r="Y158" s="4" t="n">
        <v>93730</v>
      </c>
      <c r="Z158" s="8" t="n">
        <f aca="false">IFERROR(X158/Y158,"")</f>
        <v>34.4736263736264</v>
      </c>
      <c r="AA158" s="4" t="n">
        <v>0</v>
      </c>
      <c r="AB158" s="6" t="n">
        <f aca="false">W158-0.02*P158</f>
        <v>-926329.7</v>
      </c>
      <c r="AC158" s="9" t="n">
        <v>49</v>
      </c>
      <c r="AD158" s="7"/>
      <c r="AE158" s="7" t="n">
        <v>0.116</v>
      </c>
      <c r="AF158" s="7" t="n">
        <v>0.119</v>
      </c>
      <c r="AG158" s="5" t="n">
        <f aca="false">1-AF158</f>
        <v>0.881</v>
      </c>
      <c r="AH158" s="7" t="n">
        <v>1.17</v>
      </c>
      <c r="AI158" s="4" t="n">
        <v>22366</v>
      </c>
      <c r="AJ158" s="6" t="n">
        <f aca="false">IFERROR(AM158*U158*MIN(1/AE158,5),"")</f>
        <v>64338.173232048</v>
      </c>
      <c r="AK158" s="10" t="n">
        <f aca="false">IFERROR(AJ158/AI158,"")</f>
        <v>2.87660615362819</v>
      </c>
      <c r="AL158" s="8" t="n">
        <f aca="false">IFERROR(AI158/(AM158*U158/12),"")</f>
        <v>20.8579126914276</v>
      </c>
      <c r="AM158" s="4" t="n">
        <v>20000</v>
      </c>
      <c r="AN158" s="4" t="n">
        <v>556375</v>
      </c>
      <c r="AO158" s="4" t="n">
        <v>1408079</v>
      </c>
      <c r="AP158" s="7" t="n">
        <v>0.146</v>
      </c>
      <c r="AQ158" s="9" t="n">
        <v>87</v>
      </c>
      <c r="AR158" s="9" t="n">
        <v>11</v>
      </c>
      <c r="AS158" s="7"/>
      <c r="AT158" s="3" t="s">
        <v>134</v>
      </c>
      <c r="AU158" s="6" t="n">
        <f aca="false">IFERROR(P158/AR158,"")</f>
        <v>42544.0909090909</v>
      </c>
      <c r="AV158" s="4" t="n">
        <v>1218063</v>
      </c>
      <c r="AW158" s="4" t="n">
        <v>447414</v>
      </c>
      <c r="AX158" s="4" t="n">
        <v>356280</v>
      </c>
      <c r="AY158" s="9" t="n">
        <v>21077</v>
      </c>
      <c r="AZ158" s="7"/>
      <c r="BA158" s="7" t="n">
        <v>0.9</v>
      </c>
      <c r="BB158" s="3" t="s">
        <v>81</v>
      </c>
      <c r="BC158" s="3" t="s">
        <v>126</v>
      </c>
      <c r="BD158" s="3" t="s">
        <v>175</v>
      </c>
      <c r="BE158" s="4" t="n">
        <v>553401</v>
      </c>
      <c r="BF158" s="5" t="n">
        <f aca="false">IFERROR(P158/BE158-1,"")</f>
        <v>-0.154347390048085</v>
      </c>
      <c r="BG158" s="7" t="n">
        <v>0.025</v>
      </c>
      <c r="BH158" s="7" t="n">
        <v>0.075</v>
      </c>
      <c r="BI158" s="6" t="n">
        <f aca="false">P158</f>
        <v>467985</v>
      </c>
      <c r="BJ158" s="4" t="n">
        <v>-776661</v>
      </c>
      <c r="BK158" s="3" t="s">
        <v>110</v>
      </c>
      <c r="BL158" s="3" t="s">
        <v>128</v>
      </c>
      <c r="BM158" s="6" t="n">
        <f aca="false">O158</f>
        <v>58734579</v>
      </c>
      <c r="BN158" s="3" t="s">
        <v>262</v>
      </c>
      <c r="BO158" s="5" t="n">
        <f aca="false">IFERROR(1-L158/M158,"")</f>
        <v>0.187208718720872</v>
      </c>
      <c r="BP158" s="3" t="s">
        <v>142</v>
      </c>
      <c r="BQ158" s="4" t="n">
        <v>1536454</v>
      </c>
      <c r="BR158" s="3" t="s">
        <v>88</v>
      </c>
      <c r="BS158" s="3" t="s">
        <v>89</v>
      </c>
      <c r="BT158" s="3" t="s">
        <v>90</v>
      </c>
    </row>
    <row r="159" customFormat="false" ht="15" hidden="false" customHeight="false" outlineLevel="0" collapsed="false">
      <c r="A159" s="11" t="s">
        <v>259</v>
      </c>
      <c r="B159" s="11" t="s">
        <v>91</v>
      </c>
      <c r="C159" s="11" t="s">
        <v>74</v>
      </c>
      <c r="D159" s="11" t="s">
        <v>165</v>
      </c>
      <c r="E159" s="11" t="s">
        <v>260</v>
      </c>
      <c r="F159" s="11" t="s">
        <v>261</v>
      </c>
      <c r="G159" s="11" t="s">
        <v>78</v>
      </c>
      <c r="H159" s="11" t="s">
        <v>79</v>
      </c>
      <c r="I159" s="11" t="s">
        <v>78</v>
      </c>
      <c r="J159" s="12" t="n">
        <v>5222000</v>
      </c>
      <c r="K159" s="13" t="n">
        <f aca="false">IFERROR(J159/M159,"")</f>
        <v>0.187208718720872</v>
      </c>
      <c r="L159" s="12" t="n">
        <v>22672000</v>
      </c>
      <c r="M159" s="14" t="n">
        <f aca="false">L159+J159</f>
        <v>27894000</v>
      </c>
      <c r="N159" s="12" t="n">
        <v>7630000</v>
      </c>
      <c r="O159" s="12" t="n">
        <v>58734579</v>
      </c>
      <c r="P159" s="12" t="n">
        <v>546176</v>
      </c>
      <c r="Q159" s="13" t="n">
        <f aca="false">IFERROR(P159/P158-1,"")</f>
        <v>0.167080141457525</v>
      </c>
      <c r="R159" s="12" t="n">
        <v>596074</v>
      </c>
      <c r="S159" s="13" t="n">
        <f aca="false">IFERROR(R159/R158-1,"")</f>
        <v>0.258602195945946</v>
      </c>
      <c r="T159" s="12" t="n">
        <v>352822</v>
      </c>
      <c r="U159" s="13" t="n">
        <f aca="false">IFERROR(T159/P159,"")</f>
        <v>0.645985909303961</v>
      </c>
      <c r="V159" s="14" t="n">
        <f aca="false">T159-AV159</f>
        <v>-1127261</v>
      </c>
      <c r="W159" s="14" t="n">
        <f aca="false">V159-AA159*0.1</f>
        <v>-1127261</v>
      </c>
      <c r="X159" s="12" t="n">
        <v>2994828</v>
      </c>
      <c r="Y159" s="12" t="n">
        <v>96820</v>
      </c>
      <c r="Z159" s="15" t="n">
        <f aca="false">IFERROR(X159/Y159,"")</f>
        <v>30.931914893617</v>
      </c>
      <c r="AA159" s="12" t="n">
        <v>0</v>
      </c>
      <c r="AB159" s="14" t="n">
        <f aca="false">W159-0.02*P159</f>
        <v>-1138184.52</v>
      </c>
      <c r="AC159" s="16" t="n">
        <v>53</v>
      </c>
      <c r="AD159" s="13" t="n">
        <f aca="false">IFERROR(AC159/AC158-1,"")</f>
        <v>0.0816326530612246</v>
      </c>
      <c r="AE159" s="17" t="n">
        <v>0.112</v>
      </c>
      <c r="AF159" s="17" t="n">
        <v>0.117</v>
      </c>
      <c r="AG159" s="13" t="n">
        <f aca="false">1-AF159</f>
        <v>0.883</v>
      </c>
      <c r="AH159" s="17" t="n">
        <v>1.165</v>
      </c>
      <c r="AI159" s="12" t="n">
        <v>21944</v>
      </c>
      <c r="AJ159" s="14" t="n">
        <f aca="false">IFERROR(AM159*U159*MIN(1/AE159,5),"")</f>
        <v>65890.562749004</v>
      </c>
      <c r="AK159" s="18" t="n">
        <f aca="false">IFERROR(AJ159/AI159,"")</f>
        <v>3.00266873628345</v>
      </c>
      <c r="AL159" s="15" t="n">
        <f aca="false">IFERROR(AI159/(AM159*U159/12),"")</f>
        <v>19.9822242377176</v>
      </c>
      <c r="AM159" s="12" t="n">
        <v>20400</v>
      </c>
      <c r="AN159" s="12" t="n">
        <v>868067</v>
      </c>
      <c r="AO159" s="12" t="n">
        <v>1674361</v>
      </c>
      <c r="AP159" s="17" t="n">
        <v>0.146</v>
      </c>
      <c r="AQ159" s="16" t="n">
        <v>87</v>
      </c>
      <c r="AR159" s="16" t="n">
        <v>12</v>
      </c>
      <c r="AS159" s="13" t="n">
        <f aca="false">IFERROR(AR159/AR158-1,"")</f>
        <v>0.0909090909090908</v>
      </c>
      <c r="AT159" s="11" t="s">
        <v>134</v>
      </c>
      <c r="AU159" s="14" t="n">
        <f aca="false">IFERROR(P159/AR159,"")</f>
        <v>45514.6666666667</v>
      </c>
      <c r="AV159" s="12" t="n">
        <v>1480083</v>
      </c>
      <c r="AW159" s="12" t="n">
        <v>609129</v>
      </c>
      <c r="AX159" s="12" t="n">
        <v>380948</v>
      </c>
      <c r="AY159" s="16" t="n">
        <v>24400</v>
      </c>
      <c r="AZ159" s="13" t="n">
        <f aca="false">IFERROR(AY159/AY158-1,"")</f>
        <v>0.157660008540115</v>
      </c>
      <c r="BA159" s="17" t="n">
        <v>0.891</v>
      </c>
      <c r="BB159" s="11" t="s">
        <v>81</v>
      </c>
      <c r="BC159" s="11" t="s">
        <v>126</v>
      </c>
      <c r="BD159" s="11" t="s">
        <v>175</v>
      </c>
      <c r="BE159" s="12" t="n">
        <v>660555</v>
      </c>
      <c r="BF159" s="13" t="n">
        <f aca="false">IFERROR(P159/BE159-1,"")</f>
        <v>-0.173155906775363</v>
      </c>
      <c r="BG159" s="17" t="n">
        <v>0.067</v>
      </c>
      <c r="BH159" s="17" t="n">
        <v>0.065</v>
      </c>
      <c r="BI159" s="14" t="n">
        <f aca="false">P159*(1+IFERROR(Q159,0))^4</f>
        <v>1013293.67062914</v>
      </c>
      <c r="BJ159" s="12" t="n">
        <v>-582337</v>
      </c>
      <c r="BK159" s="11" t="s">
        <v>110</v>
      </c>
      <c r="BL159" s="11" t="s">
        <v>128</v>
      </c>
      <c r="BM159" s="14" t="n">
        <f aca="false">O159</f>
        <v>58734579</v>
      </c>
      <c r="BN159" s="11" t="s">
        <v>262</v>
      </c>
      <c r="BO159" s="13" t="n">
        <f aca="false">IFERROR(1-L159/M159,"")</f>
        <v>0.187208718720872</v>
      </c>
      <c r="BP159" s="11" t="s">
        <v>142</v>
      </c>
      <c r="BQ159" s="12" t="n">
        <v>1490604</v>
      </c>
      <c r="BR159" s="11" t="s">
        <v>88</v>
      </c>
      <c r="BS159" s="11" t="s">
        <v>89</v>
      </c>
      <c r="BT159" s="19" t="str">
        <f aca="false">IF(OR(Z159&lt;6,AH159&lt;0.9,S159&lt;0.02,AK159&lt;1),"REVIEW",IF(AND(S159&gt;0.25,AH159&gt;1.2),"ACCELERATING","STABLE"))</f>
        <v>STABLE</v>
      </c>
    </row>
    <row r="160" customFormat="false" ht="15" hidden="false" customHeight="false" outlineLevel="0" collapsed="false">
      <c r="A160" s="11" t="s">
        <v>259</v>
      </c>
      <c r="B160" s="11" t="s">
        <v>92</v>
      </c>
      <c r="C160" s="11" t="s">
        <v>74</v>
      </c>
      <c r="D160" s="11" t="s">
        <v>165</v>
      </c>
      <c r="E160" s="11" t="s">
        <v>260</v>
      </c>
      <c r="F160" s="11" t="s">
        <v>261</v>
      </c>
      <c r="G160" s="11" t="s">
        <v>78</v>
      </c>
      <c r="H160" s="11" t="s">
        <v>79</v>
      </c>
      <c r="I160" s="11" t="s">
        <v>78</v>
      </c>
      <c r="J160" s="12" t="n">
        <v>5222000</v>
      </c>
      <c r="K160" s="13" t="n">
        <f aca="false">IFERROR(J160/M160,"")</f>
        <v>0.187208718720872</v>
      </c>
      <c r="L160" s="12" t="n">
        <v>22672000</v>
      </c>
      <c r="M160" s="14" t="n">
        <f aca="false">L160+J160</f>
        <v>27894000</v>
      </c>
      <c r="N160" s="12" t="n">
        <v>7630000</v>
      </c>
      <c r="O160" s="12" t="n">
        <v>58734579</v>
      </c>
      <c r="P160" s="12" t="n">
        <v>600665</v>
      </c>
      <c r="Q160" s="13" t="n">
        <f aca="false">IFERROR(P160/P159-1,"")</f>
        <v>0.099764544762128</v>
      </c>
      <c r="R160" s="12" t="n">
        <v>705966</v>
      </c>
      <c r="S160" s="13" t="n">
        <f aca="false">IFERROR(R160/R159-1,"")</f>
        <v>0.18435966004221</v>
      </c>
      <c r="T160" s="12" t="n">
        <v>389585</v>
      </c>
      <c r="U160" s="13" t="n">
        <f aca="false">IFERROR(T160/P160,"")</f>
        <v>0.648589479993008</v>
      </c>
      <c r="V160" s="14" t="n">
        <f aca="false">T160-AV160</f>
        <v>-985521</v>
      </c>
      <c r="W160" s="14" t="n">
        <f aca="false">V160-AA160*0.1</f>
        <v>-985521</v>
      </c>
      <c r="X160" s="12" t="n">
        <v>2741757</v>
      </c>
      <c r="Y160" s="12" t="n">
        <v>99910</v>
      </c>
      <c r="Z160" s="15" t="n">
        <f aca="false">IFERROR(X160/Y160,"")</f>
        <v>27.4422680412371</v>
      </c>
      <c r="AA160" s="12" t="n">
        <v>0</v>
      </c>
      <c r="AB160" s="14" t="n">
        <f aca="false">W160-0.02*P160</f>
        <v>-997534.3</v>
      </c>
      <c r="AC160" s="16" t="n">
        <v>64</v>
      </c>
      <c r="AD160" s="13" t="n">
        <f aca="false">IFERROR(AC160/AC159-1,"")</f>
        <v>0.207547169811321</v>
      </c>
      <c r="AE160" s="17" t="n">
        <v>0.109</v>
      </c>
      <c r="AF160" s="17" t="n">
        <v>0.07</v>
      </c>
      <c r="AG160" s="13" t="n">
        <f aca="false">1-AF160</f>
        <v>0.93</v>
      </c>
      <c r="AH160" s="17" t="n">
        <v>1.16</v>
      </c>
      <c r="AI160" s="12" t="n">
        <v>21522</v>
      </c>
      <c r="AJ160" s="14" t="n">
        <f aca="false">IFERROR(AM160*U160*MIN(1/AE160,5),"")</f>
        <v>67453.3059192728</v>
      </c>
      <c r="AK160" s="18" t="n">
        <f aca="false">IFERROR(AJ160/AI160,"")</f>
        <v>3.13415602264068</v>
      </c>
      <c r="AL160" s="15" t="n">
        <f aca="false">IFERROR(AI160/(AM160*U160/12),"")</f>
        <v>19.1439097372845</v>
      </c>
      <c r="AM160" s="12" t="n">
        <v>20800</v>
      </c>
      <c r="AN160" s="12" t="n">
        <v>905220</v>
      </c>
      <c r="AO160" s="12" t="n">
        <v>2690373</v>
      </c>
      <c r="AP160" s="17" t="n">
        <v>0.146</v>
      </c>
      <c r="AQ160" s="16" t="n">
        <v>87</v>
      </c>
      <c r="AR160" s="16" t="n">
        <v>12</v>
      </c>
      <c r="AS160" s="13" t="n">
        <f aca="false">IFERROR(AR160/AR159-1,"")</f>
        <v>0</v>
      </c>
      <c r="AT160" s="11" t="s">
        <v>134</v>
      </c>
      <c r="AU160" s="14" t="n">
        <f aca="false">IFERROR(P160/AR160,"")</f>
        <v>50055.4166666667</v>
      </c>
      <c r="AV160" s="12" t="n">
        <v>1375106</v>
      </c>
      <c r="AW160" s="12" t="n">
        <v>674468</v>
      </c>
      <c r="AX160" s="12" t="n">
        <v>422836</v>
      </c>
      <c r="AY160" s="16" t="n">
        <v>27269</v>
      </c>
      <c r="AZ160" s="13" t="n">
        <f aca="false">IFERROR(AY160/AY159-1,"")</f>
        <v>0.117581967213115</v>
      </c>
      <c r="BA160" s="17" t="n">
        <v>0.89</v>
      </c>
      <c r="BB160" s="11" t="s">
        <v>81</v>
      </c>
      <c r="BC160" s="11" t="s">
        <v>126</v>
      </c>
      <c r="BD160" s="11" t="s">
        <v>175</v>
      </c>
      <c r="BE160" s="12" t="n">
        <v>731662</v>
      </c>
      <c r="BF160" s="13" t="n">
        <f aca="false">IFERROR(P160/BE160-1,"")</f>
        <v>-0.179040321897269</v>
      </c>
      <c r="BG160" s="17" t="n">
        <v>-0.054</v>
      </c>
      <c r="BH160" s="17" t="n">
        <v>0.079</v>
      </c>
      <c r="BI160" s="14" t="n">
        <f aca="false">P160*(1+IFERROR(Q160,0))^4</f>
        <v>878680.896394468</v>
      </c>
      <c r="BJ160" s="12" t="n">
        <v>-759311</v>
      </c>
      <c r="BK160" s="11" t="s">
        <v>110</v>
      </c>
      <c r="BL160" s="11" t="s">
        <v>128</v>
      </c>
      <c r="BM160" s="14" t="n">
        <f aca="false">O160</f>
        <v>58734579</v>
      </c>
      <c r="BN160" s="11" t="s">
        <v>262</v>
      </c>
      <c r="BO160" s="13" t="n">
        <f aca="false">IFERROR(1-L160/M160,"")</f>
        <v>0.187208718720872</v>
      </c>
      <c r="BP160" s="11" t="s">
        <v>142</v>
      </c>
      <c r="BQ160" s="12" t="n">
        <v>1337470</v>
      </c>
      <c r="BR160" s="11" t="s">
        <v>88</v>
      </c>
      <c r="BS160" s="11" t="s">
        <v>89</v>
      </c>
      <c r="BT160" s="19" t="str">
        <f aca="false">IF(OR(Z160&lt;6,AH160&lt;0.9,S160&lt;0.02,AK160&lt;1),"REVIEW",IF(AND(S160&gt;0.25,AH160&gt;1.2),"ACCELERATING","STABLE"))</f>
        <v>STABLE</v>
      </c>
    </row>
    <row r="161" customFormat="false" ht="15" hidden="false" customHeight="false" outlineLevel="0" collapsed="false">
      <c r="A161" s="11" t="s">
        <v>259</v>
      </c>
      <c r="B161" s="11" t="s">
        <v>93</v>
      </c>
      <c r="C161" s="11" t="s">
        <v>74</v>
      </c>
      <c r="D161" s="11" t="s">
        <v>165</v>
      </c>
      <c r="E161" s="11" t="s">
        <v>260</v>
      </c>
      <c r="F161" s="11" t="s">
        <v>261</v>
      </c>
      <c r="G161" s="11" t="s">
        <v>78</v>
      </c>
      <c r="H161" s="11" t="s">
        <v>79</v>
      </c>
      <c r="I161" s="11" t="s">
        <v>78</v>
      </c>
      <c r="J161" s="12" t="n">
        <v>5222000</v>
      </c>
      <c r="K161" s="13" t="n">
        <f aca="false">IFERROR(J161/M161,"")</f>
        <v>0.187208718720872</v>
      </c>
      <c r="L161" s="12" t="n">
        <v>22672000</v>
      </c>
      <c r="M161" s="14" t="n">
        <f aca="false">L161+J161</f>
        <v>27894000</v>
      </c>
      <c r="N161" s="12" t="n">
        <v>7630000</v>
      </c>
      <c r="O161" s="12" t="n">
        <v>58734579</v>
      </c>
      <c r="P161" s="12" t="n">
        <v>725207</v>
      </c>
      <c r="Q161" s="13" t="n">
        <f aca="false">IFERROR(P161/P160-1,"")</f>
        <v>0.207340197947275</v>
      </c>
      <c r="R161" s="12" t="n">
        <v>796905</v>
      </c>
      <c r="S161" s="13" t="n">
        <f aca="false">IFERROR(R161/R160-1,"")</f>
        <v>0.128814985424227</v>
      </c>
      <c r="T161" s="12" t="n">
        <v>472251</v>
      </c>
      <c r="U161" s="13" t="n">
        <f aca="false">IFERROR(T161/P161,"")</f>
        <v>0.651194762323033</v>
      </c>
      <c r="V161" s="14" t="n">
        <f aca="false">T161-AV161</f>
        <v>-1184459</v>
      </c>
      <c r="W161" s="14" t="n">
        <f aca="false">V161-AA161*0.1</f>
        <v>-1184459</v>
      </c>
      <c r="X161" s="12" t="n">
        <v>2472000</v>
      </c>
      <c r="Y161" s="12" t="n">
        <v>103000</v>
      </c>
      <c r="Z161" s="15" t="n">
        <f aca="false">IFERROR(X161/Y161,"")</f>
        <v>24</v>
      </c>
      <c r="AA161" s="12" t="n">
        <v>0</v>
      </c>
      <c r="AB161" s="14" t="n">
        <f aca="false">W161-0.02*P161</f>
        <v>-1198963.14</v>
      </c>
      <c r="AC161" s="16" t="n">
        <v>70</v>
      </c>
      <c r="AD161" s="13" t="n">
        <f aca="false">IFERROR(AC161/AC160-1,"")</f>
        <v>0.09375</v>
      </c>
      <c r="AE161" s="17" t="n">
        <v>0.106</v>
      </c>
      <c r="AF161" s="17" t="n">
        <v>0.104</v>
      </c>
      <c r="AG161" s="13" t="n">
        <f aca="false">1-AF161</f>
        <v>0.896</v>
      </c>
      <c r="AH161" s="17" t="n">
        <v>1.155</v>
      </c>
      <c r="AI161" s="12" t="n">
        <v>21100</v>
      </c>
      <c r="AJ161" s="14" t="n">
        <f aca="false">IFERROR(AM161*U161*MIN(1/AE161,5),"")</f>
        <v>69026.6448062415</v>
      </c>
      <c r="AK161" s="18" t="n">
        <f aca="false">IFERROR(AJ161/AI161,"")</f>
        <v>3.27140496712045</v>
      </c>
      <c r="AL161" s="15" t="n">
        <f aca="false">IFERROR(AI161/(AM161*U161/12),"")</f>
        <v>18.340743687509</v>
      </c>
      <c r="AM161" s="12" t="n">
        <v>21200</v>
      </c>
      <c r="AN161" s="12" t="n">
        <v>1178399</v>
      </c>
      <c r="AO161" s="12" t="n">
        <v>1294892</v>
      </c>
      <c r="AP161" s="17" t="n">
        <v>0.146</v>
      </c>
      <c r="AQ161" s="16" t="n">
        <v>87</v>
      </c>
      <c r="AR161" s="16" t="n">
        <v>13</v>
      </c>
      <c r="AS161" s="13" t="n">
        <f aca="false">IFERROR(AR161/AR160-1,"")</f>
        <v>0.0833333333333333</v>
      </c>
      <c r="AT161" s="11" t="s">
        <v>134</v>
      </c>
      <c r="AU161" s="14" t="n">
        <f aca="false">IFERROR(P161/AR161,"")</f>
        <v>55785.1538461538</v>
      </c>
      <c r="AV161" s="12" t="n">
        <v>1656710</v>
      </c>
      <c r="AW161" s="12" t="n">
        <v>824577</v>
      </c>
      <c r="AX161" s="12" t="n">
        <v>544814</v>
      </c>
      <c r="AY161" s="16" t="n">
        <v>31120</v>
      </c>
      <c r="AZ161" s="13" t="n">
        <f aca="false">IFERROR(AY161/AY160-1,"")</f>
        <v>0.141222633759947</v>
      </c>
      <c r="BA161" s="17" t="n">
        <v>0.915</v>
      </c>
      <c r="BB161" s="11" t="s">
        <v>81</v>
      </c>
      <c r="BC161" s="11" t="s">
        <v>126</v>
      </c>
      <c r="BD161" s="11" t="s">
        <v>175</v>
      </c>
      <c r="BE161" s="12" t="n">
        <v>892416</v>
      </c>
      <c r="BF161" s="13" t="n">
        <f aca="false">IFERROR(P161/BE161-1,"")</f>
        <v>-0.187366654116466</v>
      </c>
      <c r="BG161" s="17" t="n">
        <v>0.073</v>
      </c>
      <c r="BH161" s="17" t="n">
        <v>0</v>
      </c>
      <c r="BI161" s="14" t="n">
        <f aca="false">P161*(1+IFERROR(Q161,0))^4</f>
        <v>1540921.9074775</v>
      </c>
      <c r="BJ161" s="12" t="n">
        <v>-1048306</v>
      </c>
      <c r="BK161" s="11" t="s">
        <v>110</v>
      </c>
      <c r="BL161" s="11" t="s">
        <v>128</v>
      </c>
      <c r="BM161" s="14" t="n">
        <f aca="false">O161</f>
        <v>58734579</v>
      </c>
      <c r="BN161" s="11" t="s">
        <v>262</v>
      </c>
      <c r="BO161" s="13" t="n">
        <f aca="false">IFERROR(1-L161/M161,"")</f>
        <v>0.187208718720872</v>
      </c>
      <c r="BP161" s="11" t="s">
        <v>142</v>
      </c>
      <c r="BQ161" s="12" t="n">
        <v>1601522</v>
      </c>
      <c r="BR161" s="11" t="s">
        <v>88</v>
      </c>
      <c r="BS161" s="11" t="s">
        <v>89</v>
      </c>
      <c r="BT161" s="19" t="str">
        <f aca="false">IF(OR(Z161&lt;6,AH161&lt;0.9,S161&lt;0.02,AK161&lt;1),"REVIEW",IF(AND(S161&gt;0.25,AH161&gt;1.2),"ACCELERATING","STABLE"))</f>
        <v>STABLE</v>
      </c>
    </row>
    <row r="162" customFormat="false" ht="15" hidden="false" customHeight="false" outlineLevel="0" collapsed="false">
      <c r="A162" s="3" t="s">
        <v>263</v>
      </c>
      <c r="B162" s="3" t="s">
        <v>73</v>
      </c>
      <c r="C162" s="3" t="s">
        <v>74</v>
      </c>
      <c r="D162" s="3" t="s">
        <v>132</v>
      </c>
      <c r="E162" s="3" t="s">
        <v>105</v>
      </c>
      <c r="F162" s="3" t="s">
        <v>264</v>
      </c>
      <c r="G162" s="3" t="s">
        <v>78</v>
      </c>
      <c r="H162" s="3" t="s">
        <v>79</v>
      </c>
      <c r="I162" s="3" t="s">
        <v>78</v>
      </c>
      <c r="J162" s="4" t="n">
        <v>1108000</v>
      </c>
      <c r="K162" s="5" t="n">
        <f aca="false">IFERROR(J162/M162,"")</f>
        <v>0.102516654330126</v>
      </c>
      <c r="L162" s="4" t="n">
        <v>9700000</v>
      </c>
      <c r="M162" s="6" t="n">
        <f aca="false">L162+J162</f>
        <v>10808000</v>
      </c>
      <c r="N162" s="4" t="n">
        <v>5226000</v>
      </c>
      <c r="O162" s="4" t="n">
        <v>8267905</v>
      </c>
      <c r="P162" s="4" t="n">
        <v>1260770</v>
      </c>
      <c r="Q162" s="7"/>
      <c r="R162" s="4" t="n">
        <v>1317185</v>
      </c>
      <c r="S162" s="7"/>
      <c r="T162" s="4" t="n">
        <v>787700</v>
      </c>
      <c r="U162" s="5" t="n">
        <f aca="false">IFERROR(T162/P162,"")</f>
        <v>0.624776922039706</v>
      </c>
      <c r="V162" s="6" t="n">
        <f aca="false">T162-AV162</f>
        <v>-1562967</v>
      </c>
      <c r="W162" s="6" t="n">
        <f aca="false">V162-AA162*0.1</f>
        <v>-1562967</v>
      </c>
      <c r="X162" s="4" t="n">
        <v>2366945</v>
      </c>
      <c r="Y162" s="4" t="n">
        <v>173020</v>
      </c>
      <c r="Z162" s="8" t="n">
        <f aca="false">IFERROR(X162/Y162,"")</f>
        <v>13.6801814819096</v>
      </c>
      <c r="AA162" s="4" t="n">
        <v>0</v>
      </c>
      <c r="AB162" s="6" t="n">
        <f aca="false">W162-0.02*P162</f>
        <v>-1588182.4</v>
      </c>
      <c r="AC162" s="9" t="n">
        <v>47</v>
      </c>
      <c r="AD162" s="7"/>
      <c r="AE162" s="7" t="n">
        <v>0.228</v>
      </c>
      <c r="AF162" s="7" t="n">
        <v>0.224</v>
      </c>
      <c r="AG162" s="5" t="n">
        <f aca="false">1-AF162</f>
        <v>0.776</v>
      </c>
      <c r="AH162" s="7" t="n">
        <v>0.933</v>
      </c>
      <c r="AI162" s="4" t="n">
        <v>52744</v>
      </c>
      <c r="AJ162" s="6" t="n">
        <f aca="false">IFERROR(AM162*U162*MIN(1/AE162,5),"")</f>
        <v>104129.487006618</v>
      </c>
      <c r="AK162" s="10" t="n">
        <f aca="false">IFERROR(AJ162/AI162,"")</f>
        <v>1.97424326950208</v>
      </c>
      <c r="AL162" s="8" t="n">
        <f aca="false">IFERROR(AI162/(AM162*U162/12),"")</f>
        <v>26.6591152977022</v>
      </c>
      <c r="AM162" s="4" t="n">
        <v>38000</v>
      </c>
      <c r="AN162" s="4" t="n">
        <v>1602089</v>
      </c>
      <c r="AO162" s="4" t="n">
        <v>4630015</v>
      </c>
      <c r="AP162" s="7" t="n">
        <v>0.223</v>
      </c>
      <c r="AQ162" s="9" t="n">
        <v>22</v>
      </c>
      <c r="AR162" s="9" t="n">
        <v>5</v>
      </c>
      <c r="AS162" s="7"/>
      <c r="AT162" s="3" t="s">
        <v>118</v>
      </c>
      <c r="AU162" s="6" t="n">
        <f aca="false">IFERROR(P162/AR162,"")</f>
        <v>252154</v>
      </c>
      <c r="AV162" s="4" t="n">
        <v>2350667</v>
      </c>
      <c r="AW162" s="4" t="n">
        <v>752700</v>
      </c>
      <c r="AX162" s="4" t="n">
        <v>513885</v>
      </c>
      <c r="AY162" s="9" t="n">
        <v>26086</v>
      </c>
      <c r="AZ162" s="7"/>
      <c r="BA162" s="7" t="n">
        <v>0.751</v>
      </c>
      <c r="BB162" s="3" t="s">
        <v>146</v>
      </c>
      <c r="BC162" s="3" t="s">
        <v>120</v>
      </c>
      <c r="BD162" s="3" t="s">
        <v>101</v>
      </c>
      <c r="BE162" s="4" t="n">
        <v>2127035</v>
      </c>
      <c r="BF162" s="5" t="n">
        <f aca="false">IFERROR(P162/BE162-1,"")</f>
        <v>-0.407264102377253</v>
      </c>
      <c r="BG162" s="7" t="n">
        <v>0.186</v>
      </c>
      <c r="BH162" s="7" t="n">
        <v>0.303</v>
      </c>
      <c r="BI162" s="6" t="n">
        <f aca="false">P162</f>
        <v>1260770</v>
      </c>
      <c r="BJ162" s="4" t="n">
        <v>-1246481</v>
      </c>
      <c r="BK162" s="3" t="s">
        <v>139</v>
      </c>
      <c r="BL162" s="3" t="s">
        <v>148</v>
      </c>
      <c r="BM162" s="6" t="n">
        <f aca="false">O162</f>
        <v>8267905</v>
      </c>
      <c r="BN162" s="3" t="s">
        <v>265</v>
      </c>
      <c r="BO162" s="5" t="n">
        <f aca="false">IFERROR(1-L162/M162,"")</f>
        <v>0.102516654330126</v>
      </c>
      <c r="BP162" s="3" t="s">
        <v>87</v>
      </c>
      <c r="BQ162" s="4" t="n">
        <v>3183014</v>
      </c>
      <c r="BR162" s="3" t="s">
        <v>88</v>
      </c>
      <c r="BS162" s="3" t="s">
        <v>89</v>
      </c>
      <c r="BT162" s="3" t="s">
        <v>90</v>
      </c>
    </row>
    <row r="163" customFormat="false" ht="15" hidden="false" customHeight="false" outlineLevel="0" collapsed="false">
      <c r="A163" s="11" t="s">
        <v>263</v>
      </c>
      <c r="B163" s="11" t="s">
        <v>91</v>
      </c>
      <c r="C163" s="11" t="s">
        <v>74</v>
      </c>
      <c r="D163" s="11" t="s">
        <v>132</v>
      </c>
      <c r="E163" s="11" t="s">
        <v>105</v>
      </c>
      <c r="F163" s="11" t="s">
        <v>264</v>
      </c>
      <c r="G163" s="11" t="s">
        <v>78</v>
      </c>
      <c r="H163" s="11" t="s">
        <v>79</v>
      </c>
      <c r="I163" s="11" t="s">
        <v>78</v>
      </c>
      <c r="J163" s="12" t="n">
        <v>1108000</v>
      </c>
      <c r="K163" s="13" t="n">
        <f aca="false">IFERROR(J163/M163,"")</f>
        <v>0.102516654330126</v>
      </c>
      <c r="L163" s="12" t="n">
        <v>9700000</v>
      </c>
      <c r="M163" s="14" t="n">
        <f aca="false">L163+J163</f>
        <v>10808000</v>
      </c>
      <c r="N163" s="12" t="n">
        <v>5226000</v>
      </c>
      <c r="O163" s="12" t="n">
        <v>8267905</v>
      </c>
      <c r="P163" s="12" t="n">
        <v>1142867</v>
      </c>
      <c r="Q163" s="13" t="n">
        <f aca="false">IFERROR(P163/P162-1,"")</f>
        <v>-0.0935166604535324</v>
      </c>
      <c r="R163" s="12" t="n">
        <v>1194018</v>
      </c>
      <c r="S163" s="13" t="n">
        <f aca="false">IFERROR(R163/R162-1,"")</f>
        <v>-0.0935077456849266</v>
      </c>
      <c r="T163" s="12" t="n">
        <v>700564</v>
      </c>
      <c r="U163" s="13" t="n">
        <f aca="false">IFERROR(T163/P163,"")</f>
        <v>0.612988212976663</v>
      </c>
      <c r="V163" s="14" t="n">
        <f aca="false">T163-AV163</f>
        <v>-1683070</v>
      </c>
      <c r="W163" s="14" t="n">
        <f aca="false">V163-AA163*0.1</f>
        <v>-1683070</v>
      </c>
      <c r="X163" s="12" t="n">
        <v>1879535</v>
      </c>
      <c r="Y163" s="12" t="n">
        <v>185680</v>
      </c>
      <c r="Z163" s="15" t="n">
        <f aca="false">IFERROR(X163/Y163,"")</f>
        <v>10.1224418354158</v>
      </c>
      <c r="AA163" s="12" t="n">
        <v>0</v>
      </c>
      <c r="AB163" s="14" t="n">
        <f aca="false">W163-0.02*P163</f>
        <v>-1705927.34</v>
      </c>
      <c r="AC163" s="16" t="n">
        <v>43</v>
      </c>
      <c r="AD163" s="13" t="n">
        <f aca="false">IFERROR(AC163/AC162-1,"")</f>
        <v>-0.0851063829787234</v>
      </c>
      <c r="AE163" s="17" t="n">
        <v>0.271</v>
      </c>
      <c r="AF163" s="17" t="n">
        <v>0.257</v>
      </c>
      <c r="AG163" s="13" t="n">
        <f aca="false">1-AF163</f>
        <v>0.743</v>
      </c>
      <c r="AH163" s="17" t="n">
        <v>0.893</v>
      </c>
      <c r="AI163" s="12" t="n">
        <v>58296</v>
      </c>
      <c r="AJ163" s="14" t="n">
        <f aca="false">IFERROR(AM163*U163*MIN(1/AE163,5),"")</f>
        <v>87673.1480995404</v>
      </c>
      <c r="AK163" s="18" t="n">
        <f aca="false">IFERROR(AJ163/AI163,"")</f>
        <v>1.50393076882703</v>
      </c>
      <c r="AL163" s="15" t="n">
        <f aca="false">IFERROR(AI163/(AM163*U163/12),"")</f>
        <v>29.4431390874222</v>
      </c>
      <c r="AM163" s="12" t="n">
        <v>38760</v>
      </c>
      <c r="AN163" s="12" t="n">
        <v>1126314</v>
      </c>
      <c r="AO163" s="12" t="n">
        <v>3704974</v>
      </c>
      <c r="AP163" s="17" t="n">
        <v>0.223</v>
      </c>
      <c r="AQ163" s="16" t="n">
        <v>22</v>
      </c>
      <c r="AR163" s="16" t="n">
        <v>5</v>
      </c>
      <c r="AS163" s="13" t="n">
        <f aca="false">IFERROR(AR163/AR162-1,"")</f>
        <v>0</v>
      </c>
      <c r="AT163" s="11" t="s">
        <v>118</v>
      </c>
      <c r="AU163" s="14" t="n">
        <f aca="false">IFERROR(P163/AR163,"")</f>
        <v>228573.4</v>
      </c>
      <c r="AV163" s="12" t="n">
        <v>2383634</v>
      </c>
      <c r="AW163" s="12" t="n">
        <v>848064</v>
      </c>
      <c r="AX163" s="12" t="n">
        <v>784800</v>
      </c>
      <c r="AY163" s="16" t="n">
        <v>23682</v>
      </c>
      <c r="AZ163" s="13" t="n">
        <f aca="false">IFERROR(AY163/AY162-1,"")</f>
        <v>-0.0921567124127884</v>
      </c>
      <c r="BA163" s="17" t="n">
        <v>0.736</v>
      </c>
      <c r="BB163" s="11" t="s">
        <v>146</v>
      </c>
      <c r="BC163" s="11" t="s">
        <v>120</v>
      </c>
      <c r="BD163" s="11" t="s">
        <v>101</v>
      </c>
      <c r="BE163" s="12" t="n">
        <v>1769308</v>
      </c>
      <c r="BF163" s="13" t="n">
        <f aca="false">IFERROR(P163/BE163-1,"")</f>
        <v>-0.354059892342091</v>
      </c>
      <c r="BG163" s="17" t="n">
        <v>0.249</v>
      </c>
      <c r="BH163" s="17" t="n">
        <v>0.352</v>
      </c>
      <c r="BI163" s="14" t="n">
        <f aca="false">P163*(1+IFERROR(Q163,0))^4</f>
        <v>771676.009583234</v>
      </c>
      <c r="BJ163" s="12" t="n">
        <v>-1114129</v>
      </c>
      <c r="BK163" s="11" t="s">
        <v>139</v>
      </c>
      <c r="BL163" s="11" t="s">
        <v>148</v>
      </c>
      <c r="BM163" s="14" t="n">
        <f aca="false">O163</f>
        <v>8267905</v>
      </c>
      <c r="BN163" s="11" t="s">
        <v>265</v>
      </c>
      <c r="BO163" s="13" t="n">
        <f aca="false">IFERROR(1-L163/M163,"")</f>
        <v>0.102516654330126</v>
      </c>
      <c r="BP163" s="11" t="s">
        <v>87</v>
      </c>
      <c r="BQ163" s="12" t="n">
        <v>2381691</v>
      </c>
      <c r="BR163" s="11" t="s">
        <v>88</v>
      </c>
      <c r="BS163" s="11" t="s">
        <v>89</v>
      </c>
      <c r="BT163" s="19" t="str">
        <f aca="false">IF(OR(Z163&lt;6,AH163&lt;0.9,S163&lt;0.02,AK163&lt;1),"REVIEW",IF(AND(S163&gt;0.25,AH163&gt;1.2),"ACCELERATING","STABLE"))</f>
        <v>REVIEW</v>
      </c>
    </row>
    <row r="164" customFormat="false" ht="15" hidden="false" customHeight="false" outlineLevel="0" collapsed="false">
      <c r="A164" s="11" t="s">
        <v>263</v>
      </c>
      <c r="B164" s="11" t="s">
        <v>92</v>
      </c>
      <c r="C164" s="11" t="s">
        <v>74</v>
      </c>
      <c r="D164" s="11" t="s">
        <v>132</v>
      </c>
      <c r="E164" s="11" t="s">
        <v>105</v>
      </c>
      <c r="F164" s="11" t="s">
        <v>264</v>
      </c>
      <c r="G164" s="11" t="s">
        <v>78</v>
      </c>
      <c r="H164" s="11" t="s">
        <v>79</v>
      </c>
      <c r="I164" s="11" t="s">
        <v>78</v>
      </c>
      <c r="J164" s="12" t="n">
        <v>1108000</v>
      </c>
      <c r="K164" s="13" t="n">
        <f aca="false">IFERROR(J164/M164,"")</f>
        <v>0.102516654330126</v>
      </c>
      <c r="L164" s="12" t="n">
        <v>9700000</v>
      </c>
      <c r="M164" s="14" t="n">
        <f aca="false">L164+J164</f>
        <v>10808000</v>
      </c>
      <c r="N164" s="12" t="n">
        <v>5226000</v>
      </c>
      <c r="O164" s="12" t="n">
        <v>8267905</v>
      </c>
      <c r="P164" s="12" t="n">
        <v>1040579</v>
      </c>
      <c r="Q164" s="13" t="n">
        <f aca="false">IFERROR(P164/P163-1,"")</f>
        <v>-0.0895012280519081</v>
      </c>
      <c r="R164" s="12" t="n">
        <v>1074469</v>
      </c>
      <c r="S164" s="13" t="n">
        <f aca="false">IFERROR(R164/R163-1,"")</f>
        <v>-0.100123281223566</v>
      </c>
      <c r="T164" s="12" t="n">
        <v>625596</v>
      </c>
      <c r="U164" s="13" t="n">
        <f aca="false">IFERROR(T164/P164,"")</f>
        <v>0.601199908896874</v>
      </c>
      <c r="V164" s="14" t="n">
        <f aca="false">T164-AV164</f>
        <v>-2235460</v>
      </c>
      <c r="W164" s="14" t="n">
        <f aca="false">V164-AA164*0.1</f>
        <v>-2235460</v>
      </c>
      <c r="X164" s="12" t="n">
        <v>1308569</v>
      </c>
      <c r="Y164" s="12" t="n">
        <v>198340</v>
      </c>
      <c r="Z164" s="15" t="n">
        <f aca="false">IFERROR(X164/Y164,"")</f>
        <v>6.59760512251689</v>
      </c>
      <c r="AA164" s="12" t="n">
        <v>0</v>
      </c>
      <c r="AB164" s="14" t="n">
        <f aca="false">W164-0.02*P164</f>
        <v>-2256271.58</v>
      </c>
      <c r="AC164" s="16" t="n">
        <v>39</v>
      </c>
      <c r="AD164" s="13" t="n">
        <f aca="false">IFERROR(AC164/AC163-1,"")</f>
        <v>-0.0930232558139535</v>
      </c>
      <c r="AE164" s="17" t="n">
        <v>0.314</v>
      </c>
      <c r="AF164" s="17" t="n">
        <v>0.244</v>
      </c>
      <c r="AG164" s="13" t="n">
        <f aca="false">1-AF164</f>
        <v>0.756</v>
      </c>
      <c r="AH164" s="17" t="n">
        <v>0.853</v>
      </c>
      <c r="AI164" s="12" t="n">
        <v>63848</v>
      </c>
      <c r="AJ164" s="14" t="n">
        <f aca="false">IFERROR(AM164*U164*MIN(1/AE164,5),"")</f>
        <v>75666.9439477849</v>
      </c>
      <c r="AK164" s="18" t="n">
        <f aca="false">IFERROR(AJ164/AI164,"")</f>
        <v>1.18511063694689</v>
      </c>
      <c r="AL164" s="15" t="n">
        <f aca="false">IFERROR(AI164/(AM164*U164/12),"")</f>
        <v>32.2472512844949</v>
      </c>
      <c r="AM164" s="12" t="n">
        <v>39520</v>
      </c>
      <c r="AN164" s="12" t="n">
        <v>1608268</v>
      </c>
      <c r="AO164" s="12" t="n">
        <v>3684574</v>
      </c>
      <c r="AP164" s="17" t="n">
        <v>0.223</v>
      </c>
      <c r="AQ164" s="16" t="n">
        <v>22</v>
      </c>
      <c r="AR164" s="16" t="n">
        <v>4</v>
      </c>
      <c r="AS164" s="13" t="n">
        <f aca="false">IFERROR(AR164/AR163-1,"")</f>
        <v>-0.2</v>
      </c>
      <c r="AT164" s="11" t="s">
        <v>118</v>
      </c>
      <c r="AU164" s="14" t="n">
        <f aca="false">IFERROR(P164/AR164,"")</f>
        <v>260144.75</v>
      </c>
      <c r="AV164" s="12" t="n">
        <v>2861056</v>
      </c>
      <c r="AW164" s="12" t="n">
        <v>1367316</v>
      </c>
      <c r="AX164" s="12" t="n">
        <v>522383</v>
      </c>
      <c r="AY164" s="16" t="n">
        <v>21742</v>
      </c>
      <c r="AZ164" s="13" t="n">
        <f aca="false">IFERROR(AY164/AY163-1,"")</f>
        <v>-0.0819187568617515</v>
      </c>
      <c r="BA164" s="17" t="n">
        <v>0.657</v>
      </c>
      <c r="BB164" s="11" t="s">
        <v>146</v>
      </c>
      <c r="BC164" s="11" t="s">
        <v>120</v>
      </c>
      <c r="BD164" s="11" t="s">
        <v>101</v>
      </c>
      <c r="BE164" s="12" t="n">
        <v>1648554</v>
      </c>
      <c r="BF164" s="13" t="n">
        <f aca="false">IFERROR(P164/BE164-1,"")</f>
        <v>-0.368792893651042</v>
      </c>
      <c r="BG164" s="17" t="n">
        <v>0.266</v>
      </c>
      <c r="BH164" s="17" t="n">
        <v>0.244</v>
      </c>
      <c r="BI164" s="14" t="n">
        <f aca="false">P164*(1+IFERROR(Q164,0))^4</f>
        <v>715142.378514769</v>
      </c>
      <c r="BJ164" s="12" t="n">
        <v>-1199202</v>
      </c>
      <c r="BK164" s="11" t="s">
        <v>139</v>
      </c>
      <c r="BL164" s="11" t="s">
        <v>148</v>
      </c>
      <c r="BM164" s="14" t="n">
        <f aca="false">O164</f>
        <v>8267905</v>
      </c>
      <c r="BN164" s="11" t="s">
        <v>265</v>
      </c>
      <c r="BO164" s="13" t="n">
        <f aca="false">IFERROR(1-L164/M164,"")</f>
        <v>0.102516654330126</v>
      </c>
      <c r="BP164" s="11" t="s">
        <v>87</v>
      </c>
      <c r="BQ164" s="12" t="n">
        <v>2480393</v>
      </c>
      <c r="BR164" s="11" t="s">
        <v>88</v>
      </c>
      <c r="BS164" s="11" t="s">
        <v>89</v>
      </c>
      <c r="BT164" s="19" t="str">
        <f aca="false">IF(OR(Z164&lt;6,AH164&lt;0.9,S164&lt;0.02,AK164&lt;1),"REVIEW",IF(AND(S164&gt;0.25,AH164&gt;1.2),"ACCELERATING","STABLE"))</f>
        <v>REVIEW</v>
      </c>
    </row>
    <row r="165" customFormat="false" ht="15" hidden="false" customHeight="false" outlineLevel="0" collapsed="false">
      <c r="A165" s="11" t="s">
        <v>263</v>
      </c>
      <c r="B165" s="11" t="s">
        <v>93</v>
      </c>
      <c r="C165" s="11" t="s">
        <v>74</v>
      </c>
      <c r="D165" s="11" t="s">
        <v>132</v>
      </c>
      <c r="E165" s="11" t="s">
        <v>105</v>
      </c>
      <c r="F165" s="11" t="s">
        <v>264</v>
      </c>
      <c r="G165" s="11" t="s">
        <v>78</v>
      </c>
      <c r="H165" s="11" t="s">
        <v>79</v>
      </c>
      <c r="I165" s="11" t="s">
        <v>78</v>
      </c>
      <c r="J165" s="12" t="n">
        <v>1108000</v>
      </c>
      <c r="K165" s="13" t="n">
        <f aca="false">IFERROR(J165/M165,"")</f>
        <v>0.102516654330126</v>
      </c>
      <c r="L165" s="12" t="n">
        <v>9700000</v>
      </c>
      <c r="M165" s="14" t="n">
        <f aca="false">L165+J165</f>
        <v>10808000</v>
      </c>
      <c r="N165" s="12" t="n">
        <v>5226000</v>
      </c>
      <c r="O165" s="12" t="n">
        <v>8267905</v>
      </c>
      <c r="P165" s="12" t="n">
        <v>932841</v>
      </c>
      <c r="Q165" s="13" t="n">
        <f aca="false">IFERROR(P165/P164-1,"")</f>
        <v>-0.103536588764524</v>
      </c>
      <c r="R165" s="12" t="n">
        <v>967469</v>
      </c>
      <c r="S165" s="13" t="n">
        <f aca="false">IFERROR(R165/R164-1,"")</f>
        <v>-0.0995840736214819</v>
      </c>
      <c r="T165" s="12" t="n">
        <v>549827</v>
      </c>
      <c r="U165" s="13" t="n">
        <f aca="false">IFERROR(T165/P165,"")</f>
        <v>0.58941127158862</v>
      </c>
      <c r="V165" s="14" t="n">
        <f aca="false">T165-AV165</f>
        <v>-1965992</v>
      </c>
      <c r="W165" s="14" t="n">
        <f aca="false">V165-AA165*0.1</f>
        <v>-1965992</v>
      </c>
      <c r="X165" s="12" t="n">
        <v>654047</v>
      </c>
      <c r="Y165" s="12" t="n">
        <v>211000</v>
      </c>
      <c r="Z165" s="15" t="n">
        <f aca="false">IFERROR(X165/Y165,"")</f>
        <v>3.09974881516588</v>
      </c>
      <c r="AA165" s="12" t="n">
        <v>0</v>
      </c>
      <c r="AB165" s="14" t="n">
        <f aca="false">W165-0.02*P165</f>
        <v>-1984648.82</v>
      </c>
      <c r="AC165" s="16" t="n">
        <v>36</v>
      </c>
      <c r="AD165" s="13" t="n">
        <f aca="false">IFERROR(AC165/AC164-1,"")</f>
        <v>-0.0769230769230769</v>
      </c>
      <c r="AE165" s="17" t="n">
        <v>0.357</v>
      </c>
      <c r="AF165" s="17" t="n">
        <v>0.334</v>
      </c>
      <c r="AG165" s="13" t="n">
        <f aca="false">1-AF165</f>
        <v>0.666</v>
      </c>
      <c r="AH165" s="17" t="n">
        <v>0.813</v>
      </c>
      <c r="AI165" s="12" t="n">
        <v>69400</v>
      </c>
      <c r="AJ165" s="14" t="n">
        <f aca="false">IFERROR(AM165*U165*MIN(1/AE165,5),"")</f>
        <v>66502.7619596348</v>
      </c>
      <c r="AK165" s="18" t="n">
        <f aca="false">IFERROR(AJ165/AI165,"")</f>
        <v>0.958253054173412</v>
      </c>
      <c r="AL165" s="15" t="n">
        <f aca="false">IFERROR(AI165/(AM165*U165/12),"")</f>
        <v>35.0778379800169</v>
      </c>
      <c r="AM165" s="12" t="n">
        <v>40280</v>
      </c>
      <c r="AN165" s="12" t="n">
        <v>1000786</v>
      </c>
      <c r="AO165" s="12" t="n">
        <v>3047290</v>
      </c>
      <c r="AP165" s="17" t="n">
        <v>0.223</v>
      </c>
      <c r="AQ165" s="16" t="n">
        <v>22</v>
      </c>
      <c r="AR165" s="16" t="n">
        <v>4</v>
      </c>
      <c r="AS165" s="13" t="n">
        <f aca="false">IFERROR(AR165/AR164-1,"")</f>
        <v>0</v>
      </c>
      <c r="AT165" s="11" t="s">
        <v>118</v>
      </c>
      <c r="AU165" s="14" t="n">
        <f aca="false">IFERROR(P165/AR165,"")</f>
        <v>233210.25</v>
      </c>
      <c r="AV165" s="12" t="n">
        <v>2515819</v>
      </c>
      <c r="AW165" s="12" t="n">
        <v>933275</v>
      </c>
      <c r="AX165" s="12" t="n">
        <v>733173</v>
      </c>
      <c r="AY165" s="16" t="n">
        <v>19743</v>
      </c>
      <c r="AZ165" s="13" t="n">
        <f aca="false">IFERROR(AY165/AY164-1,"")</f>
        <v>-0.091941863673995</v>
      </c>
      <c r="BA165" s="17" t="n">
        <v>0.617</v>
      </c>
      <c r="BB165" s="11" t="s">
        <v>146</v>
      </c>
      <c r="BC165" s="11" t="s">
        <v>120</v>
      </c>
      <c r="BD165" s="11" t="s">
        <v>101</v>
      </c>
      <c r="BE165" s="12" t="n">
        <v>1497812</v>
      </c>
      <c r="BF165" s="13" t="n">
        <f aca="false">IFERROR(P165/BE165-1,"")</f>
        <v>-0.377197538809944</v>
      </c>
      <c r="BG165" s="17" t="n">
        <v>0.143</v>
      </c>
      <c r="BH165" s="17" t="n">
        <v>0.249</v>
      </c>
      <c r="BI165" s="14" t="n">
        <f aca="false">P165*(1+IFERROR(Q165,0))^4</f>
        <v>602473.432911731</v>
      </c>
      <c r="BJ165" s="12" t="n">
        <v>-1290319</v>
      </c>
      <c r="BK165" s="11" t="s">
        <v>139</v>
      </c>
      <c r="BL165" s="11" t="s">
        <v>148</v>
      </c>
      <c r="BM165" s="14" t="n">
        <f aca="false">O165</f>
        <v>8267905</v>
      </c>
      <c r="BN165" s="11" t="s">
        <v>265</v>
      </c>
      <c r="BO165" s="13" t="n">
        <f aca="false">IFERROR(1-L165/M165,"")</f>
        <v>0.102516654330126</v>
      </c>
      <c r="BP165" s="11" t="s">
        <v>87</v>
      </c>
      <c r="BQ165" s="12" t="n">
        <v>3189293</v>
      </c>
      <c r="BR165" s="11" t="s">
        <v>88</v>
      </c>
      <c r="BS165" s="11" t="s">
        <v>89</v>
      </c>
      <c r="BT165" s="19" t="str">
        <f aca="false">IF(OR(Z165&lt;6,AH165&lt;0.9,S165&lt;0.02,AK165&lt;1),"REVIEW",IF(AND(S165&gt;0.25,AH165&gt;1.2),"ACCELERATING","STABLE"))</f>
        <v>REVIEW</v>
      </c>
    </row>
    <row r="166" customFormat="false" ht="15" hidden="false" customHeight="false" outlineLevel="0" collapsed="false">
      <c r="A166" s="3" t="s">
        <v>266</v>
      </c>
      <c r="B166" s="3" t="s">
        <v>73</v>
      </c>
      <c r="C166" s="3" t="s">
        <v>74</v>
      </c>
      <c r="D166" s="3" t="s">
        <v>210</v>
      </c>
      <c r="E166" s="3" t="s">
        <v>105</v>
      </c>
      <c r="F166" s="3" t="s">
        <v>267</v>
      </c>
      <c r="G166" s="3" t="s">
        <v>78</v>
      </c>
      <c r="H166" s="3" t="s">
        <v>79</v>
      </c>
      <c r="I166" s="3" t="s">
        <v>78</v>
      </c>
      <c r="J166" s="4" t="n">
        <v>3464000</v>
      </c>
      <c r="K166" s="5" t="n">
        <f aca="false">IFERROR(J166/M166,"")</f>
        <v>0.134107626790554</v>
      </c>
      <c r="L166" s="4" t="n">
        <v>22366000</v>
      </c>
      <c r="M166" s="6" t="n">
        <f aca="false">L166+J166</f>
        <v>25830000</v>
      </c>
      <c r="N166" s="4" t="n">
        <v>3464000</v>
      </c>
      <c r="O166" s="4" t="n">
        <v>47266171</v>
      </c>
      <c r="P166" s="4" t="n">
        <v>240218</v>
      </c>
      <c r="Q166" s="7"/>
      <c r="R166" s="4" t="n">
        <v>302256</v>
      </c>
      <c r="S166" s="7"/>
      <c r="T166" s="4" t="n">
        <v>160066</v>
      </c>
      <c r="U166" s="5" t="n">
        <f aca="false">IFERROR(T166/P166,"")</f>
        <v>0.666336411093257</v>
      </c>
      <c r="V166" s="6" t="n">
        <f aca="false">T166-AV166</f>
        <v>-2166717</v>
      </c>
      <c r="W166" s="6" t="n">
        <f aca="false">V166-AA166*0.1</f>
        <v>-2272017</v>
      </c>
      <c r="X166" s="4" t="n">
        <v>3819652</v>
      </c>
      <c r="Y166" s="4" t="n">
        <v>192920</v>
      </c>
      <c r="Z166" s="8" t="n">
        <f aca="false">IFERROR(X166/Y166,"")</f>
        <v>19.7991499066971</v>
      </c>
      <c r="AA166" s="4" t="n">
        <v>1053000</v>
      </c>
      <c r="AB166" s="6" t="n">
        <f aca="false">W166-0.02*P166</f>
        <v>-2276821.36</v>
      </c>
      <c r="AC166" s="9" t="n">
        <v>16</v>
      </c>
      <c r="AD166" s="7"/>
      <c r="AE166" s="7" t="n">
        <v>0.044</v>
      </c>
      <c r="AF166" s="7" t="n">
        <v>0.04</v>
      </c>
      <c r="AG166" s="5" t="n">
        <f aca="false">1-AF166</f>
        <v>0.96</v>
      </c>
      <c r="AH166" s="7" t="n">
        <v>1.094</v>
      </c>
      <c r="AI166" s="4" t="n">
        <v>30422</v>
      </c>
      <c r="AJ166" s="6" t="n">
        <f aca="false">IFERROR(AM166*U166*MIN(1/AE166,5),"")</f>
        <v>83292.0513866571</v>
      </c>
      <c r="AK166" s="10" t="n">
        <f aca="false">IFERROR(AJ166/AI166,"")</f>
        <v>2.73788874454859</v>
      </c>
      <c r="AL166" s="8" t="n">
        <f aca="false">IFERROR(AI166/(AM166*U166/12),"")</f>
        <v>21.9146961758275</v>
      </c>
      <c r="AM166" s="4" t="n">
        <v>25000</v>
      </c>
      <c r="AN166" s="4" t="n">
        <v>426380</v>
      </c>
      <c r="AO166" s="4" t="n">
        <v>1043984</v>
      </c>
      <c r="AP166" s="7" t="n">
        <v>0.272</v>
      </c>
      <c r="AQ166" s="9" t="n">
        <v>68</v>
      </c>
      <c r="AR166" s="9" t="n">
        <v>2</v>
      </c>
      <c r="AS166" s="7"/>
      <c r="AT166" s="3" t="s">
        <v>98</v>
      </c>
      <c r="AU166" s="6" t="n">
        <f aca="false">IFERROR(P166/AR166,"")</f>
        <v>120109</v>
      </c>
      <c r="AV166" s="4" t="n">
        <v>2326783</v>
      </c>
      <c r="AW166" s="4" t="n">
        <v>1119451</v>
      </c>
      <c r="AX166" s="4" t="n">
        <v>551313</v>
      </c>
      <c r="AY166" s="9" t="n">
        <v>1521</v>
      </c>
      <c r="AZ166" s="7"/>
      <c r="BA166" s="7" t="n">
        <v>0.959</v>
      </c>
      <c r="BB166" s="3" t="s">
        <v>107</v>
      </c>
      <c r="BC166" s="3" t="s">
        <v>82</v>
      </c>
      <c r="BD166" s="3" t="s">
        <v>83</v>
      </c>
      <c r="BE166" s="4" t="n">
        <v>240366</v>
      </c>
      <c r="BF166" s="5" t="n">
        <f aca="false">IFERROR(P166/BE166-1,"")</f>
        <v>-0.000615727681951728</v>
      </c>
      <c r="BG166" s="7" t="n">
        <v>-0.004</v>
      </c>
      <c r="BH166" s="7" t="n">
        <v>-0.058</v>
      </c>
      <c r="BI166" s="6" t="n">
        <f aca="false">P166</f>
        <v>240218</v>
      </c>
      <c r="BJ166" s="4" t="n">
        <v>-2105077</v>
      </c>
      <c r="BK166" s="3" t="s">
        <v>84</v>
      </c>
      <c r="BL166" s="3" t="s">
        <v>111</v>
      </c>
      <c r="BM166" s="6" t="n">
        <f aca="false">O166</f>
        <v>47266171</v>
      </c>
      <c r="BN166" s="3" t="s">
        <v>268</v>
      </c>
      <c r="BO166" s="5" t="n">
        <f aca="false">IFERROR(1-L166/M166,"")</f>
        <v>0.134107626790554</v>
      </c>
      <c r="BP166" s="3" t="s">
        <v>113</v>
      </c>
      <c r="BQ166" s="4" t="n">
        <v>2493036</v>
      </c>
      <c r="BR166" s="3" t="s">
        <v>88</v>
      </c>
      <c r="BS166" s="3" t="s">
        <v>89</v>
      </c>
      <c r="BT166" s="3" t="s">
        <v>90</v>
      </c>
    </row>
    <row r="167" customFormat="false" ht="15" hidden="false" customHeight="false" outlineLevel="0" collapsed="false">
      <c r="A167" s="11" t="s">
        <v>266</v>
      </c>
      <c r="B167" s="11" t="s">
        <v>91</v>
      </c>
      <c r="C167" s="11" t="s">
        <v>74</v>
      </c>
      <c r="D167" s="11" t="s">
        <v>210</v>
      </c>
      <c r="E167" s="11" t="s">
        <v>105</v>
      </c>
      <c r="F167" s="11" t="s">
        <v>267</v>
      </c>
      <c r="G167" s="11" t="s">
        <v>78</v>
      </c>
      <c r="H167" s="11" t="s">
        <v>79</v>
      </c>
      <c r="I167" s="11" t="s">
        <v>78</v>
      </c>
      <c r="J167" s="12" t="n">
        <v>3464000</v>
      </c>
      <c r="K167" s="13" t="n">
        <f aca="false">IFERROR(J167/M167,"")</f>
        <v>0.134107626790554</v>
      </c>
      <c r="L167" s="12" t="n">
        <v>22366000</v>
      </c>
      <c r="M167" s="14" t="n">
        <f aca="false">L167+J167</f>
        <v>25830000</v>
      </c>
      <c r="N167" s="12" t="n">
        <v>3464000</v>
      </c>
      <c r="O167" s="12" t="n">
        <v>47266171</v>
      </c>
      <c r="P167" s="12" t="n">
        <v>291287</v>
      </c>
      <c r="Q167" s="13" t="n">
        <f aca="false">IFERROR(P167/P166-1,"")</f>
        <v>0.212594393425971</v>
      </c>
      <c r="R167" s="12" t="n">
        <v>368946</v>
      </c>
      <c r="S167" s="13" t="n">
        <f aca="false">IFERROR(R167/R166-1,"")</f>
        <v>0.22064078132444</v>
      </c>
      <c r="T167" s="12" t="n">
        <v>194881</v>
      </c>
      <c r="U167" s="13" t="n">
        <f aca="false">IFERROR(T167/P167,"")</f>
        <v>0.669034320103541</v>
      </c>
      <c r="V167" s="14" t="n">
        <f aca="false">T167-AV167</f>
        <v>-2487918</v>
      </c>
      <c r="W167" s="14" t="n">
        <f aca="false">V167-AA167*0.1</f>
        <v>-2593218</v>
      </c>
      <c r="X167" s="12" t="n">
        <v>3333112</v>
      </c>
      <c r="Y167" s="12" t="n">
        <v>199280</v>
      </c>
      <c r="Z167" s="15" t="n">
        <f aca="false">IFERROR(X167/Y167,"")</f>
        <v>16.7257727820153</v>
      </c>
      <c r="AA167" s="12" t="n">
        <v>1053000</v>
      </c>
      <c r="AB167" s="14" t="n">
        <f aca="false">W167-0.02*P167</f>
        <v>-2599043.74</v>
      </c>
      <c r="AC167" s="16" t="n">
        <v>17</v>
      </c>
      <c r="AD167" s="13" t="n">
        <f aca="false">IFERROR(AC167/AC166-1,"")</f>
        <v>0.0625</v>
      </c>
      <c r="AE167" s="17" t="n">
        <v>0.042</v>
      </c>
      <c r="AF167" s="17" t="n">
        <v>0.041</v>
      </c>
      <c r="AG167" s="13" t="n">
        <f aca="false">1-AF167</f>
        <v>0.959</v>
      </c>
      <c r="AH167" s="17" t="n">
        <v>1.089</v>
      </c>
      <c r="AI167" s="12" t="n">
        <v>29848</v>
      </c>
      <c r="AJ167" s="14" t="n">
        <f aca="false">IFERROR(AM167*U167*MIN(1/AE167,5),"")</f>
        <v>85301.8758132014</v>
      </c>
      <c r="AK167" s="18" t="n">
        <f aca="false">IFERROR(AJ167/AI167,"")</f>
        <v>2.85787576431256</v>
      </c>
      <c r="AL167" s="15" t="n">
        <f aca="false">IFERROR(AI167/(AM167*U167/12),"")</f>
        <v>20.9946145137742</v>
      </c>
      <c r="AM167" s="12" t="n">
        <v>25500</v>
      </c>
      <c r="AN167" s="12" t="n">
        <v>336585</v>
      </c>
      <c r="AO167" s="12" t="n">
        <v>1176290</v>
      </c>
      <c r="AP167" s="17" t="n">
        <v>0.272</v>
      </c>
      <c r="AQ167" s="16" t="n">
        <v>68</v>
      </c>
      <c r="AR167" s="16" t="n">
        <v>2</v>
      </c>
      <c r="AS167" s="13" t="n">
        <f aca="false">IFERROR(AR167/AR166-1,"")</f>
        <v>0</v>
      </c>
      <c r="AT167" s="11" t="s">
        <v>98</v>
      </c>
      <c r="AU167" s="14" t="n">
        <f aca="false">IFERROR(P167/AR167,"")</f>
        <v>145643.5</v>
      </c>
      <c r="AV167" s="12" t="n">
        <v>2682799</v>
      </c>
      <c r="AW167" s="12" t="n">
        <v>1228541</v>
      </c>
      <c r="AX167" s="12" t="n">
        <v>659688</v>
      </c>
      <c r="AY167" s="16" t="n">
        <v>1790</v>
      </c>
      <c r="AZ167" s="13" t="n">
        <f aca="false">IFERROR(AY167/AY166-1,"")</f>
        <v>0.176857330703485</v>
      </c>
      <c r="BA167" s="17" t="n">
        <v>0.956</v>
      </c>
      <c r="BB167" s="11" t="s">
        <v>107</v>
      </c>
      <c r="BC167" s="11" t="s">
        <v>82</v>
      </c>
      <c r="BD167" s="11" t="s">
        <v>83</v>
      </c>
      <c r="BE167" s="12" t="n">
        <v>345691</v>
      </c>
      <c r="BF167" s="13" t="n">
        <f aca="false">IFERROR(P167/BE167-1,"")</f>
        <v>-0.157377542371656</v>
      </c>
      <c r="BG167" s="17" t="n">
        <v>-0.019</v>
      </c>
      <c r="BH167" s="17" t="n">
        <v>-0.03</v>
      </c>
      <c r="BI167" s="14" t="n">
        <f aca="false">P167*(1+IFERROR(Q167,0))^4</f>
        <v>629771.968831113</v>
      </c>
      <c r="BJ167" s="12" t="n">
        <v>-2103130</v>
      </c>
      <c r="BK167" s="11" t="s">
        <v>84</v>
      </c>
      <c r="BL167" s="11" t="s">
        <v>111</v>
      </c>
      <c r="BM167" s="14" t="n">
        <f aca="false">O167</f>
        <v>47266171</v>
      </c>
      <c r="BN167" s="11" t="s">
        <v>268</v>
      </c>
      <c r="BO167" s="13" t="n">
        <f aca="false">IFERROR(1-L167/M167,"")</f>
        <v>0.134107626790554</v>
      </c>
      <c r="BP167" s="11" t="s">
        <v>113</v>
      </c>
      <c r="BQ167" s="12" t="n">
        <v>2577099</v>
      </c>
      <c r="BR167" s="11" t="s">
        <v>88</v>
      </c>
      <c r="BS167" s="11" t="s">
        <v>89</v>
      </c>
      <c r="BT167" s="19" t="str">
        <f aca="false">IF(OR(Z167&lt;6,AH167&lt;0.9,S167&lt;0.02,AK167&lt;1),"REVIEW",IF(AND(S167&gt;0.25,AH167&gt;1.2),"ACCELERATING","STABLE"))</f>
        <v>STABLE</v>
      </c>
    </row>
    <row r="168" customFormat="false" ht="15" hidden="false" customHeight="false" outlineLevel="0" collapsed="false">
      <c r="A168" s="11" t="s">
        <v>266</v>
      </c>
      <c r="B168" s="11" t="s">
        <v>92</v>
      </c>
      <c r="C168" s="11" t="s">
        <v>74</v>
      </c>
      <c r="D168" s="11" t="s">
        <v>210</v>
      </c>
      <c r="E168" s="11" t="s">
        <v>105</v>
      </c>
      <c r="F168" s="11" t="s">
        <v>267</v>
      </c>
      <c r="G168" s="11" t="s">
        <v>78</v>
      </c>
      <c r="H168" s="11" t="s">
        <v>79</v>
      </c>
      <c r="I168" s="11" t="s">
        <v>78</v>
      </c>
      <c r="J168" s="12" t="n">
        <v>3464000</v>
      </c>
      <c r="K168" s="13" t="n">
        <f aca="false">IFERROR(J168/M168,"")</f>
        <v>0.134107626790554</v>
      </c>
      <c r="L168" s="12" t="n">
        <v>22366000</v>
      </c>
      <c r="M168" s="14" t="n">
        <f aca="false">L168+J168</f>
        <v>25830000</v>
      </c>
      <c r="N168" s="12" t="n">
        <v>3464000</v>
      </c>
      <c r="O168" s="12" t="n">
        <v>47266171</v>
      </c>
      <c r="P168" s="12" t="n">
        <v>334092</v>
      </c>
      <c r="Q168" s="13" t="n">
        <f aca="false">IFERROR(P168/P167-1,"")</f>
        <v>0.146951288591664</v>
      </c>
      <c r="R168" s="12" t="n">
        <v>427289</v>
      </c>
      <c r="S168" s="13" t="n">
        <f aca="false">IFERROR(R168/R167-1,"")</f>
        <v>0.158134252709069</v>
      </c>
      <c r="T168" s="12" t="n">
        <v>224420</v>
      </c>
      <c r="U168" s="13" t="n">
        <f aca="false">IFERROR(T168/P168,"")</f>
        <v>0.67173113992553</v>
      </c>
      <c r="V168" s="14" t="n">
        <f aca="false">T168-AV168</f>
        <v>-1967453</v>
      </c>
      <c r="W168" s="14" t="n">
        <f aca="false">V168-AA168*0.1</f>
        <v>-2072753</v>
      </c>
      <c r="X168" s="12" t="n">
        <v>2812228</v>
      </c>
      <c r="Y168" s="12" t="n">
        <v>205640</v>
      </c>
      <c r="Z168" s="15" t="n">
        <f aca="false">IFERROR(X168/Y168,"")</f>
        <v>13.6754911495818</v>
      </c>
      <c r="AA168" s="12" t="n">
        <v>1053000</v>
      </c>
      <c r="AB168" s="14" t="n">
        <f aca="false">W168-0.02*P168</f>
        <v>-2079434.84</v>
      </c>
      <c r="AC168" s="16" t="n">
        <v>19</v>
      </c>
      <c r="AD168" s="13" t="n">
        <f aca="false">IFERROR(AC168/AC167-1,"")</f>
        <v>0.117647058823529</v>
      </c>
      <c r="AE168" s="17" t="n">
        <v>0.041</v>
      </c>
      <c r="AF168" s="17" t="n">
        <v>0.042</v>
      </c>
      <c r="AG168" s="13" t="n">
        <f aca="false">1-AF168</f>
        <v>0.958</v>
      </c>
      <c r="AH168" s="17" t="n">
        <v>1.084</v>
      </c>
      <c r="AI168" s="12" t="n">
        <v>29274</v>
      </c>
      <c r="AJ168" s="14" t="n">
        <f aca="false">IFERROR(AM168*U168*MIN(1/AE168,5),"")</f>
        <v>87325.0481903188</v>
      </c>
      <c r="AK168" s="18" t="n">
        <f aca="false">IFERROR(AJ168/AI168,"")</f>
        <v>2.98302412346515</v>
      </c>
      <c r="AL168" s="15" t="n">
        <f aca="false">IFERROR(AI168/(AM168*U168/12),"")</f>
        <v>20.1138165554969</v>
      </c>
      <c r="AM168" s="12" t="n">
        <v>26000</v>
      </c>
      <c r="AN168" s="12" t="n">
        <v>535901</v>
      </c>
      <c r="AO168" s="12" t="n">
        <v>1011495</v>
      </c>
      <c r="AP168" s="17" t="n">
        <v>0.272</v>
      </c>
      <c r="AQ168" s="16" t="n">
        <v>68</v>
      </c>
      <c r="AR168" s="16" t="n">
        <v>2</v>
      </c>
      <c r="AS168" s="13" t="n">
        <f aca="false">IFERROR(AR168/AR167-1,"")</f>
        <v>0</v>
      </c>
      <c r="AT168" s="11" t="s">
        <v>98</v>
      </c>
      <c r="AU168" s="14" t="n">
        <f aca="false">IFERROR(P168/AR168,"")</f>
        <v>167046</v>
      </c>
      <c r="AV168" s="12" t="n">
        <v>2191873</v>
      </c>
      <c r="AW168" s="12" t="n">
        <v>972285</v>
      </c>
      <c r="AX168" s="12" t="n">
        <v>492640</v>
      </c>
      <c r="AY168" s="16" t="n">
        <v>2026</v>
      </c>
      <c r="AZ168" s="13" t="n">
        <f aca="false">IFERROR(AY168/AY167-1,"")</f>
        <v>0.131843575418994</v>
      </c>
      <c r="BA168" s="17" t="n">
        <v>0.969</v>
      </c>
      <c r="BB168" s="11" t="s">
        <v>107</v>
      </c>
      <c r="BC168" s="11" t="s">
        <v>82</v>
      </c>
      <c r="BD168" s="11" t="s">
        <v>83</v>
      </c>
      <c r="BE168" s="12" t="n">
        <v>389196</v>
      </c>
      <c r="BF168" s="13" t="n">
        <f aca="false">IFERROR(P168/BE168-1,"")</f>
        <v>-0.14158418894336</v>
      </c>
      <c r="BG168" s="17" t="n">
        <v>0.007</v>
      </c>
      <c r="BH168" s="17" t="n">
        <v>-0.026</v>
      </c>
      <c r="BI168" s="14" t="n">
        <f aca="false">P168*(1+IFERROR(Q168,0))^4</f>
        <v>578157.243351762</v>
      </c>
      <c r="BJ168" s="12" t="n">
        <v>-2058542</v>
      </c>
      <c r="BK168" s="11" t="s">
        <v>84</v>
      </c>
      <c r="BL168" s="11" t="s">
        <v>111</v>
      </c>
      <c r="BM168" s="14" t="n">
        <f aca="false">O168</f>
        <v>47266171</v>
      </c>
      <c r="BN168" s="11" t="s">
        <v>268</v>
      </c>
      <c r="BO168" s="13" t="n">
        <f aca="false">IFERROR(1-L168/M168,"")</f>
        <v>0.134107626790554</v>
      </c>
      <c r="BP168" s="11" t="s">
        <v>113</v>
      </c>
      <c r="BQ168" s="12" t="n">
        <v>3586358</v>
      </c>
      <c r="BR168" s="11" t="s">
        <v>88</v>
      </c>
      <c r="BS168" s="11" t="s">
        <v>89</v>
      </c>
      <c r="BT168" s="19" t="str">
        <f aca="false">IF(OR(Z168&lt;6,AH168&lt;0.9,S168&lt;0.02,AK168&lt;1),"REVIEW",IF(AND(S168&gt;0.25,AH168&gt;1.2),"ACCELERATING","STABLE"))</f>
        <v>STABLE</v>
      </c>
    </row>
    <row r="169" customFormat="false" ht="15" hidden="false" customHeight="false" outlineLevel="0" collapsed="false">
      <c r="A169" s="11" t="s">
        <v>266</v>
      </c>
      <c r="B169" s="11" t="s">
        <v>93</v>
      </c>
      <c r="C169" s="11" t="s">
        <v>74</v>
      </c>
      <c r="D169" s="11" t="s">
        <v>210</v>
      </c>
      <c r="E169" s="11" t="s">
        <v>105</v>
      </c>
      <c r="F169" s="11" t="s">
        <v>267</v>
      </c>
      <c r="G169" s="11" t="s">
        <v>78</v>
      </c>
      <c r="H169" s="11" t="s">
        <v>79</v>
      </c>
      <c r="I169" s="11" t="s">
        <v>78</v>
      </c>
      <c r="J169" s="12" t="n">
        <v>3464000</v>
      </c>
      <c r="K169" s="13" t="n">
        <f aca="false">IFERROR(J169/M169,"")</f>
        <v>0.134107626790554</v>
      </c>
      <c r="L169" s="12" t="n">
        <v>22366000</v>
      </c>
      <c r="M169" s="14" t="n">
        <f aca="false">L169+J169</f>
        <v>25830000</v>
      </c>
      <c r="N169" s="12" t="n">
        <v>3464000</v>
      </c>
      <c r="O169" s="12" t="n">
        <v>47266171</v>
      </c>
      <c r="P169" s="12" t="n">
        <v>382095</v>
      </c>
      <c r="Q169" s="13" t="n">
        <f aca="false">IFERROR(P169/P168-1,"")</f>
        <v>0.143681979813943</v>
      </c>
      <c r="R169" s="12" t="n">
        <v>459539</v>
      </c>
      <c r="S169" s="13" t="n">
        <f aca="false">IFERROR(R169/R168-1,"")</f>
        <v>0.0754758488985208</v>
      </c>
      <c r="T169" s="12" t="n">
        <v>257696</v>
      </c>
      <c r="U169" s="13" t="n">
        <f aca="false">IFERROR(T169/P169,"")</f>
        <v>0.674429134115861</v>
      </c>
      <c r="V169" s="14" t="n">
        <f aca="false">T169-AV169</f>
        <v>-2689551</v>
      </c>
      <c r="W169" s="14" t="n">
        <f aca="false">V169-AA169*0.1</f>
        <v>-2794851</v>
      </c>
      <c r="X169" s="12" t="n">
        <v>2257000</v>
      </c>
      <c r="Y169" s="12" t="n">
        <v>212000</v>
      </c>
      <c r="Z169" s="15" t="n">
        <f aca="false">IFERROR(X169/Y169,"")</f>
        <v>10.6462264150943</v>
      </c>
      <c r="AA169" s="12" t="n">
        <v>1053000</v>
      </c>
      <c r="AB169" s="14" t="n">
        <f aca="false">W169-0.02*P169</f>
        <v>-2802492.9</v>
      </c>
      <c r="AC169" s="16" t="n">
        <v>22</v>
      </c>
      <c r="AD169" s="13" t="n">
        <f aca="false">IFERROR(AC169/AC168-1,"")</f>
        <v>0.157894736842105</v>
      </c>
      <c r="AE169" s="17" t="n">
        <v>0.04</v>
      </c>
      <c r="AF169" s="17" t="n">
        <v>0.039</v>
      </c>
      <c r="AG169" s="13" t="n">
        <f aca="false">1-AF169</f>
        <v>0.961</v>
      </c>
      <c r="AH169" s="17" t="n">
        <v>1.079</v>
      </c>
      <c r="AI169" s="12" t="n">
        <v>28700</v>
      </c>
      <c r="AJ169" s="14" t="n">
        <f aca="false">IFERROR(AM169*U169*MIN(1/AE169,5),"")</f>
        <v>89361.8602703516</v>
      </c>
      <c r="AK169" s="18" t="n">
        <f aca="false">IFERROR(AJ169/AI169,"")</f>
        <v>3.1136536679565</v>
      </c>
      <c r="AL169" s="15" t="n">
        <f aca="false">IFERROR(AI169/(AM169*U169/12),"")</f>
        <v>19.2699658980949</v>
      </c>
      <c r="AM169" s="12" t="n">
        <v>26500</v>
      </c>
      <c r="AN169" s="12" t="n">
        <v>679881</v>
      </c>
      <c r="AO169" s="12" t="n">
        <v>1380544</v>
      </c>
      <c r="AP169" s="17" t="n">
        <v>0.272</v>
      </c>
      <c r="AQ169" s="16" t="n">
        <v>68</v>
      </c>
      <c r="AR169" s="16" t="n">
        <v>2</v>
      </c>
      <c r="AS169" s="13" t="n">
        <f aca="false">IFERROR(AR169/AR168-1,"")</f>
        <v>0</v>
      </c>
      <c r="AT169" s="11" t="s">
        <v>98</v>
      </c>
      <c r="AU169" s="14" t="n">
        <f aca="false">IFERROR(P169/AR169,"")</f>
        <v>191047.5</v>
      </c>
      <c r="AV169" s="12" t="n">
        <v>2947247</v>
      </c>
      <c r="AW169" s="12" t="n">
        <v>1363519</v>
      </c>
      <c r="AX169" s="12" t="n">
        <v>886881</v>
      </c>
      <c r="AY169" s="16" t="n">
        <v>2100</v>
      </c>
      <c r="AZ169" s="13" t="n">
        <f aca="false">IFERROR(AY169/AY168-1,"")</f>
        <v>0.0365251727541955</v>
      </c>
      <c r="BA169" s="17" t="n">
        <v>0.957</v>
      </c>
      <c r="BB169" s="11" t="s">
        <v>107</v>
      </c>
      <c r="BC169" s="11" t="s">
        <v>82</v>
      </c>
      <c r="BD169" s="11" t="s">
        <v>83</v>
      </c>
      <c r="BE169" s="12" t="n">
        <v>364234</v>
      </c>
      <c r="BF169" s="13" t="n">
        <f aca="false">IFERROR(P169/BE169-1,"")</f>
        <v>0.049037157431761</v>
      </c>
      <c r="BG169" s="17" t="n">
        <v>0.068</v>
      </c>
      <c r="BH169" s="17" t="n">
        <v>-0.008</v>
      </c>
      <c r="BI169" s="14" t="n">
        <f aca="false">P169*(1+IFERROR(Q169,0))^4</f>
        <v>653721.047335746</v>
      </c>
      <c r="BJ169" s="12" t="n">
        <v>-1954390</v>
      </c>
      <c r="BK169" s="11" t="s">
        <v>84</v>
      </c>
      <c r="BL169" s="11" t="s">
        <v>111</v>
      </c>
      <c r="BM169" s="14" t="n">
        <f aca="false">O169</f>
        <v>47266171</v>
      </c>
      <c r="BN169" s="11" t="s">
        <v>268</v>
      </c>
      <c r="BO169" s="13" t="n">
        <f aca="false">IFERROR(1-L169/M169,"")</f>
        <v>0.134107626790554</v>
      </c>
      <c r="BP169" s="11" t="s">
        <v>113</v>
      </c>
      <c r="BQ169" s="12" t="n">
        <v>3984480</v>
      </c>
      <c r="BR169" s="11" t="s">
        <v>88</v>
      </c>
      <c r="BS169" s="11" t="s">
        <v>89</v>
      </c>
      <c r="BT169" s="19" t="str">
        <f aca="false">IF(OR(Z169&lt;6,AH169&lt;0.9,S169&lt;0.02,AK169&lt;1),"REVIEW",IF(AND(S169&gt;0.25,AH169&gt;1.2),"ACCELERATING","STABLE"))</f>
        <v>STABLE</v>
      </c>
    </row>
    <row r="170" customFormat="false" ht="15" hidden="false" customHeight="false" outlineLevel="0" collapsed="false">
      <c r="A170" s="3" t="s">
        <v>269</v>
      </c>
      <c r="B170" s="3" t="s">
        <v>73</v>
      </c>
      <c r="C170" s="3" t="s">
        <v>74</v>
      </c>
      <c r="D170" s="3" t="s">
        <v>165</v>
      </c>
      <c r="E170" s="3" t="s">
        <v>105</v>
      </c>
      <c r="F170" s="3" t="s">
        <v>270</v>
      </c>
      <c r="G170" s="3" t="s">
        <v>78</v>
      </c>
      <c r="H170" s="3" t="s">
        <v>79</v>
      </c>
      <c r="I170" s="3" t="s">
        <v>78</v>
      </c>
      <c r="J170" s="4" t="n">
        <v>3351000</v>
      </c>
      <c r="K170" s="5" t="n">
        <f aca="false">IFERROR(J170/M170,"")</f>
        <v>0.181724511930586</v>
      </c>
      <c r="L170" s="4" t="n">
        <v>15089000</v>
      </c>
      <c r="M170" s="6" t="n">
        <f aca="false">L170+J170</f>
        <v>18440000</v>
      </c>
      <c r="N170" s="4" t="n">
        <v>3351000</v>
      </c>
      <c r="O170" s="4" t="n">
        <v>31363045</v>
      </c>
      <c r="P170" s="4" t="n">
        <v>325721</v>
      </c>
      <c r="Q170" s="7"/>
      <c r="R170" s="4" t="n">
        <v>412073</v>
      </c>
      <c r="S170" s="7"/>
      <c r="T170" s="4" t="n">
        <v>200006</v>
      </c>
      <c r="U170" s="5" t="n">
        <f aca="false">IFERROR(T170/P170,"")</f>
        <v>0.614040850912284</v>
      </c>
      <c r="V170" s="6" t="n">
        <f aca="false">T170-AV170</f>
        <v>-2228302</v>
      </c>
      <c r="W170" s="6" t="n">
        <f aca="false">V170-AA170*0.1</f>
        <v>-2228302</v>
      </c>
      <c r="X170" s="4" t="n">
        <v>1896649</v>
      </c>
      <c r="Y170" s="4" t="n">
        <v>213850</v>
      </c>
      <c r="Z170" s="8" t="n">
        <f aca="false">IFERROR(X170/Y170,"")</f>
        <v>8.86906242693477</v>
      </c>
      <c r="AA170" s="4" t="n">
        <v>0</v>
      </c>
      <c r="AB170" s="6" t="n">
        <f aca="false">W170-0.02*P170</f>
        <v>-2234816.42</v>
      </c>
      <c r="AC170" s="9" t="n">
        <v>37</v>
      </c>
      <c r="AD170" s="7"/>
      <c r="AE170" s="7" t="n">
        <v>0.038</v>
      </c>
      <c r="AF170" s="7" t="n">
        <v>0.037</v>
      </c>
      <c r="AG170" s="5" t="n">
        <f aca="false">1-AF170</f>
        <v>0.963</v>
      </c>
      <c r="AH170" s="7" t="n">
        <v>1.315</v>
      </c>
      <c r="AI170" s="4" t="n">
        <v>32542</v>
      </c>
      <c r="AJ170" s="6" t="n">
        <f aca="false">IFERROR(AM170*U170*MIN(1/AE170,5),"")</f>
        <v>119737.965927895</v>
      </c>
      <c r="AK170" s="10" t="n">
        <f aca="false">IFERROR(AJ170/AI170,"")</f>
        <v>3.67949007214969</v>
      </c>
      <c r="AL170" s="8" t="n">
        <f aca="false">IFERROR(AI170/(AM170*U170/12),"")</f>
        <v>16.3066073894706</v>
      </c>
      <c r="AM170" s="4" t="n">
        <v>39000</v>
      </c>
      <c r="AN170" s="4" t="n">
        <v>392826</v>
      </c>
      <c r="AO170" s="4" t="n">
        <v>1267759</v>
      </c>
      <c r="AP170" s="7" t="n">
        <v>0.147</v>
      </c>
      <c r="AQ170" s="9" t="n">
        <v>57</v>
      </c>
      <c r="AR170" s="9" t="n">
        <v>1</v>
      </c>
      <c r="AS170" s="7"/>
      <c r="AT170" s="3" t="s">
        <v>98</v>
      </c>
      <c r="AU170" s="6" t="n">
        <f aca="false">IFERROR(P170/AR170,"")</f>
        <v>325721</v>
      </c>
      <c r="AV170" s="4" t="n">
        <v>2428308</v>
      </c>
      <c r="AW170" s="4" t="n">
        <v>1169919</v>
      </c>
      <c r="AX170" s="4" t="n">
        <v>772550</v>
      </c>
      <c r="AY170" s="9" t="n">
        <v>5463</v>
      </c>
      <c r="AZ170" s="7"/>
      <c r="BA170" s="7" t="n">
        <v>0.965</v>
      </c>
      <c r="BB170" s="3" t="s">
        <v>99</v>
      </c>
      <c r="BC170" s="3" t="s">
        <v>100</v>
      </c>
      <c r="BD170" s="3" t="s">
        <v>83</v>
      </c>
      <c r="BE170" s="4" t="n">
        <v>383946</v>
      </c>
      <c r="BF170" s="5" t="n">
        <f aca="false">IFERROR(P170/BE170-1,"")</f>
        <v>-0.151648929797419</v>
      </c>
      <c r="BG170" s="7" t="n">
        <v>-0.034</v>
      </c>
      <c r="BH170" s="7" t="n">
        <v>-0.07</v>
      </c>
      <c r="BI170" s="6" t="n">
        <f aca="false">P170</f>
        <v>325721</v>
      </c>
      <c r="BJ170" s="4" t="n">
        <v>-1739352</v>
      </c>
      <c r="BK170" s="3" t="s">
        <v>110</v>
      </c>
      <c r="BL170" s="3" t="s">
        <v>162</v>
      </c>
      <c r="BM170" s="6" t="n">
        <f aca="false">O170</f>
        <v>31363045</v>
      </c>
      <c r="BN170" s="3" t="s">
        <v>271</v>
      </c>
      <c r="BO170" s="5" t="n">
        <f aca="false">IFERROR(1-L170/M170,"")</f>
        <v>0.181724511930586</v>
      </c>
      <c r="BP170" s="3" t="s">
        <v>142</v>
      </c>
      <c r="BQ170" s="4" t="n">
        <v>4046255</v>
      </c>
      <c r="BR170" s="3" t="s">
        <v>88</v>
      </c>
      <c r="BS170" s="3" t="s">
        <v>89</v>
      </c>
      <c r="BT170" s="3" t="s">
        <v>90</v>
      </c>
    </row>
    <row r="171" customFormat="false" ht="15" hidden="false" customHeight="false" outlineLevel="0" collapsed="false">
      <c r="A171" s="11" t="s">
        <v>269</v>
      </c>
      <c r="B171" s="11" t="s">
        <v>91</v>
      </c>
      <c r="C171" s="11" t="s">
        <v>74</v>
      </c>
      <c r="D171" s="11" t="s">
        <v>165</v>
      </c>
      <c r="E171" s="11" t="s">
        <v>105</v>
      </c>
      <c r="F171" s="11" t="s">
        <v>270</v>
      </c>
      <c r="G171" s="11" t="s">
        <v>78</v>
      </c>
      <c r="H171" s="11" t="s">
        <v>79</v>
      </c>
      <c r="I171" s="11" t="s">
        <v>78</v>
      </c>
      <c r="J171" s="12" t="n">
        <v>3351000</v>
      </c>
      <c r="K171" s="13" t="n">
        <f aca="false">IFERROR(J171/M171,"")</f>
        <v>0.181724511930586</v>
      </c>
      <c r="L171" s="12" t="n">
        <v>15089000</v>
      </c>
      <c r="M171" s="14" t="n">
        <f aca="false">L171+J171</f>
        <v>18440000</v>
      </c>
      <c r="N171" s="12" t="n">
        <v>3351000</v>
      </c>
      <c r="O171" s="12" t="n">
        <v>31363045</v>
      </c>
      <c r="P171" s="12" t="n">
        <v>432662</v>
      </c>
      <c r="Q171" s="13" t="n">
        <f aca="false">IFERROR(P171/P170-1,"")</f>
        <v>0.328320863561146</v>
      </c>
      <c r="R171" s="12" t="n">
        <v>535807</v>
      </c>
      <c r="S171" s="13" t="n">
        <f aca="false">IFERROR(R171/R170-1,"")</f>
        <v>0.300272039177524</v>
      </c>
      <c r="T171" s="12" t="n">
        <v>266748</v>
      </c>
      <c r="U171" s="13" t="n">
        <f aca="false">IFERROR(T171/P171,"")</f>
        <v>0.616527450989456</v>
      </c>
      <c r="V171" s="14" t="n">
        <f aca="false">T171-AV171</f>
        <v>-2620671</v>
      </c>
      <c r="W171" s="14" t="n">
        <f aca="false">V171-AA171*0.1</f>
        <v>-2620671</v>
      </c>
      <c r="X171" s="12" t="n">
        <v>2438550</v>
      </c>
      <c r="Y171" s="12" t="n">
        <v>220900</v>
      </c>
      <c r="Z171" s="15" t="n">
        <f aca="false">IFERROR(X171/Y171,"")</f>
        <v>11.0391579900407</v>
      </c>
      <c r="AA171" s="12" t="n">
        <v>0</v>
      </c>
      <c r="AB171" s="14" t="n">
        <f aca="false">W171-0.02*P171</f>
        <v>-2629324.24</v>
      </c>
      <c r="AC171" s="16" t="n">
        <v>43</v>
      </c>
      <c r="AD171" s="13" t="n">
        <f aca="false">IFERROR(AC171/AC170-1,"")</f>
        <v>0.162162162162162</v>
      </c>
      <c r="AE171" s="17" t="n">
        <v>0.037</v>
      </c>
      <c r="AF171" s="17" t="n">
        <v>0.038</v>
      </c>
      <c r="AG171" s="13" t="n">
        <f aca="false">1-AF171</f>
        <v>0.962</v>
      </c>
      <c r="AH171" s="17" t="n">
        <v>1.345</v>
      </c>
      <c r="AI171" s="12" t="n">
        <v>31928</v>
      </c>
      <c r="AJ171" s="14" t="n">
        <f aca="false">IFERROR(AM171*U171*MIN(1/AE171,5),"")</f>
        <v>122627.310001803</v>
      </c>
      <c r="AK171" s="18" t="n">
        <f aca="false">IFERROR(AJ171/AI171,"")</f>
        <v>3.84074511406298</v>
      </c>
      <c r="AL171" s="15" t="n">
        <f aca="false">IFERROR(AI171/(AM171*U171/12),"")</f>
        <v>15.6219687113078</v>
      </c>
      <c r="AM171" s="12" t="n">
        <v>39780</v>
      </c>
      <c r="AN171" s="12" t="n">
        <v>643694</v>
      </c>
      <c r="AO171" s="12" t="n">
        <v>2076324</v>
      </c>
      <c r="AP171" s="17" t="n">
        <v>0.147</v>
      </c>
      <c r="AQ171" s="16" t="n">
        <v>57</v>
      </c>
      <c r="AR171" s="16" t="n">
        <v>1</v>
      </c>
      <c r="AS171" s="13" t="n">
        <f aca="false">IFERROR(AR171/AR170-1,"")</f>
        <v>0</v>
      </c>
      <c r="AT171" s="11" t="s">
        <v>98</v>
      </c>
      <c r="AU171" s="14" t="n">
        <f aca="false">IFERROR(P171/AR171,"")</f>
        <v>432662</v>
      </c>
      <c r="AV171" s="12" t="n">
        <v>2887419</v>
      </c>
      <c r="AW171" s="12" t="n">
        <v>1383898</v>
      </c>
      <c r="AX171" s="12" t="n">
        <v>775553</v>
      </c>
      <c r="AY171" s="16" t="n">
        <v>7665</v>
      </c>
      <c r="AZ171" s="13" t="n">
        <f aca="false">IFERROR(AY171/AY170-1,"")</f>
        <v>0.403075233388248</v>
      </c>
      <c r="BA171" s="17" t="n">
        <v>0.962</v>
      </c>
      <c r="BB171" s="11" t="s">
        <v>99</v>
      </c>
      <c r="BC171" s="11" t="s">
        <v>100</v>
      </c>
      <c r="BD171" s="11" t="s">
        <v>83</v>
      </c>
      <c r="BE171" s="12" t="n">
        <v>508361</v>
      </c>
      <c r="BF171" s="13" t="n">
        <f aca="false">IFERROR(P171/BE171-1,"")</f>
        <v>-0.148907961074905</v>
      </c>
      <c r="BG171" s="17" t="n">
        <v>0.035</v>
      </c>
      <c r="BH171" s="17" t="n">
        <v>0.086</v>
      </c>
      <c r="BI171" s="14" t="n">
        <f aca="false">P171*(1+IFERROR(Q171,0))^4</f>
        <v>1346978.70449371</v>
      </c>
      <c r="BJ171" s="12" t="n">
        <v>-1812818</v>
      </c>
      <c r="BK171" s="11" t="s">
        <v>110</v>
      </c>
      <c r="BL171" s="11" t="s">
        <v>162</v>
      </c>
      <c r="BM171" s="14" t="n">
        <f aca="false">O171</f>
        <v>31363045</v>
      </c>
      <c r="BN171" s="11" t="s">
        <v>271</v>
      </c>
      <c r="BO171" s="13" t="n">
        <f aca="false">IFERROR(1-L171/M171,"")</f>
        <v>0.181724511930586</v>
      </c>
      <c r="BP171" s="11" t="s">
        <v>142</v>
      </c>
      <c r="BQ171" s="12" t="n">
        <v>3800835</v>
      </c>
      <c r="BR171" s="11" t="s">
        <v>88</v>
      </c>
      <c r="BS171" s="11" t="s">
        <v>89</v>
      </c>
      <c r="BT171" s="19" t="str">
        <f aca="false">IF(OR(Z171&lt;6,AH171&lt;0.9,S171&lt;0.02,AK171&lt;1),"REVIEW",IF(AND(S171&gt;0.25,AH171&gt;1.2),"ACCELERATING","STABLE"))</f>
        <v>ACCELERATING</v>
      </c>
    </row>
    <row r="172" customFormat="false" ht="15" hidden="false" customHeight="false" outlineLevel="0" collapsed="false">
      <c r="A172" s="11" t="s">
        <v>269</v>
      </c>
      <c r="B172" s="11" t="s">
        <v>92</v>
      </c>
      <c r="C172" s="11" t="s">
        <v>74</v>
      </c>
      <c r="D172" s="11" t="s">
        <v>165</v>
      </c>
      <c r="E172" s="11" t="s">
        <v>105</v>
      </c>
      <c r="F172" s="11" t="s">
        <v>270</v>
      </c>
      <c r="G172" s="11" t="s">
        <v>78</v>
      </c>
      <c r="H172" s="11" t="s">
        <v>79</v>
      </c>
      <c r="I172" s="11" t="s">
        <v>78</v>
      </c>
      <c r="J172" s="12" t="n">
        <v>3351000</v>
      </c>
      <c r="K172" s="13" t="n">
        <f aca="false">IFERROR(J172/M172,"")</f>
        <v>0.181724511930586</v>
      </c>
      <c r="L172" s="12" t="n">
        <v>15089000</v>
      </c>
      <c r="M172" s="14" t="n">
        <f aca="false">L172+J172</f>
        <v>18440000</v>
      </c>
      <c r="N172" s="12" t="n">
        <v>3351000</v>
      </c>
      <c r="O172" s="12" t="n">
        <v>31363045</v>
      </c>
      <c r="P172" s="12" t="n">
        <v>550941</v>
      </c>
      <c r="Q172" s="13" t="n">
        <f aca="false">IFERROR(P172/P171-1,"")</f>
        <v>0.27337505951528</v>
      </c>
      <c r="R172" s="12" t="n">
        <v>672030</v>
      </c>
      <c r="S172" s="13" t="n">
        <f aca="false">IFERROR(R172/R171-1,"")</f>
        <v>0.254238933048654</v>
      </c>
      <c r="T172" s="12" t="n">
        <v>341040</v>
      </c>
      <c r="U172" s="13" t="n">
        <f aca="false">IFERROR(T172/P172,"")</f>
        <v>0.61901365118951</v>
      </c>
      <c r="V172" s="14" t="n">
        <f aca="false">T172-AV172</f>
        <v>-2157976</v>
      </c>
      <c r="W172" s="14" t="n">
        <f aca="false">V172-AA172*0.1</f>
        <v>-2157976</v>
      </c>
      <c r="X172" s="12" t="n">
        <v>2980450</v>
      </c>
      <c r="Y172" s="12" t="n">
        <v>227950</v>
      </c>
      <c r="Z172" s="15" t="n">
        <f aca="false">IFERROR(X172/Y172,"")</f>
        <v>13.0750164509761</v>
      </c>
      <c r="AA172" s="12" t="n">
        <v>0</v>
      </c>
      <c r="AB172" s="14" t="n">
        <f aca="false">W172-0.02*P172</f>
        <v>-2168994.82</v>
      </c>
      <c r="AC172" s="16" t="n">
        <v>55</v>
      </c>
      <c r="AD172" s="13" t="n">
        <f aca="false">IFERROR(AC172/AC171-1,"")</f>
        <v>0.279069767441861</v>
      </c>
      <c r="AE172" s="17" t="n">
        <v>0.036</v>
      </c>
      <c r="AF172" s="17" t="n">
        <v>0.025</v>
      </c>
      <c r="AG172" s="13" t="n">
        <f aca="false">1-AF172</f>
        <v>0.975</v>
      </c>
      <c r="AH172" s="17" t="n">
        <v>1.375</v>
      </c>
      <c r="AI172" s="12" t="n">
        <v>31314</v>
      </c>
      <c r="AJ172" s="14" t="n">
        <f aca="false">IFERROR(AM172*U172*MIN(1/AE172,5),"")</f>
        <v>125535.968461233</v>
      </c>
      <c r="AK172" s="18" t="n">
        <f aca="false">IFERROR(AJ172/AI172,"")</f>
        <v>4.0089406802463</v>
      </c>
      <c r="AL172" s="15" t="n">
        <f aca="false">IFERROR(AI172/(AM172*U172/12),"")</f>
        <v>14.9665472217248</v>
      </c>
      <c r="AM172" s="12" t="n">
        <v>40560</v>
      </c>
      <c r="AN172" s="12" t="n">
        <v>708304</v>
      </c>
      <c r="AO172" s="12" t="n">
        <v>2250080</v>
      </c>
      <c r="AP172" s="17" t="n">
        <v>0.147</v>
      </c>
      <c r="AQ172" s="16" t="n">
        <v>57</v>
      </c>
      <c r="AR172" s="16" t="n">
        <v>2</v>
      </c>
      <c r="AS172" s="13" t="n">
        <f aca="false">IFERROR(AR172/AR171-1,"")</f>
        <v>1</v>
      </c>
      <c r="AT172" s="11" t="s">
        <v>98</v>
      </c>
      <c r="AU172" s="14" t="n">
        <f aca="false">IFERROR(P172/AR172,"")</f>
        <v>275470.5</v>
      </c>
      <c r="AV172" s="12" t="n">
        <v>2499016</v>
      </c>
      <c r="AW172" s="12" t="n">
        <v>880483</v>
      </c>
      <c r="AX172" s="12" t="n">
        <v>741472</v>
      </c>
      <c r="AY172" s="16" t="n">
        <v>9782</v>
      </c>
      <c r="AZ172" s="13" t="n">
        <f aca="false">IFERROR(AY172/AY171-1,"")</f>
        <v>0.276190476190476</v>
      </c>
      <c r="BA172" s="17" t="n">
        <v>0.969</v>
      </c>
      <c r="BB172" s="11" t="s">
        <v>99</v>
      </c>
      <c r="BC172" s="11" t="s">
        <v>100</v>
      </c>
      <c r="BD172" s="11" t="s">
        <v>83</v>
      </c>
      <c r="BE172" s="12" t="n">
        <v>524198</v>
      </c>
      <c r="BF172" s="13" t="n">
        <f aca="false">IFERROR(P172/BE172-1,"")</f>
        <v>0.0510169821327056</v>
      </c>
      <c r="BG172" s="17" t="n">
        <v>0.086</v>
      </c>
      <c r="BH172" s="17" t="n">
        <v>-0.028</v>
      </c>
      <c r="BI172" s="14" t="n">
        <f aca="false">P172*(1+IFERROR(Q172,0))^4</f>
        <v>1448539.86158179</v>
      </c>
      <c r="BJ172" s="12" t="n">
        <v>-2659622</v>
      </c>
      <c r="BK172" s="11" t="s">
        <v>110</v>
      </c>
      <c r="BL172" s="11" t="s">
        <v>162</v>
      </c>
      <c r="BM172" s="14" t="n">
        <f aca="false">O172</f>
        <v>31363045</v>
      </c>
      <c r="BN172" s="11" t="s">
        <v>271</v>
      </c>
      <c r="BO172" s="13" t="n">
        <f aca="false">IFERROR(1-L172/M172,"")</f>
        <v>0.181724511930586</v>
      </c>
      <c r="BP172" s="11" t="s">
        <v>142</v>
      </c>
      <c r="BQ172" s="12" t="n">
        <v>4117233</v>
      </c>
      <c r="BR172" s="11" t="s">
        <v>88</v>
      </c>
      <c r="BS172" s="11" t="s">
        <v>89</v>
      </c>
      <c r="BT172" s="19" t="str">
        <f aca="false">IF(OR(Z172&lt;6,AH172&lt;0.9,S172&lt;0.02,AK172&lt;1),"REVIEW",IF(AND(S172&gt;0.25,AH172&gt;1.2),"ACCELERATING","STABLE"))</f>
        <v>ACCELERATING</v>
      </c>
    </row>
    <row r="173" customFormat="false" ht="15" hidden="false" customHeight="false" outlineLevel="0" collapsed="false">
      <c r="A173" s="11" t="s">
        <v>269</v>
      </c>
      <c r="B173" s="11" t="s">
        <v>93</v>
      </c>
      <c r="C173" s="11" t="s">
        <v>74</v>
      </c>
      <c r="D173" s="11" t="s">
        <v>165</v>
      </c>
      <c r="E173" s="11" t="s">
        <v>105</v>
      </c>
      <c r="F173" s="11" t="s">
        <v>270</v>
      </c>
      <c r="G173" s="11" t="s">
        <v>78</v>
      </c>
      <c r="H173" s="11" t="s">
        <v>79</v>
      </c>
      <c r="I173" s="11" t="s">
        <v>78</v>
      </c>
      <c r="J173" s="12" t="n">
        <v>3351000</v>
      </c>
      <c r="K173" s="13" t="n">
        <f aca="false">IFERROR(J173/M173,"")</f>
        <v>0.181724511930586</v>
      </c>
      <c r="L173" s="12" t="n">
        <v>15089000</v>
      </c>
      <c r="M173" s="14" t="n">
        <f aca="false">L173+J173</f>
        <v>18440000</v>
      </c>
      <c r="N173" s="12" t="n">
        <v>3351000</v>
      </c>
      <c r="O173" s="12" t="n">
        <v>31363045</v>
      </c>
      <c r="P173" s="12" t="n">
        <v>775886</v>
      </c>
      <c r="Q173" s="13" t="n">
        <f aca="false">IFERROR(P173/P172-1,"")</f>
        <v>0.408292357983886</v>
      </c>
      <c r="R173" s="12" t="n">
        <v>944989</v>
      </c>
      <c r="S173" s="13" t="n">
        <f aca="false">IFERROR(R173/R172-1,"")</f>
        <v>0.406170855467762</v>
      </c>
      <c r="T173" s="12" t="n">
        <v>482213</v>
      </c>
      <c r="U173" s="13" t="n">
        <f aca="false">IFERROR(T173/P173,"")</f>
        <v>0.621499807961479</v>
      </c>
      <c r="V173" s="14" t="n">
        <f aca="false">T173-AV173</f>
        <v>-2861725</v>
      </c>
      <c r="W173" s="14" t="n">
        <f aca="false">V173-AA173*0.1</f>
        <v>-2861725</v>
      </c>
      <c r="X173" s="12" t="n">
        <v>5419000</v>
      </c>
      <c r="Y173" s="12" t="n">
        <v>235000</v>
      </c>
      <c r="Z173" s="15" t="n">
        <f aca="false">IFERROR(X173/Y173,"")</f>
        <v>23.0595744680851</v>
      </c>
      <c r="AA173" s="12" t="n">
        <v>0</v>
      </c>
      <c r="AB173" s="14" t="n">
        <f aca="false">W173-0.02*P173</f>
        <v>-2877242.72</v>
      </c>
      <c r="AC173" s="16" t="n">
        <v>69</v>
      </c>
      <c r="AD173" s="13" t="n">
        <f aca="false">IFERROR(AC173/AC172-1,"")</f>
        <v>0.254545454545455</v>
      </c>
      <c r="AE173" s="17" t="n">
        <v>0.035</v>
      </c>
      <c r="AF173" s="17" t="n">
        <v>0.032</v>
      </c>
      <c r="AG173" s="13" t="n">
        <f aca="false">1-AF173</f>
        <v>0.968</v>
      </c>
      <c r="AH173" s="17" t="n">
        <v>1.405</v>
      </c>
      <c r="AI173" s="12" t="n">
        <v>30700</v>
      </c>
      <c r="AJ173" s="14" t="n">
        <f aca="false">IFERROR(AM173*U173*MIN(1/AE173,5),"")</f>
        <v>128464.010305638</v>
      </c>
      <c r="AK173" s="18" t="n">
        <f aca="false">IFERROR(AJ173/AI173,"")</f>
        <v>4.18449544969504</v>
      </c>
      <c r="AL173" s="15" t="n">
        <f aca="false">IFERROR(AI173/(AM173*U173/12),"")</f>
        <v>14.3386462528888</v>
      </c>
      <c r="AM173" s="12" t="n">
        <v>41340</v>
      </c>
      <c r="AN173" s="12" t="n">
        <v>1395428</v>
      </c>
      <c r="AO173" s="12" t="n">
        <v>2828225</v>
      </c>
      <c r="AP173" s="17" t="n">
        <v>0.147</v>
      </c>
      <c r="AQ173" s="16" t="n">
        <v>57</v>
      </c>
      <c r="AR173" s="16" t="n">
        <v>2</v>
      </c>
      <c r="AS173" s="13" t="n">
        <f aca="false">IFERROR(AR173/AR172-1,"")</f>
        <v>0</v>
      </c>
      <c r="AT173" s="11" t="s">
        <v>98</v>
      </c>
      <c r="AU173" s="14" t="n">
        <f aca="false">IFERROR(P173/AR173,"")</f>
        <v>387943</v>
      </c>
      <c r="AV173" s="12" t="n">
        <v>3343938</v>
      </c>
      <c r="AW173" s="12" t="n">
        <v>1372608</v>
      </c>
      <c r="AX173" s="12" t="n">
        <v>656819</v>
      </c>
      <c r="AY173" s="16" t="n">
        <v>12547</v>
      </c>
      <c r="AZ173" s="13" t="n">
        <f aca="false">IFERROR(AY173/AY172-1,"")</f>
        <v>0.282662032304232</v>
      </c>
      <c r="BA173" s="17" t="n">
        <v>0.974</v>
      </c>
      <c r="BB173" s="11" t="s">
        <v>99</v>
      </c>
      <c r="BC173" s="11" t="s">
        <v>100</v>
      </c>
      <c r="BD173" s="11" t="s">
        <v>83</v>
      </c>
      <c r="BE173" s="12" t="n">
        <v>810325</v>
      </c>
      <c r="BF173" s="13" t="n">
        <f aca="false">IFERROR(P173/BE173-1,"")</f>
        <v>-0.0425002313886403</v>
      </c>
      <c r="BG173" s="17" t="n">
        <v>0.063</v>
      </c>
      <c r="BH173" s="17" t="n">
        <v>-0.057</v>
      </c>
      <c r="BI173" s="14" t="n">
        <f aca="false">P173*(1+IFERROR(Q173,0))^4</f>
        <v>3051892.31803342</v>
      </c>
      <c r="BJ173" s="12" t="n">
        <v>-1810773</v>
      </c>
      <c r="BK173" s="11" t="s">
        <v>110</v>
      </c>
      <c r="BL173" s="11" t="s">
        <v>162</v>
      </c>
      <c r="BM173" s="14" t="n">
        <f aca="false">O173</f>
        <v>31363045</v>
      </c>
      <c r="BN173" s="11" t="s">
        <v>271</v>
      </c>
      <c r="BO173" s="13" t="n">
        <f aca="false">IFERROR(1-L173/M173,"")</f>
        <v>0.181724511930586</v>
      </c>
      <c r="BP173" s="11" t="s">
        <v>142</v>
      </c>
      <c r="BQ173" s="12" t="n">
        <v>2836458</v>
      </c>
      <c r="BR173" s="11" t="s">
        <v>88</v>
      </c>
      <c r="BS173" s="11" t="s">
        <v>89</v>
      </c>
      <c r="BT173" s="19" t="str">
        <f aca="false">IF(OR(Z173&lt;6,AH173&lt;0.9,S173&lt;0.02,AK173&lt;1),"REVIEW",IF(AND(S173&gt;0.25,AH173&gt;1.2),"ACCELERATING","STABLE"))</f>
        <v>ACCELERATING</v>
      </c>
    </row>
    <row r="174" customFormat="false" ht="15" hidden="false" customHeight="false" outlineLevel="0" collapsed="false">
      <c r="A174" s="3" t="s">
        <v>272</v>
      </c>
      <c r="B174" s="3" t="s">
        <v>73</v>
      </c>
      <c r="C174" s="3" t="s">
        <v>74</v>
      </c>
      <c r="D174" s="3" t="s">
        <v>210</v>
      </c>
      <c r="E174" s="3" t="s">
        <v>105</v>
      </c>
      <c r="F174" s="3" t="s">
        <v>273</v>
      </c>
      <c r="G174" s="3" t="s">
        <v>78</v>
      </c>
      <c r="H174" s="3" t="s">
        <v>79</v>
      </c>
      <c r="I174" s="3" t="s">
        <v>78</v>
      </c>
      <c r="J174" s="4" t="n">
        <v>4606000</v>
      </c>
      <c r="K174" s="5" t="n">
        <f aca="false">IFERROR(J174/M174,"")</f>
        <v>0.180918339290624</v>
      </c>
      <c r="L174" s="4" t="n">
        <v>20853000</v>
      </c>
      <c r="M174" s="6" t="n">
        <f aca="false">L174+J174</f>
        <v>25459000</v>
      </c>
      <c r="N174" s="4" t="n">
        <v>7477000</v>
      </c>
      <c r="O174" s="4" t="n">
        <v>38620231</v>
      </c>
      <c r="P174" s="4" t="n">
        <v>298686</v>
      </c>
      <c r="Q174" s="7"/>
      <c r="R174" s="4" t="n">
        <v>340933</v>
      </c>
      <c r="S174" s="7"/>
      <c r="T174" s="4" t="n">
        <v>223179</v>
      </c>
      <c r="U174" s="5" t="n">
        <f aca="false">IFERROR(T174/P174,"")</f>
        <v>0.747202748036399</v>
      </c>
      <c r="V174" s="6" t="n">
        <f aca="false">T174-AV174</f>
        <v>-2211816</v>
      </c>
      <c r="W174" s="6" t="n">
        <f aca="false">V174-AA174*0.1</f>
        <v>-2211816</v>
      </c>
      <c r="X174" s="4" t="n">
        <v>4170345</v>
      </c>
      <c r="Y174" s="4" t="n">
        <v>177450</v>
      </c>
      <c r="Z174" s="8" t="n">
        <f aca="false">IFERROR(X174/Y174,"")</f>
        <v>23.5015215553677</v>
      </c>
      <c r="AA174" s="4" t="n">
        <v>0</v>
      </c>
      <c r="AB174" s="6" t="n">
        <f aca="false">W174-0.02*P174</f>
        <v>-2217789.72</v>
      </c>
      <c r="AC174" s="9" t="n">
        <v>47</v>
      </c>
      <c r="AD174" s="7"/>
      <c r="AE174" s="7" t="n">
        <v>0.152</v>
      </c>
      <c r="AF174" s="7" t="n">
        <v>0.156</v>
      </c>
      <c r="AG174" s="5" t="n">
        <f aca="false">1-AF174</f>
        <v>0.844</v>
      </c>
      <c r="AH174" s="7" t="n">
        <v>1.161</v>
      </c>
      <c r="AI174" s="4" t="n">
        <v>29892</v>
      </c>
      <c r="AJ174" s="6" t="n">
        <f aca="false">IFERROR(AM174*U174*MIN(1/AE174,5),"")</f>
        <v>59776.219842912</v>
      </c>
      <c r="AK174" s="10" t="n">
        <f aca="false">IFERROR(AJ174/AI174,"")</f>
        <v>1.99973972443838</v>
      </c>
      <c r="AL174" s="8" t="n">
        <f aca="false">IFERROR(AI174/(AM174*U174/12),"")</f>
        <v>30.0039046415657</v>
      </c>
      <c r="AM174" s="4" t="n">
        <v>16000</v>
      </c>
      <c r="AN174" s="4" t="n">
        <v>387686</v>
      </c>
      <c r="AO174" s="4" t="n">
        <v>1239726</v>
      </c>
      <c r="AP174" s="7" t="n">
        <v>0.186</v>
      </c>
      <c r="AQ174" s="9" t="n">
        <v>36</v>
      </c>
      <c r="AR174" s="9" t="n">
        <v>7</v>
      </c>
      <c r="AS174" s="7"/>
      <c r="AT174" s="3" t="s">
        <v>153</v>
      </c>
      <c r="AU174" s="6" t="n">
        <f aca="false">IFERROR(P174/AR174,"")</f>
        <v>42669.4285714286</v>
      </c>
      <c r="AV174" s="4" t="n">
        <v>2434995</v>
      </c>
      <c r="AW174" s="4" t="n">
        <v>956563</v>
      </c>
      <c r="AX174" s="4" t="n">
        <v>723394</v>
      </c>
      <c r="AY174" s="9" t="n">
        <v>23005</v>
      </c>
      <c r="AZ174" s="7"/>
      <c r="BA174" s="7" t="n">
        <v>0.836</v>
      </c>
      <c r="BB174" s="3" t="s">
        <v>107</v>
      </c>
      <c r="BC174" s="3" t="s">
        <v>100</v>
      </c>
      <c r="BD174" s="3" t="s">
        <v>109</v>
      </c>
      <c r="BE174" s="4" t="n">
        <v>312152</v>
      </c>
      <c r="BF174" s="5" t="n">
        <f aca="false">IFERROR(P174/BE174-1,"")</f>
        <v>-0.0431392398575053</v>
      </c>
      <c r="BG174" s="7" t="n">
        <v>-0.054</v>
      </c>
      <c r="BH174" s="7" t="n">
        <v>-0.037</v>
      </c>
      <c r="BI174" s="6" t="n">
        <f aca="false">P174</f>
        <v>298686</v>
      </c>
      <c r="BJ174" s="4" t="n">
        <v>-2114573</v>
      </c>
      <c r="BK174" s="3" t="s">
        <v>192</v>
      </c>
      <c r="BL174" s="3" t="s">
        <v>111</v>
      </c>
      <c r="BM174" s="6" t="n">
        <f aca="false">O174</f>
        <v>38620231</v>
      </c>
      <c r="BN174" s="3" t="s">
        <v>274</v>
      </c>
      <c r="BO174" s="5" t="n">
        <f aca="false">IFERROR(1-L174/M174,"")</f>
        <v>0.180918339290624</v>
      </c>
      <c r="BP174" s="3" t="s">
        <v>130</v>
      </c>
      <c r="BQ174" s="4" t="n">
        <v>2238669</v>
      </c>
      <c r="BR174" s="3" t="s">
        <v>88</v>
      </c>
      <c r="BS174" s="3" t="s">
        <v>89</v>
      </c>
      <c r="BT174" s="3" t="s">
        <v>90</v>
      </c>
    </row>
    <row r="175" customFormat="false" ht="15" hidden="false" customHeight="false" outlineLevel="0" collapsed="false">
      <c r="A175" s="11" t="s">
        <v>272</v>
      </c>
      <c r="B175" s="11" t="s">
        <v>91</v>
      </c>
      <c r="C175" s="11" t="s">
        <v>74</v>
      </c>
      <c r="D175" s="11" t="s">
        <v>210</v>
      </c>
      <c r="E175" s="11" t="s">
        <v>105</v>
      </c>
      <c r="F175" s="11" t="s">
        <v>273</v>
      </c>
      <c r="G175" s="11" t="s">
        <v>78</v>
      </c>
      <c r="H175" s="11" t="s">
        <v>79</v>
      </c>
      <c r="I175" s="11" t="s">
        <v>78</v>
      </c>
      <c r="J175" s="12" t="n">
        <v>4606000</v>
      </c>
      <c r="K175" s="13" t="n">
        <f aca="false">IFERROR(J175/M175,"")</f>
        <v>0.180918339290624</v>
      </c>
      <c r="L175" s="12" t="n">
        <v>20853000</v>
      </c>
      <c r="M175" s="14" t="n">
        <f aca="false">L175+J175</f>
        <v>25459000</v>
      </c>
      <c r="N175" s="12" t="n">
        <v>7477000</v>
      </c>
      <c r="O175" s="12" t="n">
        <v>38620231</v>
      </c>
      <c r="P175" s="12" t="n">
        <v>331546</v>
      </c>
      <c r="Q175" s="13" t="n">
        <f aca="false">IFERROR(P175/P174-1,"")</f>
        <v>0.110015199908934</v>
      </c>
      <c r="R175" s="12" t="n">
        <v>341097</v>
      </c>
      <c r="S175" s="13" t="n">
        <f aca="false">IFERROR(R175/R174-1,"")</f>
        <v>0.000481032930223835</v>
      </c>
      <c r="T175" s="12" t="n">
        <v>248735</v>
      </c>
      <c r="U175" s="13" t="n">
        <f aca="false">IFERROR(T175/P175,"")</f>
        <v>0.750227721040218</v>
      </c>
      <c r="V175" s="14" t="n">
        <f aca="false">T175-AV175</f>
        <v>-1883472</v>
      </c>
      <c r="W175" s="14" t="n">
        <f aca="false">V175-AA175*0.1</f>
        <v>-1883472</v>
      </c>
      <c r="X175" s="12" t="n">
        <v>3722820</v>
      </c>
      <c r="Y175" s="12" t="n">
        <v>183300</v>
      </c>
      <c r="Z175" s="15" t="n">
        <f aca="false">IFERROR(X175/Y175,"")</f>
        <v>20.3099836333879</v>
      </c>
      <c r="AA175" s="12" t="n">
        <v>0</v>
      </c>
      <c r="AB175" s="14" t="n">
        <f aca="false">W175-0.02*P175</f>
        <v>-1890102.92</v>
      </c>
      <c r="AC175" s="16" t="n">
        <v>51</v>
      </c>
      <c r="AD175" s="13" t="n">
        <f aca="false">IFERROR(AC175/AC174-1,"")</f>
        <v>0.0851063829787233</v>
      </c>
      <c r="AE175" s="17" t="n">
        <v>0.147</v>
      </c>
      <c r="AF175" s="17" t="n">
        <v>0.16</v>
      </c>
      <c r="AG175" s="13" t="n">
        <f aca="false">1-AF175</f>
        <v>0.84</v>
      </c>
      <c r="AH175" s="17" t="n">
        <v>1.156</v>
      </c>
      <c r="AI175" s="12" t="n">
        <v>29328</v>
      </c>
      <c r="AJ175" s="14" t="n">
        <f aca="false">IFERROR(AM175*U175*MIN(1/AE175,5),"")</f>
        <v>61218.5820368818</v>
      </c>
      <c r="AK175" s="18" t="n">
        <f aca="false">IFERROR(AJ175/AI175,"")</f>
        <v>2.08737663791877</v>
      </c>
      <c r="AL175" s="15" t="n">
        <f aca="false">IFERROR(AI175/(AM175*U175/12),"")</f>
        <v>28.7442136268341</v>
      </c>
      <c r="AM175" s="12" t="n">
        <v>16320</v>
      </c>
      <c r="AN175" s="12" t="n">
        <v>349191</v>
      </c>
      <c r="AO175" s="12" t="n">
        <v>1221042</v>
      </c>
      <c r="AP175" s="17" t="n">
        <v>0.186</v>
      </c>
      <c r="AQ175" s="16" t="n">
        <v>36</v>
      </c>
      <c r="AR175" s="16" t="n">
        <v>8</v>
      </c>
      <c r="AS175" s="13" t="n">
        <f aca="false">IFERROR(AR175/AR174-1,"")</f>
        <v>0.142857142857143</v>
      </c>
      <c r="AT175" s="11" t="s">
        <v>153</v>
      </c>
      <c r="AU175" s="14" t="n">
        <f aca="false">IFERROR(P175/AR175,"")</f>
        <v>41443.25</v>
      </c>
      <c r="AV175" s="12" t="n">
        <v>2132207</v>
      </c>
      <c r="AW175" s="12" t="n">
        <v>908198</v>
      </c>
      <c r="AX175" s="12" t="n">
        <v>511507</v>
      </c>
      <c r="AY175" s="16" t="n">
        <v>24558</v>
      </c>
      <c r="AZ175" s="13" t="n">
        <f aca="false">IFERROR(AY175/AY174-1,"")</f>
        <v>0.0675070636818083</v>
      </c>
      <c r="BA175" s="17" t="n">
        <v>0.84</v>
      </c>
      <c r="BB175" s="11" t="s">
        <v>107</v>
      </c>
      <c r="BC175" s="11" t="s">
        <v>100</v>
      </c>
      <c r="BD175" s="11" t="s">
        <v>109</v>
      </c>
      <c r="BE175" s="12" t="n">
        <v>356666</v>
      </c>
      <c r="BF175" s="13" t="n">
        <f aca="false">IFERROR(P175/BE175-1,"")</f>
        <v>-0.0704300381869872</v>
      </c>
      <c r="BG175" s="17" t="n">
        <v>-0.044</v>
      </c>
      <c r="BH175" s="17" t="n">
        <v>-0.037</v>
      </c>
      <c r="BI175" s="14" t="n">
        <f aca="false">P175*(1+IFERROR(Q175,0))^4</f>
        <v>503337.741256288</v>
      </c>
      <c r="BJ175" s="12" t="n">
        <v>-1163164</v>
      </c>
      <c r="BK175" s="11" t="s">
        <v>192</v>
      </c>
      <c r="BL175" s="11" t="s">
        <v>111</v>
      </c>
      <c r="BM175" s="14" t="n">
        <f aca="false">O175</f>
        <v>38620231</v>
      </c>
      <c r="BN175" s="11" t="s">
        <v>274</v>
      </c>
      <c r="BO175" s="13" t="n">
        <f aca="false">IFERROR(1-L175/M175,"")</f>
        <v>0.180918339290624</v>
      </c>
      <c r="BP175" s="11" t="s">
        <v>130</v>
      </c>
      <c r="BQ175" s="12" t="n">
        <v>2638589</v>
      </c>
      <c r="BR175" s="11" t="s">
        <v>88</v>
      </c>
      <c r="BS175" s="11" t="s">
        <v>89</v>
      </c>
      <c r="BT175" s="19" t="str">
        <f aca="false">IF(OR(Z175&lt;6,AH175&lt;0.9,S175&lt;0.02,AK175&lt;1),"REVIEW",IF(AND(S175&gt;0.25,AH175&gt;1.2),"ACCELERATING","STABLE"))</f>
        <v>REVIEW</v>
      </c>
    </row>
    <row r="176" customFormat="false" ht="15" hidden="false" customHeight="false" outlineLevel="0" collapsed="false">
      <c r="A176" s="11" t="s">
        <v>272</v>
      </c>
      <c r="B176" s="11" t="s">
        <v>92</v>
      </c>
      <c r="C176" s="11" t="s">
        <v>74</v>
      </c>
      <c r="D176" s="11" t="s">
        <v>210</v>
      </c>
      <c r="E176" s="11" t="s">
        <v>105</v>
      </c>
      <c r="F176" s="11" t="s">
        <v>273</v>
      </c>
      <c r="G176" s="11" t="s">
        <v>78</v>
      </c>
      <c r="H176" s="11" t="s">
        <v>79</v>
      </c>
      <c r="I176" s="11" t="s">
        <v>78</v>
      </c>
      <c r="J176" s="12" t="n">
        <v>4606000</v>
      </c>
      <c r="K176" s="13" t="n">
        <f aca="false">IFERROR(J176/M176,"")</f>
        <v>0.180918339290624</v>
      </c>
      <c r="L176" s="12" t="n">
        <v>20853000</v>
      </c>
      <c r="M176" s="14" t="n">
        <f aca="false">L176+J176</f>
        <v>25459000</v>
      </c>
      <c r="N176" s="12" t="n">
        <v>7477000</v>
      </c>
      <c r="O176" s="12" t="n">
        <v>38620231</v>
      </c>
      <c r="P176" s="12" t="n">
        <v>371896</v>
      </c>
      <c r="Q176" s="13" t="n">
        <f aca="false">IFERROR(P176/P175-1,"")</f>
        <v>0.121702569175921</v>
      </c>
      <c r="R176" s="12" t="n">
        <v>406662</v>
      </c>
      <c r="S176" s="13" t="n">
        <f aca="false">IFERROR(R176/R175-1,"")</f>
        <v>0.192218049411165</v>
      </c>
      <c r="T176" s="12" t="n">
        <v>280132</v>
      </c>
      <c r="U176" s="13" t="n">
        <f aca="false">IFERROR(T176/P176,"")</f>
        <v>0.753253597780025</v>
      </c>
      <c r="V176" s="14" t="n">
        <f aca="false">T176-AV176</f>
        <v>-2279748</v>
      </c>
      <c r="W176" s="14" t="n">
        <f aca="false">V176-AA176*0.1</f>
        <v>-2279748</v>
      </c>
      <c r="X176" s="12" t="n">
        <v>3243705</v>
      </c>
      <c r="Y176" s="12" t="n">
        <v>189150</v>
      </c>
      <c r="Z176" s="15" t="n">
        <f aca="false">IFERROR(X176/Y176,"")</f>
        <v>17.1488501189532</v>
      </c>
      <c r="AA176" s="12" t="n">
        <v>0</v>
      </c>
      <c r="AB176" s="14" t="n">
        <f aca="false">W176-0.02*P176</f>
        <v>-2287185.92</v>
      </c>
      <c r="AC176" s="16" t="n">
        <v>52</v>
      </c>
      <c r="AD176" s="13" t="n">
        <f aca="false">IFERROR(AC176/AC175-1,"")</f>
        <v>0.0196078431372548</v>
      </c>
      <c r="AE176" s="17" t="n">
        <v>0.143</v>
      </c>
      <c r="AF176" s="17" t="n">
        <v>0.089</v>
      </c>
      <c r="AG176" s="13" t="n">
        <f aca="false">1-AF176</f>
        <v>0.911</v>
      </c>
      <c r="AH176" s="17" t="n">
        <v>1.151</v>
      </c>
      <c r="AI176" s="12" t="n">
        <v>28764</v>
      </c>
      <c r="AJ176" s="14" t="n">
        <f aca="false">IFERROR(AM176*U176*MIN(1/AE176,5),"")</f>
        <v>62670.699335298</v>
      </c>
      <c r="AK176" s="18" t="n">
        <f aca="false">IFERROR(AJ176/AI176,"")</f>
        <v>2.17878943593722</v>
      </c>
      <c r="AL176" s="15" t="n">
        <f aca="false">IFERROR(AI176/(AM176*U176/12),"")</f>
        <v>27.5382278848763</v>
      </c>
      <c r="AM176" s="12" t="n">
        <v>16640</v>
      </c>
      <c r="AN176" s="12" t="n">
        <v>581590</v>
      </c>
      <c r="AO176" s="12" t="n">
        <v>1156511</v>
      </c>
      <c r="AP176" s="17" t="n">
        <v>0.186</v>
      </c>
      <c r="AQ176" s="16" t="n">
        <v>36</v>
      </c>
      <c r="AR176" s="16" t="n">
        <v>8</v>
      </c>
      <c r="AS176" s="13" t="n">
        <f aca="false">IFERROR(AR176/AR175-1,"")</f>
        <v>0</v>
      </c>
      <c r="AT176" s="11" t="s">
        <v>153</v>
      </c>
      <c r="AU176" s="14" t="n">
        <f aca="false">IFERROR(P176/AR176,"")</f>
        <v>46487</v>
      </c>
      <c r="AV176" s="12" t="n">
        <v>2559880</v>
      </c>
      <c r="AW176" s="12" t="n">
        <v>945824</v>
      </c>
      <c r="AX176" s="12" t="n">
        <v>771924</v>
      </c>
      <c r="AY176" s="16" t="n">
        <v>25634</v>
      </c>
      <c r="AZ176" s="13" t="n">
        <f aca="false">IFERROR(AY176/AY175-1,"")</f>
        <v>0.0438146428862285</v>
      </c>
      <c r="BA176" s="17" t="n">
        <v>0.886</v>
      </c>
      <c r="BB176" s="11" t="s">
        <v>107</v>
      </c>
      <c r="BC176" s="11" t="s">
        <v>100</v>
      </c>
      <c r="BD176" s="11" t="s">
        <v>109</v>
      </c>
      <c r="BE176" s="12" t="n">
        <v>460224</v>
      </c>
      <c r="BF176" s="13" t="n">
        <f aca="false">IFERROR(P176/BE176-1,"")</f>
        <v>-0.191923932693645</v>
      </c>
      <c r="BG176" s="17" t="n">
        <v>-0.001</v>
      </c>
      <c r="BH176" s="17" t="n">
        <v>0.069</v>
      </c>
      <c r="BI176" s="14" t="n">
        <f aca="false">P176*(1+IFERROR(Q176,0))^4</f>
        <v>588751.959569838</v>
      </c>
      <c r="BJ176" s="12" t="n">
        <v>-1303350</v>
      </c>
      <c r="BK176" s="11" t="s">
        <v>192</v>
      </c>
      <c r="BL176" s="11" t="s">
        <v>111</v>
      </c>
      <c r="BM176" s="14" t="n">
        <f aca="false">O176</f>
        <v>38620231</v>
      </c>
      <c r="BN176" s="11" t="s">
        <v>274</v>
      </c>
      <c r="BO176" s="13" t="n">
        <f aca="false">IFERROR(1-L176/M176,"")</f>
        <v>0.180918339290624</v>
      </c>
      <c r="BP176" s="11" t="s">
        <v>130</v>
      </c>
      <c r="BQ176" s="12" t="n">
        <v>3349141</v>
      </c>
      <c r="BR176" s="11" t="s">
        <v>88</v>
      </c>
      <c r="BS176" s="11" t="s">
        <v>89</v>
      </c>
      <c r="BT176" s="19" t="str">
        <f aca="false">IF(OR(Z176&lt;6,AH176&lt;0.9,S176&lt;0.02,AK176&lt;1),"REVIEW",IF(AND(S176&gt;0.25,AH176&gt;1.2),"ACCELERATING","STABLE"))</f>
        <v>STABLE</v>
      </c>
    </row>
    <row r="177" customFormat="false" ht="15" hidden="false" customHeight="false" outlineLevel="0" collapsed="false">
      <c r="A177" s="11" t="s">
        <v>272</v>
      </c>
      <c r="B177" s="11" t="s">
        <v>93</v>
      </c>
      <c r="C177" s="11" t="s">
        <v>74</v>
      </c>
      <c r="D177" s="11" t="s">
        <v>210</v>
      </c>
      <c r="E177" s="11" t="s">
        <v>105</v>
      </c>
      <c r="F177" s="11" t="s">
        <v>273</v>
      </c>
      <c r="G177" s="11" t="s">
        <v>78</v>
      </c>
      <c r="H177" s="11" t="s">
        <v>79</v>
      </c>
      <c r="I177" s="11" t="s">
        <v>78</v>
      </c>
      <c r="J177" s="12" t="n">
        <v>4606000</v>
      </c>
      <c r="K177" s="13" t="n">
        <f aca="false">IFERROR(J177/M177,"")</f>
        <v>0.180918339290624</v>
      </c>
      <c r="L177" s="12" t="n">
        <v>20853000</v>
      </c>
      <c r="M177" s="14" t="n">
        <f aca="false">L177+J177</f>
        <v>25459000</v>
      </c>
      <c r="N177" s="12" t="n">
        <v>7477000</v>
      </c>
      <c r="O177" s="12" t="n">
        <v>38620231</v>
      </c>
      <c r="P177" s="12" t="n">
        <v>406371</v>
      </c>
      <c r="Q177" s="13" t="n">
        <f aca="false">IFERROR(P177/P176-1,"")</f>
        <v>0.0927006474928476</v>
      </c>
      <c r="R177" s="12" t="n">
        <v>419900</v>
      </c>
      <c r="S177" s="13" t="n">
        <f aca="false">IFERROR(R177/R176-1,"")</f>
        <v>0.0325528325734885</v>
      </c>
      <c r="T177" s="12" t="n">
        <v>307329</v>
      </c>
      <c r="U177" s="13" t="n">
        <f aca="false">IFERROR(T177/P177,"")</f>
        <v>0.756276899680341</v>
      </c>
      <c r="V177" s="14" t="n">
        <f aca="false">T177-AV177</f>
        <v>-1757787</v>
      </c>
      <c r="W177" s="14" t="n">
        <f aca="false">V177-AA177*0.1</f>
        <v>-1757787</v>
      </c>
      <c r="X177" s="12" t="n">
        <v>2733000</v>
      </c>
      <c r="Y177" s="12" t="n">
        <v>195000</v>
      </c>
      <c r="Z177" s="15" t="n">
        <f aca="false">IFERROR(X177/Y177,"")</f>
        <v>14.0153846153846</v>
      </c>
      <c r="AA177" s="12" t="n">
        <v>0</v>
      </c>
      <c r="AB177" s="14" t="n">
        <f aca="false">W177-0.02*P177</f>
        <v>-1765914.42</v>
      </c>
      <c r="AC177" s="16" t="n">
        <v>55</v>
      </c>
      <c r="AD177" s="13" t="n">
        <f aca="false">IFERROR(AC177/AC176-1,"")</f>
        <v>0.0576923076923077</v>
      </c>
      <c r="AE177" s="17" t="n">
        <v>0.139</v>
      </c>
      <c r="AF177" s="17" t="n">
        <v>0.112</v>
      </c>
      <c r="AG177" s="13" t="n">
        <f aca="false">1-AF177</f>
        <v>0.888</v>
      </c>
      <c r="AH177" s="17" t="n">
        <v>1.146</v>
      </c>
      <c r="AI177" s="12" t="n">
        <v>28200</v>
      </c>
      <c r="AJ177" s="14" t="n">
        <f aca="false">IFERROR(AM177*U177*MIN(1/AE177,5),"")</f>
        <v>64132.281092893</v>
      </c>
      <c r="AK177" s="18" t="n">
        <f aca="false">IFERROR(AJ177/AI177,"")</f>
        <v>2.2741943649962</v>
      </c>
      <c r="AL177" s="15" t="n">
        <f aca="false">IFERROR(AI177/(AM177*U177/12),"")</f>
        <v>26.3829692499041</v>
      </c>
      <c r="AM177" s="12" t="n">
        <v>16960</v>
      </c>
      <c r="AN177" s="12" t="n">
        <v>469055</v>
      </c>
      <c r="AO177" s="12" t="n">
        <v>857511</v>
      </c>
      <c r="AP177" s="17" t="n">
        <v>0.186</v>
      </c>
      <c r="AQ177" s="16" t="n">
        <v>36</v>
      </c>
      <c r="AR177" s="16" t="n">
        <v>9</v>
      </c>
      <c r="AS177" s="13" t="n">
        <f aca="false">IFERROR(AR177/AR176-1,"")</f>
        <v>0.125</v>
      </c>
      <c r="AT177" s="11" t="s">
        <v>153</v>
      </c>
      <c r="AU177" s="14" t="n">
        <f aca="false">IFERROR(P177/AR177,"")</f>
        <v>45152.3333333333</v>
      </c>
      <c r="AV177" s="12" t="n">
        <v>2065116</v>
      </c>
      <c r="AW177" s="12" t="n">
        <v>809515</v>
      </c>
      <c r="AX177" s="12" t="n">
        <v>388578</v>
      </c>
      <c r="AY177" s="16" t="n">
        <v>27264</v>
      </c>
      <c r="AZ177" s="13" t="n">
        <f aca="false">IFERROR(AY177/AY176-1,"")</f>
        <v>0.0635874229538893</v>
      </c>
      <c r="BA177" s="17" t="n">
        <v>0.865</v>
      </c>
      <c r="BB177" s="11" t="s">
        <v>107</v>
      </c>
      <c r="BC177" s="11" t="s">
        <v>100</v>
      </c>
      <c r="BD177" s="11" t="s">
        <v>109</v>
      </c>
      <c r="BE177" s="12" t="n">
        <v>465243</v>
      </c>
      <c r="BF177" s="13" t="n">
        <f aca="false">IFERROR(P177/BE177-1,"")</f>
        <v>-0.126540324088702</v>
      </c>
      <c r="BG177" s="17" t="n">
        <v>0.075</v>
      </c>
      <c r="BH177" s="17" t="n">
        <v>-0.037</v>
      </c>
      <c r="BI177" s="14" t="n">
        <f aca="false">P177*(1+IFERROR(Q177,0))^4</f>
        <v>579331.988655901</v>
      </c>
      <c r="BJ177" s="12" t="n">
        <v>-1968987</v>
      </c>
      <c r="BK177" s="11" t="s">
        <v>192</v>
      </c>
      <c r="BL177" s="11" t="s">
        <v>111</v>
      </c>
      <c r="BM177" s="14" t="n">
        <f aca="false">O177</f>
        <v>38620231</v>
      </c>
      <c r="BN177" s="11" t="s">
        <v>274</v>
      </c>
      <c r="BO177" s="13" t="n">
        <f aca="false">IFERROR(1-L177/M177,"")</f>
        <v>0.180918339290624</v>
      </c>
      <c r="BP177" s="11" t="s">
        <v>130</v>
      </c>
      <c r="BQ177" s="12" t="n">
        <v>2569795</v>
      </c>
      <c r="BR177" s="11" t="s">
        <v>88</v>
      </c>
      <c r="BS177" s="11" t="s">
        <v>89</v>
      </c>
      <c r="BT177" s="19" t="str">
        <f aca="false">IF(OR(Z177&lt;6,AH177&lt;0.9,S177&lt;0.02,AK177&lt;1),"REVIEW",IF(AND(S177&gt;0.25,AH177&gt;1.2),"ACCELERATING","STABLE"))</f>
        <v>STABLE</v>
      </c>
    </row>
    <row r="178" customFormat="false" ht="15" hidden="false" customHeight="false" outlineLevel="0" collapsed="false">
      <c r="A178" s="3" t="s">
        <v>275</v>
      </c>
      <c r="B178" s="3" t="s">
        <v>73</v>
      </c>
      <c r="C178" s="3" t="s">
        <v>74</v>
      </c>
      <c r="D178" s="3" t="s">
        <v>132</v>
      </c>
      <c r="E178" s="3" t="s">
        <v>105</v>
      </c>
      <c r="F178" s="3" t="s">
        <v>276</v>
      </c>
      <c r="G178" s="3" t="s">
        <v>78</v>
      </c>
      <c r="H178" s="3" t="s">
        <v>79</v>
      </c>
      <c r="I178" s="3" t="s">
        <v>78</v>
      </c>
      <c r="J178" s="4" t="n">
        <v>2550000</v>
      </c>
      <c r="K178" s="5" t="n">
        <f aca="false">IFERROR(J178/M178,"")</f>
        <v>0.161147623862487</v>
      </c>
      <c r="L178" s="4" t="n">
        <v>13274000</v>
      </c>
      <c r="M178" s="6" t="n">
        <f aca="false">L178+J178</f>
        <v>15824000</v>
      </c>
      <c r="N178" s="4" t="n">
        <v>2550000</v>
      </c>
      <c r="O178" s="4" t="n">
        <v>18663737</v>
      </c>
      <c r="P178" s="4" t="n">
        <v>290821</v>
      </c>
      <c r="Q178" s="7"/>
      <c r="R178" s="4" t="n">
        <v>341992</v>
      </c>
      <c r="S178" s="7"/>
      <c r="T178" s="4" t="n">
        <v>164546</v>
      </c>
      <c r="U178" s="5" t="n">
        <f aca="false">IFERROR(T178/P178,"")</f>
        <v>0.565798205769185</v>
      </c>
      <c r="V178" s="6" t="n">
        <f aca="false">T178-AV178</f>
        <v>-1959722</v>
      </c>
      <c r="W178" s="6" t="n">
        <f aca="false">V178-AA178*0.1</f>
        <v>-1959722</v>
      </c>
      <c r="X178" s="4" t="n">
        <v>5260893</v>
      </c>
      <c r="Y178" s="4" t="n">
        <v>166530</v>
      </c>
      <c r="Z178" s="8" t="n">
        <f aca="false">IFERROR(X178/Y178,"")</f>
        <v>31.5912628355251</v>
      </c>
      <c r="AA178" s="4" t="n">
        <v>0</v>
      </c>
      <c r="AB178" s="6" t="n">
        <f aca="false">W178-0.02*P178</f>
        <v>-1965538.42</v>
      </c>
      <c r="AC178" s="9" t="n">
        <v>50</v>
      </c>
      <c r="AD178" s="7"/>
      <c r="AE178" s="7" t="n">
        <v>0.071</v>
      </c>
      <c r="AF178" s="7" t="n">
        <v>0.051</v>
      </c>
      <c r="AG178" s="5" t="n">
        <f aca="false">1-AF178</f>
        <v>0.949</v>
      </c>
      <c r="AH178" s="7" t="n">
        <v>1.111</v>
      </c>
      <c r="AI178" s="4" t="n">
        <v>13992</v>
      </c>
      <c r="AJ178" s="6" t="n">
        <f aca="false">IFERROR(AM178*U178*MIN(1/AE178,5),"")</f>
        <v>48092.8474903807</v>
      </c>
      <c r="AK178" s="10" t="n">
        <f aca="false">IFERROR(AJ178/AI178,"")</f>
        <v>3.43716748787741</v>
      </c>
      <c r="AL178" s="8" t="n">
        <f aca="false">IFERROR(AI178/(AM178*U178/12),"")</f>
        <v>17.456234010014</v>
      </c>
      <c r="AM178" s="4" t="n">
        <v>17000</v>
      </c>
      <c r="AN178" s="4" t="n">
        <v>420136</v>
      </c>
      <c r="AO178" s="4" t="n">
        <v>888191</v>
      </c>
      <c r="AP178" s="7" t="n">
        <v>0.192</v>
      </c>
      <c r="AQ178" s="9" t="n">
        <v>36</v>
      </c>
      <c r="AR178" s="9" t="n">
        <v>3</v>
      </c>
      <c r="AS178" s="7"/>
      <c r="AT178" s="3" t="s">
        <v>98</v>
      </c>
      <c r="AU178" s="6" t="n">
        <f aca="false">IFERROR(P178/AR178,"")</f>
        <v>96940.3333333333</v>
      </c>
      <c r="AV178" s="4" t="n">
        <v>2124268</v>
      </c>
      <c r="AW178" s="4" t="n">
        <v>1023907</v>
      </c>
      <c r="AX178" s="4" t="n">
        <v>707212</v>
      </c>
      <c r="AY178" s="9" t="n">
        <v>9047</v>
      </c>
      <c r="AZ178" s="7"/>
      <c r="BA178" s="7" t="n">
        <v>0.931</v>
      </c>
      <c r="BB178" s="3" t="s">
        <v>161</v>
      </c>
      <c r="BC178" s="3" t="s">
        <v>108</v>
      </c>
      <c r="BD178" s="3" t="s">
        <v>109</v>
      </c>
      <c r="BE178" s="4" t="n">
        <v>307610</v>
      </c>
      <c r="BF178" s="5" t="n">
        <f aca="false">IFERROR(P178/BE178-1,"")</f>
        <v>-0.0545788498423329</v>
      </c>
      <c r="BG178" s="7" t="n">
        <v>0.053</v>
      </c>
      <c r="BH178" s="7" t="n">
        <v>-0.016</v>
      </c>
      <c r="BI178" s="6" t="n">
        <f aca="false">P178</f>
        <v>290821</v>
      </c>
      <c r="BJ178" s="4" t="n">
        <v>-1025929</v>
      </c>
      <c r="BK178" s="3" t="s">
        <v>127</v>
      </c>
      <c r="BL178" s="3" t="s">
        <v>111</v>
      </c>
      <c r="BM178" s="6" t="n">
        <f aca="false">O178</f>
        <v>18663737</v>
      </c>
      <c r="BN178" s="3" t="s">
        <v>277</v>
      </c>
      <c r="BO178" s="5" t="n">
        <f aca="false">IFERROR(1-L178/M178,"")</f>
        <v>0.161147623862487</v>
      </c>
      <c r="BP178" s="3" t="s">
        <v>113</v>
      </c>
      <c r="BQ178" s="4" t="n">
        <v>2322823</v>
      </c>
      <c r="BR178" s="3" t="s">
        <v>88</v>
      </c>
      <c r="BS178" s="3" t="s">
        <v>89</v>
      </c>
      <c r="BT178" s="3" t="s">
        <v>90</v>
      </c>
    </row>
    <row r="179" customFormat="false" ht="15" hidden="false" customHeight="false" outlineLevel="0" collapsed="false">
      <c r="A179" s="11" t="s">
        <v>275</v>
      </c>
      <c r="B179" s="11" t="s">
        <v>91</v>
      </c>
      <c r="C179" s="11" t="s">
        <v>74</v>
      </c>
      <c r="D179" s="11" t="s">
        <v>132</v>
      </c>
      <c r="E179" s="11" t="s">
        <v>105</v>
      </c>
      <c r="F179" s="11" t="s">
        <v>276</v>
      </c>
      <c r="G179" s="11" t="s">
        <v>78</v>
      </c>
      <c r="H179" s="11" t="s">
        <v>79</v>
      </c>
      <c r="I179" s="11" t="s">
        <v>78</v>
      </c>
      <c r="J179" s="12" t="n">
        <v>2550000</v>
      </c>
      <c r="K179" s="13" t="n">
        <f aca="false">IFERROR(J179/M179,"")</f>
        <v>0.161147623862487</v>
      </c>
      <c r="L179" s="12" t="n">
        <v>13274000</v>
      </c>
      <c r="M179" s="14" t="n">
        <f aca="false">L179+J179</f>
        <v>15824000</v>
      </c>
      <c r="N179" s="12" t="n">
        <v>2550000</v>
      </c>
      <c r="O179" s="12" t="n">
        <v>18663737</v>
      </c>
      <c r="P179" s="12" t="n">
        <v>319627</v>
      </c>
      <c r="Q179" s="13" t="n">
        <f aca="false">IFERROR(P179/P178-1,"")</f>
        <v>0.0990506187654949</v>
      </c>
      <c r="R179" s="12" t="n">
        <v>377940</v>
      </c>
      <c r="S179" s="13" t="n">
        <f aca="false">IFERROR(R179/R178-1,"")</f>
        <v>0.105113569908068</v>
      </c>
      <c r="T179" s="12" t="n">
        <v>181577</v>
      </c>
      <c r="U179" s="13" t="n">
        <f aca="false">IFERROR(T179/P179,"")</f>
        <v>0.568090305262071</v>
      </c>
      <c r="V179" s="14" t="n">
        <f aca="false">T179-AV179</f>
        <v>-1618774</v>
      </c>
      <c r="W179" s="14" t="n">
        <f aca="false">V179-AA179*0.1</f>
        <v>-1618774</v>
      </c>
      <c r="X179" s="12" t="n">
        <v>4840908</v>
      </c>
      <c r="Y179" s="12" t="n">
        <v>172020</v>
      </c>
      <c r="Z179" s="15" t="n">
        <f aca="false">IFERROR(X179/Y179,"")</f>
        <v>28.1415416811999</v>
      </c>
      <c r="AA179" s="12" t="n">
        <v>0</v>
      </c>
      <c r="AB179" s="14" t="n">
        <f aca="false">W179-0.02*P179</f>
        <v>-1625166.54</v>
      </c>
      <c r="AC179" s="16" t="n">
        <v>53</v>
      </c>
      <c r="AD179" s="13" t="n">
        <f aca="false">IFERROR(AC179/AC178-1,"")</f>
        <v>0.0600000000000001</v>
      </c>
      <c r="AE179" s="17" t="n">
        <v>0.069</v>
      </c>
      <c r="AF179" s="17" t="n">
        <v>0.058</v>
      </c>
      <c r="AG179" s="13" t="n">
        <f aca="false">1-AF179</f>
        <v>0.942</v>
      </c>
      <c r="AH179" s="17" t="n">
        <v>1.106</v>
      </c>
      <c r="AI179" s="12" t="n">
        <v>13728</v>
      </c>
      <c r="AJ179" s="14" t="n">
        <f aca="false">IFERROR(AM179*U179*MIN(1/AE179,5),"")</f>
        <v>49253.4294662216</v>
      </c>
      <c r="AK179" s="18" t="n">
        <f aca="false">IFERROR(AJ179/AI179,"")</f>
        <v>3.58780809048817</v>
      </c>
      <c r="AL179" s="15" t="n">
        <f aca="false">IFERROR(AI179/(AM179*U179/12),"")</f>
        <v>16.7233024974411</v>
      </c>
      <c r="AM179" s="12" t="n">
        <v>17340</v>
      </c>
      <c r="AN179" s="12" t="n">
        <v>506182</v>
      </c>
      <c r="AO179" s="12" t="n">
        <v>1324364</v>
      </c>
      <c r="AP179" s="17" t="n">
        <v>0.192</v>
      </c>
      <c r="AQ179" s="16" t="n">
        <v>36</v>
      </c>
      <c r="AR179" s="16" t="n">
        <v>3</v>
      </c>
      <c r="AS179" s="13" t="n">
        <f aca="false">IFERROR(AR179/AR178-1,"")</f>
        <v>0</v>
      </c>
      <c r="AT179" s="11" t="s">
        <v>98</v>
      </c>
      <c r="AU179" s="14" t="n">
        <f aca="false">IFERROR(P179/AR179,"")</f>
        <v>106542.333333333</v>
      </c>
      <c r="AV179" s="12" t="n">
        <v>1800351</v>
      </c>
      <c r="AW179" s="12" t="n">
        <v>786135</v>
      </c>
      <c r="AX179" s="12" t="n">
        <v>342040</v>
      </c>
      <c r="AY179" s="16" t="n">
        <v>9962</v>
      </c>
      <c r="AZ179" s="13" t="n">
        <f aca="false">IFERROR(AY179/AY178-1,"")</f>
        <v>0.101138498949928</v>
      </c>
      <c r="BA179" s="17" t="n">
        <v>0.942</v>
      </c>
      <c r="BB179" s="11" t="s">
        <v>161</v>
      </c>
      <c r="BC179" s="11" t="s">
        <v>108</v>
      </c>
      <c r="BD179" s="11" t="s">
        <v>109</v>
      </c>
      <c r="BE179" s="12" t="n">
        <v>378307</v>
      </c>
      <c r="BF179" s="13" t="n">
        <f aca="false">IFERROR(P179/BE179-1,"")</f>
        <v>-0.155112117935962</v>
      </c>
      <c r="BG179" s="17" t="n">
        <v>-0.039</v>
      </c>
      <c r="BH179" s="17" t="n">
        <v>0.063</v>
      </c>
      <c r="BI179" s="14" t="n">
        <f aca="false">P179*(1+IFERROR(Q179,0))^4</f>
        <v>466352.424522699</v>
      </c>
      <c r="BJ179" s="12" t="n">
        <v>-1720695</v>
      </c>
      <c r="BK179" s="11" t="s">
        <v>127</v>
      </c>
      <c r="BL179" s="11" t="s">
        <v>111</v>
      </c>
      <c r="BM179" s="14" t="n">
        <f aca="false">O179</f>
        <v>18663737</v>
      </c>
      <c r="BN179" s="11" t="s">
        <v>277</v>
      </c>
      <c r="BO179" s="13" t="n">
        <f aca="false">IFERROR(1-L179/M179,"")</f>
        <v>0.161147623862487</v>
      </c>
      <c r="BP179" s="11" t="s">
        <v>113</v>
      </c>
      <c r="BQ179" s="12" t="n">
        <v>2157813</v>
      </c>
      <c r="BR179" s="11" t="s">
        <v>88</v>
      </c>
      <c r="BS179" s="11" t="s">
        <v>89</v>
      </c>
      <c r="BT179" s="19" t="str">
        <f aca="false">IF(OR(Z179&lt;6,AH179&lt;0.9,S179&lt;0.02,AK179&lt;1),"REVIEW",IF(AND(S179&gt;0.25,AH179&gt;1.2),"ACCELERATING","STABLE"))</f>
        <v>STABLE</v>
      </c>
    </row>
    <row r="180" customFormat="false" ht="15" hidden="false" customHeight="false" outlineLevel="0" collapsed="false">
      <c r="A180" s="11" t="s">
        <v>275</v>
      </c>
      <c r="B180" s="11" t="s">
        <v>92</v>
      </c>
      <c r="C180" s="11" t="s">
        <v>74</v>
      </c>
      <c r="D180" s="11" t="s">
        <v>132</v>
      </c>
      <c r="E180" s="11" t="s">
        <v>105</v>
      </c>
      <c r="F180" s="11" t="s">
        <v>276</v>
      </c>
      <c r="G180" s="11" t="s">
        <v>78</v>
      </c>
      <c r="H180" s="11" t="s">
        <v>79</v>
      </c>
      <c r="I180" s="11" t="s">
        <v>78</v>
      </c>
      <c r="J180" s="12" t="n">
        <v>2550000</v>
      </c>
      <c r="K180" s="13" t="n">
        <f aca="false">IFERROR(J180/M180,"")</f>
        <v>0.161147623862487</v>
      </c>
      <c r="L180" s="12" t="n">
        <v>13274000</v>
      </c>
      <c r="M180" s="14" t="n">
        <f aca="false">L180+J180</f>
        <v>15824000</v>
      </c>
      <c r="N180" s="12" t="n">
        <v>2550000</v>
      </c>
      <c r="O180" s="12" t="n">
        <v>18663737</v>
      </c>
      <c r="P180" s="12" t="n">
        <v>381568</v>
      </c>
      <c r="Q180" s="13" t="n">
        <f aca="false">IFERROR(P180/P179-1,"")</f>
        <v>0.193791513232612</v>
      </c>
      <c r="R180" s="12" t="n">
        <v>435544</v>
      </c>
      <c r="S180" s="13" t="n">
        <f aca="false">IFERROR(R180/R179-1,"")</f>
        <v>0.152415727364132</v>
      </c>
      <c r="T180" s="12" t="n">
        <v>217639</v>
      </c>
      <c r="U180" s="13" t="n">
        <f aca="false">IFERROR(T180/P180,"")</f>
        <v>0.570380639885944</v>
      </c>
      <c r="V180" s="14" t="n">
        <f aca="false">T180-AV180</f>
        <v>-2133279</v>
      </c>
      <c r="W180" s="14" t="n">
        <f aca="false">V180-AA180*0.1</f>
        <v>-2133279</v>
      </c>
      <c r="X180" s="12" t="n">
        <v>4391277</v>
      </c>
      <c r="Y180" s="12" t="n">
        <v>177510</v>
      </c>
      <c r="Z180" s="15" t="n">
        <f aca="false">IFERROR(X180/Y180,"")</f>
        <v>24.7381950312658</v>
      </c>
      <c r="AA180" s="12" t="n">
        <v>0</v>
      </c>
      <c r="AB180" s="14" t="n">
        <f aca="false">W180-0.02*P180</f>
        <v>-2140910.36</v>
      </c>
      <c r="AC180" s="16" t="n">
        <v>55</v>
      </c>
      <c r="AD180" s="13" t="n">
        <f aca="false">IFERROR(AC180/AC179-1,"")</f>
        <v>0.0377358490566038</v>
      </c>
      <c r="AE180" s="17" t="n">
        <v>0.067</v>
      </c>
      <c r="AF180" s="17" t="n">
        <v>0.049</v>
      </c>
      <c r="AG180" s="13" t="n">
        <f aca="false">1-AF180</f>
        <v>0.951</v>
      </c>
      <c r="AH180" s="17" t="n">
        <v>1.101</v>
      </c>
      <c r="AI180" s="12" t="n">
        <v>13464</v>
      </c>
      <c r="AJ180" s="14" t="n">
        <f aca="false">IFERROR(AM180*U180*MIN(1/AE180,5),"")</f>
        <v>50421.6485659175</v>
      </c>
      <c r="AK180" s="18" t="n">
        <f aca="false">IFERROR(AJ180/AI180,"")</f>
        <v>3.74492339319054</v>
      </c>
      <c r="AL180" s="15" t="n">
        <f aca="false">IFERROR(AI180/(AM180*U180/12),"")</f>
        <v>16.0216895515404</v>
      </c>
      <c r="AM180" s="12" t="n">
        <v>17680</v>
      </c>
      <c r="AN180" s="12" t="n">
        <v>406149</v>
      </c>
      <c r="AO180" s="12" t="n">
        <v>684408</v>
      </c>
      <c r="AP180" s="17" t="n">
        <v>0.192</v>
      </c>
      <c r="AQ180" s="16" t="n">
        <v>36</v>
      </c>
      <c r="AR180" s="16" t="n">
        <v>4</v>
      </c>
      <c r="AS180" s="13" t="n">
        <f aca="false">IFERROR(AR180/AR179-1,"")</f>
        <v>0.333333333333333</v>
      </c>
      <c r="AT180" s="11" t="s">
        <v>98</v>
      </c>
      <c r="AU180" s="14" t="n">
        <f aca="false">IFERROR(P180/AR180,"")</f>
        <v>95392</v>
      </c>
      <c r="AV180" s="12" t="n">
        <v>2350918</v>
      </c>
      <c r="AW180" s="12" t="n">
        <v>966822</v>
      </c>
      <c r="AX180" s="12" t="n">
        <v>762347</v>
      </c>
      <c r="AY180" s="16" t="n">
        <v>11818</v>
      </c>
      <c r="AZ180" s="13" t="n">
        <f aca="false">IFERROR(AY180/AY179-1,"")</f>
        <v>0.186307970287091</v>
      </c>
      <c r="BA180" s="17" t="n">
        <v>0.946</v>
      </c>
      <c r="BB180" s="11" t="s">
        <v>161</v>
      </c>
      <c r="BC180" s="11" t="s">
        <v>108</v>
      </c>
      <c r="BD180" s="11" t="s">
        <v>109</v>
      </c>
      <c r="BE180" s="12" t="n">
        <v>422314</v>
      </c>
      <c r="BF180" s="13" t="n">
        <f aca="false">IFERROR(P180/BE180-1,"")</f>
        <v>-0.0964827119157783</v>
      </c>
      <c r="BG180" s="17" t="n">
        <v>-0.053</v>
      </c>
      <c r="BH180" s="17" t="n">
        <v>-0.064</v>
      </c>
      <c r="BI180" s="14" t="n">
        <f aca="false">P180*(1+IFERROR(Q180,0))^4</f>
        <v>774971.790533618</v>
      </c>
      <c r="BJ180" s="12" t="n">
        <v>-2115529</v>
      </c>
      <c r="BK180" s="11" t="s">
        <v>127</v>
      </c>
      <c r="BL180" s="11" t="s">
        <v>111</v>
      </c>
      <c r="BM180" s="14" t="n">
        <f aca="false">O180</f>
        <v>18663737</v>
      </c>
      <c r="BN180" s="11" t="s">
        <v>277</v>
      </c>
      <c r="BO180" s="13" t="n">
        <f aca="false">IFERROR(1-L180/M180,"")</f>
        <v>0.161147623862487</v>
      </c>
      <c r="BP180" s="11" t="s">
        <v>113</v>
      </c>
      <c r="BQ180" s="12" t="n">
        <v>3001326</v>
      </c>
      <c r="BR180" s="11" t="s">
        <v>88</v>
      </c>
      <c r="BS180" s="11" t="s">
        <v>89</v>
      </c>
      <c r="BT180" s="19" t="str">
        <f aca="false">IF(OR(Z180&lt;6,AH180&lt;0.9,S180&lt;0.02,AK180&lt;1),"REVIEW",IF(AND(S180&gt;0.25,AH180&gt;1.2),"ACCELERATING","STABLE"))</f>
        <v>STABLE</v>
      </c>
    </row>
    <row r="181" customFormat="false" ht="15" hidden="false" customHeight="false" outlineLevel="0" collapsed="false">
      <c r="A181" s="11" t="s">
        <v>275</v>
      </c>
      <c r="B181" s="11" t="s">
        <v>93</v>
      </c>
      <c r="C181" s="11" t="s">
        <v>74</v>
      </c>
      <c r="D181" s="11" t="s">
        <v>132</v>
      </c>
      <c r="E181" s="11" t="s">
        <v>105</v>
      </c>
      <c r="F181" s="11" t="s">
        <v>276</v>
      </c>
      <c r="G181" s="11" t="s">
        <v>78</v>
      </c>
      <c r="H181" s="11" t="s">
        <v>79</v>
      </c>
      <c r="I181" s="11" t="s">
        <v>78</v>
      </c>
      <c r="J181" s="12" t="n">
        <v>2550000</v>
      </c>
      <c r="K181" s="13" t="n">
        <f aca="false">IFERROR(J181/M181,"")</f>
        <v>0.161147623862487</v>
      </c>
      <c r="L181" s="12" t="n">
        <v>13274000</v>
      </c>
      <c r="M181" s="14" t="n">
        <f aca="false">L181+J181</f>
        <v>15824000</v>
      </c>
      <c r="N181" s="12" t="n">
        <v>2550000</v>
      </c>
      <c r="O181" s="12" t="n">
        <v>18663737</v>
      </c>
      <c r="P181" s="12" t="n">
        <v>415764</v>
      </c>
      <c r="Q181" s="13" t="n">
        <f aca="false">IFERROR(P181/P180-1,"")</f>
        <v>0.0896196746058369</v>
      </c>
      <c r="R181" s="12" t="n">
        <v>469244</v>
      </c>
      <c r="S181" s="13" t="n">
        <f aca="false">IFERROR(R181/R180-1,"")</f>
        <v>0.0773745017724961</v>
      </c>
      <c r="T181" s="12" t="n">
        <v>238097</v>
      </c>
      <c r="U181" s="13" t="n">
        <f aca="false">IFERROR(T181/P181,"")</f>
        <v>0.572673439739852</v>
      </c>
      <c r="V181" s="14" t="n">
        <f aca="false">T181-AV181</f>
        <v>-1725692</v>
      </c>
      <c r="W181" s="14" t="n">
        <f aca="false">V181-AA181*0.1</f>
        <v>-1725692</v>
      </c>
      <c r="X181" s="12" t="n">
        <v>3912000</v>
      </c>
      <c r="Y181" s="12" t="n">
        <v>183000</v>
      </c>
      <c r="Z181" s="15" t="n">
        <f aca="false">IFERROR(X181/Y181,"")</f>
        <v>21.3770491803279</v>
      </c>
      <c r="AA181" s="12" t="n">
        <v>0</v>
      </c>
      <c r="AB181" s="14" t="n">
        <f aca="false">W181-0.02*P181</f>
        <v>-1734007.28</v>
      </c>
      <c r="AC181" s="16" t="n">
        <v>62</v>
      </c>
      <c r="AD181" s="13" t="n">
        <f aca="false">IFERROR(AC181/AC180-1,"")</f>
        <v>0.127272727272727</v>
      </c>
      <c r="AE181" s="17" t="n">
        <v>0.065</v>
      </c>
      <c r="AF181" s="17" t="n">
        <v>0.048</v>
      </c>
      <c r="AG181" s="13" t="n">
        <f aca="false">1-AF181</f>
        <v>0.952</v>
      </c>
      <c r="AH181" s="17" t="n">
        <v>1.096</v>
      </c>
      <c r="AI181" s="12" t="n">
        <v>13200</v>
      </c>
      <c r="AJ181" s="14" t="n">
        <f aca="false">IFERROR(AM181*U181*MIN(1/AE181,5),"")</f>
        <v>51597.8769205607</v>
      </c>
      <c r="AK181" s="18" t="n">
        <f aca="false">IFERROR(AJ181/AI181,"")</f>
        <v>3.90893006973945</v>
      </c>
      <c r="AL181" s="15" t="n">
        <f aca="false">IFERROR(AI181/(AM181*U181/12),"")</f>
        <v>15.3494687624328</v>
      </c>
      <c r="AM181" s="12" t="n">
        <v>18020</v>
      </c>
      <c r="AN181" s="12" t="n">
        <v>587104</v>
      </c>
      <c r="AO181" s="12" t="n">
        <v>901274</v>
      </c>
      <c r="AP181" s="17" t="n">
        <v>0.192</v>
      </c>
      <c r="AQ181" s="16" t="n">
        <v>36</v>
      </c>
      <c r="AR181" s="16" t="n">
        <v>4</v>
      </c>
      <c r="AS181" s="13" t="n">
        <f aca="false">IFERROR(AR181/AR180-1,"")</f>
        <v>0</v>
      </c>
      <c r="AT181" s="11" t="s">
        <v>98</v>
      </c>
      <c r="AU181" s="14" t="n">
        <f aca="false">IFERROR(P181/AR181,"")</f>
        <v>103941</v>
      </c>
      <c r="AV181" s="12" t="n">
        <v>1963789</v>
      </c>
      <c r="AW181" s="12" t="n">
        <v>903660</v>
      </c>
      <c r="AX181" s="12" t="n">
        <v>392626</v>
      </c>
      <c r="AY181" s="16" t="n">
        <v>13244</v>
      </c>
      <c r="AZ181" s="13" t="n">
        <f aca="false">IFERROR(AY181/AY180-1,"")</f>
        <v>0.120663394821459</v>
      </c>
      <c r="BA181" s="17" t="n">
        <v>0.938</v>
      </c>
      <c r="BB181" s="11" t="s">
        <v>161</v>
      </c>
      <c r="BC181" s="11" t="s">
        <v>108</v>
      </c>
      <c r="BD181" s="11" t="s">
        <v>109</v>
      </c>
      <c r="BE181" s="12" t="n">
        <v>513699</v>
      </c>
      <c r="BF181" s="13" t="n">
        <f aca="false">IFERROR(P181/BE181-1,"")</f>
        <v>-0.190646662734403</v>
      </c>
      <c r="BG181" s="17" t="n">
        <v>0.055</v>
      </c>
      <c r="BH181" s="17" t="n">
        <v>0.088</v>
      </c>
      <c r="BI181" s="14" t="n">
        <f aca="false">P181*(1+IFERROR(Q181,0))^4</f>
        <v>586066.136120754</v>
      </c>
      <c r="BJ181" s="12" t="n">
        <v>-2082174</v>
      </c>
      <c r="BK181" s="11" t="s">
        <v>127</v>
      </c>
      <c r="BL181" s="11" t="s">
        <v>111</v>
      </c>
      <c r="BM181" s="14" t="n">
        <f aca="false">O181</f>
        <v>18663737</v>
      </c>
      <c r="BN181" s="11" t="s">
        <v>277</v>
      </c>
      <c r="BO181" s="13" t="n">
        <f aca="false">IFERROR(1-L181/M181,"")</f>
        <v>0.161147623862487</v>
      </c>
      <c r="BP181" s="11" t="s">
        <v>113</v>
      </c>
      <c r="BQ181" s="12" t="n">
        <v>2528719</v>
      </c>
      <c r="BR181" s="11" t="s">
        <v>88</v>
      </c>
      <c r="BS181" s="11" t="s">
        <v>89</v>
      </c>
      <c r="BT181" s="19" t="str">
        <f aca="false">IF(OR(Z181&lt;6,AH181&lt;0.9,S181&lt;0.02,AK181&lt;1),"REVIEW",IF(AND(S181&gt;0.25,AH181&gt;1.2),"ACCELERATING","STABLE"))</f>
        <v>STABLE</v>
      </c>
    </row>
    <row r="182" customFormat="false" ht="15" hidden="false" customHeight="false" outlineLevel="0" collapsed="false">
      <c r="A182" s="3" t="s">
        <v>278</v>
      </c>
      <c r="B182" s="3" t="s">
        <v>73</v>
      </c>
      <c r="C182" s="3" t="s">
        <v>74</v>
      </c>
      <c r="D182" s="3" t="s">
        <v>95</v>
      </c>
      <c r="E182" s="3" t="s">
        <v>279</v>
      </c>
      <c r="F182" s="3" t="s">
        <v>280</v>
      </c>
      <c r="G182" s="3" t="s">
        <v>78</v>
      </c>
      <c r="H182" s="3" t="s">
        <v>79</v>
      </c>
      <c r="I182" s="3" t="s">
        <v>78</v>
      </c>
      <c r="J182" s="4" t="n">
        <v>2472000</v>
      </c>
      <c r="K182" s="5" t="n">
        <f aca="false">IFERROR(J182/M182,"")</f>
        <v>0.177267837934744</v>
      </c>
      <c r="L182" s="4" t="n">
        <v>11473000</v>
      </c>
      <c r="M182" s="6" t="n">
        <f aca="false">L182+J182</f>
        <v>13945000</v>
      </c>
      <c r="N182" s="4" t="n">
        <v>2584000</v>
      </c>
      <c r="O182" s="4" t="n">
        <v>20090252</v>
      </c>
      <c r="P182" s="4" t="n">
        <v>105806</v>
      </c>
      <c r="Q182" s="7"/>
      <c r="R182" s="4" t="n">
        <v>112782</v>
      </c>
      <c r="S182" s="7"/>
      <c r="T182" s="4" t="n">
        <v>63787</v>
      </c>
      <c r="U182" s="5" t="n">
        <f aca="false">IFERROR(T182/P182,"")</f>
        <v>0.602867512239382</v>
      </c>
      <c r="V182" s="6" t="n">
        <f aca="false">T182-AV182</f>
        <v>-1500102</v>
      </c>
      <c r="W182" s="6" t="n">
        <f aca="false">V182-AA182*0.1</f>
        <v>-1500102</v>
      </c>
      <c r="X182" s="4" t="n">
        <v>4674279</v>
      </c>
      <c r="Y182" s="4" t="n">
        <v>135590</v>
      </c>
      <c r="Z182" s="8" t="n">
        <f aca="false">IFERROR(X182/Y182,"")</f>
        <v>34.4736263736264</v>
      </c>
      <c r="AA182" s="4" t="n">
        <v>0</v>
      </c>
      <c r="AB182" s="6" t="n">
        <f aca="false">W182-0.02*P182</f>
        <v>-1502218.12</v>
      </c>
      <c r="AC182" s="9" t="n">
        <v>29</v>
      </c>
      <c r="AD182" s="7"/>
      <c r="AE182" s="7" t="n">
        <v>0.082</v>
      </c>
      <c r="AF182" s="7" t="n">
        <v>0.074</v>
      </c>
      <c r="AG182" s="5" t="n">
        <f aca="false">1-AF182</f>
        <v>0.926</v>
      </c>
      <c r="AH182" s="7" t="n">
        <v>1.071</v>
      </c>
      <c r="AI182" s="4" t="n">
        <v>22154</v>
      </c>
      <c r="AJ182" s="6" t="n">
        <f aca="false">IFERROR(AM182*U182*MIN(1/AE182,5),"")</f>
        <v>60286.7512239382</v>
      </c>
      <c r="AK182" s="10" t="n">
        <f aca="false">IFERROR(AJ182/AI182,"")</f>
        <v>2.72125806734396</v>
      </c>
      <c r="AL182" s="8" t="n">
        <f aca="false">IFERROR(AI182/(AM182*U182/12),"")</f>
        <v>22.048625494223</v>
      </c>
      <c r="AM182" s="4" t="n">
        <v>20000</v>
      </c>
      <c r="AN182" s="4" t="n">
        <v>123051</v>
      </c>
      <c r="AO182" s="4" t="n">
        <v>386529</v>
      </c>
      <c r="AP182" s="7" t="n">
        <v>0.408</v>
      </c>
      <c r="AQ182" s="9" t="n">
        <v>43</v>
      </c>
      <c r="AR182" s="9" t="n">
        <v>4</v>
      </c>
      <c r="AS182" s="7"/>
      <c r="AT182" s="3" t="s">
        <v>98</v>
      </c>
      <c r="AU182" s="6" t="n">
        <f aca="false">IFERROR(P182/AR182,"")</f>
        <v>26451.5</v>
      </c>
      <c r="AV182" s="4" t="n">
        <v>1563889</v>
      </c>
      <c r="AW182" s="4" t="n">
        <v>764089</v>
      </c>
      <c r="AX182" s="4" t="n">
        <v>379424</v>
      </c>
      <c r="AY182" s="9" t="n">
        <v>7713</v>
      </c>
      <c r="AZ182" s="7"/>
      <c r="BA182" s="7" t="n">
        <v>0.912</v>
      </c>
      <c r="BB182" s="3" t="s">
        <v>81</v>
      </c>
      <c r="BC182" s="3" t="s">
        <v>82</v>
      </c>
      <c r="BD182" s="3" t="s">
        <v>157</v>
      </c>
      <c r="BE182" s="4" t="n">
        <v>102789</v>
      </c>
      <c r="BF182" s="5" t="n">
        <f aca="false">IFERROR(P182/BE182-1,"")</f>
        <v>0.0293513897401474</v>
      </c>
      <c r="BG182" s="7" t="n">
        <v>0.059</v>
      </c>
      <c r="BH182" s="7" t="n">
        <v>-0.042</v>
      </c>
      <c r="BI182" s="6" t="n">
        <f aca="false">P182</f>
        <v>105806</v>
      </c>
      <c r="BJ182" s="4" t="n">
        <v>-1188481</v>
      </c>
      <c r="BK182" s="3" t="s">
        <v>192</v>
      </c>
      <c r="BL182" s="3" t="s">
        <v>111</v>
      </c>
      <c r="BM182" s="6" t="n">
        <f aca="false">O182</f>
        <v>20090252</v>
      </c>
      <c r="BN182" s="3" t="s">
        <v>281</v>
      </c>
      <c r="BO182" s="5" t="n">
        <f aca="false">IFERROR(1-L182/M182,"")</f>
        <v>0.177267837934744</v>
      </c>
      <c r="BP182" s="3" t="s">
        <v>130</v>
      </c>
      <c r="BQ182" s="4" t="n">
        <v>1999222</v>
      </c>
      <c r="BR182" s="3" t="s">
        <v>88</v>
      </c>
      <c r="BS182" s="3" t="s">
        <v>89</v>
      </c>
      <c r="BT182" s="3" t="s">
        <v>90</v>
      </c>
    </row>
    <row r="183" customFormat="false" ht="15" hidden="false" customHeight="false" outlineLevel="0" collapsed="false">
      <c r="A183" s="11" t="s">
        <v>278</v>
      </c>
      <c r="B183" s="11" t="s">
        <v>91</v>
      </c>
      <c r="C183" s="11" t="s">
        <v>74</v>
      </c>
      <c r="D183" s="11" t="s">
        <v>95</v>
      </c>
      <c r="E183" s="11" t="s">
        <v>279</v>
      </c>
      <c r="F183" s="11" t="s">
        <v>280</v>
      </c>
      <c r="G183" s="11" t="s">
        <v>78</v>
      </c>
      <c r="H183" s="11" t="s">
        <v>79</v>
      </c>
      <c r="I183" s="11" t="s">
        <v>78</v>
      </c>
      <c r="J183" s="12" t="n">
        <v>2472000</v>
      </c>
      <c r="K183" s="13" t="n">
        <f aca="false">IFERROR(J183/M183,"")</f>
        <v>0.177267837934744</v>
      </c>
      <c r="L183" s="12" t="n">
        <v>11473000</v>
      </c>
      <c r="M183" s="14" t="n">
        <f aca="false">L183+J183</f>
        <v>13945000</v>
      </c>
      <c r="N183" s="12" t="n">
        <v>2584000</v>
      </c>
      <c r="O183" s="12" t="n">
        <v>20090252</v>
      </c>
      <c r="P183" s="12" t="n">
        <v>116231</v>
      </c>
      <c r="Q183" s="13" t="n">
        <f aca="false">IFERROR(P183/P182-1,"")</f>
        <v>0.0985293839668828</v>
      </c>
      <c r="R183" s="12" t="n">
        <v>130751</v>
      </c>
      <c r="S183" s="13" t="n">
        <f aca="false">IFERROR(R183/R182-1,"")</f>
        <v>0.159325069603306</v>
      </c>
      <c r="T183" s="12" t="n">
        <v>70356</v>
      </c>
      <c r="U183" s="13" t="n">
        <f aca="false">IFERROR(T183/P183,"")</f>
        <v>0.605311835912966</v>
      </c>
      <c r="V183" s="14" t="n">
        <f aca="false">T183-AV183</f>
        <v>-1705446</v>
      </c>
      <c r="W183" s="14" t="n">
        <f aca="false">V183-AA183*0.1</f>
        <v>-1705446</v>
      </c>
      <c r="X183" s="12" t="n">
        <v>4332324</v>
      </c>
      <c r="Y183" s="12" t="n">
        <v>140060</v>
      </c>
      <c r="Z183" s="15" t="n">
        <f aca="false">IFERROR(X183/Y183,"")</f>
        <v>30.931914893617</v>
      </c>
      <c r="AA183" s="12" t="n">
        <v>0</v>
      </c>
      <c r="AB183" s="14" t="n">
        <f aca="false">W183-0.02*P183</f>
        <v>-1707770.62</v>
      </c>
      <c r="AC183" s="16" t="n">
        <v>30</v>
      </c>
      <c r="AD183" s="13" t="n">
        <f aca="false">IFERROR(AC183/AC182-1,"")</f>
        <v>0.0344827586206897</v>
      </c>
      <c r="AE183" s="17" t="n">
        <v>0.08</v>
      </c>
      <c r="AF183" s="17" t="n">
        <v>0.062</v>
      </c>
      <c r="AG183" s="13" t="n">
        <f aca="false">1-AF183</f>
        <v>0.938</v>
      </c>
      <c r="AH183" s="17" t="n">
        <v>1.066</v>
      </c>
      <c r="AI183" s="12" t="n">
        <v>21736</v>
      </c>
      <c r="AJ183" s="14" t="n">
        <f aca="false">IFERROR(AM183*U183*MIN(1/AE183,5),"")</f>
        <v>61741.8072631226</v>
      </c>
      <c r="AK183" s="18" t="n">
        <f aca="false">IFERROR(AJ183/AI183,"")</f>
        <v>2.84053217073622</v>
      </c>
      <c r="AL183" s="15" t="n">
        <f aca="false">IFERROR(AI183/(AM183*U183/12),"")</f>
        <v>21.1228024868484</v>
      </c>
      <c r="AM183" s="12" t="n">
        <v>20400</v>
      </c>
      <c r="AN183" s="12" t="n">
        <v>179209</v>
      </c>
      <c r="AO183" s="12" t="n">
        <v>295084</v>
      </c>
      <c r="AP183" s="17" t="n">
        <v>0.408</v>
      </c>
      <c r="AQ183" s="16" t="n">
        <v>43</v>
      </c>
      <c r="AR183" s="16" t="n">
        <v>4</v>
      </c>
      <c r="AS183" s="13" t="n">
        <f aca="false">IFERROR(AR183/AR182-1,"")</f>
        <v>0</v>
      </c>
      <c r="AT183" s="11" t="s">
        <v>98</v>
      </c>
      <c r="AU183" s="14" t="n">
        <f aca="false">IFERROR(P183/AR183,"")</f>
        <v>29057.75</v>
      </c>
      <c r="AV183" s="12" t="n">
        <v>1775802</v>
      </c>
      <c r="AW183" s="12" t="n">
        <v>787666</v>
      </c>
      <c r="AX183" s="12" t="n">
        <v>511112</v>
      </c>
      <c r="AY183" s="16" t="n">
        <v>7954</v>
      </c>
      <c r="AZ183" s="13" t="n">
        <f aca="false">IFERROR(AY183/AY182-1,"")</f>
        <v>0.0312459483988072</v>
      </c>
      <c r="BA183" s="17" t="n">
        <v>0.919</v>
      </c>
      <c r="BB183" s="11" t="s">
        <v>81</v>
      </c>
      <c r="BC183" s="11" t="s">
        <v>82</v>
      </c>
      <c r="BD183" s="11" t="s">
        <v>157</v>
      </c>
      <c r="BE183" s="12" t="n">
        <v>111426</v>
      </c>
      <c r="BF183" s="13" t="n">
        <f aca="false">IFERROR(P183/BE183-1,"")</f>
        <v>0.0431227900131028</v>
      </c>
      <c r="BG183" s="17" t="n">
        <v>0.054</v>
      </c>
      <c r="BH183" s="17" t="n">
        <v>-0.003</v>
      </c>
      <c r="BI183" s="14" t="n">
        <f aca="false">P183*(1+IFERROR(Q183,0))^4</f>
        <v>169265.592889601</v>
      </c>
      <c r="BJ183" s="12" t="n">
        <v>-1235054</v>
      </c>
      <c r="BK183" s="11" t="s">
        <v>192</v>
      </c>
      <c r="BL183" s="11" t="s">
        <v>111</v>
      </c>
      <c r="BM183" s="14" t="n">
        <f aca="false">O183</f>
        <v>20090252</v>
      </c>
      <c r="BN183" s="11" t="s">
        <v>281</v>
      </c>
      <c r="BO183" s="13" t="n">
        <f aca="false">IFERROR(1-L183/M183,"")</f>
        <v>0.177267837934744</v>
      </c>
      <c r="BP183" s="11" t="s">
        <v>130</v>
      </c>
      <c r="BQ183" s="12" t="n">
        <v>2016084</v>
      </c>
      <c r="BR183" s="11" t="s">
        <v>88</v>
      </c>
      <c r="BS183" s="11" t="s">
        <v>89</v>
      </c>
      <c r="BT183" s="19" t="str">
        <f aca="false">IF(OR(Z183&lt;6,AH183&lt;0.9,S183&lt;0.02,AK183&lt;1),"REVIEW",IF(AND(S183&gt;0.25,AH183&gt;1.2),"ACCELERATING","STABLE"))</f>
        <v>STABLE</v>
      </c>
    </row>
    <row r="184" customFormat="false" ht="15" hidden="false" customHeight="false" outlineLevel="0" collapsed="false">
      <c r="A184" s="11" t="s">
        <v>278</v>
      </c>
      <c r="B184" s="11" t="s">
        <v>92</v>
      </c>
      <c r="C184" s="11" t="s">
        <v>74</v>
      </c>
      <c r="D184" s="11" t="s">
        <v>95</v>
      </c>
      <c r="E184" s="11" t="s">
        <v>279</v>
      </c>
      <c r="F184" s="11" t="s">
        <v>280</v>
      </c>
      <c r="G184" s="11" t="s">
        <v>78</v>
      </c>
      <c r="H184" s="11" t="s">
        <v>79</v>
      </c>
      <c r="I184" s="11" t="s">
        <v>78</v>
      </c>
      <c r="J184" s="12" t="n">
        <v>2472000</v>
      </c>
      <c r="K184" s="13" t="n">
        <f aca="false">IFERROR(J184/M184,"")</f>
        <v>0.177267837934744</v>
      </c>
      <c r="L184" s="12" t="n">
        <v>11473000</v>
      </c>
      <c r="M184" s="14" t="n">
        <f aca="false">L184+J184</f>
        <v>13945000</v>
      </c>
      <c r="N184" s="12" t="n">
        <v>2584000</v>
      </c>
      <c r="O184" s="12" t="n">
        <v>20090252</v>
      </c>
      <c r="P184" s="12" t="n">
        <v>136710</v>
      </c>
      <c r="Q184" s="13" t="n">
        <f aca="false">IFERROR(P184/P183-1,"")</f>
        <v>0.176192237871136</v>
      </c>
      <c r="R184" s="12" t="n">
        <v>136722</v>
      </c>
      <c r="S184" s="13" t="n">
        <f aca="false">IFERROR(R184/R183-1,"")</f>
        <v>0.045666954746044</v>
      </c>
      <c r="T184" s="12" t="n">
        <v>83086</v>
      </c>
      <c r="U184" s="13" t="n">
        <f aca="false">IFERROR(T184/P184,"")</f>
        <v>0.607753639090045</v>
      </c>
      <c r="V184" s="14" t="n">
        <f aca="false">T184-AV184</f>
        <v>-1779564</v>
      </c>
      <c r="W184" s="14" t="n">
        <f aca="false">V184-AA184*0.1</f>
        <v>-1779564</v>
      </c>
      <c r="X184" s="12" t="n">
        <v>3966231</v>
      </c>
      <c r="Y184" s="12" t="n">
        <v>144530</v>
      </c>
      <c r="Z184" s="15" t="n">
        <f aca="false">IFERROR(X184/Y184,"")</f>
        <v>27.4422680412371</v>
      </c>
      <c r="AA184" s="12" t="n">
        <v>0</v>
      </c>
      <c r="AB184" s="14" t="n">
        <f aca="false">W184-0.02*P184</f>
        <v>-1782298.2</v>
      </c>
      <c r="AC184" s="16" t="n">
        <v>34</v>
      </c>
      <c r="AD184" s="13" t="n">
        <f aca="false">IFERROR(AC184/AC183-1,"")</f>
        <v>0.133333333333333</v>
      </c>
      <c r="AE184" s="17" t="n">
        <v>0.077</v>
      </c>
      <c r="AF184" s="17" t="n">
        <v>0.075</v>
      </c>
      <c r="AG184" s="13" t="n">
        <f aca="false">1-AF184</f>
        <v>0.925</v>
      </c>
      <c r="AH184" s="17" t="n">
        <v>1.061</v>
      </c>
      <c r="AI184" s="12" t="n">
        <v>21318</v>
      </c>
      <c r="AJ184" s="14" t="n">
        <f aca="false">IFERROR(AM184*U184*MIN(1/AE184,5),"")</f>
        <v>63206.3784653646</v>
      </c>
      <c r="AK184" s="18" t="n">
        <f aca="false">IFERROR(AJ184/AI184,"")</f>
        <v>2.96493003402592</v>
      </c>
      <c r="AL184" s="15" t="n">
        <f aca="false">IFERROR(AI184/(AM184*U184/12),"")</f>
        <v>20.2365652178743</v>
      </c>
      <c r="AM184" s="12" t="n">
        <v>20800</v>
      </c>
      <c r="AN184" s="12" t="n">
        <v>158190</v>
      </c>
      <c r="AO184" s="12" t="n">
        <v>261459</v>
      </c>
      <c r="AP184" s="17" t="n">
        <v>0.408</v>
      </c>
      <c r="AQ184" s="16" t="n">
        <v>43</v>
      </c>
      <c r="AR184" s="16" t="n">
        <v>5</v>
      </c>
      <c r="AS184" s="13" t="n">
        <f aca="false">IFERROR(AR184/AR183-1,"")</f>
        <v>0.25</v>
      </c>
      <c r="AT184" s="11" t="s">
        <v>98</v>
      </c>
      <c r="AU184" s="14" t="n">
        <f aca="false">IFERROR(P184/AR184,"")</f>
        <v>27342</v>
      </c>
      <c r="AV184" s="12" t="n">
        <v>1862650</v>
      </c>
      <c r="AW184" s="12" t="n">
        <v>887227</v>
      </c>
      <c r="AX184" s="12" t="n">
        <v>410498</v>
      </c>
      <c r="AY184" s="16" t="n">
        <v>8709</v>
      </c>
      <c r="AZ184" s="13" t="n">
        <f aca="false">IFERROR(AY184/AY183-1,"")</f>
        <v>0.0949207945687705</v>
      </c>
      <c r="BA184" s="17" t="n">
        <v>0.942</v>
      </c>
      <c r="BB184" s="11" t="s">
        <v>81</v>
      </c>
      <c r="BC184" s="11" t="s">
        <v>82</v>
      </c>
      <c r="BD184" s="11" t="s">
        <v>157</v>
      </c>
      <c r="BE184" s="12" t="n">
        <v>145288</v>
      </c>
      <c r="BF184" s="13" t="n">
        <f aca="false">IFERROR(P184/BE184-1,"")</f>
        <v>-0.059041352348439</v>
      </c>
      <c r="BG184" s="17" t="n">
        <v>0.035</v>
      </c>
      <c r="BH184" s="17" t="n">
        <v>0.077</v>
      </c>
      <c r="BI184" s="14" t="n">
        <f aca="false">P184*(1+IFERROR(Q184,0))^4</f>
        <v>261645.65034142</v>
      </c>
      <c r="BJ184" s="12" t="n">
        <v>-1606370</v>
      </c>
      <c r="BK184" s="11" t="s">
        <v>192</v>
      </c>
      <c r="BL184" s="11" t="s">
        <v>111</v>
      </c>
      <c r="BM184" s="14" t="n">
        <f aca="false">O184</f>
        <v>20090252</v>
      </c>
      <c r="BN184" s="11" t="s">
        <v>281</v>
      </c>
      <c r="BO184" s="13" t="n">
        <f aca="false">IFERROR(1-L184/M184,"")</f>
        <v>0.177267837934744</v>
      </c>
      <c r="BP184" s="11" t="s">
        <v>130</v>
      </c>
      <c r="BQ184" s="12" t="n">
        <v>2107895</v>
      </c>
      <c r="BR184" s="11" t="s">
        <v>88</v>
      </c>
      <c r="BS184" s="11" t="s">
        <v>89</v>
      </c>
      <c r="BT184" s="19" t="str">
        <f aca="false">IF(OR(Z184&lt;6,AH184&lt;0.9,S184&lt;0.02,AK184&lt;1),"REVIEW",IF(AND(S184&gt;0.25,AH184&gt;1.2),"ACCELERATING","STABLE"))</f>
        <v>STABLE</v>
      </c>
    </row>
    <row r="185" customFormat="false" ht="15" hidden="false" customHeight="false" outlineLevel="0" collapsed="false">
      <c r="A185" s="11" t="s">
        <v>278</v>
      </c>
      <c r="B185" s="11" t="s">
        <v>93</v>
      </c>
      <c r="C185" s="11" t="s">
        <v>74</v>
      </c>
      <c r="D185" s="11" t="s">
        <v>95</v>
      </c>
      <c r="E185" s="11" t="s">
        <v>279</v>
      </c>
      <c r="F185" s="11" t="s">
        <v>280</v>
      </c>
      <c r="G185" s="11" t="s">
        <v>78</v>
      </c>
      <c r="H185" s="11" t="s">
        <v>79</v>
      </c>
      <c r="I185" s="11" t="s">
        <v>78</v>
      </c>
      <c r="J185" s="12" t="n">
        <v>2472000</v>
      </c>
      <c r="K185" s="13" t="n">
        <f aca="false">IFERROR(J185/M185,"")</f>
        <v>0.177267837934744</v>
      </c>
      <c r="L185" s="12" t="n">
        <v>11473000</v>
      </c>
      <c r="M185" s="14" t="n">
        <f aca="false">L185+J185</f>
        <v>13945000</v>
      </c>
      <c r="N185" s="12" t="n">
        <v>2584000</v>
      </c>
      <c r="O185" s="12" t="n">
        <v>20090252</v>
      </c>
      <c r="P185" s="12" t="n">
        <v>147992</v>
      </c>
      <c r="Q185" s="13" t="n">
        <f aca="false">IFERROR(P185/P184-1,"")</f>
        <v>0.0825250530319655</v>
      </c>
      <c r="R185" s="12" t="n">
        <v>159611</v>
      </c>
      <c r="S185" s="13" t="n">
        <f aca="false">IFERROR(R185/R184-1,"")</f>
        <v>0.167412706075101</v>
      </c>
      <c r="T185" s="12" t="n">
        <v>90304</v>
      </c>
      <c r="U185" s="13" t="n">
        <f aca="false">IFERROR(T185/P185,"")</f>
        <v>0.610195145683551</v>
      </c>
      <c r="V185" s="14" t="n">
        <f aca="false">T185-AV185</f>
        <v>-1795961</v>
      </c>
      <c r="W185" s="14" t="n">
        <f aca="false">V185-AA185*0.1</f>
        <v>-1795961</v>
      </c>
      <c r="X185" s="12" t="n">
        <v>3576000</v>
      </c>
      <c r="Y185" s="12" t="n">
        <v>149000</v>
      </c>
      <c r="Z185" s="15" t="n">
        <f aca="false">IFERROR(X185/Y185,"")</f>
        <v>24</v>
      </c>
      <c r="AA185" s="12" t="n">
        <v>0</v>
      </c>
      <c r="AB185" s="14" t="n">
        <f aca="false">W185-0.02*P185</f>
        <v>-1798920.84</v>
      </c>
      <c r="AC185" s="16" t="n">
        <v>37</v>
      </c>
      <c r="AD185" s="13" t="n">
        <f aca="false">IFERROR(AC185/AC184-1,"")</f>
        <v>0.088235294117647</v>
      </c>
      <c r="AE185" s="17" t="n">
        <v>0.075</v>
      </c>
      <c r="AF185" s="17" t="n">
        <v>0.069</v>
      </c>
      <c r="AG185" s="13" t="n">
        <f aca="false">1-AF185</f>
        <v>0.931</v>
      </c>
      <c r="AH185" s="17" t="n">
        <v>1.056</v>
      </c>
      <c r="AI185" s="12" t="n">
        <v>20900</v>
      </c>
      <c r="AJ185" s="14" t="n">
        <f aca="false">IFERROR(AM185*U185*MIN(1/AE185,5),"")</f>
        <v>64680.6854424564</v>
      </c>
      <c r="AK185" s="18" t="n">
        <f aca="false">IFERROR(AJ185/AI185,"")</f>
        <v>3.09476963839504</v>
      </c>
      <c r="AL185" s="15" t="n">
        <f aca="false">IFERROR(AI185/(AM185*U185/12),"")</f>
        <v>19.3875496436356</v>
      </c>
      <c r="AM185" s="12" t="n">
        <v>21200</v>
      </c>
      <c r="AN185" s="12" t="n">
        <v>158236</v>
      </c>
      <c r="AO185" s="12" t="n">
        <v>389230</v>
      </c>
      <c r="AP185" s="17" t="n">
        <v>0.408</v>
      </c>
      <c r="AQ185" s="16" t="n">
        <v>43</v>
      </c>
      <c r="AR185" s="16" t="n">
        <v>5</v>
      </c>
      <c r="AS185" s="13" t="n">
        <f aca="false">IFERROR(AR185/AR184-1,"")</f>
        <v>0</v>
      </c>
      <c r="AT185" s="11" t="s">
        <v>98</v>
      </c>
      <c r="AU185" s="14" t="n">
        <f aca="false">IFERROR(P185/AR185,"")</f>
        <v>29598.4</v>
      </c>
      <c r="AV185" s="12" t="n">
        <v>1886265</v>
      </c>
      <c r="AW185" s="12" t="n">
        <v>880631</v>
      </c>
      <c r="AX185" s="12" t="n">
        <v>344122</v>
      </c>
      <c r="AY185" s="16" t="n">
        <v>9478</v>
      </c>
      <c r="AZ185" s="13" t="n">
        <f aca="false">IFERROR(AY185/AY184-1,"")</f>
        <v>0.088299460328396</v>
      </c>
      <c r="BA185" s="17" t="n">
        <v>0.936</v>
      </c>
      <c r="BB185" s="11" t="s">
        <v>81</v>
      </c>
      <c r="BC185" s="11" t="s">
        <v>82</v>
      </c>
      <c r="BD185" s="11" t="s">
        <v>157</v>
      </c>
      <c r="BE185" s="12" t="n">
        <v>135555</v>
      </c>
      <c r="BF185" s="13" t="n">
        <f aca="false">IFERROR(P185/BE185-1,"")</f>
        <v>0.0917487366751504</v>
      </c>
      <c r="BG185" s="17" t="n">
        <v>-0.028</v>
      </c>
      <c r="BH185" s="17" t="n">
        <v>0.058</v>
      </c>
      <c r="BI185" s="14" t="n">
        <f aca="false">P185*(1+IFERROR(Q185,0))^4</f>
        <v>203231.051284606</v>
      </c>
      <c r="BJ185" s="12" t="n">
        <v>-1012761</v>
      </c>
      <c r="BK185" s="11" t="s">
        <v>192</v>
      </c>
      <c r="BL185" s="11" t="s">
        <v>111</v>
      </c>
      <c r="BM185" s="14" t="n">
        <f aca="false">O185</f>
        <v>20090252</v>
      </c>
      <c r="BN185" s="11" t="s">
        <v>281</v>
      </c>
      <c r="BO185" s="13" t="n">
        <f aca="false">IFERROR(1-L185/M185,"")</f>
        <v>0.177267837934744</v>
      </c>
      <c r="BP185" s="11" t="s">
        <v>130</v>
      </c>
      <c r="BQ185" s="12" t="n">
        <v>2951278</v>
      </c>
      <c r="BR185" s="11" t="s">
        <v>88</v>
      </c>
      <c r="BS185" s="11" t="s">
        <v>89</v>
      </c>
      <c r="BT185" s="19" t="str">
        <f aca="false">IF(OR(Z185&lt;6,AH185&lt;0.9,S185&lt;0.02,AK185&lt;1),"REVIEW",IF(AND(S185&gt;0.25,AH185&gt;1.2),"ACCELERATING","STABLE"))</f>
        <v>STABLE</v>
      </c>
    </row>
    <row r="186" customFormat="false" ht="15" hidden="false" customHeight="false" outlineLevel="0" collapsed="false">
      <c r="A186" s="3" t="s">
        <v>282</v>
      </c>
      <c r="B186" s="3" t="s">
        <v>73</v>
      </c>
      <c r="C186" s="3" t="s">
        <v>74</v>
      </c>
      <c r="D186" s="3" t="s">
        <v>165</v>
      </c>
      <c r="E186" s="3" t="s">
        <v>105</v>
      </c>
      <c r="F186" s="3" t="s">
        <v>283</v>
      </c>
      <c r="G186" s="3" t="s">
        <v>78</v>
      </c>
      <c r="H186" s="3" t="s">
        <v>79</v>
      </c>
      <c r="I186" s="3" t="s">
        <v>78</v>
      </c>
      <c r="J186" s="4" t="n">
        <v>4109000</v>
      </c>
      <c r="K186" s="5" t="n">
        <f aca="false">IFERROR(J186/M186,"")</f>
        <v>0.12574208947916</v>
      </c>
      <c r="L186" s="4" t="n">
        <v>28569000</v>
      </c>
      <c r="M186" s="6" t="n">
        <f aca="false">L186+J186</f>
        <v>32678000</v>
      </c>
      <c r="N186" s="4" t="n">
        <v>7021000</v>
      </c>
      <c r="O186" s="4" t="n">
        <v>47398278</v>
      </c>
      <c r="P186" s="4" t="n">
        <v>742295</v>
      </c>
      <c r="Q186" s="7"/>
      <c r="R186" s="4" t="n">
        <v>802662</v>
      </c>
      <c r="S186" s="7"/>
      <c r="T186" s="4" t="n">
        <v>534972</v>
      </c>
      <c r="U186" s="5" t="n">
        <f aca="false">IFERROR(T186/P186,"")</f>
        <v>0.720699991243374</v>
      </c>
      <c r="V186" s="6" t="n">
        <f aca="false">T186-AV186</f>
        <v>-1143599</v>
      </c>
      <c r="W186" s="6" t="n">
        <f aca="false">V186-AA186*0.1</f>
        <v>-1238899</v>
      </c>
      <c r="X186" s="4" t="n">
        <v>3607665</v>
      </c>
      <c r="Y186" s="4" t="n">
        <v>104650</v>
      </c>
      <c r="Z186" s="8" t="n">
        <f aca="false">IFERROR(X186/Y186,"")</f>
        <v>34.4736263736264</v>
      </c>
      <c r="AA186" s="4" t="n">
        <v>953000</v>
      </c>
      <c r="AB186" s="6" t="n">
        <f aca="false">W186-0.02*P186</f>
        <v>-1253744.9</v>
      </c>
      <c r="AC186" s="9" t="n">
        <v>61</v>
      </c>
      <c r="AD186" s="7"/>
      <c r="AE186" s="7" t="n">
        <v>0.142</v>
      </c>
      <c r="AF186" s="7" t="n">
        <v>0.138</v>
      </c>
      <c r="AG186" s="5" t="n">
        <f aca="false">1-AF186</f>
        <v>0.862</v>
      </c>
      <c r="AH186" s="7" t="n">
        <v>1.076</v>
      </c>
      <c r="AI186" s="4" t="n">
        <v>64978</v>
      </c>
      <c r="AJ186" s="6" t="n">
        <f aca="false">IFERROR(AM186*U186*MIN(1/AE186,5),"")</f>
        <v>151346.998161108</v>
      </c>
      <c r="AK186" s="10" t="n">
        <f aca="false">IFERROR(AJ186/AI186,"")</f>
        <v>2.32920370219318</v>
      </c>
      <c r="AL186" s="8" t="n">
        <f aca="false">IFERROR(AI186/(AM186*U186/12),"")</f>
        <v>25.7598766237165</v>
      </c>
      <c r="AM186" s="4" t="n">
        <v>42000</v>
      </c>
      <c r="AN186" s="4" t="n">
        <v>881191</v>
      </c>
      <c r="AO186" s="4" t="n">
        <v>2110127</v>
      </c>
      <c r="AP186" s="7" t="n">
        <v>0.385</v>
      </c>
      <c r="AQ186" s="9" t="n">
        <v>57</v>
      </c>
      <c r="AR186" s="9" t="n">
        <v>1</v>
      </c>
      <c r="AS186" s="7"/>
      <c r="AT186" s="3" t="s">
        <v>98</v>
      </c>
      <c r="AU186" s="6" t="n">
        <f aca="false">IFERROR(P186/AR186,"")</f>
        <v>742295</v>
      </c>
      <c r="AV186" s="4" t="n">
        <v>1678571</v>
      </c>
      <c r="AW186" s="4" t="n">
        <v>510173</v>
      </c>
      <c r="AX186" s="4" t="n">
        <v>563013</v>
      </c>
      <c r="AY186" s="9" t="n">
        <v>31826</v>
      </c>
      <c r="AZ186" s="7"/>
      <c r="BA186" s="7" t="n">
        <v>0.887</v>
      </c>
      <c r="BB186" s="3" t="s">
        <v>107</v>
      </c>
      <c r="BC186" s="3" t="s">
        <v>82</v>
      </c>
      <c r="BD186" s="3" t="s">
        <v>175</v>
      </c>
      <c r="BE186" s="4" t="n">
        <v>845601</v>
      </c>
      <c r="BF186" s="5" t="n">
        <f aca="false">IFERROR(P186/BE186-1,"")</f>
        <v>-0.122168729696393</v>
      </c>
      <c r="BG186" s="7" t="n">
        <v>0.022</v>
      </c>
      <c r="BH186" s="7" t="n">
        <v>0.039</v>
      </c>
      <c r="BI186" s="6" t="n">
        <f aca="false">P186</f>
        <v>742295</v>
      </c>
      <c r="BJ186" s="4" t="n">
        <v>-1004720</v>
      </c>
      <c r="BK186" s="3" t="s">
        <v>102</v>
      </c>
      <c r="BL186" s="3" t="s">
        <v>111</v>
      </c>
      <c r="BM186" s="6" t="n">
        <f aca="false">O186</f>
        <v>47398278</v>
      </c>
      <c r="BN186" s="3" t="s">
        <v>284</v>
      </c>
      <c r="BO186" s="5" t="n">
        <f aca="false">IFERROR(1-L186/M186,"")</f>
        <v>0.12574208947916</v>
      </c>
      <c r="BP186" s="3" t="s">
        <v>130</v>
      </c>
      <c r="BQ186" s="4" t="n">
        <v>1905282</v>
      </c>
      <c r="BR186" s="3" t="s">
        <v>88</v>
      </c>
      <c r="BS186" s="3" t="s">
        <v>89</v>
      </c>
      <c r="BT186" s="3" t="s">
        <v>90</v>
      </c>
    </row>
    <row r="187" customFormat="false" ht="15" hidden="false" customHeight="false" outlineLevel="0" collapsed="false">
      <c r="A187" s="11" t="s">
        <v>282</v>
      </c>
      <c r="B187" s="11" t="s">
        <v>91</v>
      </c>
      <c r="C187" s="11" t="s">
        <v>74</v>
      </c>
      <c r="D187" s="11" t="s">
        <v>165</v>
      </c>
      <c r="E187" s="11" t="s">
        <v>105</v>
      </c>
      <c r="F187" s="11" t="s">
        <v>283</v>
      </c>
      <c r="G187" s="11" t="s">
        <v>78</v>
      </c>
      <c r="H187" s="11" t="s">
        <v>79</v>
      </c>
      <c r="I187" s="11" t="s">
        <v>78</v>
      </c>
      <c r="J187" s="12" t="n">
        <v>4109000</v>
      </c>
      <c r="K187" s="13" t="n">
        <f aca="false">IFERROR(J187/M187,"")</f>
        <v>0.12574208947916</v>
      </c>
      <c r="L187" s="12" t="n">
        <v>28569000</v>
      </c>
      <c r="M187" s="14" t="n">
        <f aca="false">L187+J187</f>
        <v>32678000</v>
      </c>
      <c r="N187" s="12" t="n">
        <v>7021000</v>
      </c>
      <c r="O187" s="12" t="n">
        <v>47398278</v>
      </c>
      <c r="P187" s="12" t="n">
        <v>845345</v>
      </c>
      <c r="Q187" s="13" t="n">
        <f aca="false">IFERROR(P187/P186-1,"")</f>
        <v>0.138826207909254</v>
      </c>
      <c r="R187" s="12" t="n">
        <v>913114</v>
      </c>
      <c r="S187" s="13" t="n">
        <f aca="false">IFERROR(R187/R186-1,"")</f>
        <v>0.137607112333709</v>
      </c>
      <c r="T187" s="12" t="n">
        <v>611706</v>
      </c>
      <c r="U187" s="13" t="n">
        <f aca="false">IFERROR(T187/P187,"")</f>
        <v>0.723616984781362</v>
      </c>
      <c r="V187" s="14" t="n">
        <f aca="false">T187-AV187</f>
        <v>-1315325</v>
      </c>
      <c r="W187" s="14" t="n">
        <f aca="false">V187-AA187*0.1</f>
        <v>-1410625</v>
      </c>
      <c r="X187" s="12" t="n">
        <v>3343740</v>
      </c>
      <c r="Y187" s="12" t="n">
        <v>108100</v>
      </c>
      <c r="Z187" s="15" t="n">
        <f aca="false">IFERROR(X187/Y187,"")</f>
        <v>30.931914893617</v>
      </c>
      <c r="AA187" s="12" t="n">
        <v>953000</v>
      </c>
      <c r="AB187" s="14" t="n">
        <f aca="false">W187-0.02*P187</f>
        <v>-1427531.9</v>
      </c>
      <c r="AC187" s="16" t="n">
        <v>61</v>
      </c>
      <c r="AD187" s="13" t="n">
        <f aca="false">IFERROR(AC187/AC186-1,"")</f>
        <v>0</v>
      </c>
      <c r="AE187" s="17" t="n">
        <v>0.138</v>
      </c>
      <c r="AF187" s="17" t="n">
        <v>0.123</v>
      </c>
      <c r="AG187" s="13" t="n">
        <f aca="false">1-AF187</f>
        <v>0.877</v>
      </c>
      <c r="AH187" s="17" t="n">
        <v>1.071</v>
      </c>
      <c r="AI187" s="12" t="n">
        <v>63752</v>
      </c>
      <c r="AJ187" s="14" t="n">
        <f aca="false">IFERROR(AM187*U187*MIN(1/AE187,5),"")</f>
        <v>154998.758140168</v>
      </c>
      <c r="AK187" s="18" t="n">
        <f aca="false">IFERROR(AJ187/AI187,"")</f>
        <v>2.43127679351499</v>
      </c>
      <c r="AL187" s="15" t="n">
        <f aca="false">IFERROR(AI187/(AM187*U187/12),"")</f>
        <v>24.6783912716313</v>
      </c>
      <c r="AM187" s="12" t="n">
        <v>42840</v>
      </c>
      <c r="AN187" s="12" t="n">
        <v>973014</v>
      </c>
      <c r="AO187" s="12" t="n">
        <v>2791413</v>
      </c>
      <c r="AP187" s="17" t="n">
        <v>0.385</v>
      </c>
      <c r="AQ187" s="16" t="n">
        <v>57</v>
      </c>
      <c r="AR187" s="16" t="n">
        <v>2</v>
      </c>
      <c r="AS187" s="13" t="n">
        <f aca="false">IFERROR(AR187/AR186-1,"")</f>
        <v>1</v>
      </c>
      <c r="AT187" s="11" t="s">
        <v>98</v>
      </c>
      <c r="AU187" s="14" t="n">
        <f aca="false">IFERROR(P187/AR187,"")</f>
        <v>422672.5</v>
      </c>
      <c r="AV187" s="12" t="n">
        <v>1927031</v>
      </c>
      <c r="AW187" s="12" t="n">
        <v>807141</v>
      </c>
      <c r="AX187" s="12" t="n">
        <v>389239</v>
      </c>
      <c r="AY187" s="16" t="n">
        <v>31684</v>
      </c>
      <c r="AZ187" s="13" t="n">
        <f aca="false">IFERROR(AY187/AY186-1,"")</f>
        <v>-0.00446176082448313</v>
      </c>
      <c r="BA187" s="17" t="n">
        <v>0.849</v>
      </c>
      <c r="BB187" s="11" t="s">
        <v>107</v>
      </c>
      <c r="BC187" s="11" t="s">
        <v>82</v>
      </c>
      <c r="BD187" s="11" t="s">
        <v>175</v>
      </c>
      <c r="BE187" s="12" t="n">
        <v>951519</v>
      </c>
      <c r="BF187" s="13" t="n">
        <f aca="false">IFERROR(P187/BE187-1,"")</f>
        <v>-0.111583688817564</v>
      </c>
      <c r="BG187" s="17" t="n">
        <v>0.05</v>
      </c>
      <c r="BH187" s="17" t="n">
        <v>0.06</v>
      </c>
      <c r="BI187" s="14" t="n">
        <f aca="false">P187*(1+IFERROR(Q187,0))^4</f>
        <v>1421882.79903393</v>
      </c>
      <c r="BJ187" s="12" t="n">
        <v>-974785</v>
      </c>
      <c r="BK187" s="11" t="s">
        <v>102</v>
      </c>
      <c r="BL187" s="11" t="s">
        <v>111</v>
      </c>
      <c r="BM187" s="14" t="n">
        <f aca="false">O187</f>
        <v>47398278</v>
      </c>
      <c r="BN187" s="11" t="s">
        <v>284</v>
      </c>
      <c r="BO187" s="13" t="n">
        <f aca="false">IFERROR(1-L187/M187,"")</f>
        <v>0.12574208947916</v>
      </c>
      <c r="BP187" s="11" t="s">
        <v>130</v>
      </c>
      <c r="BQ187" s="12" t="n">
        <v>1985384</v>
      </c>
      <c r="BR187" s="11" t="s">
        <v>88</v>
      </c>
      <c r="BS187" s="11" t="s">
        <v>89</v>
      </c>
      <c r="BT187" s="19" t="str">
        <f aca="false">IF(OR(Z187&lt;6,AH187&lt;0.9,S187&lt;0.02,AK187&lt;1),"REVIEW",IF(AND(S187&gt;0.25,AH187&gt;1.2),"ACCELERATING","STABLE"))</f>
        <v>STABLE</v>
      </c>
    </row>
    <row r="188" customFormat="false" ht="15" hidden="false" customHeight="false" outlineLevel="0" collapsed="false">
      <c r="A188" s="11" t="s">
        <v>282</v>
      </c>
      <c r="B188" s="11" t="s">
        <v>92</v>
      </c>
      <c r="C188" s="11" t="s">
        <v>74</v>
      </c>
      <c r="D188" s="11" t="s">
        <v>165</v>
      </c>
      <c r="E188" s="11" t="s">
        <v>105</v>
      </c>
      <c r="F188" s="11" t="s">
        <v>283</v>
      </c>
      <c r="G188" s="11" t="s">
        <v>78</v>
      </c>
      <c r="H188" s="11" t="s">
        <v>79</v>
      </c>
      <c r="I188" s="11" t="s">
        <v>78</v>
      </c>
      <c r="J188" s="12" t="n">
        <v>4109000</v>
      </c>
      <c r="K188" s="13" t="n">
        <f aca="false">IFERROR(J188/M188,"")</f>
        <v>0.12574208947916</v>
      </c>
      <c r="L188" s="12" t="n">
        <v>28569000</v>
      </c>
      <c r="M188" s="14" t="n">
        <f aca="false">L188+J188</f>
        <v>32678000</v>
      </c>
      <c r="N188" s="12" t="n">
        <v>7021000</v>
      </c>
      <c r="O188" s="12" t="n">
        <v>47398278</v>
      </c>
      <c r="P188" s="12" t="n">
        <v>962841</v>
      </c>
      <c r="Q188" s="13" t="n">
        <f aca="false">IFERROR(P188/P187-1,"")</f>
        <v>0.138991772589889</v>
      </c>
      <c r="R188" s="12" t="n">
        <v>944810</v>
      </c>
      <c r="S188" s="13" t="n">
        <f aca="false">IFERROR(R188/R187-1,"")</f>
        <v>0.0347119855790186</v>
      </c>
      <c r="T188" s="12" t="n">
        <v>699538</v>
      </c>
      <c r="U188" s="13" t="n">
        <f aca="false">IFERROR(T188/P188,"")</f>
        <v>0.726535326185736</v>
      </c>
      <c r="V188" s="14" t="n">
        <f aca="false">T188-AV188</f>
        <v>-1169699</v>
      </c>
      <c r="W188" s="14" t="n">
        <f aca="false">V188-AA188*0.1</f>
        <v>-1264999</v>
      </c>
      <c r="X188" s="12" t="n">
        <v>3061185</v>
      </c>
      <c r="Y188" s="12" t="n">
        <v>111550</v>
      </c>
      <c r="Z188" s="15" t="n">
        <f aca="false">IFERROR(X188/Y188,"")</f>
        <v>27.4422680412371</v>
      </c>
      <c r="AA188" s="12" t="n">
        <v>953000</v>
      </c>
      <c r="AB188" s="14" t="n">
        <f aca="false">W188-0.02*P188</f>
        <v>-1284255.82</v>
      </c>
      <c r="AC188" s="16" t="n">
        <v>67</v>
      </c>
      <c r="AD188" s="13" t="n">
        <f aca="false">IFERROR(AC188/AC187-1,"")</f>
        <v>0.098360655737705</v>
      </c>
      <c r="AE188" s="17" t="n">
        <v>0.134</v>
      </c>
      <c r="AF188" s="17" t="n">
        <v>0.1</v>
      </c>
      <c r="AG188" s="13" t="n">
        <f aca="false">1-AF188</f>
        <v>0.9</v>
      </c>
      <c r="AH188" s="17" t="n">
        <v>1.066</v>
      </c>
      <c r="AI188" s="12" t="n">
        <v>62526</v>
      </c>
      <c r="AJ188" s="14" t="n">
        <f aca="false">IFERROR(AM188*U188*MIN(1/AE188,5),"")</f>
        <v>158675.315238965</v>
      </c>
      <c r="AK188" s="18" t="n">
        <f aca="false">IFERROR(AJ188/AI188,"")</f>
        <v>2.53774934009795</v>
      </c>
      <c r="AL188" s="15" t="n">
        <f aca="false">IFERROR(AI188/(AM188*U188/12),"")</f>
        <v>23.6429969863312</v>
      </c>
      <c r="AM188" s="12" t="n">
        <v>43680</v>
      </c>
      <c r="AN188" s="12" t="n">
        <v>976826</v>
      </c>
      <c r="AO188" s="12" t="n">
        <v>2707801</v>
      </c>
      <c r="AP188" s="17" t="n">
        <v>0.385</v>
      </c>
      <c r="AQ188" s="16" t="n">
        <v>57</v>
      </c>
      <c r="AR188" s="16" t="n">
        <v>2</v>
      </c>
      <c r="AS188" s="13" t="n">
        <f aca="false">IFERROR(AR188/AR187-1,"")</f>
        <v>0</v>
      </c>
      <c r="AT188" s="11" t="s">
        <v>98</v>
      </c>
      <c r="AU188" s="14" t="n">
        <f aca="false">IFERROR(P188/AR188,"")</f>
        <v>481420.5</v>
      </c>
      <c r="AV188" s="12" t="n">
        <v>1869237</v>
      </c>
      <c r="AW188" s="12" t="n">
        <v>876570</v>
      </c>
      <c r="AX188" s="12" t="n">
        <v>621177</v>
      </c>
      <c r="AY188" s="16" t="n">
        <v>35050</v>
      </c>
      <c r="AZ188" s="13" t="n">
        <f aca="false">IFERROR(AY188/AY187-1,"")</f>
        <v>0.10623658628961</v>
      </c>
      <c r="BA188" s="17" t="n">
        <v>0.904</v>
      </c>
      <c r="BB188" s="11" t="s">
        <v>107</v>
      </c>
      <c r="BC188" s="11" t="s">
        <v>82</v>
      </c>
      <c r="BD188" s="11" t="s">
        <v>175</v>
      </c>
      <c r="BE188" s="12" t="n">
        <v>977268</v>
      </c>
      <c r="BF188" s="13" t="n">
        <f aca="false">IFERROR(P188/BE188-1,"")</f>
        <v>-0.014762583037611</v>
      </c>
      <c r="BG188" s="17" t="n">
        <v>0.031</v>
      </c>
      <c r="BH188" s="17" t="n">
        <v>-0.073</v>
      </c>
      <c r="BI188" s="14" t="n">
        <f aca="false">P188*(1+IFERROR(Q188,0))^4</f>
        <v>1620454.80627122</v>
      </c>
      <c r="BJ188" s="12" t="n">
        <v>-1265362</v>
      </c>
      <c r="BK188" s="11" t="s">
        <v>102</v>
      </c>
      <c r="BL188" s="11" t="s">
        <v>111</v>
      </c>
      <c r="BM188" s="14" t="n">
        <f aca="false">O188</f>
        <v>47398278</v>
      </c>
      <c r="BN188" s="11" t="s">
        <v>284</v>
      </c>
      <c r="BO188" s="13" t="n">
        <f aca="false">IFERROR(1-L188/M188,"")</f>
        <v>0.12574208947916</v>
      </c>
      <c r="BP188" s="11" t="s">
        <v>130</v>
      </c>
      <c r="BQ188" s="12" t="n">
        <v>1372371</v>
      </c>
      <c r="BR188" s="11" t="s">
        <v>88</v>
      </c>
      <c r="BS188" s="11" t="s">
        <v>89</v>
      </c>
      <c r="BT188" s="19" t="str">
        <f aca="false">IF(OR(Z188&lt;6,AH188&lt;0.9,S188&lt;0.02,AK188&lt;1),"REVIEW",IF(AND(S188&gt;0.25,AH188&gt;1.2),"ACCELERATING","STABLE"))</f>
        <v>STABLE</v>
      </c>
    </row>
    <row r="189" customFormat="false" ht="15" hidden="false" customHeight="false" outlineLevel="0" collapsed="false">
      <c r="A189" s="11" t="s">
        <v>282</v>
      </c>
      <c r="B189" s="11" t="s">
        <v>93</v>
      </c>
      <c r="C189" s="11" t="s">
        <v>74</v>
      </c>
      <c r="D189" s="11" t="s">
        <v>165</v>
      </c>
      <c r="E189" s="11" t="s">
        <v>105</v>
      </c>
      <c r="F189" s="11" t="s">
        <v>283</v>
      </c>
      <c r="G189" s="11" t="s">
        <v>78</v>
      </c>
      <c r="H189" s="11" t="s">
        <v>79</v>
      </c>
      <c r="I189" s="11" t="s">
        <v>78</v>
      </c>
      <c r="J189" s="12" t="n">
        <v>4109000</v>
      </c>
      <c r="K189" s="13" t="n">
        <f aca="false">IFERROR(J189/M189,"")</f>
        <v>0.12574208947916</v>
      </c>
      <c r="L189" s="12" t="n">
        <v>28569000</v>
      </c>
      <c r="M189" s="14" t="n">
        <f aca="false">L189+J189</f>
        <v>32678000</v>
      </c>
      <c r="N189" s="12" t="n">
        <v>7021000</v>
      </c>
      <c r="O189" s="12" t="n">
        <v>47398278</v>
      </c>
      <c r="P189" s="12" t="n">
        <v>968090</v>
      </c>
      <c r="Q189" s="13" t="n">
        <f aca="false">IFERROR(P189/P188-1,"")</f>
        <v>0.00545157507833594</v>
      </c>
      <c r="R189" s="12" t="n">
        <v>1099584</v>
      </c>
      <c r="S189" s="13" t="n">
        <f aca="false">IFERROR(R189/R188-1,"")</f>
        <v>0.163814946920545</v>
      </c>
      <c r="T189" s="12" t="n">
        <v>706177</v>
      </c>
      <c r="U189" s="13" t="n">
        <f aca="false">IFERROR(T189/P189,"")</f>
        <v>0.729453873090312</v>
      </c>
      <c r="V189" s="14" t="n">
        <f aca="false">T189-AV189</f>
        <v>-1326515</v>
      </c>
      <c r="W189" s="14" t="n">
        <f aca="false">V189-AA189*0.1</f>
        <v>-1421815</v>
      </c>
      <c r="X189" s="12" t="n">
        <v>2760000</v>
      </c>
      <c r="Y189" s="12" t="n">
        <v>115000</v>
      </c>
      <c r="Z189" s="15" t="n">
        <f aca="false">IFERROR(X189/Y189,"")</f>
        <v>24</v>
      </c>
      <c r="AA189" s="12" t="n">
        <v>953000</v>
      </c>
      <c r="AB189" s="14" t="n">
        <f aca="false">W189-0.02*P189</f>
        <v>-1441176.8</v>
      </c>
      <c r="AC189" s="16" t="n">
        <v>74</v>
      </c>
      <c r="AD189" s="13" t="n">
        <f aca="false">IFERROR(AC189/AC188-1,"")</f>
        <v>0.104477611940299</v>
      </c>
      <c r="AE189" s="17" t="n">
        <v>0.13</v>
      </c>
      <c r="AF189" s="17" t="n">
        <v>0.086</v>
      </c>
      <c r="AG189" s="13" t="n">
        <f aca="false">1-AF189</f>
        <v>0.914</v>
      </c>
      <c r="AH189" s="17" t="n">
        <v>1.061</v>
      </c>
      <c r="AI189" s="12" t="n">
        <v>61300</v>
      </c>
      <c r="AJ189" s="14" t="n">
        <f aca="false">IFERROR(AM189*U189*MIN(1/AE189,5),"")</f>
        <v>162376.432149903</v>
      </c>
      <c r="AK189" s="18" t="n">
        <f aca="false">IFERROR(AJ189/AI189,"")</f>
        <v>2.64888143800821</v>
      </c>
      <c r="AL189" s="15" t="n">
        <f aca="false">IFERROR(AI189/(AM189*U189/12),"")</f>
        <v>22.6510704250758</v>
      </c>
      <c r="AM189" s="12" t="n">
        <v>44520</v>
      </c>
      <c r="AN189" s="12" t="n">
        <v>1637438</v>
      </c>
      <c r="AO189" s="12" t="n">
        <v>2511868</v>
      </c>
      <c r="AP189" s="17" t="n">
        <v>0.385</v>
      </c>
      <c r="AQ189" s="16" t="n">
        <v>57</v>
      </c>
      <c r="AR189" s="16" t="n">
        <v>2</v>
      </c>
      <c r="AS189" s="13" t="n">
        <f aca="false">IFERROR(AR189/AR188-1,"")</f>
        <v>0</v>
      </c>
      <c r="AT189" s="11" t="s">
        <v>98</v>
      </c>
      <c r="AU189" s="14" t="n">
        <f aca="false">IFERROR(P189/AR189,"")</f>
        <v>484045</v>
      </c>
      <c r="AV189" s="12" t="n">
        <v>2032692</v>
      </c>
      <c r="AW189" s="12" t="n">
        <v>960048</v>
      </c>
      <c r="AX189" s="12" t="n">
        <v>417519</v>
      </c>
      <c r="AY189" s="16" t="n">
        <v>38724</v>
      </c>
      <c r="AZ189" s="13" t="n">
        <f aca="false">IFERROR(AY189/AY188-1,"")</f>
        <v>0.104821683309558</v>
      </c>
      <c r="BA189" s="17" t="n">
        <v>0.873</v>
      </c>
      <c r="BB189" s="11" t="s">
        <v>107</v>
      </c>
      <c r="BC189" s="11" t="s">
        <v>82</v>
      </c>
      <c r="BD189" s="11" t="s">
        <v>175</v>
      </c>
      <c r="BE189" s="12" t="n">
        <v>947308</v>
      </c>
      <c r="BF189" s="13" t="n">
        <f aca="false">IFERROR(P189/BE189-1,"")</f>
        <v>0.021937954709556</v>
      </c>
      <c r="BG189" s="17" t="n">
        <v>-0.009</v>
      </c>
      <c r="BH189" s="17" t="n">
        <v>0.082</v>
      </c>
      <c r="BI189" s="14" t="n">
        <f aca="false">P189*(1+IFERROR(Q189,0))^4</f>
        <v>989373.717418209</v>
      </c>
      <c r="BJ189" s="12" t="n">
        <v>-1302148</v>
      </c>
      <c r="BK189" s="11" t="s">
        <v>102</v>
      </c>
      <c r="BL189" s="11" t="s">
        <v>111</v>
      </c>
      <c r="BM189" s="14" t="n">
        <f aca="false">O189</f>
        <v>47398278</v>
      </c>
      <c r="BN189" s="11" t="s">
        <v>284</v>
      </c>
      <c r="BO189" s="13" t="n">
        <f aca="false">IFERROR(1-L189/M189,"")</f>
        <v>0.12574208947916</v>
      </c>
      <c r="BP189" s="11" t="s">
        <v>130</v>
      </c>
      <c r="BQ189" s="12" t="n">
        <v>2059897</v>
      </c>
      <c r="BR189" s="11" t="s">
        <v>88</v>
      </c>
      <c r="BS189" s="11" t="s">
        <v>89</v>
      </c>
      <c r="BT189" s="19" t="str">
        <f aca="false">IF(OR(Z189&lt;6,AH189&lt;0.9,S189&lt;0.02,AK189&lt;1),"REVIEW",IF(AND(S189&gt;0.25,AH189&gt;1.2),"ACCELERATING","STABLE"))</f>
        <v>STABLE</v>
      </c>
    </row>
    <row r="190" customFormat="false" ht="15" hidden="false" customHeight="false" outlineLevel="0" collapsed="false">
      <c r="A190" s="3" t="s">
        <v>285</v>
      </c>
      <c r="B190" s="3" t="s">
        <v>73</v>
      </c>
      <c r="C190" s="3" t="s">
        <v>74</v>
      </c>
      <c r="D190" s="3" t="s">
        <v>95</v>
      </c>
      <c r="E190" s="3" t="s">
        <v>105</v>
      </c>
      <c r="F190" s="3" t="s">
        <v>286</v>
      </c>
      <c r="G190" s="3" t="s">
        <v>78</v>
      </c>
      <c r="H190" s="3" t="s">
        <v>79</v>
      </c>
      <c r="I190" s="3" t="s">
        <v>78</v>
      </c>
      <c r="J190" s="4" t="n">
        <v>1891000</v>
      </c>
      <c r="K190" s="5" t="n">
        <f aca="false">IFERROR(J190/M190,"")</f>
        <v>0.132916285935194</v>
      </c>
      <c r="L190" s="4" t="n">
        <v>12336000</v>
      </c>
      <c r="M190" s="6" t="n">
        <f aca="false">L190+J190</f>
        <v>14227000</v>
      </c>
      <c r="N190" s="4" t="n">
        <v>7498000</v>
      </c>
      <c r="O190" s="4" t="n">
        <v>12192837</v>
      </c>
      <c r="P190" s="4" t="n">
        <v>67897</v>
      </c>
      <c r="Q190" s="7"/>
      <c r="R190" s="4" t="n">
        <v>82569</v>
      </c>
      <c r="S190" s="7"/>
      <c r="T190" s="4" t="n">
        <v>39944</v>
      </c>
      <c r="U190" s="5" t="n">
        <f aca="false">IFERROR(T190/P190,"")</f>
        <v>0.588302870524471</v>
      </c>
      <c r="V190" s="6" t="n">
        <f aca="false">T190-AV190</f>
        <v>-1825733</v>
      </c>
      <c r="W190" s="6" t="n">
        <f aca="false">V190-AA190*0.1</f>
        <v>-1825733</v>
      </c>
      <c r="X190" s="4" t="n">
        <v>4925247</v>
      </c>
      <c r="Y190" s="4" t="n">
        <v>142870</v>
      </c>
      <c r="Z190" s="8" t="n">
        <f aca="false">IFERROR(X190/Y190,"")</f>
        <v>34.4736263736264</v>
      </c>
      <c r="AA190" s="4" t="n">
        <v>0</v>
      </c>
      <c r="AB190" s="6" t="n">
        <f aca="false">W190-0.02*P190</f>
        <v>-1827090.94</v>
      </c>
      <c r="AC190" s="9" t="n">
        <v>36</v>
      </c>
      <c r="AD190" s="7"/>
      <c r="AE190" s="7" t="n">
        <v>0.123</v>
      </c>
      <c r="AF190" s="7" t="n">
        <v>0.091</v>
      </c>
      <c r="AG190" s="5" t="n">
        <f aca="false">1-AF190</f>
        <v>0.909</v>
      </c>
      <c r="AH190" s="7" t="n">
        <v>1.171</v>
      </c>
      <c r="AI190" s="4" t="n">
        <v>35298</v>
      </c>
      <c r="AJ190" s="6" t="n">
        <f aca="false">IFERROR(AM190*U190*MIN(1/AE190,5),"")</f>
        <v>120602.088457517</v>
      </c>
      <c r="AK190" s="10" t="n">
        <f aca="false">IFERROR(AJ190/AI190,"")</f>
        <v>3.41668333779581</v>
      </c>
      <c r="AL190" s="8" t="n">
        <f aca="false">IFERROR(AI190/(AM190*U190/12),"")</f>
        <v>17.5608899239423</v>
      </c>
      <c r="AM190" s="4" t="n">
        <v>41000</v>
      </c>
      <c r="AN190" s="4" t="n">
        <v>96742</v>
      </c>
      <c r="AO190" s="4" t="n">
        <v>146258</v>
      </c>
      <c r="AP190" s="7" t="n">
        <v>0.294</v>
      </c>
      <c r="AQ190" s="9" t="n">
        <v>78</v>
      </c>
      <c r="AR190" s="9" t="n">
        <v>3</v>
      </c>
      <c r="AS190" s="7"/>
      <c r="AT190" s="3" t="s">
        <v>134</v>
      </c>
      <c r="AU190" s="6" t="n">
        <f aca="false">IFERROR(P190/AR190,"")</f>
        <v>22632.3333333333</v>
      </c>
      <c r="AV190" s="4" t="n">
        <v>1865677</v>
      </c>
      <c r="AW190" s="4" t="n">
        <v>844302</v>
      </c>
      <c r="AX190" s="4" t="n">
        <v>389135</v>
      </c>
      <c r="AY190" s="9" t="n">
        <v>11680</v>
      </c>
      <c r="AZ190" s="7"/>
      <c r="BA190" s="7" t="n">
        <v>0.874</v>
      </c>
      <c r="BB190" s="3" t="s">
        <v>161</v>
      </c>
      <c r="BC190" s="3" t="s">
        <v>100</v>
      </c>
      <c r="BD190" s="3" t="s">
        <v>157</v>
      </c>
      <c r="BE190" s="4" t="n">
        <v>70757</v>
      </c>
      <c r="BF190" s="5" t="n">
        <f aca="false">IFERROR(P190/BE190-1,"")</f>
        <v>-0.0404200291137272</v>
      </c>
      <c r="BG190" s="7" t="n">
        <v>-0.05</v>
      </c>
      <c r="BH190" s="7" t="n">
        <v>0.045</v>
      </c>
      <c r="BI190" s="6" t="n">
        <f aca="false">P190</f>
        <v>67897</v>
      </c>
      <c r="BJ190" s="4" t="n">
        <v>-1382329</v>
      </c>
      <c r="BK190" s="3" t="s">
        <v>110</v>
      </c>
      <c r="BL190" s="3" t="s">
        <v>128</v>
      </c>
      <c r="BM190" s="6" t="n">
        <f aca="false">O190</f>
        <v>12192837</v>
      </c>
      <c r="BN190" s="3" t="s">
        <v>287</v>
      </c>
      <c r="BO190" s="5" t="n">
        <f aca="false">IFERROR(1-L190/M190,"")</f>
        <v>0.132916285935194</v>
      </c>
      <c r="BP190" s="3" t="s">
        <v>142</v>
      </c>
      <c r="BQ190" s="4" t="n">
        <v>2617216</v>
      </c>
      <c r="BR190" s="3" t="s">
        <v>88</v>
      </c>
      <c r="BS190" s="3" t="s">
        <v>89</v>
      </c>
      <c r="BT190" s="3" t="s">
        <v>90</v>
      </c>
    </row>
    <row r="191" customFormat="false" ht="15" hidden="false" customHeight="false" outlineLevel="0" collapsed="false">
      <c r="A191" s="11" t="s">
        <v>285</v>
      </c>
      <c r="B191" s="11" t="s">
        <v>91</v>
      </c>
      <c r="C191" s="11" t="s">
        <v>74</v>
      </c>
      <c r="D191" s="11" t="s">
        <v>95</v>
      </c>
      <c r="E191" s="11" t="s">
        <v>105</v>
      </c>
      <c r="F191" s="11" t="s">
        <v>286</v>
      </c>
      <c r="G191" s="11" t="s">
        <v>78</v>
      </c>
      <c r="H191" s="11" t="s">
        <v>79</v>
      </c>
      <c r="I191" s="11" t="s">
        <v>78</v>
      </c>
      <c r="J191" s="12" t="n">
        <v>1891000</v>
      </c>
      <c r="K191" s="13" t="n">
        <f aca="false">IFERROR(J191/M191,"")</f>
        <v>0.132916285935194</v>
      </c>
      <c r="L191" s="12" t="n">
        <v>12336000</v>
      </c>
      <c r="M191" s="14" t="n">
        <f aca="false">L191+J191</f>
        <v>14227000</v>
      </c>
      <c r="N191" s="12" t="n">
        <v>7498000</v>
      </c>
      <c r="O191" s="12" t="n">
        <v>12192837</v>
      </c>
      <c r="P191" s="12" t="n">
        <v>89569</v>
      </c>
      <c r="Q191" s="13" t="n">
        <f aca="false">IFERROR(P191/P190-1,"")</f>
        <v>0.319189360354655</v>
      </c>
      <c r="R191" s="12" t="n">
        <v>103622</v>
      </c>
      <c r="S191" s="13" t="n">
        <f aca="false">IFERROR(R191/R190-1,"")</f>
        <v>0.254974627281425</v>
      </c>
      <c r="T191" s="12" t="n">
        <v>52908</v>
      </c>
      <c r="U191" s="13" t="n">
        <f aca="false">IFERROR(T191/P191,"")</f>
        <v>0.590695441503199</v>
      </c>
      <c r="V191" s="14" t="n">
        <f aca="false">T191-AV191</f>
        <v>-1532834</v>
      </c>
      <c r="W191" s="14" t="n">
        <f aca="false">V191-AA191*0.1</f>
        <v>-1532834</v>
      </c>
      <c r="X191" s="12" t="n">
        <v>4564932</v>
      </c>
      <c r="Y191" s="12" t="n">
        <v>147580</v>
      </c>
      <c r="Z191" s="15" t="n">
        <f aca="false">IFERROR(X191/Y191,"")</f>
        <v>30.931914893617</v>
      </c>
      <c r="AA191" s="12" t="n">
        <v>0</v>
      </c>
      <c r="AB191" s="14" t="n">
        <f aca="false">W191-0.02*P191</f>
        <v>-1534625.38</v>
      </c>
      <c r="AC191" s="16" t="n">
        <v>41</v>
      </c>
      <c r="AD191" s="13" t="n">
        <f aca="false">IFERROR(AC191/AC190-1,"")</f>
        <v>0.138888888888889</v>
      </c>
      <c r="AE191" s="17" t="n">
        <v>0.12</v>
      </c>
      <c r="AF191" s="17" t="n">
        <v>0.072</v>
      </c>
      <c r="AG191" s="13" t="n">
        <f aca="false">1-AF191</f>
        <v>0.928</v>
      </c>
      <c r="AH191" s="17" t="n">
        <v>1.166</v>
      </c>
      <c r="AI191" s="12" t="n">
        <v>34632</v>
      </c>
      <c r="AJ191" s="14" t="n">
        <f aca="false">IFERROR(AM191*U191*MIN(1/AE191,5),"")</f>
        <v>123514.416818319</v>
      </c>
      <c r="AK191" s="18" t="n">
        <f aca="false">IFERROR(AJ191/AI191,"")</f>
        <v>3.56648235211131</v>
      </c>
      <c r="AL191" s="15" t="n">
        <f aca="false">IFERROR(AI191/(AM191*U191/12),"")</f>
        <v>16.8232992838114</v>
      </c>
      <c r="AM191" s="12" t="n">
        <v>41820</v>
      </c>
      <c r="AN191" s="12" t="n">
        <v>126727</v>
      </c>
      <c r="AO191" s="12" t="n">
        <v>371131</v>
      </c>
      <c r="AP191" s="17" t="n">
        <v>0.294</v>
      </c>
      <c r="AQ191" s="16" t="n">
        <v>78</v>
      </c>
      <c r="AR191" s="16" t="n">
        <v>3</v>
      </c>
      <c r="AS191" s="13" t="n">
        <f aca="false">IFERROR(AR191/AR190-1,"")</f>
        <v>0</v>
      </c>
      <c r="AT191" s="11" t="s">
        <v>134</v>
      </c>
      <c r="AU191" s="14" t="n">
        <f aca="false">IFERROR(P191/AR191,"")</f>
        <v>29856.3333333333</v>
      </c>
      <c r="AV191" s="12" t="n">
        <v>1585742</v>
      </c>
      <c r="AW191" s="12" t="n">
        <v>743776</v>
      </c>
      <c r="AX191" s="12" t="n">
        <v>490147</v>
      </c>
      <c r="AY191" s="16" t="n">
        <v>14845</v>
      </c>
      <c r="AZ191" s="13" t="n">
        <f aca="false">IFERROR(AY191/AY190-1,"")</f>
        <v>0.27097602739726</v>
      </c>
      <c r="BA191" s="17" t="n">
        <v>0.914</v>
      </c>
      <c r="BB191" s="11" t="s">
        <v>161</v>
      </c>
      <c r="BC191" s="11" t="s">
        <v>100</v>
      </c>
      <c r="BD191" s="11" t="s">
        <v>157</v>
      </c>
      <c r="BE191" s="12" t="n">
        <v>91760</v>
      </c>
      <c r="BF191" s="13" t="n">
        <f aca="false">IFERROR(P191/BE191-1,"")</f>
        <v>-0.0238775065387968</v>
      </c>
      <c r="BG191" s="17" t="n">
        <v>0.025</v>
      </c>
      <c r="BH191" s="17" t="n">
        <v>0.081</v>
      </c>
      <c r="BI191" s="14" t="n">
        <f aca="false">P191*(1+IFERROR(Q191,0))^4</f>
        <v>271260.329705649</v>
      </c>
      <c r="BJ191" s="12" t="n">
        <v>-955472</v>
      </c>
      <c r="BK191" s="11" t="s">
        <v>110</v>
      </c>
      <c r="BL191" s="11" t="s">
        <v>128</v>
      </c>
      <c r="BM191" s="14" t="n">
        <f aca="false">O191</f>
        <v>12192837</v>
      </c>
      <c r="BN191" s="11" t="s">
        <v>287</v>
      </c>
      <c r="BO191" s="13" t="n">
        <f aca="false">IFERROR(1-L191/M191,"")</f>
        <v>0.132916285935194</v>
      </c>
      <c r="BP191" s="11" t="s">
        <v>142</v>
      </c>
      <c r="BQ191" s="12" t="n">
        <v>2433107</v>
      </c>
      <c r="BR191" s="11" t="s">
        <v>88</v>
      </c>
      <c r="BS191" s="11" t="s">
        <v>89</v>
      </c>
      <c r="BT191" s="19" t="str">
        <f aca="false">IF(OR(Z191&lt;6,AH191&lt;0.9,S191&lt;0.02,AK191&lt;1),"REVIEW",IF(AND(S191&gt;0.25,AH191&gt;1.2),"ACCELERATING","STABLE"))</f>
        <v>STABLE</v>
      </c>
    </row>
    <row r="192" customFormat="false" ht="15" hidden="false" customHeight="false" outlineLevel="0" collapsed="false">
      <c r="A192" s="11" t="s">
        <v>285</v>
      </c>
      <c r="B192" s="11" t="s">
        <v>92</v>
      </c>
      <c r="C192" s="11" t="s">
        <v>74</v>
      </c>
      <c r="D192" s="11" t="s">
        <v>95</v>
      </c>
      <c r="E192" s="11" t="s">
        <v>105</v>
      </c>
      <c r="F192" s="11" t="s">
        <v>286</v>
      </c>
      <c r="G192" s="11" t="s">
        <v>78</v>
      </c>
      <c r="H192" s="11" t="s">
        <v>79</v>
      </c>
      <c r="I192" s="11" t="s">
        <v>78</v>
      </c>
      <c r="J192" s="12" t="n">
        <v>1891000</v>
      </c>
      <c r="K192" s="13" t="n">
        <f aca="false">IFERROR(J192/M192,"")</f>
        <v>0.132916285935194</v>
      </c>
      <c r="L192" s="12" t="n">
        <v>12336000</v>
      </c>
      <c r="M192" s="14" t="n">
        <f aca="false">L192+J192</f>
        <v>14227000</v>
      </c>
      <c r="N192" s="12" t="n">
        <v>7498000</v>
      </c>
      <c r="O192" s="12" t="n">
        <v>12192837</v>
      </c>
      <c r="P192" s="12" t="n">
        <v>102836</v>
      </c>
      <c r="Q192" s="13" t="n">
        <f aca="false">IFERROR(P192/P191-1,"")</f>
        <v>0.148120443457</v>
      </c>
      <c r="R192" s="12" t="n">
        <v>127271</v>
      </c>
      <c r="S192" s="13" t="n">
        <f aca="false">IFERROR(R192/R191-1,"")</f>
        <v>0.22822373627222</v>
      </c>
      <c r="T192" s="12" t="n">
        <v>60990</v>
      </c>
      <c r="U192" s="13" t="n">
        <f aca="false">IFERROR(T192/P192,"")</f>
        <v>0.593080244272434</v>
      </c>
      <c r="V192" s="14" t="n">
        <f aca="false">T192-AV192</f>
        <v>-1901391</v>
      </c>
      <c r="W192" s="14" t="n">
        <f aca="false">V192-AA192*0.1</f>
        <v>-1901391</v>
      </c>
      <c r="X192" s="12" t="n">
        <v>4179183</v>
      </c>
      <c r="Y192" s="12" t="n">
        <v>152290</v>
      </c>
      <c r="Z192" s="15" t="n">
        <f aca="false">IFERROR(X192/Y192,"")</f>
        <v>27.4422680412371</v>
      </c>
      <c r="AA192" s="12" t="n">
        <v>0</v>
      </c>
      <c r="AB192" s="14" t="n">
        <f aca="false">W192-0.02*P192</f>
        <v>-1903447.72</v>
      </c>
      <c r="AC192" s="16" t="n">
        <v>51</v>
      </c>
      <c r="AD192" s="13" t="n">
        <f aca="false">IFERROR(AC192/AC191-1,"")</f>
        <v>0.24390243902439</v>
      </c>
      <c r="AE192" s="17" t="n">
        <v>0.116</v>
      </c>
      <c r="AF192" s="17" t="n">
        <v>0.073</v>
      </c>
      <c r="AG192" s="13" t="n">
        <f aca="false">1-AF192</f>
        <v>0.927</v>
      </c>
      <c r="AH192" s="17" t="n">
        <v>1.161</v>
      </c>
      <c r="AI192" s="12" t="n">
        <v>33966</v>
      </c>
      <c r="AJ192" s="14" t="n">
        <f aca="false">IFERROR(AM192*U192*MIN(1/AE192,5),"")</f>
        <v>126444.708078883</v>
      </c>
      <c r="AK192" s="18" t="n">
        <f aca="false">IFERROR(AJ192/AI192,"")</f>
        <v>3.72268468700709</v>
      </c>
      <c r="AL192" s="15" t="n">
        <f aca="false">IFERROR(AI192/(AM192*U192/12),"")</f>
        <v>16.1174004904073</v>
      </c>
      <c r="AM192" s="12" t="n">
        <v>42640</v>
      </c>
      <c r="AN192" s="12" t="n">
        <v>169386</v>
      </c>
      <c r="AO192" s="12" t="n">
        <v>327418</v>
      </c>
      <c r="AP192" s="17" t="n">
        <v>0.294</v>
      </c>
      <c r="AQ192" s="16" t="n">
        <v>78</v>
      </c>
      <c r="AR192" s="16" t="n">
        <v>4</v>
      </c>
      <c r="AS192" s="13" t="n">
        <f aca="false">IFERROR(AR192/AR191-1,"")</f>
        <v>0.333333333333333</v>
      </c>
      <c r="AT192" s="11" t="s">
        <v>134</v>
      </c>
      <c r="AU192" s="14" t="n">
        <f aca="false">IFERROR(P192/AR192,"")</f>
        <v>25709</v>
      </c>
      <c r="AV192" s="12" t="n">
        <v>1962381</v>
      </c>
      <c r="AW192" s="12" t="n">
        <v>813491</v>
      </c>
      <c r="AX192" s="12" t="n">
        <v>377968</v>
      </c>
      <c r="AY192" s="16" t="n">
        <v>17643</v>
      </c>
      <c r="AZ192" s="13" t="n">
        <f aca="false">IFERROR(AY192/AY191-1,"")</f>
        <v>0.188480970023577</v>
      </c>
      <c r="BA192" s="17" t="n">
        <v>0.887</v>
      </c>
      <c r="BB192" s="11" t="s">
        <v>161</v>
      </c>
      <c r="BC192" s="11" t="s">
        <v>100</v>
      </c>
      <c r="BD192" s="11" t="s">
        <v>157</v>
      </c>
      <c r="BE192" s="12" t="n">
        <v>102824</v>
      </c>
      <c r="BF192" s="13" t="n">
        <f aca="false">IFERROR(P192/BE192-1,"")</f>
        <v>0.000116704271376333</v>
      </c>
      <c r="BG192" s="17" t="n">
        <v>0.075</v>
      </c>
      <c r="BH192" s="17" t="n">
        <v>0.098</v>
      </c>
      <c r="BI192" s="14" t="n">
        <f aca="false">P192*(1+IFERROR(Q192,0))^4</f>
        <v>178687.830460831</v>
      </c>
      <c r="BJ192" s="12" t="n">
        <v>-1413346</v>
      </c>
      <c r="BK192" s="11" t="s">
        <v>110</v>
      </c>
      <c r="BL192" s="11" t="s">
        <v>128</v>
      </c>
      <c r="BM192" s="14" t="n">
        <f aca="false">O192</f>
        <v>12192837</v>
      </c>
      <c r="BN192" s="11" t="s">
        <v>287</v>
      </c>
      <c r="BO192" s="13" t="n">
        <f aca="false">IFERROR(1-L192/M192,"")</f>
        <v>0.132916285935194</v>
      </c>
      <c r="BP192" s="11" t="s">
        <v>142</v>
      </c>
      <c r="BQ192" s="12" t="n">
        <v>2361513</v>
      </c>
      <c r="BR192" s="11" t="s">
        <v>88</v>
      </c>
      <c r="BS192" s="11" t="s">
        <v>89</v>
      </c>
      <c r="BT192" s="19" t="str">
        <f aca="false">IF(OR(Z192&lt;6,AH192&lt;0.9,S192&lt;0.02,AK192&lt;1),"REVIEW",IF(AND(S192&gt;0.25,AH192&gt;1.2),"ACCELERATING","STABLE"))</f>
        <v>STABLE</v>
      </c>
    </row>
    <row r="193" customFormat="false" ht="15" hidden="false" customHeight="false" outlineLevel="0" collapsed="false">
      <c r="A193" s="11" t="s">
        <v>285</v>
      </c>
      <c r="B193" s="11" t="s">
        <v>93</v>
      </c>
      <c r="C193" s="11" t="s">
        <v>74</v>
      </c>
      <c r="D193" s="11" t="s">
        <v>95</v>
      </c>
      <c r="E193" s="11" t="s">
        <v>105</v>
      </c>
      <c r="F193" s="11" t="s">
        <v>286</v>
      </c>
      <c r="G193" s="11" t="s">
        <v>78</v>
      </c>
      <c r="H193" s="11" t="s">
        <v>79</v>
      </c>
      <c r="I193" s="11" t="s">
        <v>78</v>
      </c>
      <c r="J193" s="12" t="n">
        <v>1891000</v>
      </c>
      <c r="K193" s="13" t="n">
        <f aca="false">IFERROR(J193/M193,"")</f>
        <v>0.132916285935194</v>
      </c>
      <c r="L193" s="12" t="n">
        <v>12336000</v>
      </c>
      <c r="M193" s="14" t="n">
        <f aca="false">L193+J193</f>
        <v>14227000</v>
      </c>
      <c r="N193" s="12" t="n">
        <v>7498000</v>
      </c>
      <c r="O193" s="12" t="n">
        <v>12192837</v>
      </c>
      <c r="P193" s="12" t="n">
        <v>133980</v>
      </c>
      <c r="Q193" s="13" t="n">
        <f aca="false">IFERROR(P193/P192-1,"")</f>
        <v>0.302851141623556</v>
      </c>
      <c r="R193" s="12" t="n">
        <v>145524</v>
      </c>
      <c r="S193" s="13" t="n">
        <f aca="false">IFERROR(R193/R192-1,"")</f>
        <v>0.14341837496366</v>
      </c>
      <c r="T193" s="12" t="n">
        <v>79779</v>
      </c>
      <c r="U193" s="13" t="n">
        <f aca="false">IFERROR(T193/P193,"")</f>
        <v>0.595454545454546</v>
      </c>
      <c r="V193" s="14" t="n">
        <f aca="false">T193-AV193</f>
        <v>-2016792</v>
      </c>
      <c r="W193" s="14" t="n">
        <f aca="false">V193-AA193*0.1</f>
        <v>-2016792</v>
      </c>
      <c r="X193" s="12" t="n">
        <v>3768000</v>
      </c>
      <c r="Y193" s="12" t="n">
        <v>157000</v>
      </c>
      <c r="Z193" s="15" t="n">
        <f aca="false">IFERROR(X193/Y193,"")</f>
        <v>24</v>
      </c>
      <c r="AA193" s="12" t="n">
        <v>0</v>
      </c>
      <c r="AB193" s="14" t="n">
        <f aca="false">W193-0.02*P193</f>
        <v>-2019471.6</v>
      </c>
      <c r="AC193" s="16" t="n">
        <v>61</v>
      </c>
      <c r="AD193" s="13" t="n">
        <f aca="false">IFERROR(AC193/AC192-1,"")</f>
        <v>0.196078431372549</v>
      </c>
      <c r="AE193" s="17" t="n">
        <v>0.113</v>
      </c>
      <c r="AF193" s="17" t="n">
        <v>0.075</v>
      </c>
      <c r="AG193" s="13" t="n">
        <f aca="false">1-AF193</f>
        <v>0.925</v>
      </c>
      <c r="AH193" s="17" t="n">
        <v>1.156</v>
      </c>
      <c r="AI193" s="12" t="n">
        <v>33300</v>
      </c>
      <c r="AJ193" s="14" t="n">
        <f aca="false">IFERROR(AM193*U193*MIN(1/AE193,5),"")</f>
        <v>129392.272727273</v>
      </c>
      <c r="AK193" s="18" t="n">
        <f aca="false">IFERROR(AJ193/AI193,"")</f>
        <v>3.88565383565384</v>
      </c>
      <c r="AL193" s="15" t="n">
        <f aca="false">IFERROR(AI193/(AM193*U193/12),"")</f>
        <v>15.4414166927209</v>
      </c>
      <c r="AM193" s="12" t="n">
        <v>43460</v>
      </c>
      <c r="AN193" s="12" t="n">
        <v>168719</v>
      </c>
      <c r="AO193" s="12" t="n">
        <v>449480</v>
      </c>
      <c r="AP193" s="17" t="n">
        <v>0.294</v>
      </c>
      <c r="AQ193" s="16" t="n">
        <v>78</v>
      </c>
      <c r="AR193" s="16" t="n">
        <v>4</v>
      </c>
      <c r="AS193" s="13" t="n">
        <f aca="false">IFERROR(AR193/AR192-1,"")</f>
        <v>0</v>
      </c>
      <c r="AT193" s="11" t="s">
        <v>134</v>
      </c>
      <c r="AU193" s="14" t="n">
        <f aca="false">IFERROR(P193/AR193,"")</f>
        <v>33495</v>
      </c>
      <c r="AV193" s="12" t="n">
        <v>2096571</v>
      </c>
      <c r="AW193" s="12" t="n">
        <v>716926</v>
      </c>
      <c r="AX193" s="12" t="n">
        <v>467447</v>
      </c>
      <c r="AY193" s="16" t="n">
        <v>20161</v>
      </c>
      <c r="AZ193" s="13" t="n">
        <f aca="false">IFERROR(AY193/AY192-1,"")</f>
        <v>0.142719492149861</v>
      </c>
      <c r="BA193" s="17" t="n">
        <v>0.899</v>
      </c>
      <c r="BB193" s="11" t="s">
        <v>161</v>
      </c>
      <c r="BC193" s="11" t="s">
        <v>100</v>
      </c>
      <c r="BD193" s="11" t="s">
        <v>157</v>
      </c>
      <c r="BE193" s="12" t="n">
        <v>126359</v>
      </c>
      <c r="BF193" s="13" t="n">
        <f aca="false">IFERROR(P193/BE193-1,"")</f>
        <v>0.0603122848392279</v>
      </c>
      <c r="BG193" s="17" t="n">
        <v>-0.042</v>
      </c>
      <c r="BH193" s="17" t="n">
        <v>-0.055</v>
      </c>
      <c r="BI193" s="14" t="n">
        <f aca="false">P193*(1+IFERROR(Q193,0))^4</f>
        <v>386028.318329365</v>
      </c>
      <c r="BJ193" s="12" t="n">
        <v>-1152754</v>
      </c>
      <c r="BK193" s="11" t="s">
        <v>110</v>
      </c>
      <c r="BL193" s="11" t="s">
        <v>128</v>
      </c>
      <c r="BM193" s="14" t="n">
        <f aca="false">O193</f>
        <v>12192837</v>
      </c>
      <c r="BN193" s="11" t="s">
        <v>287</v>
      </c>
      <c r="BO193" s="13" t="n">
        <f aca="false">IFERROR(1-L193/M193,"")</f>
        <v>0.132916285935194</v>
      </c>
      <c r="BP193" s="11" t="s">
        <v>142</v>
      </c>
      <c r="BQ193" s="12" t="n">
        <v>2408024</v>
      </c>
      <c r="BR193" s="11" t="s">
        <v>88</v>
      </c>
      <c r="BS193" s="11" t="s">
        <v>89</v>
      </c>
      <c r="BT193" s="19" t="str">
        <f aca="false">IF(OR(Z193&lt;6,AH193&lt;0.9,S193&lt;0.02,AK193&lt;1),"REVIEW",IF(AND(S193&gt;0.25,AH193&gt;1.2),"ACCELERATING","STABLE"))</f>
        <v>STABLE</v>
      </c>
    </row>
    <row r="194" customFormat="false" ht="15" hidden="false" customHeight="false" outlineLevel="0" collapsed="false">
      <c r="A194" s="3" t="s">
        <v>288</v>
      </c>
      <c r="B194" s="3" t="s">
        <v>73</v>
      </c>
      <c r="C194" s="3" t="s">
        <v>74</v>
      </c>
      <c r="D194" s="3" t="s">
        <v>95</v>
      </c>
      <c r="E194" s="3" t="s">
        <v>289</v>
      </c>
      <c r="F194" s="3" t="s">
        <v>290</v>
      </c>
      <c r="G194" s="3" t="s">
        <v>78</v>
      </c>
      <c r="H194" s="3" t="s">
        <v>79</v>
      </c>
      <c r="I194" s="3" t="s">
        <v>78</v>
      </c>
      <c r="J194" s="4" t="n">
        <v>1651000</v>
      </c>
      <c r="K194" s="5" t="n">
        <f aca="false">IFERROR(J194/M194,"")</f>
        <v>0.113556640759337</v>
      </c>
      <c r="L194" s="4" t="n">
        <v>12888000</v>
      </c>
      <c r="M194" s="6" t="n">
        <f aca="false">L194+J194</f>
        <v>14539000</v>
      </c>
      <c r="N194" s="4" t="n">
        <v>4052000</v>
      </c>
      <c r="O194" s="4" t="n">
        <v>21800413</v>
      </c>
      <c r="P194" s="4" t="n">
        <v>615130</v>
      </c>
      <c r="Q194" s="7"/>
      <c r="R194" s="4" t="n">
        <v>725116</v>
      </c>
      <c r="S194" s="7"/>
      <c r="T194" s="4" t="n">
        <v>357074</v>
      </c>
      <c r="U194" s="5" t="n">
        <f aca="false">IFERROR(T194/P194,"")</f>
        <v>0.580485425844943</v>
      </c>
      <c r="V194" s="6" t="n">
        <f aca="false">T194-AV194</f>
        <v>-2210211</v>
      </c>
      <c r="W194" s="6" t="n">
        <f aca="false">V194-AA194*0.1</f>
        <v>-2266311</v>
      </c>
      <c r="X194" s="4" t="n">
        <v>1159200</v>
      </c>
      <c r="Y194" s="4" t="n">
        <v>205660</v>
      </c>
      <c r="Z194" s="8" t="n">
        <f aca="false">IFERROR(X194/Y194,"")</f>
        <v>5.63648740639891</v>
      </c>
      <c r="AA194" s="4" t="n">
        <v>561000</v>
      </c>
      <c r="AB194" s="6" t="n">
        <f aca="false">W194-0.02*P194</f>
        <v>-2278613.6</v>
      </c>
      <c r="AC194" s="9" t="n">
        <v>7</v>
      </c>
      <c r="AD194" s="7"/>
      <c r="AE194" s="7" t="n">
        <v>0.036</v>
      </c>
      <c r="AF194" s="7" t="n">
        <v>0.036</v>
      </c>
      <c r="AG194" s="5" t="n">
        <f aca="false">1-AF194</f>
        <v>0.964</v>
      </c>
      <c r="AH194" s="7" t="n">
        <v>1.274</v>
      </c>
      <c r="AI194" s="4" t="n">
        <v>17490</v>
      </c>
      <c r="AJ194" s="6" t="n">
        <f aca="false">IFERROR(AM194*U194*MIN(1/AE194,5),"")</f>
        <v>69658.2511013932</v>
      </c>
      <c r="AK194" s="10" t="n">
        <f aca="false">IFERROR(AJ194/AI194,"")</f>
        <v>3.98274734713512</v>
      </c>
      <c r="AL194" s="8" t="n">
        <f aca="false">IFERROR(AI194/(AM194*U194/12),"")</f>
        <v>15.064977707702</v>
      </c>
      <c r="AM194" s="4" t="n">
        <v>24000</v>
      </c>
      <c r="AN194" s="4" t="n">
        <v>955842</v>
      </c>
      <c r="AO194" s="4" t="n">
        <v>1107491</v>
      </c>
      <c r="AP194" s="7" t="n">
        <v>0.196</v>
      </c>
      <c r="AQ194" s="9" t="n">
        <v>32</v>
      </c>
      <c r="AR194" s="9" t="n">
        <v>3</v>
      </c>
      <c r="AS194" s="7"/>
      <c r="AT194" s="3" t="s">
        <v>98</v>
      </c>
      <c r="AU194" s="6" t="n">
        <f aca="false">IFERROR(P194/AR194,"")</f>
        <v>205043.333333333</v>
      </c>
      <c r="AV194" s="4" t="n">
        <v>2567285</v>
      </c>
      <c r="AW194" s="4" t="n">
        <v>805788</v>
      </c>
      <c r="AX194" s="4" t="n">
        <v>567608</v>
      </c>
      <c r="AY194" s="9" t="n">
        <v>3693</v>
      </c>
      <c r="AZ194" s="7"/>
      <c r="BA194" s="7" t="n">
        <v>0.969</v>
      </c>
      <c r="BB194" s="3" t="s">
        <v>99</v>
      </c>
      <c r="BC194" s="3" t="s">
        <v>126</v>
      </c>
      <c r="BD194" s="3" t="s">
        <v>101</v>
      </c>
      <c r="BE194" s="4" t="n">
        <v>555330</v>
      </c>
      <c r="BF194" s="5" t="n">
        <f aca="false">IFERROR(P194/BE194-1,"")</f>
        <v>0.107683719590154</v>
      </c>
      <c r="BG194" s="7" t="n">
        <v>-0.04</v>
      </c>
      <c r="BH194" s="7" t="n">
        <v>0.057</v>
      </c>
      <c r="BI194" s="6" t="n">
        <f aca="false">P194</f>
        <v>615130</v>
      </c>
      <c r="BJ194" s="4" t="n">
        <v>-1451149</v>
      </c>
      <c r="BK194" s="3" t="s">
        <v>102</v>
      </c>
      <c r="BL194" s="3" t="s">
        <v>111</v>
      </c>
      <c r="BM194" s="6" t="n">
        <f aca="false">O194</f>
        <v>21800413</v>
      </c>
      <c r="BN194" s="3" t="s">
        <v>291</v>
      </c>
      <c r="BO194" s="5" t="n">
        <f aca="false">IFERROR(1-L194/M194,"")</f>
        <v>0.113556640759337</v>
      </c>
      <c r="BP194" s="3" t="s">
        <v>130</v>
      </c>
      <c r="BQ194" s="4" t="n">
        <v>2659935</v>
      </c>
      <c r="BR194" s="3" t="s">
        <v>88</v>
      </c>
      <c r="BS194" s="3" t="s">
        <v>89</v>
      </c>
      <c r="BT194" s="3" t="s">
        <v>90</v>
      </c>
    </row>
    <row r="195" customFormat="false" ht="15" hidden="false" customHeight="false" outlineLevel="0" collapsed="false">
      <c r="A195" s="11" t="s">
        <v>288</v>
      </c>
      <c r="B195" s="11" t="s">
        <v>91</v>
      </c>
      <c r="C195" s="11" t="s">
        <v>74</v>
      </c>
      <c r="D195" s="11" t="s">
        <v>95</v>
      </c>
      <c r="E195" s="11" t="s">
        <v>289</v>
      </c>
      <c r="F195" s="11" t="s">
        <v>290</v>
      </c>
      <c r="G195" s="11" t="s">
        <v>78</v>
      </c>
      <c r="H195" s="11" t="s">
        <v>79</v>
      </c>
      <c r="I195" s="11" t="s">
        <v>78</v>
      </c>
      <c r="J195" s="12" t="n">
        <v>1651000</v>
      </c>
      <c r="K195" s="13" t="n">
        <f aca="false">IFERROR(J195/M195,"")</f>
        <v>0.113556640759337</v>
      </c>
      <c r="L195" s="12" t="n">
        <v>12888000</v>
      </c>
      <c r="M195" s="14" t="n">
        <f aca="false">L195+J195</f>
        <v>14539000</v>
      </c>
      <c r="N195" s="12" t="n">
        <v>4052000</v>
      </c>
      <c r="O195" s="12" t="n">
        <v>21800413</v>
      </c>
      <c r="P195" s="12" t="n">
        <v>868839</v>
      </c>
      <c r="Q195" s="13" t="n">
        <f aca="false">IFERROR(P195/P194-1,"")</f>
        <v>0.412447775267017</v>
      </c>
      <c r="R195" s="12" t="n">
        <v>981128</v>
      </c>
      <c r="S195" s="13" t="n">
        <f aca="false">IFERROR(R195/R194-1,"")</f>
        <v>0.353063509838426</v>
      </c>
      <c r="T195" s="12" t="n">
        <v>506389</v>
      </c>
      <c r="U195" s="13" t="n">
        <f aca="false">IFERROR(T195/P195,"")</f>
        <v>0.582834103901874</v>
      </c>
      <c r="V195" s="14" t="n">
        <f aca="false">T195-AV195</f>
        <v>-2027224</v>
      </c>
      <c r="W195" s="14" t="n">
        <f aca="false">V195-AA195*0.1</f>
        <v>-2083324</v>
      </c>
      <c r="X195" s="12" t="n">
        <v>1490400</v>
      </c>
      <c r="Y195" s="12" t="n">
        <v>212440</v>
      </c>
      <c r="Z195" s="15" t="n">
        <f aca="false">IFERROR(X195/Y195,"")</f>
        <v>7.01562794200716</v>
      </c>
      <c r="AA195" s="12" t="n">
        <v>561000</v>
      </c>
      <c r="AB195" s="14" t="n">
        <f aca="false">W195-0.02*P195</f>
        <v>-2100700.78</v>
      </c>
      <c r="AC195" s="16" t="n">
        <v>10</v>
      </c>
      <c r="AD195" s="13" t="n">
        <f aca="false">IFERROR(AC195/AC194-1,"")</f>
        <v>0.428571428571429</v>
      </c>
      <c r="AE195" s="17" t="n">
        <v>0.035</v>
      </c>
      <c r="AF195" s="17" t="n">
        <v>0.038</v>
      </c>
      <c r="AG195" s="13" t="n">
        <f aca="false">1-AF195</f>
        <v>0.962</v>
      </c>
      <c r="AH195" s="17" t="n">
        <v>1.304</v>
      </c>
      <c r="AI195" s="12" t="n">
        <v>17160</v>
      </c>
      <c r="AJ195" s="14" t="n">
        <f aca="false">IFERROR(AM195*U195*MIN(1/AE195,5),"")</f>
        <v>71338.8943175893</v>
      </c>
      <c r="AK195" s="18" t="n">
        <f aca="false">IFERROR(AJ195/AI195,"")</f>
        <v>4.15727822363574</v>
      </c>
      <c r="AL195" s="15" t="n">
        <f aca="false">IFERROR(AI195/(AM195*U195/12),"")</f>
        <v>14.4325197334344</v>
      </c>
      <c r="AM195" s="12" t="n">
        <v>24480</v>
      </c>
      <c r="AN195" s="12" t="n">
        <v>1075088</v>
      </c>
      <c r="AO195" s="12" t="n">
        <v>2333693</v>
      </c>
      <c r="AP195" s="17" t="n">
        <v>0.196</v>
      </c>
      <c r="AQ195" s="16" t="n">
        <v>32</v>
      </c>
      <c r="AR195" s="16" t="n">
        <v>3</v>
      </c>
      <c r="AS195" s="13" t="n">
        <f aca="false">IFERROR(AR195/AR194-1,"")</f>
        <v>0</v>
      </c>
      <c r="AT195" s="11" t="s">
        <v>98</v>
      </c>
      <c r="AU195" s="14" t="n">
        <f aca="false">IFERROR(P195/AR195,"")</f>
        <v>289613</v>
      </c>
      <c r="AV195" s="12" t="n">
        <v>2533613</v>
      </c>
      <c r="AW195" s="12" t="n">
        <v>1138087</v>
      </c>
      <c r="AX195" s="12" t="n">
        <v>809523</v>
      </c>
      <c r="AY195" s="16" t="n">
        <v>4736</v>
      </c>
      <c r="AZ195" s="13" t="n">
        <f aca="false">IFERROR(AY195/AY194-1,"")</f>
        <v>0.282426211751963</v>
      </c>
      <c r="BA195" s="17" t="n">
        <v>0.962</v>
      </c>
      <c r="BB195" s="11" t="s">
        <v>99</v>
      </c>
      <c r="BC195" s="11" t="s">
        <v>126</v>
      </c>
      <c r="BD195" s="11" t="s">
        <v>101</v>
      </c>
      <c r="BE195" s="12" t="n">
        <v>873286</v>
      </c>
      <c r="BF195" s="13" t="n">
        <f aca="false">IFERROR(P195/BE195-1,"")</f>
        <v>-0.00509226072558133</v>
      </c>
      <c r="BG195" s="17" t="n">
        <v>-0.025</v>
      </c>
      <c r="BH195" s="17" t="n">
        <v>-0.033</v>
      </c>
      <c r="BI195" s="14" t="n">
        <f aca="false">P195*(1+IFERROR(Q195,0))^4</f>
        <v>3458031.16295264</v>
      </c>
      <c r="BJ195" s="12" t="n">
        <v>-2534810</v>
      </c>
      <c r="BK195" s="11" t="s">
        <v>102</v>
      </c>
      <c r="BL195" s="11" t="s">
        <v>111</v>
      </c>
      <c r="BM195" s="14" t="n">
        <f aca="false">O195</f>
        <v>21800413</v>
      </c>
      <c r="BN195" s="11" t="s">
        <v>291</v>
      </c>
      <c r="BO195" s="13" t="n">
        <f aca="false">IFERROR(1-L195/M195,"")</f>
        <v>0.113556640759337</v>
      </c>
      <c r="BP195" s="11" t="s">
        <v>130</v>
      </c>
      <c r="BQ195" s="12" t="n">
        <v>4036110</v>
      </c>
      <c r="BR195" s="11" t="s">
        <v>88</v>
      </c>
      <c r="BS195" s="11" t="s">
        <v>89</v>
      </c>
      <c r="BT195" s="19" t="str">
        <f aca="false">IF(OR(Z195&lt;6,AH195&lt;0.9,S195&lt;0.02,AK195&lt;1),"REVIEW",IF(AND(S195&gt;0.25,AH195&gt;1.2),"ACCELERATING","STABLE"))</f>
        <v>ACCELERATING</v>
      </c>
    </row>
    <row r="196" customFormat="false" ht="15" hidden="false" customHeight="false" outlineLevel="0" collapsed="false">
      <c r="A196" s="11" t="s">
        <v>288</v>
      </c>
      <c r="B196" s="11" t="s">
        <v>92</v>
      </c>
      <c r="C196" s="11" t="s">
        <v>74</v>
      </c>
      <c r="D196" s="11" t="s">
        <v>95</v>
      </c>
      <c r="E196" s="11" t="s">
        <v>289</v>
      </c>
      <c r="F196" s="11" t="s">
        <v>290</v>
      </c>
      <c r="G196" s="11" t="s">
        <v>78</v>
      </c>
      <c r="H196" s="11" t="s">
        <v>79</v>
      </c>
      <c r="I196" s="11" t="s">
        <v>78</v>
      </c>
      <c r="J196" s="12" t="n">
        <v>1651000</v>
      </c>
      <c r="K196" s="13" t="n">
        <f aca="false">IFERROR(J196/M196,"")</f>
        <v>0.113556640759337</v>
      </c>
      <c r="L196" s="12" t="n">
        <v>12888000</v>
      </c>
      <c r="M196" s="14" t="n">
        <f aca="false">L196+J196</f>
        <v>14539000</v>
      </c>
      <c r="N196" s="12" t="n">
        <v>4052000</v>
      </c>
      <c r="O196" s="12" t="n">
        <v>21800413</v>
      </c>
      <c r="P196" s="12" t="n">
        <v>1252124</v>
      </c>
      <c r="Q196" s="13" t="n">
        <f aca="false">IFERROR(P196/P195-1,"")</f>
        <v>0.44114617322657</v>
      </c>
      <c r="R196" s="12" t="n">
        <v>1470482</v>
      </c>
      <c r="S196" s="13" t="n">
        <f aca="false">IFERROR(R196/R195-1,"")</f>
        <v>0.498766725646399</v>
      </c>
      <c r="T196" s="12" t="n">
        <v>732724</v>
      </c>
      <c r="U196" s="13" t="n">
        <f aca="false">IFERROR(T196/P196,"")</f>
        <v>0.58518485389626</v>
      </c>
      <c r="V196" s="14" t="n">
        <f aca="false">T196-AV196</f>
        <v>-2614105</v>
      </c>
      <c r="W196" s="14" t="n">
        <f aca="false">V196-AA196*0.1</f>
        <v>-2670205</v>
      </c>
      <c r="X196" s="12" t="n">
        <v>1821600</v>
      </c>
      <c r="Y196" s="12" t="n">
        <v>219220</v>
      </c>
      <c r="Z196" s="15" t="n">
        <f aca="false">IFERROR(X196/Y196,"")</f>
        <v>8.30946081561901</v>
      </c>
      <c r="AA196" s="12" t="n">
        <v>561000</v>
      </c>
      <c r="AB196" s="14" t="n">
        <f aca="false">W196-0.02*P196</f>
        <v>-2695247.48</v>
      </c>
      <c r="AC196" s="16" t="n">
        <v>13</v>
      </c>
      <c r="AD196" s="13" t="n">
        <f aca="false">IFERROR(AC196/AC195-1,"")</f>
        <v>0.3</v>
      </c>
      <c r="AE196" s="17" t="n">
        <v>0.034</v>
      </c>
      <c r="AF196" s="17" t="n">
        <v>0.036</v>
      </c>
      <c r="AG196" s="13" t="n">
        <f aca="false">1-AF196</f>
        <v>0.964</v>
      </c>
      <c r="AH196" s="17" t="n">
        <v>1.334</v>
      </c>
      <c r="AI196" s="12" t="n">
        <v>16830</v>
      </c>
      <c r="AJ196" s="14" t="n">
        <f aca="false">IFERROR(AM196*U196*MIN(1/AE196,5),"")</f>
        <v>73031.0697662532</v>
      </c>
      <c r="AK196" s="18" t="n">
        <f aca="false">IFERROR(AJ196/AI196,"")</f>
        <v>4.33933866703822</v>
      </c>
      <c r="AL196" s="15" t="n">
        <f aca="false">IFERROR(AI196/(AM196*U196/12),"")</f>
        <v>13.8269917616162</v>
      </c>
      <c r="AM196" s="12" t="n">
        <v>24960</v>
      </c>
      <c r="AN196" s="12" t="n">
        <v>1789900</v>
      </c>
      <c r="AO196" s="12" t="n">
        <v>2859244</v>
      </c>
      <c r="AP196" s="17" t="n">
        <v>0.196</v>
      </c>
      <c r="AQ196" s="16" t="n">
        <v>32</v>
      </c>
      <c r="AR196" s="16" t="n">
        <v>4</v>
      </c>
      <c r="AS196" s="13" t="n">
        <f aca="false">IFERROR(AR196/AR195-1,"")</f>
        <v>0.333333333333333</v>
      </c>
      <c r="AT196" s="11" t="s">
        <v>98</v>
      </c>
      <c r="AU196" s="14" t="n">
        <f aca="false">IFERROR(P196/AR196,"")</f>
        <v>313031</v>
      </c>
      <c r="AV196" s="12" t="n">
        <v>3346829</v>
      </c>
      <c r="AW196" s="12" t="n">
        <v>1366070</v>
      </c>
      <c r="AX196" s="12" t="n">
        <v>843993</v>
      </c>
      <c r="AY196" s="16" t="n">
        <v>6924</v>
      </c>
      <c r="AZ196" s="13" t="n">
        <f aca="false">IFERROR(AY196/AY195-1,"")</f>
        <v>0.461993243243243</v>
      </c>
      <c r="BA196" s="17" t="n">
        <v>0.974</v>
      </c>
      <c r="BB196" s="11" t="s">
        <v>99</v>
      </c>
      <c r="BC196" s="11" t="s">
        <v>126</v>
      </c>
      <c r="BD196" s="11" t="s">
        <v>101</v>
      </c>
      <c r="BE196" s="12" t="n">
        <v>1543188</v>
      </c>
      <c r="BF196" s="13" t="n">
        <f aca="false">IFERROR(P196/BE196-1,"")</f>
        <v>-0.188612145765778</v>
      </c>
      <c r="BG196" s="17" t="n">
        <v>-0.002</v>
      </c>
      <c r="BH196" s="17" t="n">
        <v>0.068</v>
      </c>
      <c r="BI196" s="14" t="n">
        <f aca="false">P196*(1+IFERROR(Q196,0))^4</f>
        <v>5401065.83942249</v>
      </c>
      <c r="BJ196" s="12" t="n">
        <v>-2553174</v>
      </c>
      <c r="BK196" s="11" t="s">
        <v>102</v>
      </c>
      <c r="BL196" s="11" t="s">
        <v>111</v>
      </c>
      <c r="BM196" s="14" t="n">
        <f aca="false">O196</f>
        <v>21800413</v>
      </c>
      <c r="BN196" s="11" t="s">
        <v>291</v>
      </c>
      <c r="BO196" s="13" t="n">
        <f aca="false">IFERROR(1-L196/M196,"")</f>
        <v>0.113556640759337</v>
      </c>
      <c r="BP196" s="11" t="s">
        <v>130</v>
      </c>
      <c r="BQ196" s="12" t="n">
        <v>3965831</v>
      </c>
      <c r="BR196" s="11" t="s">
        <v>88</v>
      </c>
      <c r="BS196" s="11" t="s">
        <v>89</v>
      </c>
      <c r="BT196" s="19" t="str">
        <f aca="false">IF(OR(Z196&lt;6,AH196&lt;0.9,S196&lt;0.02,AK196&lt;1),"REVIEW",IF(AND(S196&gt;0.25,AH196&gt;1.2),"ACCELERATING","STABLE"))</f>
        <v>ACCELERATING</v>
      </c>
    </row>
    <row r="197" customFormat="false" ht="15" hidden="false" customHeight="false" outlineLevel="0" collapsed="false">
      <c r="A197" s="11" t="s">
        <v>288</v>
      </c>
      <c r="B197" s="11" t="s">
        <v>93</v>
      </c>
      <c r="C197" s="11" t="s">
        <v>74</v>
      </c>
      <c r="D197" s="11" t="s">
        <v>95</v>
      </c>
      <c r="E197" s="11" t="s">
        <v>289</v>
      </c>
      <c r="F197" s="11" t="s">
        <v>290</v>
      </c>
      <c r="G197" s="11" t="s">
        <v>78</v>
      </c>
      <c r="H197" s="11" t="s">
        <v>79</v>
      </c>
      <c r="I197" s="11" t="s">
        <v>78</v>
      </c>
      <c r="J197" s="12" t="n">
        <v>1651000</v>
      </c>
      <c r="K197" s="13" t="n">
        <f aca="false">IFERROR(J197/M197,"")</f>
        <v>0.113556640759337</v>
      </c>
      <c r="L197" s="12" t="n">
        <v>12888000</v>
      </c>
      <c r="M197" s="14" t="n">
        <f aca="false">L197+J197</f>
        <v>14539000</v>
      </c>
      <c r="N197" s="12" t="n">
        <v>4052000</v>
      </c>
      <c r="O197" s="12" t="n">
        <v>21800413</v>
      </c>
      <c r="P197" s="12" t="n">
        <v>1711960</v>
      </c>
      <c r="Q197" s="13" t="n">
        <f aca="false">IFERROR(P197/P196-1,"")</f>
        <v>0.367244777673777</v>
      </c>
      <c r="R197" s="12" t="n">
        <v>1957340</v>
      </c>
      <c r="S197" s="13" t="n">
        <f aca="false">IFERROR(R197/R196-1,"")</f>
        <v>0.331087357750724</v>
      </c>
      <c r="T197" s="12" t="n">
        <v>1005836</v>
      </c>
      <c r="U197" s="13" t="n">
        <f aca="false">IFERROR(T197/P197,"")</f>
        <v>0.587534755484941</v>
      </c>
      <c r="V197" s="14" t="n">
        <f aca="false">T197-AV197</f>
        <v>-2746061</v>
      </c>
      <c r="W197" s="14" t="n">
        <f aca="false">V197-AA197*0.1</f>
        <v>-2802161</v>
      </c>
      <c r="X197" s="12" t="n">
        <v>3312000</v>
      </c>
      <c r="Y197" s="12" t="n">
        <v>226000</v>
      </c>
      <c r="Z197" s="15" t="n">
        <f aca="false">IFERROR(X197/Y197,"")</f>
        <v>14.6548672566372</v>
      </c>
      <c r="AA197" s="12" t="n">
        <v>561000</v>
      </c>
      <c r="AB197" s="14" t="n">
        <f aca="false">W197-0.02*P197</f>
        <v>-2836400.2</v>
      </c>
      <c r="AC197" s="16" t="n">
        <v>17</v>
      </c>
      <c r="AD197" s="13" t="n">
        <f aca="false">IFERROR(AC197/AC196-1,"")</f>
        <v>0.307692307692308</v>
      </c>
      <c r="AE197" s="17" t="n">
        <v>0.033</v>
      </c>
      <c r="AF197" s="17" t="n">
        <v>0.032</v>
      </c>
      <c r="AG197" s="13" t="n">
        <f aca="false">1-AF197</f>
        <v>0.968</v>
      </c>
      <c r="AH197" s="17" t="n">
        <v>1.364</v>
      </c>
      <c r="AI197" s="12" t="n">
        <v>16500</v>
      </c>
      <c r="AJ197" s="14" t="n">
        <f aca="false">IFERROR(AM197*U197*MIN(1/AE197,5),"")</f>
        <v>74734.4208976845</v>
      </c>
      <c r="AK197" s="18" t="n">
        <f aca="false">IFERROR(AJ197/AI197,"")</f>
        <v>4.52935884228391</v>
      </c>
      <c r="AL197" s="15" t="n">
        <f aca="false">IFERROR(AI197/(AM197*U197/12),"")</f>
        <v>13.246908025893</v>
      </c>
      <c r="AM197" s="12" t="n">
        <v>25440</v>
      </c>
      <c r="AN197" s="12" t="n">
        <v>2378329</v>
      </c>
      <c r="AO197" s="12" t="n">
        <v>4064050</v>
      </c>
      <c r="AP197" s="17" t="n">
        <v>0.196</v>
      </c>
      <c r="AQ197" s="16" t="n">
        <v>32</v>
      </c>
      <c r="AR197" s="16" t="n">
        <v>5</v>
      </c>
      <c r="AS197" s="13" t="n">
        <f aca="false">IFERROR(AR197/AR196-1,"")</f>
        <v>0.25</v>
      </c>
      <c r="AT197" s="11" t="s">
        <v>98</v>
      </c>
      <c r="AU197" s="14" t="n">
        <f aca="false">IFERROR(P197/AR197,"")</f>
        <v>342392</v>
      </c>
      <c r="AV197" s="12" t="n">
        <v>3751897</v>
      </c>
      <c r="AW197" s="12" t="n">
        <v>1407331</v>
      </c>
      <c r="AX197" s="12" t="n">
        <v>1216252</v>
      </c>
      <c r="AY197" s="16" t="n">
        <v>9127</v>
      </c>
      <c r="AZ197" s="13" t="n">
        <f aca="false">IFERROR(AY197/AY196-1,"")</f>
        <v>0.318168688619295</v>
      </c>
      <c r="BA197" s="17" t="n">
        <v>0.974</v>
      </c>
      <c r="BB197" s="11" t="s">
        <v>99</v>
      </c>
      <c r="BC197" s="11" t="s">
        <v>126</v>
      </c>
      <c r="BD197" s="11" t="s">
        <v>101</v>
      </c>
      <c r="BE197" s="12" t="n">
        <v>1959248</v>
      </c>
      <c r="BF197" s="13" t="n">
        <f aca="false">IFERROR(P197/BE197-1,"")</f>
        <v>-0.126215772582134</v>
      </c>
      <c r="BG197" s="17" t="n">
        <v>-0.056</v>
      </c>
      <c r="BH197" s="17" t="n">
        <v>0.021</v>
      </c>
      <c r="BI197" s="14" t="n">
        <f aca="false">P197*(1+IFERROR(Q197,0))^4</f>
        <v>5982444.88212953</v>
      </c>
      <c r="BJ197" s="12" t="n">
        <v>-1409786</v>
      </c>
      <c r="BK197" s="11" t="s">
        <v>102</v>
      </c>
      <c r="BL197" s="11" t="s">
        <v>111</v>
      </c>
      <c r="BM197" s="14" t="n">
        <f aca="false">O197</f>
        <v>21800413</v>
      </c>
      <c r="BN197" s="11" t="s">
        <v>291</v>
      </c>
      <c r="BO197" s="13" t="n">
        <f aca="false">IFERROR(1-L197/M197,"")</f>
        <v>0.113556640759337</v>
      </c>
      <c r="BP197" s="11" t="s">
        <v>130</v>
      </c>
      <c r="BQ197" s="12" t="n">
        <v>3768818</v>
      </c>
      <c r="BR197" s="11" t="s">
        <v>88</v>
      </c>
      <c r="BS197" s="11" t="s">
        <v>89</v>
      </c>
      <c r="BT197" s="19" t="str">
        <f aca="false">IF(OR(Z197&lt;6,AH197&lt;0.9,S197&lt;0.02,AK197&lt;1),"REVIEW",IF(AND(S197&gt;0.25,AH197&gt;1.2),"ACCELERATING","STABLE"))</f>
        <v>ACCELERATING</v>
      </c>
    </row>
    <row r="198" customFormat="false" ht="15" hidden="false" customHeight="false" outlineLevel="0" collapsed="false">
      <c r="A198" s="3" t="s">
        <v>292</v>
      </c>
      <c r="B198" s="3" t="s">
        <v>73</v>
      </c>
      <c r="C198" s="3" t="s">
        <v>74</v>
      </c>
      <c r="D198" s="3" t="s">
        <v>75</v>
      </c>
      <c r="E198" s="3" t="s">
        <v>105</v>
      </c>
      <c r="F198" s="3" t="s">
        <v>293</v>
      </c>
      <c r="G198" s="3" t="s">
        <v>78</v>
      </c>
      <c r="H198" s="3" t="s">
        <v>79</v>
      </c>
      <c r="I198" s="3" t="s">
        <v>78</v>
      </c>
      <c r="J198" s="4" t="n">
        <v>3265000</v>
      </c>
      <c r="K198" s="5" t="n">
        <f aca="false">IFERROR(J198/M198,"")</f>
        <v>0.118412940195118</v>
      </c>
      <c r="L198" s="4" t="n">
        <v>24308000</v>
      </c>
      <c r="M198" s="6" t="n">
        <f aca="false">L198+J198</f>
        <v>27573000</v>
      </c>
      <c r="N198" s="4" t="n">
        <v>3265000</v>
      </c>
      <c r="O198" s="4" t="n">
        <v>59606925</v>
      </c>
      <c r="P198" s="4" t="n">
        <v>1224390</v>
      </c>
      <c r="Q198" s="7"/>
      <c r="R198" s="4" t="n">
        <v>1435739</v>
      </c>
      <c r="S198" s="7"/>
      <c r="T198" s="4" t="n">
        <v>707828</v>
      </c>
      <c r="U198" s="5" t="n">
        <f aca="false">IFERROR(T198/P198,"")</f>
        <v>0.578106649025229</v>
      </c>
      <c r="V198" s="6" t="n">
        <f aca="false">T198-AV198</f>
        <v>-2183364</v>
      </c>
      <c r="W198" s="6" t="n">
        <f aca="false">V198-AA198*0.1</f>
        <v>-2183364</v>
      </c>
      <c r="X198" s="4" t="n">
        <v>4692200</v>
      </c>
      <c r="Y198" s="4" t="n">
        <v>182000</v>
      </c>
      <c r="Z198" s="8" t="n">
        <f aca="false">IFERROR(X198/Y198,"")</f>
        <v>25.7813186813187</v>
      </c>
      <c r="AA198" s="4" t="n">
        <v>0</v>
      </c>
      <c r="AB198" s="6" t="n">
        <f aca="false">W198-0.02*P198</f>
        <v>-2207851.8</v>
      </c>
      <c r="AC198" s="9" t="n">
        <v>28</v>
      </c>
      <c r="AD198" s="7"/>
      <c r="AE198" s="7" t="n">
        <v>0.061</v>
      </c>
      <c r="AF198" s="7" t="n">
        <v>0.037</v>
      </c>
      <c r="AG198" s="5" t="n">
        <f aca="false">1-AF198</f>
        <v>0.963</v>
      </c>
      <c r="AH198" s="7" t="n">
        <v>1.145</v>
      </c>
      <c r="AI198" s="4" t="n">
        <v>44944</v>
      </c>
      <c r="AJ198" s="6" t="n">
        <f aca="false">IFERROR(AM198*U198*MIN(1/AE198,5),"")</f>
        <v>158979.328481938</v>
      </c>
      <c r="AK198" s="10" t="n">
        <f aca="false">IFERROR(AJ198/AI198,"")</f>
        <v>3.53727590961948</v>
      </c>
      <c r="AL198" s="8" t="n">
        <f aca="false">IFERROR(AI198/(AM198*U198/12),"")</f>
        <v>16.96220524863</v>
      </c>
      <c r="AM198" s="4" t="n">
        <v>55000</v>
      </c>
      <c r="AN198" s="4" t="n">
        <v>1741531</v>
      </c>
      <c r="AO198" s="4" t="n">
        <v>4821013</v>
      </c>
      <c r="AP198" s="7" t="n">
        <v>0.244</v>
      </c>
      <c r="AQ198" s="9" t="n">
        <v>72</v>
      </c>
      <c r="AR198" s="9" t="n">
        <v>2</v>
      </c>
      <c r="AS198" s="7"/>
      <c r="AT198" s="3" t="s">
        <v>134</v>
      </c>
      <c r="AU198" s="6" t="n">
        <f aca="false">IFERROR(P198/AR198,"")</f>
        <v>612195</v>
      </c>
      <c r="AV198" s="4" t="n">
        <v>2891192</v>
      </c>
      <c r="AW198" s="4" t="n">
        <v>1366063</v>
      </c>
      <c r="AX198" s="4" t="n">
        <v>775972</v>
      </c>
      <c r="AY198" s="9" t="n">
        <v>10549</v>
      </c>
      <c r="AZ198" s="7"/>
      <c r="BA198" s="7" t="n">
        <v>0.951</v>
      </c>
      <c r="BB198" s="3" t="s">
        <v>99</v>
      </c>
      <c r="BC198" s="3" t="s">
        <v>82</v>
      </c>
      <c r="BD198" s="3" t="s">
        <v>109</v>
      </c>
      <c r="BE198" s="4" t="n">
        <v>1199950</v>
      </c>
      <c r="BF198" s="5" t="n">
        <f aca="false">IFERROR(P198/BE198-1,"")</f>
        <v>0.020367515313138</v>
      </c>
      <c r="BG198" s="7" t="n">
        <v>-0.018</v>
      </c>
      <c r="BH198" s="7" t="n">
        <v>-0.007</v>
      </c>
      <c r="BI198" s="6" t="n">
        <f aca="false">P198</f>
        <v>1224390</v>
      </c>
      <c r="BJ198" s="4" t="n">
        <v>-1230689</v>
      </c>
      <c r="BK198" s="3" t="s">
        <v>102</v>
      </c>
      <c r="BL198" s="3" t="s">
        <v>85</v>
      </c>
      <c r="BM198" s="6" t="n">
        <f aca="false">O198</f>
        <v>59606925</v>
      </c>
      <c r="BN198" s="3" t="s">
        <v>294</v>
      </c>
      <c r="BO198" s="5" t="n">
        <f aca="false">IFERROR(1-L198/M198,"")</f>
        <v>0.118412940195118</v>
      </c>
      <c r="BP198" s="3" t="s">
        <v>113</v>
      </c>
      <c r="BQ198" s="4" t="n">
        <v>3071348</v>
      </c>
      <c r="BR198" s="3" t="s">
        <v>88</v>
      </c>
      <c r="BS198" s="3" t="s">
        <v>89</v>
      </c>
      <c r="BT198" s="3" t="s">
        <v>90</v>
      </c>
    </row>
    <row r="199" customFormat="false" ht="15" hidden="false" customHeight="false" outlineLevel="0" collapsed="false">
      <c r="A199" s="11" t="s">
        <v>292</v>
      </c>
      <c r="B199" s="11" t="s">
        <v>91</v>
      </c>
      <c r="C199" s="11" t="s">
        <v>74</v>
      </c>
      <c r="D199" s="11" t="s">
        <v>75</v>
      </c>
      <c r="E199" s="11" t="s">
        <v>105</v>
      </c>
      <c r="F199" s="11" t="s">
        <v>293</v>
      </c>
      <c r="G199" s="11" t="s">
        <v>78</v>
      </c>
      <c r="H199" s="11" t="s">
        <v>79</v>
      </c>
      <c r="I199" s="11" t="s">
        <v>78</v>
      </c>
      <c r="J199" s="12" t="n">
        <v>3265000</v>
      </c>
      <c r="K199" s="13" t="n">
        <f aca="false">IFERROR(J199/M199,"")</f>
        <v>0.118412940195118</v>
      </c>
      <c r="L199" s="12" t="n">
        <v>24308000</v>
      </c>
      <c r="M199" s="14" t="n">
        <f aca="false">L199+J199</f>
        <v>27573000</v>
      </c>
      <c r="N199" s="12" t="n">
        <v>3265000</v>
      </c>
      <c r="O199" s="12" t="n">
        <v>59606925</v>
      </c>
      <c r="P199" s="12" t="n">
        <v>1622380</v>
      </c>
      <c r="Q199" s="13" t="n">
        <f aca="false">IFERROR(P199/P198-1,"")</f>
        <v>0.325051658376824</v>
      </c>
      <c r="R199" s="12" t="n">
        <v>1679330</v>
      </c>
      <c r="S199" s="13" t="n">
        <f aca="false">IFERROR(R199/R198-1,"")</f>
        <v>0.169662452576687</v>
      </c>
      <c r="T199" s="12" t="n">
        <v>941706</v>
      </c>
      <c r="U199" s="13" t="n">
        <f aca="false">IFERROR(T199/P199,"")</f>
        <v>0.580447244172142</v>
      </c>
      <c r="V199" s="14" t="n">
        <f aca="false">T199-AV199</f>
        <v>-1731294</v>
      </c>
      <c r="W199" s="14" t="n">
        <f aca="false">V199-AA199*0.1</f>
        <v>-1731294</v>
      </c>
      <c r="X199" s="12" t="n">
        <v>4233200</v>
      </c>
      <c r="Y199" s="12" t="n">
        <v>188000</v>
      </c>
      <c r="Z199" s="15" t="n">
        <f aca="false">IFERROR(X199/Y199,"")</f>
        <v>22.5170212765957</v>
      </c>
      <c r="AA199" s="12" t="n">
        <v>0</v>
      </c>
      <c r="AB199" s="14" t="n">
        <f aca="false">W199-0.02*P199</f>
        <v>-1763741.6</v>
      </c>
      <c r="AC199" s="16" t="n">
        <v>32</v>
      </c>
      <c r="AD199" s="13" t="n">
        <f aca="false">IFERROR(AC199/AC198-1,"")</f>
        <v>0.142857142857143</v>
      </c>
      <c r="AE199" s="17" t="n">
        <v>0.059</v>
      </c>
      <c r="AF199" s="17" t="n">
        <v>0.065</v>
      </c>
      <c r="AG199" s="13" t="n">
        <f aca="false">1-AF199</f>
        <v>0.935</v>
      </c>
      <c r="AH199" s="17" t="n">
        <v>1.14</v>
      </c>
      <c r="AI199" s="12" t="n">
        <v>44096</v>
      </c>
      <c r="AJ199" s="14" t="n">
        <f aca="false">IFERROR(AM199*U199*MIN(1/AE199,5),"")</f>
        <v>162815.451990286</v>
      </c>
      <c r="AK199" s="18" t="n">
        <f aca="false">IFERROR(AJ199/AI199,"")</f>
        <v>3.69229526465634</v>
      </c>
      <c r="AL199" s="15" t="n">
        <f aca="false">IFERROR(AI199/(AM199*U199/12),"")</f>
        <v>16.2500546947955</v>
      </c>
      <c r="AM199" s="12" t="n">
        <v>56100</v>
      </c>
      <c r="AN199" s="12" t="n">
        <v>1889755</v>
      </c>
      <c r="AO199" s="12" t="n">
        <v>4933487</v>
      </c>
      <c r="AP199" s="17" t="n">
        <v>0.244</v>
      </c>
      <c r="AQ199" s="16" t="n">
        <v>72</v>
      </c>
      <c r="AR199" s="16" t="n">
        <v>2</v>
      </c>
      <c r="AS199" s="13" t="n">
        <f aca="false">IFERROR(AR199/AR198-1,"")</f>
        <v>0</v>
      </c>
      <c r="AT199" s="11" t="s">
        <v>134</v>
      </c>
      <c r="AU199" s="14" t="n">
        <f aca="false">IFERROR(P199/AR199,"")</f>
        <v>811190</v>
      </c>
      <c r="AV199" s="12" t="n">
        <v>2673000</v>
      </c>
      <c r="AW199" s="12" t="n">
        <v>1106036</v>
      </c>
      <c r="AX199" s="12" t="n">
        <v>882512</v>
      </c>
      <c r="AY199" s="16" t="n">
        <v>12615</v>
      </c>
      <c r="AZ199" s="13" t="n">
        <f aca="false">IFERROR(AY199/AY198-1,"")</f>
        <v>0.195847947672765</v>
      </c>
      <c r="BA199" s="17" t="n">
        <v>0.936</v>
      </c>
      <c r="BB199" s="11" t="s">
        <v>99</v>
      </c>
      <c r="BC199" s="11" t="s">
        <v>82</v>
      </c>
      <c r="BD199" s="11" t="s">
        <v>109</v>
      </c>
      <c r="BE199" s="12" t="n">
        <v>1540584</v>
      </c>
      <c r="BF199" s="13" t="n">
        <f aca="false">IFERROR(P199/BE199-1,"")</f>
        <v>0.0530941513088543</v>
      </c>
      <c r="BG199" s="17" t="n">
        <v>0.078</v>
      </c>
      <c r="BH199" s="17" t="n">
        <v>0.005</v>
      </c>
      <c r="BI199" s="14" t="n">
        <f aca="false">P199*(1+IFERROR(Q199,0))^4</f>
        <v>5001310.56681891</v>
      </c>
      <c r="BJ199" s="12" t="n">
        <v>-2217109</v>
      </c>
      <c r="BK199" s="11" t="s">
        <v>102</v>
      </c>
      <c r="BL199" s="11" t="s">
        <v>85</v>
      </c>
      <c r="BM199" s="14" t="n">
        <f aca="false">O199</f>
        <v>59606925</v>
      </c>
      <c r="BN199" s="11" t="s">
        <v>294</v>
      </c>
      <c r="BO199" s="13" t="n">
        <f aca="false">IFERROR(1-L199/M199,"")</f>
        <v>0.118412940195118</v>
      </c>
      <c r="BP199" s="11" t="s">
        <v>113</v>
      </c>
      <c r="BQ199" s="12" t="n">
        <v>3409948</v>
      </c>
      <c r="BR199" s="11" t="s">
        <v>88</v>
      </c>
      <c r="BS199" s="11" t="s">
        <v>89</v>
      </c>
      <c r="BT199" s="19" t="str">
        <f aca="false">IF(OR(Z199&lt;6,AH199&lt;0.9,S199&lt;0.02,AK199&lt;1),"REVIEW",IF(AND(S199&gt;0.25,AH199&gt;1.2),"ACCELERATING","STABLE"))</f>
        <v>STABLE</v>
      </c>
    </row>
    <row r="200" customFormat="false" ht="15" hidden="false" customHeight="false" outlineLevel="0" collapsed="false">
      <c r="A200" s="11" t="s">
        <v>292</v>
      </c>
      <c r="B200" s="11" t="s">
        <v>92</v>
      </c>
      <c r="C200" s="11" t="s">
        <v>74</v>
      </c>
      <c r="D200" s="11" t="s">
        <v>75</v>
      </c>
      <c r="E200" s="11" t="s">
        <v>105</v>
      </c>
      <c r="F200" s="11" t="s">
        <v>293</v>
      </c>
      <c r="G200" s="11" t="s">
        <v>78</v>
      </c>
      <c r="H200" s="11" t="s">
        <v>79</v>
      </c>
      <c r="I200" s="11" t="s">
        <v>78</v>
      </c>
      <c r="J200" s="12" t="n">
        <v>3265000</v>
      </c>
      <c r="K200" s="13" t="n">
        <f aca="false">IFERROR(J200/M200,"")</f>
        <v>0.118412940195118</v>
      </c>
      <c r="L200" s="12" t="n">
        <v>24308000</v>
      </c>
      <c r="M200" s="14" t="n">
        <f aca="false">L200+J200</f>
        <v>27573000</v>
      </c>
      <c r="N200" s="12" t="n">
        <v>3265000</v>
      </c>
      <c r="O200" s="12" t="n">
        <v>59606925</v>
      </c>
      <c r="P200" s="12" t="n">
        <v>1989212</v>
      </c>
      <c r="Q200" s="13" t="n">
        <f aca="false">IFERROR(P200/P199-1,"")</f>
        <v>0.226107323808232</v>
      </c>
      <c r="R200" s="12" t="n">
        <v>2058310</v>
      </c>
      <c r="S200" s="13" t="n">
        <f aca="false">IFERROR(R200/R199-1,"")</f>
        <v>0.225673334008206</v>
      </c>
      <c r="T200" s="12" t="n">
        <v>1159288</v>
      </c>
      <c r="U200" s="13" t="n">
        <f aca="false">IFERROR(T200/P200,"")</f>
        <v>0.582787556077482</v>
      </c>
      <c r="V200" s="14" t="n">
        <f aca="false">T200-AV200</f>
        <v>-2366655</v>
      </c>
      <c r="W200" s="14" t="n">
        <f aca="false">V200-AA200*0.1</f>
        <v>-2366655</v>
      </c>
      <c r="X200" s="12" t="n">
        <v>3741800</v>
      </c>
      <c r="Y200" s="12" t="n">
        <v>194000</v>
      </c>
      <c r="Z200" s="15" t="n">
        <f aca="false">IFERROR(X200/Y200,"")</f>
        <v>19.2876288659794</v>
      </c>
      <c r="AA200" s="12" t="n">
        <v>0</v>
      </c>
      <c r="AB200" s="14" t="n">
        <f aca="false">W200-0.02*P200</f>
        <v>-2406439.24</v>
      </c>
      <c r="AC200" s="16" t="n">
        <v>38</v>
      </c>
      <c r="AD200" s="13" t="n">
        <f aca="false">IFERROR(AC200/AC199-1,"")</f>
        <v>0.1875</v>
      </c>
      <c r="AE200" s="17" t="n">
        <v>0.058</v>
      </c>
      <c r="AF200" s="17" t="n">
        <v>0.036</v>
      </c>
      <c r="AG200" s="13" t="n">
        <f aca="false">1-AF200</f>
        <v>0.964</v>
      </c>
      <c r="AH200" s="17" t="n">
        <v>1.135</v>
      </c>
      <c r="AI200" s="12" t="n">
        <v>43248</v>
      </c>
      <c r="AJ200" s="14" t="n">
        <f aca="false">IFERROR(AM200*U200*MIN(1/AE200,5),"")</f>
        <v>166677.24103816</v>
      </c>
      <c r="AK200" s="18" t="n">
        <f aca="false">IFERROR(AJ200/AI200,"")</f>
        <v>3.8539872604088</v>
      </c>
      <c r="AL200" s="15" t="n">
        <f aca="false">IFERROR(AI200/(AM200*U200/12),"")</f>
        <v>15.5682922505654</v>
      </c>
      <c r="AM200" s="12" t="n">
        <v>57200</v>
      </c>
      <c r="AN200" s="12" t="n">
        <v>2114077</v>
      </c>
      <c r="AO200" s="12" t="n">
        <v>6870385</v>
      </c>
      <c r="AP200" s="17" t="n">
        <v>0.244</v>
      </c>
      <c r="AQ200" s="16" t="n">
        <v>72</v>
      </c>
      <c r="AR200" s="16" t="n">
        <v>2</v>
      </c>
      <c r="AS200" s="13" t="n">
        <f aca="false">IFERROR(AR200/AR199-1,"")</f>
        <v>0</v>
      </c>
      <c r="AT200" s="11" t="s">
        <v>134</v>
      </c>
      <c r="AU200" s="14" t="n">
        <f aca="false">IFERROR(P200/AR200,"")</f>
        <v>994606</v>
      </c>
      <c r="AV200" s="12" t="n">
        <v>3525943</v>
      </c>
      <c r="AW200" s="12" t="n">
        <v>1649169</v>
      </c>
      <c r="AX200" s="12" t="n">
        <v>1088232</v>
      </c>
      <c r="AY200" s="16" t="n">
        <v>15603</v>
      </c>
      <c r="AZ200" s="13" t="n">
        <f aca="false">IFERROR(AY200/AY199-1,"")</f>
        <v>0.236860879904875</v>
      </c>
      <c r="BA200" s="17" t="n">
        <v>0.947</v>
      </c>
      <c r="BB200" s="11" t="s">
        <v>99</v>
      </c>
      <c r="BC200" s="11" t="s">
        <v>82</v>
      </c>
      <c r="BD200" s="11" t="s">
        <v>109</v>
      </c>
      <c r="BE200" s="12" t="n">
        <v>2121172</v>
      </c>
      <c r="BF200" s="13" t="n">
        <f aca="false">IFERROR(P200/BE200-1,"")</f>
        <v>-0.0622108909602804</v>
      </c>
      <c r="BG200" s="17" t="n">
        <v>0.013</v>
      </c>
      <c r="BH200" s="17" t="n">
        <v>-0.055</v>
      </c>
      <c r="BI200" s="14" t="n">
        <f aca="false">P200*(1+IFERROR(Q200,0))^4</f>
        <v>4495676.12791462</v>
      </c>
      <c r="BJ200" s="12" t="n">
        <v>-1379312</v>
      </c>
      <c r="BK200" s="11" t="s">
        <v>102</v>
      </c>
      <c r="BL200" s="11" t="s">
        <v>85</v>
      </c>
      <c r="BM200" s="14" t="n">
        <f aca="false">O200</f>
        <v>59606925</v>
      </c>
      <c r="BN200" s="11" t="s">
        <v>294</v>
      </c>
      <c r="BO200" s="13" t="n">
        <f aca="false">IFERROR(1-L200/M200,"")</f>
        <v>0.118412940195118</v>
      </c>
      <c r="BP200" s="11" t="s">
        <v>113</v>
      </c>
      <c r="BQ200" s="12" t="n">
        <v>3715861</v>
      </c>
      <c r="BR200" s="11" t="s">
        <v>88</v>
      </c>
      <c r="BS200" s="11" t="s">
        <v>89</v>
      </c>
      <c r="BT200" s="19" t="str">
        <f aca="false">IF(OR(Z200&lt;6,AH200&lt;0.9,S200&lt;0.02,AK200&lt;1),"REVIEW",IF(AND(S200&gt;0.25,AH200&gt;1.2),"ACCELERATING","STABLE"))</f>
        <v>STABLE</v>
      </c>
    </row>
    <row r="201" customFormat="false" ht="15" hidden="false" customHeight="false" outlineLevel="0" collapsed="false">
      <c r="A201" s="11" t="s">
        <v>292</v>
      </c>
      <c r="B201" s="11" t="s">
        <v>93</v>
      </c>
      <c r="C201" s="11" t="s">
        <v>74</v>
      </c>
      <c r="D201" s="11" t="s">
        <v>75</v>
      </c>
      <c r="E201" s="11" t="s">
        <v>105</v>
      </c>
      <c r="F201" s="11" t="s">
        <v>293</v>
      </c>
      <c r="G201" s="11" t="s">
        <v>78</v>
      </c>
      <c r="H201" s="11" t="s">
        <v>79</v>
      </c>
      <c r="I201" s="11" t="s">
        <v>78</v>
      </c>
      <c r="J201" s="12" t="n">
        <v>3265000</v>
      </c>
      <c r="K201" s="13" t="n">
        <f aca="false">IFERROR(J201/M201,"")</f>
        <v>0.118412940195118</v>
      </c>
      <c r="L201" s="12" t="n">
        <v>24308000</v>
      </c>
      <c r="M201" s="14" t="n">
        <f aca="false">L201+J201</f>
        <v>27573000</v>
      </c>
      <c r="N201" s="12" t="n">
        <v>3265000</v>
      </c>
      <c r="O201" s="12" t="n">
        <v>59606925</v>
      </c>
      <c r="P201" s="12" t="n">
        <v>2202177</v>
      </c>
      <c r="Q201" s="13" t="n">
        <f aca="false">IFERROR(P201/P200-1,"")</f>
        <v>0.107059981540429</v>
      </c>
      <c r="R201" s="12" t="n">
        <v>2557494</v>
      </c>
      <c r="S201" s="13" t="n">
        <f aca="false">IFERROR(R201/R200-1,"")</f>
        <v>0.24252129173934</v>
      </c>
      <c r="T201" s="12" t="n">
        <v>1288556</v>
      </c>
      <c r="U201" s="13" t="n">
        <f aca="false">IFERROR(T201/P201,"")</f>
        <v>0.585128261715566</v>
      </c>
      <c r="V201" s="14" t="n">
        <f aca="false">T201-AV201</f>
        <v>-2121460</v>
      </c>
      <c r="W201" s="14" t="n">
        <f aca="false">V201-AA201*0.1</f>
        <v>-2121460</v>
      </c>
      <c r="X201" s="12" t="n">
        <v>3218000</v>
      </c>
      <c r="Y201" s="12" t="n">
        <v>200000</v>
      </c>
      <c r="Z201" s="15" t="n">
        <f aca="false">IFERROR(X201/Y201,"")</f>
        <v>16.09</v>
      </c>
      <c r="AA201" s="12" t="n">
        <v>0</v>
      </c>
      <c r="AB201" s="14" t="n">
        <f aca="false">W201-0.02*P201</f>
        <v>-2165503.54</v>
      </c>
      <c r="AC201" s="16" t="n">
        <v>41</v>
      </c>
      <c r="AD201" s="13" t="n">
        <f aca="false">IFERROR(AC201/AC200-1,"")</f>
        <v>0.0789473684210527</v>
      </c>
      <c r="AE201" s="17" t="n">
        <v>0.056</v>
      </c>
      <c r="AF201" s="17" t="n">
        <v>0.044</v>
      </c>
      <c r="AG201" s="13" t="n">
        <f aca="false">1-AF201</f>
        <v>0.956</v>
      </c>
      <c r="AH201" s="17" t="n">
        <v>1.13</v>
      </c>
      <c r="AI201" s="12" t="n">
        <v>42400</v>
      </c>
      <c r="AJ201" s="14" t="n">
        <f aca="false">IFERROR(AM201*U201*MIN(1/AE201,5),"")</f>
        <v>170564.888290087</v>
      </c>
      <c r="AK201" s="18" t="n">
        <f aca="false">IFERROR(AJ201/AI201,"")</f>
        <v>4.02275679929452</v>
      </c>
      <c r="AL201" s="15" t="n">
        <f aca="false">IFERROR(AI201/(AM201*U201/12),"")</f>
        <v>14.915144761056</v>
      </c>
      <c r="AM201" s="12" t="n">
        <v>58300</v>
      </c>
      <c r="AN201" s="12" t="n">
        <v>3666185</v>
      </c>
      <c r="AO201" s="12" t="n">
        <v>5116663</v>
      </c>
      <c r="AP201" s="17" t="n">
        <v>0.244</v>
      </c>
      <c r="AQ201" s="16" t="n">
        <v>72</v>
      </c>
      <c r="AR201" s="16" t="n">
        <v>2</v>
      </c>
      <c r="AS201" s="13" t="n">
        <f aca="false">IFERROR(AR201/AR200-1,"")</f>
        <v>0</v>
      </c>
      <c r="AT201" s="11" t="s">
        <v>134</v>
      </c>
      <c r="AU201" s="14" t="n">
        <f aca="false">IFERROR(P201/AR201,"")</f>
        <v>1101088.5</v>
      </c>
      <c r="AV201" s="12" t="n">
        <v>3410016</v>
      </c>
      <c r="AW201" s="12" t="n">
        <v>1342752</v>
      </c>
      <c r="AX201" s="12" t="n">
        <v>1126718</v>
      </c>
      <c r="AY201" s="16" t="n">
        <v>18742</v>
      </c>
      <c r="AZ201" s="13" t="n">
        <f aca="false">IFERROR(AY201/AY200-1,"")</f>
        <v>0.201179260398641</v>
      </c>
      <c r="BA201" s="17" t="n">
        <v>0.952</v>
      </c>
      <c r="BB201" s="11" t="s">
        <v>99</v>
      </c>
      <c r="BC201" s="11" t="s">
        <v>82</v>
      </c>
      <c r="BD201" s="11" t="s">
        <v>109</v>
      </c>
      <c r="BE201" s="12" t="n">
        <v>2279505</v>
      </c>
      <c r="BF201" s="13" t="n">
        <f aca="false">IFERROR(P201/BE201-1,"")</f>
        <v>-0.0339231543690407</v>
      </c>
      <c r="BG201" s="17" t="n">
        <v>0.071</v>
      </c>
      <c r="BH201" s="17" t="n">
        <v>-0.056</v>
      </c>
      <c r="BI201" s="14" t="n">
        <f aca="false">P201*(1+IFERROR(Q201,0))^4</f>
        <v>3307781.62588725</v>
      </c>
      <c r="BJ201" s="12" t="n">
        <v>-2323737</v>
      </c>
      <c r="BK201" s="11" t="s">
        <v>102</v>
      </c>
      <c r="BL201" s="11" t="s">
        <v>85</v>
      </c>
      <c r="BM201" s="14" t="n">
        <f aca="false">O201</f>
        <v>59606925</v>
      </c>
      <c r="BN201" s="11" t="s">
        <v>294</v>
      </c>
      <c r="BO201" s="13" t="n">
        <f aca="false">IFERROR(1-L201/M201,"")</f>
        <v>0.118412940195118</v>
      </c>
      <c r="BP201" s="11" t="s">
        <v>113</v>
      </c>
      <c r="BQ201" s="12" t="n">
        <v>3184766</v>
      </c>
      <c r="BR201" s="11" t="s">
        <v>88</v>
      </c>
      <c r="BS201" s="11" t="s">
        <v>89</v>
      </c>
      <c r="BT201" s="19" t="str">
        <f aca="false">IF(OR(Z201&lt;6,AH201&lt;0.9,S201&lt;0.02,AK201&lt;1),"REVIEW",IF(AND(S201&gt;0.25,AH201&gt;1.2),"ACCELERATING","STABLE"))</f>
        <v>STABLE</v>
      </c>
    </row>
    <row r="202" customFormat="false" ht="15" hidden="false" customHeight="false" outlineLevel="0" collapsed="false">
      <c r="A202" s="3" t="s">
        <v>295</v>
      </c>
      <c r="B202" s="3" t="s">
        <v>73</v>
      </c>
      <c r="C202" s="3" t="s">
        <v>74</v>
      </c>
      <c r="D202" s="3" t="s">
        <v>151</v>
      </c>
      <c r="E202" s="3" t="s">
        <v>105</v>
      </c>
      <c r="F202" s="3" t="s">
        <v>296</v>
      </c>
      <c r="G202" s="3" t="s">
        <v>78</v>
      </c>
      <c r="H202" s="3" t="s">
        <v>79</v>
      </c>
      <c r="I202" s="3" t="s">
        <v>78</v>
      </c>
      <c r="J202" s="4" t="n">
        <v>2242000</v>
      </c>
      <c r="K202" s="5" t="n">
        <f aca="false">IFERROR(J202/M202,"")</f>
        <v>0.163149468781837</v>
      </c>
      <c r="L202" s="4" t="n">
        <v>11500000</v>
      </c>
      <c r="M202" s="6" t="n">
        <f aca="false">L202+J202</f>
        <v>13742000</v>
      </c>
      <c r="N202" s="4" t="n">
        <v>2242000</v>
      </c>
      <c r="O202" s="4" t="n">
        <v>22322240</v>
      </c>
      <c r="P202" s="4" t="n">
        <v>519612</v>
      </c>
      <c r="Q202" s="7"/>
      <c r="R202" s="4" t="n">
        <v>653590</v>
      </c>
      <c r="S202" s="7"/>
      <c r="T202" s="4" t="n">
        <v>339418</v>
      </c>
      <c r="U202" s="5" t="n">
        <f aca="false">IFERROR(T202/P202,"")</f>
        <v>0.65321432145524</v>
      </c>
      <c r="V202" s="6" t="n">
        <f aca="false">T202-AV202</f>
        <v>-1176844</v>
      </c>
      <c r="W202" s="6" t="n">
        <f aca="false">V202-AA202*0.1</f>
        <v>-1176844</v>
      </c>
      <c r="X202" s="4" t="n">
        <v>4015488</v>
      </c>
      <c r="Y202" s="4" t="n">
        <v>116480</v>
      </c>
      <c r="Z202" s="8" t="n">
        <f aca="false">IFERROR(X202/Y202,"")</f>
        <v>34.4736263736264</v>
      </c>
      <c r="AA202" s="4" t="n">
        <v>0</v>
      </c>
      <c r="AB202" s="6" t="n">
        <f aca="false">W202-0.02*P202</f>
        <v>-1187236.24</v>
      </c>
      <c r="AC202" s="9" t="n">
        <v>13</v>
      </c>
      <c r="AD202" s="7"/>
      <c r="AE202" s="7" t="n">
        <v>0.13</v>
      </c>
      <c r="AF202" s="7" t="n">
        <v>0.137</v>
      </c>
      <c r="AG202" s="5" t="n">
        <f aca="false">1-AF202</f>
        <v>0.863</v>
      </c>
      <c r="AH202" s="7" t="n">
        <v>1.087</v>
      </c>
      <c r="AI202" s="4" t="n">
        <v>69854</v>
      </c>
      <c r="AJ202" s="6" t="n">
        <f aca="false">IFERROR(AM202*U202*MIN(1/AE202,5),"")</f>
        <v>182900.010007467</v>
      </c>
      <c r="AK202" s="10" t="n">
        <f aca="false">IFERROR(AJ202/AI202,"")</f>
        <v>2.6183183498077</v>
      </c>
      <c r="AL202" s="8" t="n">
        <f aca="false">IFERROR(AI202/(AM202*U202/12),"")</f>
        <v>22.9154716821989</v>
      </c>
      <c r="AM202" s="4" t="n">
        <v>56000</v>
      </c>
      <c r="AN202" s="4" t="n">
        <v>620416</v>
      </c>
      <c r="AO202" s="4" t="n">
        <v>1882342</v>
      </c>
      <c r="AP202" s="7" t="n">
        <v>0.166</v>
      </c>
      <c r="AQ202" s="9" t="n">
        <v>49</v>
      </c>
      <c r="AR202" s="9" t="n">
        <v>1</v>
      </c>
      <c r="AS202" s="7"/>
      <c r="AT202" s="3" t="s">
        <v>134</v>
      </c>
      <c r="AU202" s="6" t="n">
        <f aca="false">IFERROR(P202/AR202,"")</f>
        <v>519612</v>
      </c>
      <c r="AV202" s="4" t="n">
        <v>1516262</v>
      </c>
      <c r="AW202" s="4" t="n">
        <v>454957</v>
      </c>
      <c r="AX202" s="4" t="n">
        <v>291499</v>
      </c>
      <c r="AY202" s="9" t="n">
        <v>14152</v>
      </c>
      <c r="AZ202" s="7"/>
      <c r="BA202" s="7" t="n">
        <v>0.862</v>
      </c>
      <c r="BB202" s="3" t="s">
        <v>107</v>
      </c>
      <c r="BC202" s="3" t="s">
        <v>100</v>
      </c>
      <c r="BD202" s="3" t="s">
        <v>101</v>
      </c>
      <c r="BE202" s="4" t="n">
        <v>493346</v>
      </c>
      <c r="BF202" s="5" t="n">
        <f aca="false">IFERROR(P202/BE202-1,"")</f>
        <v>0.0532405249054415</v>
      </c>
      <c r="BG202" s="7" t="n">
        <v>0.015</v>
      </c>
      <c r="BH202" s="7" t="n">
        <v>-0.002</v>
      </c>
      <c r="BI202" s="6" t="n">
        <f aca="false">P202</f>
        <v>519612</v>
      </c>
      <c r="BJ202" s="4" t="n">
        <v>-996762</v>
      </c>
      <c r="BK202" s="3" t="s">
        <v>127</v>
      </c>
      <c r="BL202" s="3" t="s">
        <v>85</v>
      </c>
      <c r="BM202" s="6" t="n">
        <f aca="false">O202</f>
        <v>22322240</v>
      </c>
      <c r="BN202" s="3" t="s">
        <v>297</v>
      </c>
      <c r="BO202" s="5" t="n">
        <f aca="false">IFERROR(1-L202/M202,"")</f>
        <v>0.163149468781837</v>
      </c>
      <c r="BP202" s="3" t="s">
        <v>130</v>
      </c>
      <c r="BQ202" s="4" t="n">
        <v>1797806</v>
      </c>
      <c r="BR202" s="3" t="s">
        <v>88</v>
      </c>
      <c r="BS202" s="3" t="s">
        <v>89</v>
      </c>
      <c r="BT202" s="3" t="s">
        <v>90</v>
      </c>
    </row>
    <row r="203" customFormat="false" ht="15" hidden="false" customHeight="false" outlineLevel="0" collapsed="false">
      <c r="A203" s="11" t="s">
        <v>295</v>
      </c>
      <c r="B203" s="11" t="s">
        <v>91</v>
      </c>
      <c r="C203" s="11" t="s">
        <v>74</v>
      </c>
      <c r="D203" s="11" t="s">
        <v>151</v>
      </c>
      <c r="E203" s="11" t="s">
        <v>105</v>
      </c>
      <c r="F203" s="11" t="s">
        <v>296</v>
      </c>
      <c r="G203" s="11" t="s">
        <v>78</v>
      </c>
      <c r="H203" s="11" t="s">
        <v>79</v>
      </c>
      <c r="I203" s="11" t="s">
        <v>78</v>
      </c>
      <c r="J203" s="12" t="n">
        <v>2242000</v>
      </c>
      <c r="K203" s="13" t="n">
        <f aca="false">IFERROR(J203/M203,"")</f>
        <v>0.163149468781837</v>
      </c>
      <c r="L203" s="12" t="n">
        <v>11500000</v>
      </c>
      <c r="M203" s="14" t="n">
        <f aca="false">L203+J203</f>
        <v>13742000</v>
      </c>
      <c r="N203" s="12" t="n">
        <v>2242000</v>
      </c>
      <c r="O203" s="12" t="n">
        <v>22322240</v>
      </c>
      <c r="P203" s="12" t="n">
        <v>586535</v>
      </c>
      <c r="Q203" s="13" t="n">
        <f aca="false">IFERROR(P203/P202-1,"")</f>
        <v>0.128794177193752</v>
      </c>
      <c r="R203" s="12" t="n">
        <v>747019</v>
      </c>
      <c r="S203" s="13" t="n">
        <f aca="false">IFERROR(R203/R202-1,"")</f>
        <v>0.142947413516119</v>
      </c>
      <c r="T203" s="12" t="n">
        <v>384685</v>
      </c>
      <c r="U203" s="13" t="n">
        <f aca="false">IFERROR(T203/P203,"")</f>
        <v>0.655860264093362</v>
      </c>
      <c r="V203" s="14" t="n">
        <f aca="false">T203-AV203</f>
        <v>-1346293</v>
      </c>
      <c r="W203" s="14" t="n">
        <f aca="false">V203-AA203*0.1</f>
        <v>-1346293</v>
      </c>
      <c r="X203" s="12" t="n">
        <v>3721728</v>
      </c>
      <c r="Y203" s="12" t="n">
        <v>120320</v>
      </c>
      <c r="Z203" s="15" t="n">
        <f aca="false">IFERROR(X203/Y203,"")</f>
        <v>30.931914893617</v>
      </c>
      <c r="AA203" s="12" t="n">
        <v>0</v>
      </c>
      <c r="AB203" s="14" t="n">
        <f aca="false">W203-0.02*P203</f>
        <v>-1358023.7</v>
      </c>
      <c r="AC203" s="16" t="n">
        <v>14</v>
      </c>
      <c r="AD203" s="13" t="n">
        <f aca="false">IFERROR(AC203/AC202-1,"")</f>
        <v>0.0769230769230769</v>
      </c>
      <c r="AE203" s="17" t="n">
        <v>0.126</v>
      </c>
      <c r="AF203" s="17" t="n">
        <v>0.134</v>
      </c>
      <c r="AG203" s="13" t="n">
        <f aca="false">1-AF203</f>
        <v>0.866</v>
      </c>
      <c r="AH203" s="17" t="n">
        <v>1.082</v>
      </c>
      <c r="AI203" s="12" t="n">
        <v>68536</v>
      </c>
      <c r="AJ203" s="14" t="n">
        <f aca="false">IFERROR(AM203*U203*MIN(1/AE203,5),"")</f>
        <v>187313.691425064</v>
      </c>
      <c r="AK203" s="18" t="n">
        <f aca="false">IFERROR(AJ203/AI203,"")</f>
        <v>2.73307008616003</v>
      </c>
      <c r="AL203" s="15" t="n">
        <f aca="false">IFERROR(AI203/(AM203*U203/12),"")</f>
        <v>21.9533338364916</v>
      </c>
      <c r="AM203" s="12" t="n">
        <v>57120</v>
      </c>
      <c r="AN203" s="12" t="n">
        <v>693765</v>
      </c>
      <c r="AO203" s="12" t="n">
        <v>1304680</v>
      </c>
      <c r="AP203" s="17" t="n">
        <v>0.166</v>
      </c>
      <c r="AQ203" s="16" t="n">
        <v>49</v>
      </c>
      <c r="AR203" s="16" t="n">
        <v>2</v>
      </c>
      <c r="AS203" s="13" t="n">
        <f aca="false">IFERROR(AR203/AR202-1,"")</f>
        <v>1</v>
      </c>
      <c r="AT203" s="11" t="s">
        <v>134</v>
      </c>
      <c r="AU203" s="14" t="n">
        <f aca="false">IFERROR(P203/AR203,"")</f>
        <v>293267.5</v>
      </c>
      <c r="AV203" s="12" t="n">
        <v>1730978</v>
      </c>
      <c r="AW203" s="12" t="n">
        <v>606622</v>
      </c>
      <c r="AX203" s="12" t="n">
        <v>423910</v>
      </c>
      <c r="AY203" s="16" t="n">
        <v>14954</v>
      </c>
      <c r="AZ203" s="13" t="n">
        <f aca="false">IFERROR(AY203/AY202-1,"")</f>
        <v>0.0566704352741663</v>
      </c>
      <c r="BA203" s="17" t="n">
        <v>0.875</v>
      </c>
      <c r="BB203" s="11" t="s">
        <v>107</v>
      </c>
      <c r="BC203" s="11" t="s">
        <v>100</v>
      </c>
      <c r="BD203" s="11" t="s">
        <v>101</v>
      </c>
      <c r="BE203" s="12" t="n">
        <v>587344</v>
      </c>
      <c r="BF203" s="13" t="n">
        <f aca="false">IFERROR(P203/BE203-1,"")</f>
        <v>-0.0013773870168079</v>
      </c>
      <c r="BG203" s="17" t="n">
        <v>-0.045</v>
      </c>
      <c r="BH203" s="17" t="n">
        <v>0.03</v>
      </c>
      <c r="BI203" s="14" t="n">
        <f aca="false">P203*(1+IFERROR(Q203,0))^4</f>
        <v>952254.370414652</v>
      </c>
      <c r="BJ203" s="12" t="n">
        <v>-1144089</v>
      </c>
      <c r="BK203" s="11" t="s">
        <v>127</v>
      </c>
      <c r="BL203" s="11" t="s">
        <v>85</v>
      </c>
      <c r="BM203" s="14" t="n">
        <f aca="false">O203</f>
        <v>22322240</v>
      </c>
      <c r="BN203" s="11" t="s">
        <v>297</v>
      </c>
      <c r="BO203" s="13" t="n">
        <f aca="false">IFERROR(1-L203/M203,"")</f>
        <v>0.163149468781837</v>
      </c>
      <c r="BP203" s="11" t="s">
        <v>130</v>
      </c>
      <c r="BQ203" s="12" t="n">
        <v>2398890</v>
      </c>
      <c r="BR203" s="11" t="s">
        <v>88</v>
      </c>
      <c r="BS203" s="11" t="s">
        <v>89</v>
      </c>
      <c r="BT203" s="19" t="str">
        <f aca="false">IF(OR(Z203&lt;6,AH203&lt;0.9,S203&lt;0.02,AK203&lt;1),"REVIEW",IF(AND(S203&gt;0.25,AH203&gt;1.2),"ACCELERATING","STABLE"))</f>
        <v>STABLE</v>
      </c>
    </row>
    <row r="204" customFormat="false" ht="15" hidden="false" customHeight="false" outlineLevel="0" collapsed="false">
      <c r="A204" s="11" t="s">
        <v>295</v>
      </c>
      <c r="B204" s="11" t="s">
        <v>92</v>
      </c>
      <c r="C204" s="11" t="s">
        <v>74</v>
      </c>
      <c r="D204" s="11" t="s">
        <v>151</v>
      </c>
      <c r="E204" s="11" t="s">
        <v>105</v>
      </c>
      <c r="F204" s="11" t="s">
        <v>296</v>
      </c>
      <c r="G204" s="11" t="s">
        <v>78</v>
      </c>
      <c r="H204" s="11" t="s">
        <v>79</v>
      </c>
      <c r="I204" s="11" t="s">
        <v>78</v>
      </c>
      <c r="J204" s="12" t="n">
        <v>2242000</v>
      </c>
      <c r="K204" s="13" t="n">
        <f aca="false">IFERROR(J204/M204,"")</f>
        <v>0.163149468781837</v>
      </c>
      <c r="L204" s="12" t="n">
        <v>11500000</v>
      </c>
      <c r="M204" s="14" t="n">
        <f aca="false">L204+J204</f>
        <v>13742000</v>
      </c>
      <c r="N204" s="12" t="n">
        <v>2242000</v>
      </c>
      <c r="O204" s="12" t="n">
        <v>22322240</v>
      </c>
      <c r="P204" s="12" t="n">
        <v>654596</v>
      </c>
      <c r="Q204" s="13" t="n">
        <f aca="false">IFERROR(P204/P203-1,"")</f>
        <v>0.116039111050491</v>
      </c>
      <c r="R204" s="12" t="n">
        <v>848967</v>
      </c>
      <c r="S204" s="13" t="n">
        <f aca="false">IFERROR(R204/R203-1,"")</f>
        <v>0.136473101755109</v>
      </c>
      <c r="T204" s="12" t="n">
        <v>431054</v>
      </c>
      <c r="U204" s="13" t="n">
        <f aca="false">IFERROR(T204/P204,"")</f>
        <v>0.658503871089955</v>
      </c>
      <c r="V204" s="14" t="n">
        <f aca="false">T204-AV204</f>
        <v>-1253618</v>
      </c>
      <c r="W204" s="14" t="n">
        <f aca="false">V204-AA204*0.1</f>
        <v>-1253618</v>
      </c>
      <c r="X204" s="12" t="n">
        <v>3407232</v>
      </c>
      <c r="Y204" s="12" t="n">
        <v>124160</v>
      </c>
      <c r="Z204" s="15" t="n">
        <f aca="false">IFERROR(X204/Y204,"")</f>
        <v>27.4422680412371</v>
      </c>
      <c r="AA204" s="12" t="n">
        <v>0</v>
      </c>
      <c r="AB204" s="14" t="n">
        <f aca="false">W204-0.02*P204</f>
        <v>-1266709.92</v>
      </c>
      <c r="AC204" s="16" t="n">
        <v>14</v>
      </c>
      <c r="AD204" s="13" t="n">
        <f aca="false">IFERROR(AC204/AC203-1,"")</f>
        <v>0</v>
      </c>
      <c r="AE204" s="17" t="n">
        <v>0.123</v>
      </c>
      <c r="AF204" s="17" t="n">
        <v>0.118</v>
      </c>
      <c r="AG204" s="13" t="n">
        <f aca="false">1-AF204</f>
        <v>0.882</v>
      </c>
      <c r="AH204" s="17" t="n">
        <v>1.077</v>
      </c>
      <c r="AI204" s="12" t="n">
        <v>67218</v>
      </c>
      <c r="AJ204" s="14" t="n">
        <f aca="false">IFERROR(AM204*U204*MIN(1/AE204,5),"")</f>
        <v>191756.327261395</v>
      </c>
      <c r="AK204" s="18" t="n">
        <f aca="false">IFERROR(AJ204/AI204,"")</f>
        <v>2.85275264455049</v>
      </c>
      <c r="AL204" s="15" t="n">
        <f aca="false">IFERROR(AI204/(AM204*U204/12),"")</f>
        <v>21.0323177211371</v>
      </c>
      <c r="AM204" s="12" t="n">
        <v>58240</v>
      </c>
      <c r="AN204" s="12" t="n">
        <v>808444</v>
      </c>
      <c r="AO204" s="12" t="n">
        <v>2836541</v>
      </c>
      <c r="AP204" s="17" t="n">
        <v>0.166</v>
      </c>
      <c r="AQ204" s="16" t="n">
        <v>49</v>
      </c>
      <c r="AR204" s="16" t="n">
        <v>2</v>
      </c>
      <c r="AS204" s="13" t="n">
        <f aca="false">IFERROR(AR204/AR203-1,"")</f>
        <v>0</v>
      </c>
      <c r="AT204" s="11" t="s">
        <v>134</v>
      </c>
      <c r="AU204" s="14" t="n">
        <f aca="false">IFERROR(P204/AR204,"")</f>
        <v>327298</v>
      </c>
      <c r="AV204" s="12" t="n">
        <v>1684672</v>
      </c>
      <c r="AW204" s="12" t="n">
        <v>622346</v>
      </c>
      <c r="AX204" s="12" t="n">
        <v>514456</v>
      </c>
      <c r="AY204" s="16" t="n">
        <v>17619</v>
      </c>
      <c r="AZ204" s="13" t="n">
        <f aca="false">IFERROR(AY204/AY203-1,"")</f>
        <v>0.178213187107129</v>
      </c>
      <c r="BA204" s="17" t="n">
        <v>0.905</v>
      </c>
      <c r="BB204" s="11" t="s">
        <v>107</v>
      </c>
      <c r="BC204" s="11" t="s">
        <v>100</v>
      </c>
      <c r="BD204" s="11" t="s">
        <v>101</v>
      </c>
      <c r="BE204" s="12" t="n">
        <v>715354</v>
      </c>
      <c r="BF204" s="13" t="n">
        <f aca="false">IFERROR(P204/BE204-1,"")</f>
        <v>-0.0849341724516812</v>
      </c>
      <c r="BG204" s="17" t="n">
        <v>0.023</v>
      </c>
      <c r="BH204" s="17" t="n">
        <v>-0.023</v>
      </c>
      <c r="BI204" s="14" t="n">
        <f aca="false">P204*(1+IFERROR(Q204,0))^4</f>
        <v>1015525.90246835</v>
      </c>
      <c r="BJ204" s="12" t="n">
        <v>-1171502</v>
      </c>
      <c r="BK204" s="11" t="s">
        <v>127</v>
      </c>
      <c r="BL204" s="11" t="s">
        <v>85</v>
      </c>
      <c r="BM204" s="14" t="n">
        <f aca="false">O204</f>
        <v>22322240</v>
      </c>
      <c r="BN204" s="11" t="s">
        <v>297</v>
      </c>
      <c r="BO204" s="13" t="n">
        <f aca="false">IFERROR(1-L204/M204,"")</f>
        <v>0.163149468781837</v>
      </c>
      <c r="BP204" s="11" t="s">
        <v>130</v>
      </c>
      <c r="BQ204" s="12" t="n">
        <v>1668645</v>
      </c>
      <c r="BR204" s="11" t="s">
        <v>88</v>
      </c>
      <c r="BS204" s="11" t="s">
        <v>89</v>
      </c>
      <c r="BT204" s="19" t="str">
        <f aca="false">IF(OR(Z204&lt;6,AH204&lt;0.9,S204&lt;0.02,AK204&lt;1),"REVIEW",IF(AND(S204&gt;0.25,AH204&gt;1.2),"ACCELERATING","STABLE"))</f>
        <v>STABLE</v>
      </c>
    </row>
    <row r="205" customFormat="false" ht="15" hidden="false" customHeight="false" outlineLevel="0" collapsed="false">
      <c r="A205" s="11" t="s">
        <v>295</v>
      </c>
      <c r="B205" s="11" t="s">
        <v>93</v>
      </c>
      <c r="C205" s="11" t="s">
        <v>74</v>
      </c>
      <c r="D205" s="11" t="s">
        <v>151</v>
      </c>
      <c r="E205" s="11" t="s">
        <v>105</v>
      </c>
      <c r="F205" s="11" t="s">
        <v>296</v>
      </c>
      <c r="G205" s="11" t="s">
        <v>78</v>
      </c>
      <c r="H205" s="11" t="s">
        <v>79</v>
      </c>
      <c r="I205" s="11" t="s">
        <v>78</v>
      </c>
      <c r="J205" s="12" t="n">
        <v>2242000</v>
      </c>
      <c r="K205" s="13" t="n">
        <f aca="false">IFERROR(J205/M205,"")</f>
        <v>0.163149468781837</v>
      </c>
      <c r="L205" s="12" t="n">
        <v>11500000</v>
      </c>
      <c r="M205" s="14" t="n">
        <f aca="false">L205+J205</f>
        <v>13742000</v>
      </c>
      <c r="N205" s="12" t="n">
        <v>2242000</v>
      </c>
      <c r="O205" s="12" t="n">
        <v>22322240</v>
      </c>
      <c r="P205" s="12" t="n">
        <v>723476</v>
      </c>
      <c r="Q205" s="13" t="n">
        <f aca="false">IFERROR(P205/P204-1,"")</f>
        <v>0.105225207608968</v>
      </c>
      <c r="R205" s="12" t="n">
        <v>928214</v>
      </c>
      <c r="S205" s="13" t="n">
        <f aca="false">IFERROR(R205/R204-1,"")</f>
        <v>0.0933452065863574</v>
      </c>
      <c r="T205" s="12" t="n">
        <v>478326</v>
      </c>
      <c r="U205" s="13" t="n">
        <f aca="false">IFERROR(T205/P205,"")</f>
        <v>0.661149782439224</v>
      </c>
      <c r="V205" s="14" t="n">
        <f aca="false">T205-AV205</f>
        <v>-1167465</v>
      </c>
      <c r="W205" s="14" t="n">
        <f aca="false">V205-AA205*0.1</f>
        <v>-1167465</v>
      </c>
      <c r="X205" s="12" t="n">
        <v>3072000</v>
      </c>
      <c r="Y205" s="12" t="n">
        <v>128000</v>
      </c>
      <c r="Z205" s="15" t="n">
        <f aca="false">IFERROR(X205/Y205,"")</f>
        <v>24</v>
      </c>
      <c r="AA205" s="12" t="n">
        <v>0</v>
      </c>
      <c r="AB205" s="14" t="n">
        <f aca="false">W205-0.02*P205</f>
        <v>-1181934.52</v>
      </c>
      <c r="AC205" s="16" t="n">
        <v>16</v>
      </c>
      <c r="AD205" s="13" t="n">
        <f aca="false">IFERROR(AC205/AC204-1,"")</f>
        <v>0.142857142857143</v>
      </c>
      <c r="AE205" s="17" t="n">
        <v>0.119</v>
      </c>
      <c r="AF205" s="17" t="n">
        <v>0.109</v>
      </c>
      <c r="AG205" s="13" t="n">
        <f aca="false">1-AF205</f>
        <v>0.891</v>
      </c>
      <c r="AH205" s="17" t="n">
        <v>1.072</v>
      </c>
      <c r="AI205" s="12" t="n">
        <v>65900</v>
      </c>
      <c r="AJ205" s="14" t="n">
        <f aca="false">IFERROR(AM205*U205*MIN(1/AE205,5),"")</f>
        <v>196229.255427962</v>
      </c>
      <c r="AK205" s="18" t="n">
        <f aca="false">IFERROR(AJ205/AI205,"")</f>
        <v>2.97768217644858</v>
      </c>
      <c r="AL205" s="15" t="n">
        <f aca="false">IFERROR(AI205/(AM205*U205/12),"")</f>
        <v>20.1499006423717</v>
      </c>
      <c r="AM205" s="12" t="n">
        <v>59360</v>
      </c>
      <c r="AN205" s="12" t="n">
        <v>1198301</v>
      </c>
      <c r="AO205" s="12" t="n">
        <v>2566275</v>
      </c>
      <c r="AP205" s="17" t="n">
        <v>0.166</v>
      </c>
      <c r="AQ205" s="16" t="n">
        <v>49</v>
      </c>
      <c r="AR205" s="16" t="n">
        <v>2</v>
      </c>
      <c r="AS205" s="13" t="n">
        <f aca="false">IFERROR(AR205/AR204-1,"")</f>
        <v>0</v>
      </c>
      <c r="AT205" s="11" t="s">
        <v>134</v>
      </c>
      <c r="AU205" s="14" t="n">
        <f aca="false">IFERROR(P205/AR205,"")</f>
        <v>361738</v>
      </c>
      <c r="AV205" s="12" t="n">
        <v>1645791</v>
      </c>
      <c r="AW205" s="12" t="n">
        <v>714721</v>
      </c>
      <c r="AX205" s="12" t="n">
        <v>551391</v>
      </c>
      <c r="AY205" s="16" t="n">
        <v>18192</v>
      </c>
      <c r="AZ205" s="13" t="n">
        <f aca="false">IFERROR(AY205/AY204-1,"")</f>
        <v>0.0325217095181338</v>
      </c>
      <c r="BA205" s="17" t="n">
        <v>0.903</v>
      </c>
      <c r="BB205" s="11" t="s">
        <v>107</v>
      </c>
      <c r="BC205" s="11" t="s">
        <v>100</v>
      </c>
      <c r="BD205" s="11" t="s">
        <v>101</v>
      </c>
      <c r="BE205" s="12" t="n">
        <v>900689</v>
      </c>
      <c r="BF205" s="13" t="n">
        <f aca="false">IFERROR(P205/BE205-1,"")</f>
        <v>-0.196752708204497</v>
      </c>
      <c r="BG205" s="17" t="n">
        <v>0.055</v>
      </c>
      <c r="BH205" s="17" t="n">
        <v>-0.002</v>
      </c>
      <c r="BI205" s="14" t="n">
        <f aca="false">P205*(1+IFERROR(Q205,0))^4</f>
        <v>1079511.45513715</v>
      </c>
      <c r="BJ205" s="12" t="n">
        <v>-826583</v>
      </c>
      <c r="BK205" s="11" t="s">
        <v>127</v>
      </c>
      <c r="BL205" s="11" t="s">
        <v>85</v>
      </c>
      <c r="BM205" s="14" t="n">
        <f aca="false">O205</f>
        <v>22322240</v>
      </c>
      <c r="BN205" s="11" t="s">
        <v>297</v>
      </c>
      <c r="BO205" s="13" t="n">
        <f aca="false">IFERROR(1-L205/M205,"")</f>
        <v>0.163149468781837</v>
      </c>
      <c r="BP205" s="11" t="s">
        <v>130</v>
      </c>
      <c r="BQ205" s="12" t="n">
        <v>2430648</v>
      </c>
      <c r="BR205" s="11" t="s">
        <v>88</v>
      </c>
      <c r="BS205" s="11" t="s">
        <v>89</v>
      </c>
      <c r="BT205" s="19" t="str">
        <f aca="false">IF(OR(Z205&lt;6,AH205&lt;0.9,S205&lt;0.02,AK205&lt;1),"REVIEW",IF(AND(S205&gt;0.25,AH205&gt;1.2),"ACCELERATING","STABLE"))</f>
        <v>STABLE</v>
      </c>
    </row>
    <row r="206" customFormat="false" ht="15" hidden="false" customHeight="false" outlineLevel="0" collapsed="false">
      <c r="A206" s="3" t="s">
        <v>298</v>
      </c>
      <c r="B206" s="3" t="s">
        <v>73</v>
      </c>
      <c r="C206" s="3" t="s">
        <v>74</v>
      </c>
      <c r="D206" s="3" t="s">
        <v>210</v>
      </c>
      <c r="E206" s="3" t="s">
        <v>187</v>
      </c>
      <c r="F206" s="3" t="s">
        <v>299</v>
      </c>
      <c r="G206" s="3" t="s">
        <v>78</v>
      </c>
      <c r="H206" s="3" t="s">
        <v>79</v>
      </c>
      <c r="I206" s="3" t="s">
        <v>78</v>
      </c>
      <c r="J206" s="4" t="n">
        <v>1662000</v>
      </c>
      <c r="K206" s="5" t="n">
        <f aca="false">IFERROR(J206/M206,"")</f>
        <v>0.101527183872938</v>
      </c>
      <c r="L206" s="4" t="n">
        <v>14708000</v>
      </c>
      <c r="M206" s="6" t="n">
        <f aca="false">L206+J206</f>
        <v>16370000</v>
      </c>
      <c r="N206" s="4" t="n">
        <v>2198000</v>
      </c>
      <c r="O206" s="4" t="n">
        <v>22884860</v>
      </c>
      <c r="P206" s="4" t="n">
        <v>317591</v>
      </c>
      <c r="Q206" s="7"/>
      <c r="R206" s="4" t="n">
        <v>331427</v>
      </c>
      <c r="S206" s="7"/>
      <c r="T206" s="4" t="n">
        <v>258877</v>
      </c>
      <c r="U206" s="5" t="n">
        <f aca="false">IFERROR(T206/P206,"")</f>
        <v>0.815127002969228</v>
      </c>
      <c r="V206" s="6" t="n">
        <f aca="false">T206-AV206</f>
        <v>-1790191</v>
      </c>
      <c r="W206" s="6" t="n">
        <f aca="false">V206-AA206*0.1</f>
        <v>-1790191</v>
      </c>
      <c r="X206" s="4" t="n">
        <v>1705200</v>
      </c>
      <c r="Y206" s="4" t="n">
        <v>184730</v>
      </c>
      <c r="Z206" s="8" t="n">
        <f aca="false">IFERROR(X206/Y206,"")</f>
        <v>9.23076923076923</v>
      </c>
      <c r="AA206" s="4" t="n">
        <v>0</v>
      </c>
      <c r="AB206" s="6" t="n">
        <f aca="false">W206-0.02*P206</f>
        <v>-1796542.82</v>
      </c>
      <c r="AC206" s="9" t="n">
        <v>29</v>
      </c>
      <c r="AD206" s="7"/>
      <c r="AE206" s="7" t="n">
        <v>0.071</v>
      </c>
      <c r="AF206" s="7" t="n">
        <v>0.06</v>
      </c>
      <c r="AG206" s="5" t="n">
        <f aca="false">1-AF206</f>
        <v>0.94</v>
      </c>
      <c r="AH206" s="7" t="n">
        <v>1.131</v>
      </c>
      <c r="AI206" s="4" t="n">
        <v>16218</v>
      </c>
      <c r="AJ206" s="6" t="n">
        <f aca="false">IFERROR(AM206*U206*MIN(1/AE206,5),"")</f>
        <v>81512.7002969228</v>
      </c>
      <c r="AK206" s="10" t="n">
        <f aca="false">IFERROR(AJ206/AI206,"")</f>
        <v>5.02606365130859</v>
      </c>
      <c r="AL206" s="8" t="n">
        <f aca="false">IFERROR(AI206/(AM206*U206/12),"")</f>
        <v>11.9377716166365</v>
      </c>
      <c r="AM206" s="4" t="n">
        <v>20000</v>
      </c>
      <c r="AN206" s="4" t="n">
        <v>396891</v>
      </c>
      <c r="AO206" s="4" t="n">
        <v>856105</v>
      </c>
      <c r="AP206" s="7" t="n">
        <v>0.27</v>
      </c>
      <c r="AQ206" s="9" t="n">
        <v>40</v>
      </c>
      <c r="AR206" s="9" t="n">
        <v>1</v>
      </c>
      <c r="AS206" s="7"/>
      <c r="AT206" s="3" t="s">
        <v>134</v>
      </c>
      <c r="AU206" s="6" t="n">
        <f aca="false">IFERROR(P206/AR206,"")</f>
        <v>317591</v>
      </c>
      <c r="AV206" s="4" t="n">
        <v>2049068</v>
      </c>
      <c r="AW206" s="4" t="n">
        <v>867173</v>
      </c>
      <c r="AX206" s="4" t="n">
        <v>462967</v>
      </c>
      <c r="AY206" s="9" t="n">
        <v>4823</v>
      </c>
      <c r="AZ206" s="7"/>
      <c r="BA206" s="7" t="n">
        <v>0.945</v>
      </c>
      <c r="BB206" s="3" t="s">
        <v>99</v>
      </c>
      <c r="BC206" s="3" t="s">
        <v>82</v>
      </c>
      <c r="BD206" s="3" t="s">
        <v>109</v>
      </c>
      <c r="BE206" s="4" t="n">
        <v>381904</v>
      </c>
      <c r="BF206" s="5" t="n">
        <f aca="false">IFERROR(P206/BE206-1,"")</f>
        <v>-0.16840095940341</v>
      </c>
      <c r="BG206" s="7" t="n">
        <v>-0.025</v>
      </c>
      <c r="BH206" s="7" t="n">
        <v>-0.064</v>
      </c>
      <c r="BI206" s="6" t="n">
        <f aca="false">P206</f>
        <v>317591</v>
      </c>
      <c r="BJ206" s="4" t="n">
        <v>-1926907</v>
      </c>
      <c r="BK206" s="3" t="s">
        <v>110</v>
      </c>
      <c r="BL206" s="3" t="s">
        <v>162</v>
      </c>
      <c r="BM206" s="6" t="n">
        <f aca="false">O206</f>
        <v>22884860</v>
      </c>
      <c r="BN206" s="3" t="s">
        <v>300</v>
      </c>
      <c r="BO206" s="5" t="n">
        <f aca="false">IFERROR(1-L206/M206,"")</f>
        <v>0.101527183872938</v>
      </c>
      <c r="BP206" s="3" t="s">
        <v>87</v>
      </c>
      <c r="BQ206" s="4" t="n">
        <v>2680316</v>
      </c>
      <c r="BR206" s="3" t="s">
        <v>88</v>
      </c>
      <c r="BS206" s="3" t="s">
        <v>89</v>
      </c>
      <c r="BT206" s="3" t="s">
        <v>90</v>
      </c>
    </row>
    <row r="207" customFormat="false" ht="15" hidden="false" customHeight="false" outlineLevel="0" collapsed="false">
      <c r="A207" s="11" t="s">
        <v>298</v>
      </c>
      <c r="B207" s="11" t="s">
        <v>91</v>
      </c>
      <c r="C207" s="11" t="s">
        <v>74</v>
      </c>
      <c r="D207" s="11" t="s">
        <v>210</v>
      </c>
      <c r="E207" s="11" t="s">
        <v>187</v>
      </c>
      <c r="F207" s="11" t="s">
        <v>299</v>
      </c>
      <c r="G207" s="11" t="s">
        <v>78</v>
      </c>
      <c r="H207" s="11" t="s">
        <v>79</v>
      </c>
      <c r="I207" s="11" t="s">
        <v>78</v>
      </c>
      <c r="J207" s="12" t="n">
        <v>1662000</v>
      </c>
      <c r="K207" s="13" t="n">
        <f aca="false">IFERROR(J207/M207,"")</f>
        <v>0.101527183872938</v>
      </c>
      <c r="L207" s="12" t="n">
        <v>14708000</v>
      </c>
      <c r="M207" s="14" t="n">
        <f aca="false">L207+J207</f>
        <v>16370000</v>
      </c>
      <c r="N207" s="12" t="n">
        <v>2198000</v>
      </c>
      <c r="O207" s="12" t="n">
        <v>22884860</v>
      </c>
      <c r="P207" s="12" t="n">
        <v>446248</v>
      </c>
      <c r="Q207" s="13" t="n">
        <f aca="false">IFERROR(P207/P206-1,"")</f>
        <v>0.405102789436728</v>
      </c>
      <c r="R207" s="12" t="n">
        <v>462626</v>
      </c>
      <c r="S207" s="13" t="n">
        <f aca="false">IFERROR(R207/R206-1,"")</f>
        <v>0.395860928650955</v>
      </c>
      <c r="T207" s="12" t="n">
        <v>365222</v>
      </c>
      <c r="U207" s="13" t="n">
        <f aca="false">IFERROR(T207/P207,"")</f>
        <v>0.818428317886019</v>
      </c>
      <c r="V207" s="14" t="n">
        <f aca="false">T207-AV207</f>
        <v>-1803974</v>
      </c>
      <c r="W207" s="14" t="n">
        <f aca="false">V207-AA207*0.1</f>
        <v>-1803974</v>
      </c>
      <c r="X207" s="12" t="n">
        <v>2192400</v>
      </c>
      <c r="Y207" s="12" t="n">
        <v>190820</v>
      </c>
      <c r="Z207" s="15" t="n">
        <f aca="false">IFERROR(X207/Y207,"")</f>
        <v>11.4893617021277</v>
      </c>
      <c r="AA207" s="12" t="n">
        <v>0</v>
      </c>
      <c r="AB207" s="14" t="n">
        <f aca="false">W207-0.02*P207</f>
        <v>-1812898.96</v>
      </c>
      <c r="AC207" s="16" t="n">
        <v>33</v>
      </c>
      <c r="AD207" s="13" t="n">
        <f aca="false">IFERROR(AC207/AC206-1,"")</f>
        <v>0.137931034482759</v>
      </c>
      <c r="AE207" s="17" t="n">
        <v>0.069</v>
      </c>
      <c r="AF207" s="17" t="n">
        <v>0.044</v>
      </c>
      <c r="AG207" s="13" t="n">
        <f aca="false">1-AF207</f>
        <v>0.956</v>
      </c>
      <c r="AH207" s="17" t="n">
        <v>1.161</v>
      </c>
      <c r="AI207" s="12" t="n">
        <v>15912</v>
      </c>
      <c r="AJ207" s="14" t="n">
        <f aca="false">IFERROR(AM207*U207*MIN(1/AE207,5),"")</f>
        <v>83479.6884243739</v>
      </c>
      <c r="AK207" s="18" t="n">
        <f aca="false">IFERROR(AJ207/AI207,"")</f>
        <v>5.24633537106422</v>
      </c>
      <c r="AL207" s="15" t="n">
        <f aca="false">IFERROR(AI207/(AM207*U207/12),"")</f>
        <v>11.4365544244323</v>
      </c>
      <c r="AM207" s="12" t="n">
        <v>20400</v>
      </c>
      <c r="AN207" s="12" t="n">
        <v>581878</v>
      </c>
      <c r="AO207" s="12" t="n">
        <v>1386314</v>
      </c>
      <c r="AP207" s="17" t="n">
        <v>0.27</v>
      </c>
      <c r="AQ207" s="16" t="n">
        <v>40</v>
      </c>
      <c r="AR207" s="16" t="n">
        <v>1</v>
      </c>
      <c r="AS207" s="13" t="n">
        <f aca="false">IFERROR(AR207/AR206-1,"")</f>
        <v>0</v>
      </c>
      <c r="AT207" s="11" t="s">
        <v>134</v>
      </c>
      <c r="AU207" s="14" t="n">
        <f aca="false">IFERROR(P207/AR207,"")</f>
        <v>446248</v>
      </c>
      <c r="AV207" s="12" t="n">
        <v>2169196</v>
      </c>
      <c r="AW207" s="12" t="n">
        <v>965119</v>
      </c>
      <c r="AX207" s="12" t="n">
        <v>543597</v>
      </c>
      <c r="AY207" s="16" t="n">
        <v>6185</v>
      </c>
      <c r="AZ207" s="13" t="n">
        <f aca="false">IFERROR(AY207/AY206-1,"")</f>
        <v>0.282396848434584</v>
      </c>
      <c r="BA207" s="17" t="n">
        <v>0.928</v>
      </c>
      <c r="BB207" s="11" t="s">
        <v>99</v>
      </c>
      <c r="BC207" s="11" t="s">
        <v>82</v>
      </c>
      <c r="BD207" s="11" t="s">
        <v>109</v>
      </c>
      <c r="BE207" s="12" t="n">
        <v>555284</v>
      </c>
      <c r="BF207" s="13" t="n">
        <f aca="false">IFERROR(P207/BE207-1,"")</f>
        <v>-0.196360781149826</v>
      </c>
      <c r="BG207" s="17" t="n">
        <v>0.042</v>
      </c>
      <c r="BH207" s="17" t="n">
        <v>0.053</v>
      </c>
      <c r="BI207" s="14" t="n">
        <f aca="false">P207*(1+IFERROR(Q207,0))^4</f>
        <v>1739436.85051838</v>
      </c>
      <c r="BJ207" s="12" t="n">
        <v>-1703767</v>
      </c>
      <c r="BK207" s="11" t="s">
        <v>110</v>
      </c>
      <c r="BL207" s="11" t="s">
        <v>162</v>
      </c>
      <c r="BM207" s="14" t="n">
        <f aca="false">O207</f>
        <v>22884860</v>
      </c>
      <c r="BN207" s="11" t="s">
        <v>300</v>
      </c>
      <c r="BO207" s="13" t="n">
        <f aca="false">IFERROR(1-L207/M207,"")</f>
        <v>0.101527183872938</v>
      </c>
      <c r="BP207" s="11" t="s">
        <v>87</v>
      </c>
      <c r="BQ207" s="12" t="n">
        <v>2575676</v>
      </c>
      <c r="BR207" s="11" t="s">
        <v>88</v>
      </c>
      <c r="BS207" s="11" t="s">
        <v>89</v>
      </c>
      <c r="BT207" s="19" t="str">
        <f aca="false">IF(OR(Z207&lt;6,AH207&lt;0.9,S207&lt;0.02,AK207&lt;1),"REVIEW",IF(AND(S207&gt;0.25,AH207&gt;1.2),"ACCELERATING","STABLE"))</f>
        <v>STABLE</v>
      </c>
    </row>
    <row r="208" customFormat="false" ht="15" hidden="false" customHeight="false" outlineLevel="0" collapsed="false">
      <c r="A208" s="11" t="s">
        <v>298</v>
      </c>
      <c r="B208" s="11" t="s">
        <v>92</v>
      </c>
      <c r="C208" s="11" t="s">
        <v>74</v>
      </c>
      <c r="D208" s="11" t="s">
        <v>210</v>
      </c>
      <c r="E208" s="11" t="s">
        <v>187</v>
      </c>
      <c r="F208" s="11" t="s">
        <v>299</v>
      </c>
      <c r="G208" s="11" t="s">
        <v>78</v>
      </c>
      <c r="H208" s="11" t="s">
        <v>79</v>
      </c>
      <c r="I208" s="11" t="s">
        <v>78</v>
      </c>
      <c r="J208" s="12" t="n">
        <v>1662000</v>
      </c>
      <c r="K208" s="13" t="n">
        <f aca="false">IFERROR(J208/M208,"")</f>
        <v>0.101527183872938</v>
      </c>
      <c r="L208" s="12" t="n">
        <v>14708000</v>
      </c>
      <c r="M208" s="14" t="n">
        <f aca="false">L208+J208</f>
        <v>16370000</v>
      </c>
      <c r="N208" s="12" t="n">
        <v>2198000</v>
      </c>
      <c r="O208" s="12" t="n">
        <v>22884860</v>
      </c>
      <c r="P208" s="12" t="n">
        <v>549381</v>
      </c>
      <c r="Q208" s="13" t="n">
        <f aca="false">IFERROR(P208/P207-1,"")</f>
        <v>0.231111399939047</v>
      </c>
      <c r="R208" s="12" t="n">
        <v>611969</v>
      </c>
      <c r="S208" s="13" t="n">
        <f aca="false">IFERROR(R208/R207-1,"")</f>
        <v>0.322815838279734</v>
      </c>
      <c r="T208" s="12" t="n">
        <v>451442</v>
      </c>
      <c r="U208" s="13" t="n">
        <f aca="false">IFERROR(T208/P208,"")</f>
        <v>0.821728454387756</v>
      </c>
      <c r="V208" s="14" t="n">
        <f aca="false">T208-AV208</f>
        <v>-1987713</v>
      </c>
      <c r="W208" s="14" t="n">
        <f aca="false">V208-AA208*0.1</f>
        <v>-1987713</v>
      </c>
      <c r="X208" s="12" t="n">
        <v>2679600</v>
      </c>
      <c r="Y208" s="12" t="n">
        <v>196910</v>
      </c>
      <c r="Z208" s="15" t="n">
        <f aca="false">IFERROR(X208/Y208,"")</f>
        <v>13.6082474226804</v>
      </c>
      <c r="AA208" s="12" t="n">
        <v>0</v>
      </c>
      <c r="AB208" s="14" t="n">
        <f aca="false">W208-0.02*P208</f>
        <v>-1998700.62</v>
      </c>
      <c r="AC208" s="16" t="n">
        <v>42</v>
      </c>
      <c r="AD208" s="13" t="n">
        <f aca="false">IFERROR(AC208/AC207-1,"")</f>
        <v>0.272727272727273</v>
      </c>
      <c r="AE208" s="17" t="n">
        <v>0.067</v>
      </c>
      <c r="AF208" s="17" t="n">
        <v>0.062</v>
      </c>
      <c r="AG208" s="13" t="n">
        <f aca="false">1-AF208</f>
        <v>0.938</v>
      </c>
      <c r="AH208" s="17" t="n">
        <v>1.191</v>
      </c>
      <c r="AI208" s="12" t="n">
        <v>15606</v>
      </c>
      <c r="AJ208" s="14" t="n">
        <f aca="false">IFERROR(AM208*U208*MIN(1/AE208,5),"")</f>
        <v>85459.7592563267</v>
      </c>
      <c r="AK208" s="18" t="n">
        <f aca="false">IFERROR(AJ208/AI208,"")</f>
        <v>5.47608350995301</v>
      </c>
      <c r="AL208" s="15" t="n">
        <f aca="false">IFERROR(AI208/(AM208*U208/12),"")</f>
        <v>10.9567357566676</v>
      </c>
      <c r="AM208" s="12" t="n">
        <v>20800</v>
      </c>
      <c r="AN208" s="12" t="n">
        <v>679147</v>
      </c>
      <c r="AO208" s="12" t="n">
        <v>1772022</v>
      </c>
      <c r="AP208" s="17" t="n">
        <v>0.27</v>
      </c>
      <c r="AQ208" s="16" t="n">
        <v>40</v>
      </c>
      <c r="AR208" s="16" t="n">
        <v>2</v>
      </c>
      <c r="AS208" s="13" t="n">
        <f aca="false">IFERROR(AR208/AR207-1,"")</f>
        <v>1</v>
      </c>
      <c r="AT208" s="11" t="s">
        <v>134</v>
      </c>
      <c r="AU208" s="14" t="n">
        <f aca="false">IFERROR(P208/AR208,"")</f>
        <v>274690.5</v>
      </c>
      <c r="AV208" s="12" t="n">
        <v>2439155</v>
      </c>
      <c r="AW208" s="12" t="n">
        <v>952075</v>
      </c>
      <c r="AX208" s="12" t="n">
        <v>829126</v>
      </c>
      <c r="AY208" s="16" t="n">
        <v>7329</v>
      </c>
      <c r="AZ208" s="13" t="n">
        <f aca="false">IFERROR(AY208/AY207-1,"")</f>
        <v>0.184963621665319</v>
      </c>
      <c r="BA208" s="17" t="n">
        <v>0.927</v>
      </c>
      <c r="BB208" s="11" t="s">
        <v>99</v>
      </c>
      <c r="BC208" s="11" t="s">
        <v>82</v>
      </c>
      <c r="BD208" s="11" t="s">
        <v>109</v>
      </c>
      <c r="BE208" s="12" t="n">
        <v>520002</v>
      </c>
      <c r="BF208" s="13" t="n">
        <f aca="false">IFERROR(P208/BE208-1,"")</f>
        <v>0.0564978596236168</v>
      </c>
      <c r="BG208" s="17" t="n">
        <v>0.069</v>
      </c>
      <c r="BH208" s="17" t="n">
        <v>0.034</v>
      </c>
      <c r="BI208" s="14" t="n">
        <f aca="false">P208*(1+IFERROR(Q208,0))^4</f>
        <v>1262010.72848685</v>
      </c>
      <c r="BJ208" s="12" t="n">
        <v>-2046659</v>
      </c>
      <c r="BK208" s="11" t="s">
        <v>110</v>
      </c>
      <c r="BL208" s="11" t="s">
        <v>162</v>
      </c>
      <c r="BM208" s="14" t="n">
        <f aca="false">O208</f>
        <v>22884860</v>
      </c>
      <c r="BN208" s="11" t="s">
        <v>300</v>
      </c>
      <c r="BO208" s="13" t="n">
        <f aca="false">IFERROR(1-L208/M208,"")</f>
        <v>0.101527183872938</v>
      </c>
      <c r="BP208" s="11" t="s">
        <v>87</v>
      </c>
      <c r="BQ208" s="12" t="n">
        <v>2828550</v>
      </c>
      <c r="BR208" s="11" t="s">
        <v>88</v>
      </c>
      <c r="BS208" s="11" t="s">
        <v>89</v>
      </c>
      <c r="BT208" s="19" t="str">
        <f aca="false">IF(OR(Z208&lt;6,AH208&lt;0.9,S208&lt;0.02,AK208&lt;1),"REVIEW",IF(AND(S208&gt;0.25,AH208&gt;1.2),"ACCELERATING","STABLE"))</f>
        <v>STABLE</v>
      </c>
    </row>
    <row r="209" customFormat="false" ht="15" hidden="false" customHeight="false" outlineLevel="0" collapsed="false">
      <c r="A209" s="11" t="s">
        <v>298</v>
      </c>
      <c r="B209" s="11" t="s">
        <v>93</v>
      </c>
      <c r="C209" s="11" t="s">
        <v>74</v>
      </c>
      <c r="D209" s="11" t="s">
        <v>210</v>
      </c>
      <c r="E209" s="11" t="s">
        <v>187</v>
      </c>
      <c r="F209" s="11" t="s">
        <v>299</v>
      </c>
      <c r="G209" s="11" t="s">
        <v>78</v>
      </c>
      <c r="H209" s="11" t="s">
        <v>79</v>
      </c>
      <c r="I209" s="11" t="s">
        <v>78</v>
      </c>
      <c r="J209" s="12" t="n">
        <v>1662000</v>
      </c>
      <c r="K209" s="13" t="n">
        <f aca="false">IFERROR(J209/M209,"")</f>
        <v>0.101527183872938</v>
      </c>
      <c r="L209" s="12" t="n">
        <v>14708000</v>
      </c>
      <c r="M209" s="14" t="n">
        <f aca="false">L209+J209</f>
        <v>16370000</v>
      </c>
      <c r="N209" s="12" t="n">
        <v>2198000</v>
      </c>
      <c r="O209" s="12" t="n">
        <v>22884860</v>
      </c>
      <c r="P209" s="12" t="n">
        <v>760339</v>
      </c>
      <c r="Q209" s="13" t="n">
        <f aca="false">IFERROR(P209/P208-1,"")</f>
        <v>0.383992165728338</v>
      </c>
      <c r="R209" s="12" t="n">
        <v>802133</v>
      </c>
      <c r="S209" s="13" t="n">
        <f aca="false">IFERROR(R209/R208-1,"")</f>
        <v>0.31074123035644</v>
      </c>
      <c r="T209" s="12" t="n">
        <v>627300</v>
      </c>
      <c r="U209" s="13" t="n">
        <f aca="false">IFERROR(T209/P209,"")</f>
        <v>0.825026731497398</v>
      </c>
      <c r="V209" s="14" t="n">
        <f aca="false">T209-AV209</f>
        <v>-2453834</v>
      </c>
      <c r="W209" s="14" t="n">
        <f aca="false">V209-AA209*0.1</f>
        <v>-2453834</v>
      </c>
      <c r="X209" s="12" t="n">
        <v>4872000</v>
      </c>
      <c r="Y209" s="12" t="n">
        <v>203000</v>
      </c>
      <c r="Z209" s="15" t="n">
        <f aca="false">IFERROR(X209/Y209,"")</f>
        <v>24</v>
      </c>
      <c r="AA209" s="12" t="n">
        <v>0</v>
      </c>
      <c r="AB209" s="14" t="n">
        <f aca="false">W209-0.02*P209</f>
        <v>-2469040.78</v>
      </c>
      <c r="AC209" s="16" t="n">
        <v>54</v>
      </c>
      <c r="AD209" s="13" t="n">
        <f aca="false">IFERROR(AC209/AC208-1,"")</f>
        <v>0.285714285714286</v>
      </c>
      <c r="AE209" s="17" t="n">
        <v>0.065</v>
      </c>
      <c r="AF209" s="17" t="n">
        <v>0.069</v>
      </c>
      <c r="AG209" s="13" t="n">
        <f aca="false">1-AF209</f>
        <v>0.931</v>
      </c>
      <c r="AH209" s="17" t="n">
        <v>1.221</v>
      </c>
      <c r="AI209" s="12" t="n">
        <v>15300</v>
      </c>
      <c r="AJ209" s="14" t="n">
        <f aca="false">IFERROR(AM209*U209*MIN(1/AE209,5),"")</f>
        <v>87452.8335387242</v>
      </c>
      <c r="AK209" s="18" t="n">
        <f aca="false">IFERROR(AJ209/AI209,"")</f>
        <v>5.71587147311923</v>
      </c>
      <c r="AL209" s="15" t="n">
        <f aca="false">IFERROR(AI209/(AM209*U209/12),"")</f>
        <v>10.4970869765301</v>
      </c>
      <c r="AM209" s="12" t="n">
        <v>21200</v>
      </c>
      <c r="AN209" s="12" t="n">
        <v>1094421</v>
      </c>
      <c r="AO209" s="12" t="n">
        <v>3150340</v>
      </c>
      <c r="AP209" s="17" t="n">
        <v>0.27</v>
      </c>
      <c r="AQ209" s="16" t="n">
        <v>40</v>
      </c>
      <c r="AR209" s="16" t="n">
        <v>2</v>
      </c>
      <c r="AS209" s="13" t="n">
        <f aca="false">IFERROR(AR209/AR208-1,"")</f>
        <v>0</v>
      </c>
      <c r="AT209" s="11" t="s">
        <v>134</v>
      </c>
      <c r="AU209" s="14" t="n">
        <f aca="false">IFERROR(P209/AR209,"")</f>
        <v>380169.5</v>
      </c>
      <c r="AV209" s="12" t="n">
        <v>3081134</v>
      </c>
      <c r="AW209" s="12" t="n">
        <v>1049704</v>
      </c>
      <c r="AX209" s="12" t="n">
        <v>623187</v>
      </c>
      <c r="AY209" s="16" t="n">
        <v>9811</v>
      </c>
      <c r="AZ209" s="13" t="n">
        <f aca="false">IFERROR(AY209/AY208-1,"")</f>
        <v>0.338654659571565</v>
      </c>
      <c r="BA209" s="17" t="n">
        <v>0.949</v>
      </c>
      <c r="BB209" s="11" t="s">
        <v>99</v>
      </c>
      <c r="BC209" s="11" t="s">
        <v>82</v>
      </c>
      <c r="BD209" s="11" t="s">
        <v>109</v>
      </c>
      <c r="BE209" s="12" t="n">
        <v>765937</v>
      </c>
      <c r="BF209" s="13" t="n">
        <f aca="false">IFERROR(P209/BE209-1,"")</f>
        <v>-0.0073086951015553</v>
      </c>
      <c r="BG209" s="17" t="n">
        <v>-0.042</v>
      </c>
      <c r="BH209" s="17" t="n">
        <v>-0.024</v>
      </c>
      <c r="BI209" s="14" t="n">
        <f aca="false">P209*(1+IFERROR(Q209,0))^4</f>
        <v>2789599.10011087</v>
      </c>
      <c r="BJ209" s="12" t="n">
        <v>-2255082</v>
      </c>
      <c r="BK209" s="11" t="s">
        <v>110</v>
      </c>
      <c r="BL209" s="11" t="s">
        <v>162</v>
      </c>
      <c r="BM209" s="14" t="n">
        <f aca="false">O209</f>
        <v>22884860</v>
      </c>
      <c r="BN209" s="11" t="s">
        <v>300</v>
      </c>
      <c r="BO209" s="13" t="n">
        <f aca="false">IFERROR(1-L209/M209,"")</f>
        <v>0.101527183872938</v>
      </c>
      <c r="BP209" s="11" t="s">
        <v>87</v>
      </c>
      <c r="BQ209" s="12" t="n">
        <v>3610517</v>
      </c>
      <c r="BR209" s="11" t="s">
        <v>88</v>
      </c>
      <c r="BS209" s="11" t="s">
        <v>89</v>
      </c>
      <c r="BT209" s="19" t="str">
        <f aca="false">IF(OR(Z209&lt;6,AH209&lt;0.9,S209&lt;0.02,AK209&lt;1),"REVIEW",IF(AND(S209&gt;0.25,AH209&gt;1.2),"ACCELERATING","STABLE"))</f>
        <v>ACCELERATING</v>
      </c>
    </row>
    <row r="210" customFormat="false" ht="15" hidden="false" customHeight="false" outlineLevel="0" collapsed="false">
      <c r="A210" s="3" t="s">
        <v>301</v>
      </c>
      <c r="B210" s="3" t="s">
        <v>73</v>
      </c>
      <c r="C210" s="3" t="s">
        <v>74</v>
      </c>
      <c r="D210" s="3" t="s">
        <v>165</v>
      </c>
      <c r="E210" s="3" t="s">
        <v>105</v>
      </c>
      <c r="F210" s="3" t="s">
        <v>302</v>
      </c>
      <c r="G210" s="3" t="s">
        <v>78</v>
      </c>
      <c r="H210" s="3" t="s">
        <v>79</v>
      </c>
      <c r="I210" s="3" t="s">
        <v>78</v>
      </c>
      <c r="J210" s="4" t="n">
        <v>4488000</v>
      </c>
      <c r="K210" s="5" t="n">
        <f aca="false">IFERROR(J210/M210,"")</f>
        <v>0.139791309764834</v>
      </c>
      <c r="L210" s="4" t="n">
        <v>27617000</v>
      </c>
      <c r="M210" s="6" t="n">
        <f aca="false">L210+J210</f>
        <v>32105000</v>
      </c>
      <c r="N210" s="4" t="n">
        <v>4488000</v>
      </c>
      <c r="O210" s="4" t="n">
        <v>66699355</v>
      </c>
      <c r="P210" s="4" t="n">
        <v>372213</v>
      </c>
      <c r="Q210" s="7"/>
      <c r="R210" s="4" t="n">
        <v>451014</v>
      </c>
      <c r="S210" s="7"/>
      <c r="T210" s="4" t="n">
        <v>245908</v>
      </c>
      <c r="U210" s="5" t="n">
        <f aca="false">IFERROR(T210/P210,"")</f>
        <v>0.660664726917115</v>
      </c>
      <c r="V210" s="6" t="n">
        <f aca="false">T210-AV210</f>
        <v>-1499622</v>
      </c>
      <c r="W210" s="6" t="n">
        <f aca="false">V210-AA210*0.1</f>
        <v>-1538522</v>
      </c>
      <c r="X210" s="4" t="n">
        <v>4203714</v>
      </c>
      <c r="Y210" s="4" t="n">
        <v>121940</v>
      </c>
      <c r="Z210" s="8" t="n">
        <f aca="false">IFERROR(X210/Y210,"")</f>
        <v>34.4736263736264</v>
      </c>
      <c r="AA210" s="4" t="n">
        <v>389000</v>
      </c>
      <c r="AB210" s="6" t="n">
        <f aca="false">W210-0.02*P210</f>
        <v>-1545966.26</v>
      </c>
      <c r="AC210" s="9" t="n">
        <v>40</v>
      </c>
      <c r="AD210" s="7"/>
      <c r="AE210" s="7" t="n">
        <v>0.052</v>
      </c>
      <c r="AF210" s="7" t="n">
        <v>0.044</v>
      </c>
      <c r="AG210" s="5" t="n">
        <f aca="false">1-AF210</f>
        <v>0.956</v>
      </c>
      <c r="AH210" s="7" t="n">
        <v>1.18</v>
      </c>
      <c r="AI210" s="4" t="n">
        <v>36782</v>
      </c>
      <c r="AJ210" s="6" t="n">
        <f aca="false">IFERROR(AM210*U210*MIN(1/AE210,5),"")</f>
        <v>118919.650845081</v>
      </c>
      <c r="AK210" s="10" t="n">
        <f aca="false">IFERROR(AJ210/AI210,"")</f>
        <v>3.23309365573054</v>
      </c>
      <c r="AL210" s="8" t="n">
        <f aca="false">IFERROR(AI210/(AM210*U210/12),"")</f>
        <v>18.5580766872164</v>
      </c>
      <c r="AM210" s="4" t="n">
        <v>36000</v>
      </c>
      <c r="AN210" s="4" t="n">
        <v>549631</v>
      </c>
      <c r="AO210" s="4" t="n">
        <v>806945</v>
      </c>
      <c r="AP210" s="7" t="n">
        <v>0.387</v>
      </c>
      <c r="AQ210" s="9" t="n">
        <v>42</v>
      </c>
      <c r="AR210" s="9" t="n">
        <v>2</v>
      </c>
      <c r="AS210" s="7"/>
      <c r="AT210" s="3" t="s">
        <v>153</v>
      </c>
      <c r="AU210" s="6" t="n">
        <f aca="false">IFERROR(P210/AR210,"")</f>
        <v>186106.5</v>
      </c>
      <c r="AV210" s="4" t="n">
        <v>1745530</v>
      </c>
      <c r="AW210" s="4" t="n">
        <v>538023</v>
      </c>
      <c r="AX210" s="4" t="n">
        <v>437221</v>
      </c>
      <c r="AY210" s="9" t="n">
        <v>19222</v>
      </c>
      <c r="AZ210" s="7"/>
      <c r="BA210" s="7" t="n">
        <v>0.958</v>
      </c>
      <c r="BB210" s="3" t="s">
        <v>99</v>
      </c>
      <c r="BC210" s="3" t="s">
        <v>126</v>
      </c>
      <c r="BD210" s="3" t="s">
        <v>83</v>
      </c>
      <c r="BE210" s="4" t="n">
        <v>439234</v>
      </c>
      <c r="BF210" s="5" t="n">
        <f aca="false">IFERROR(P210/BE210-1,"")</f>
        <v>-0.152586093062013</v>
      </c>
      <c r="BG210" s="7" t="n">
        <v>-0.046</v>
      </c>
      <c r="BH210" s="7" t="n">
        <v>-0.035</v>
      </c>
      <c r="BI210" s="6" t="n">
        <f aca="false">P210</f>
        <v>372213</v>
      </c>
      <c r="BJ210" s="4" t="n">
        <v>-1385487</v>
      </c>
      <c r="BK210" s="3" t="s">
        <v>192</v>
      </c>
      <c r="BL210" s="3" t="s">
        <v>128</v>
      </c>
      <c r="BM210" s="6" t="n">
        <f aca="false">O210</f>
        <v>66699355</v>
      </c>
      <c r="BN210" s="3" t="s">
        <v>303</v>
      </c>
      <c r="BO210" s="5" t="n">
        <f aca="false">IFERROR(1-L210/M210,"")</f>
        <v>0.139791309764834</v>
      </c>
      <c r="BP210" s="3" t="s">
        <v>142</v>
      </c>
      <c r="BQ210" s="4" t="n">
        <v>1836395</v>
      </c>
      <c r="BR210" s="3" t="s">
        <v>88</v>
      </c>
      <c r="BS210" s="3" t="s">
        <v>89</v>
      </c>
      <c r="BT210" s="3" t="s">
        <v>90</v>
      </c>
    </row>
    <row r="211" customFormat="false" ht="15" hidden="false" customHeight="false" outlineLevel="0" collapsed="false">
      <c r="A211" s="11" t="s">
        <v>301</v>
      </c>
      <c r="B211" s="11" t="s">
        <v>91</v>
      </c>
      <c r="C211" s="11" t="s">
        <v>74</v>
      </c>
      <c r="D211" s="11" t="s">
        <v>165</v>
      </c>
      <c r="E211" s="11" t="s">
        <v>105</v>
      </c>
      <c r="F211" s="11" t="s">
        <v>302</v>
      </c>
      <c r="G211" s="11" t="s">
        <v>78</v>
      </c>
      <c r="H211" s="11" t="s">
        <v>79</v>
      </c>
      <c r="I211" s="11" t="s">
        <v>78</v>
      </c>
      <c r="J211" s="12" t="n">
        <v>4488000</v>
      </c>
      <c r="K211" s="13" t="n">
        <f aca="false">IFERROR(J211/M211,"")</f>
        <v>0.139791309764834</v>
      </c>
      <c r="L211" s="12" t="n">
        <v>27617000</v>
      </c>
      <c r="M211" s="14" t="n">
        <f aca="false">L211+J211</f>
        <v>32105000</v>
      </c>
      <c r="N211" s="12" t="n">
        <v>4488000</v>
      </c>
      <c r="O211" s="12" t="n">
        <v>66699355</v>
      </c>
      <c r="P211" s="12" t="n">
        <v>480910</v>
      </c>
      <c r="Q211" s="13" t="n">
        <f aca="false">IFERROR(P211/P210-1,"")</f>
        <v>0.292029026390803</v>
      </c>
      <c r="R211" s="12" t="n">
        <v>554069</v>
      </c>
      <c r="S211" s="13" t="n">
        <f aca="false">IFERROR(R211/R210-1,"")</f>
        <v>0.228496232932902</v>
      </c>
      <c r="T211" s="12" t="n">
        <v>319006</v>
      </c>
      <c r="U211" s="13" t="n">
        <f aca="false">IFERROR(T211/P211,"")</f>
        <v>0.663338254559065</v>
      </c>
      <c r="V211" s="14" t="n">
        <f aca="false">T211-AV211</f>
        <v>-1216381</v>
      </c>
      <c r="W211" s="14" t="n">
        <f aca="false">V211-AA211*0.1</f>
        <v>-1255281</v>
      </c>
      <c r="X211" s="12" t="n">
        <v>3896184</v>
      </c>
      <c r="Y211" s="12" t="n">
        <v>125960</v>
      </c>
      <c r="Z211" s="15" t="n">
        <f aca="false">IFERROR(X211/Y211,"")</f>
        <v>30.931914893617</v>
      </c>
      <c r="AA211" s="12" t="n">
        <v>389000</v>
      </c>
      <c r="AB211" s="14" t="n">
        <f aca="false">W211-0.02*P211</f>
        <v>-1264899.2</v>
      </c>
      <c r="AC211" s="16" t="n">
        <v>46</v>
      </c>
      <c r="AD211" s="13" t="n">
        <f aca="false">IFERROR(AC211/AC210-1,"")</f>
        <v>0.15</v>
      </c>
      <c r="AE211" s="17" t="n">
        <v>0.051</v>
      </c>
      <c r="AF211" s="17" t="n">
        <v>0.053</v>
      </c>
      <c r="AG211" s="13" t="n">
        <f aca="false">1-AF211</f>
        <v>0.947</v>
      </c>
      <c r="AH211" s="17" t="n">
        <v>1.175</v>
      </c>
      <c r="AI211" s="12" t="n">
        <v>36088</v>
      </c>
      <c r="AJ211" s="14" t="n">
        <f aca="false">IFERROR(AM211*U211*MIN(1/AE211,5),"")</f>
        <v>121788.903537044</v>
      </c>
      <c r="AK211" s="18" t="n">
        <f aca="false">IFERROR(AJ211/AI211,"")</f>
        <v>3.37477564667048</v>
      </c>
      <c r="AL211" s="15" t="n">
        <f aca="false">IFERROR(AI211/(AM211*U211/12),"")</f>
        <v>17.7789596351969</v>
      </c>
      <c r="AM211" s="12" t="n">
        <v>36720</v>
      </c>
      <c r="AN211" s="12" t="n">
        <v>690563</v>
      </c>
      <c r="AO211" s="12" t="n">
        <v>1271964</v>
      </c>
      <c r="AP211" s="17" t="n">
        <v>0.387</v>
      </c>
      <c r="AQ211" s="16" t="n">
        <v>42</v>
      </c>
      <c r="AR211" s="16" t="n">
        <v>2</v>
      </c>
      <c r="AS211" s="13" t="n">
        <f aca="false">IFERROR(AR211/AR210-1,"")</f>
        <v>0</v>
      </c>
      <c r="AT211" s="11" t="s">
        <v>153</v>
      </c>
      <c r="AU211" s="14" t="n">
        <f aca="false">IFERROR(P211/AR211,"")</f>
        <v>240455</v>
      </c>
      <c r="AV211" s="12" t="n">
        <v>1535387</v>
      </c>
      <c r="AW211" s="12" t="n">
        <v>544171</v>
      </c>
      <c r="AX211" s="12" t="n">
        <v>452501</v>
      </c>
      <c r="AY211" s="16" t="n">
        <v>21091</v>
      </c>
      <c r="AZ211" s="13" t="n">
        <f aca="false">IFERROR(AY211/AY210-1,"")</f>
        <v>0.0972323379461035</v>
      </c>
      <c r="BA211" s="17" t="n">
        <v>0.951</v>
      </c>
      <c r="BB211" s="11" t="s">
        <v>99</v>
      </c>
      <c r="BC211" s="11" t="s">
        <v>126</v>
      </c>
      <c r="BD211" s="11" t="s">
        <v>83</v>
      </c>
      <c r="BE211" s="12" t="n">
        <v>470116</v>
      </c>
      <c r="BF211" s="13" t="n">
        <f aca="false">IFERROR(P211/BE211-1,"")</f>
        <v>0.022960290651669</v>
      </c>
      <c r="BG211" s="17" t="n">
        <v>-0.043</v>
      </c>
      <c r="BH211" s="17" t="n">
        <v>0.001</v>
      </c>
      <c r="BI211" s="14" t="n">
        <f aca="false">P211*(1+IFERROR(Q211,0))^4</f>
        <v>1340148.39296269</v>
      </c>
      <c r="BJ211" s="12" t="n">
        <v>-861154</v>
      </c>
      <c r="BK211" s="11" t="s">
        <v>192</v>
      </c>
      <c r="BL211" s="11" t="s">
        <v>128</v>
      </c>
      <c r="BM211" s="14" t="n">
        <f aca="false">O211</f>
        <v>66699355</v>
      </c>
      <c r="BN211" s="11" t="s">
        <v>303</v>
      </c>
      <c r="BO211" s="13" t="n">
        <f aca="false">IFERROR(1-L211/M211,"")</f>
        <v>0.139791309764834</v>
      </c>
      <c r="BP211" s="11" t="s">
        <v>142</v>
      </c>
      <c r="BQ211" s="12" t="n">
        <v>1511671</v>
      </c>
      <c r="BR211" s="11" t="s">
        <v>88</v>
      </c>
      <c r="BS211" s="11" t="s">
        <v>89</v>
      </c>
      <c r="BT211" s="19" t="str">
        <f aca="false">IF(OR(Z211&lt;6,AH211&lt;0.9,S211&lt;0.02,AK211&lt;1),"REVIEW",IF(AND(S211&gt;0.25,AH211&gt;1.2),"ACCELERATING","STABLE"))</f>
        <v>STABLE</v>
      </c>
    </row>
    <row r="212" customFormat="false" ht="15" hidden="false" customHeight="false" outlineLevel="0" collapsed="false">
      <c r="A212" s="11" t="s">
        <v>301</v>
      </c>
      <c r="B212" s="11" t="s">
        <v>92</v>
      </c>
      <c r="C212" s="11" t="s">
        <v>74</v>
      </c>
      <c r="D212" s="11" t="s">
        <v>165</v>
      </c>
      <c r="E212" s="11" t="s">
        <v>105</v>
      </c>
      <c r="F212" s="11" t="s">
        <v>302</v>
      </c>
      <c r="G212" s="11" t="s">
        <v>78</v>
      </c>
      <c r="H212" s="11" t="s">
        <v>79</v>
      </c>
      <c r="I212" s="11" t="s">
        <v>78</v>
      </c>
      <c r="J212" s="12" t="n">
        <v>4488000</v>
      </c>
      <c r="K212" s="13" t="n">
        <f aca="false">IFERROR(J212/M212,"")</f>
        <v>0.139791309764834</v>
      </c>
      <c r="L212" s="12" t="n">
        <v>27617000</v>
      </c>
      <c r="M212" s="14" t="n">
        <f aca="false">L212+J212</f>
        <v>32105000</v>
      </c>
      <c r="N212" s="12" t="n">
        <v>4488000</v>
      </c>
      <c r="O212" s="12" t="n">
        <v>66699355</v>
      </c>
      <c r="P212" s="12" t="n">
        <v>544234</v>
      </c>
      <c r="Q212" s="13" t="n">
        <f aca="false">IFERROR(P212/P211-1,"")</f>
        <v>0.131675365452995</v>
      </c>
      <c r="R212" s="12" t="n">
        <v>618486</v>
      </c>
      <c r="S212" s="13" t="n">
        <f aca="false">IFERROR(R212/R211-1,"")</f>
        <v>0.116261693038232</v>
      </c>
      <c r="T212" s="12" t="n">
        <v>362467</v>
      </c>
      <c r="U212" s="13" t="n">
        <f aca="false">IFERROR(T212/P212,"")</f>
        <v>0.666013148755866</v>
      </c>
      <c r="V212" s="14" t="n">
        <f aca="false">T212-AV212</f>
        <v>-1509111</v>
      </c>
      <c r="W212" s="14" t="n">
        <f aca="false">V212-AA212*0.1</f>
        <v>-1548011</v>
      </c>
      <c r="X212" s="12" t="n">
        <v>3566946</v>
      </c>
      <c r="Y212" s="12" t="n">
        <v>129980</v>
      </c>
      <c r="Z212" s="15" t="n">
        <f aca="false">IFERROR(X212/Y212,"")</f>
        <v>27.4422680412371</v>
      </c>
      <c r="AA212" s="12" t="n">
        <v>389000</v>
      </c>
      <c r="AB212" s="14" t="n">
        <f aca="false">W212-0.02*P212</f>
        <v>-1558895.68</v>
      </c>
      <c r="AC212" s="16" t="n">
        <v>52</v>
      </c>
      <c r="AD212" s="13" t="n">
        <f aca="false">IFERROR(AC212/AC211-1,"")</f>
        <v>0.130434782608696</v>
      </c>
      <c r="AE212" s="17" t="n">
        <v>0.049</v>
      </c>
      <c r="AF212" s="17" t="n">
        <v>0.05</v>
      </c>
      <c r="AG212" s="13" t="n">
        <f aca="false">1-AF212</f>
        <v>0.95</v>
      </c>
      <c r="AH212" s="17" t="n">
        <v>1.17</v>
      </c>
      <c r="AI212" s="12" t="n">
        <v>35394</v>
      </c>
      <c r="AJ212" s="14" t="n">
        <f aca="false">IFERROR(AM212*U212*MIN(1/AE212,5),"")</f>
        <v>124677.661447098</v>
      </c>
      <c r="AK212" s="18" t="n">
        <f aca="false">IFERROR(AJ212/AI212,"")</f>
        <v>3.52256488238397</v>
      </c>
      <c r="AL212" s="15" t="n">
        <f aca="false">IFERROR(AI212/(AM212*U212/12),"")</f>
        <v>17.0330432521072</v>
      </c>
      <c r="AM212" s="12" t="n">
        <v>37440</v>
      </c>
      <c r="AN212" s="12" t="n">
        <v>841004</v>
      </c>
      <c r="AO212" s="12" t="n">
        <v>1377857</v>
      </c>
      <c r="AP212" s="17" t="n">
        <v>0.387</v>
      </c>
      <c r="AQ212" s="16" t="n">
        <v>42</v>
      </c>
      <c r="AR212" s="16" t="n">
        <v>2</v>
      </c>
      <c r="AS212" s="13" t="n">
        <f aca="false">IFERROR(AR212/AR211-1,"")</f>
        <v>0</v>
      </c>
      <c r="AT212" s="11" t="s">
        <v>153</v>
      </c>
      <c r="AU212" s="14" t="n">
        <f aca="false">IFERROR(P212/AR212,"")</f>
        <v>272117</v>
      </c>
      <c r="AV212" s="12" t="n">
        <v>1871578</v>
      </c>
      <c r="AW212" s="12" t="n">
        <v>567671</v>
      </c>
      <c r="AX212" s="12" t="n">
        <v>350603</v>
      </c>
      <c r="AY212" s="16" t="n">
        <v>26839</v>
      </c>
      <c r="AZ212" s="13" t="n">
        <f aca="false">IFERROR(AY212/AY211-1,"")</f>
        <v>0.272533308046086</v>
      </c>
      <c r="BA212" s="17" t="n">
        <v>0.948</v>
      </c>
      <c r="BB212" s="11" t="s">
        <v>99</v>
      </c>
      <c r="BC212" s="11" t="s">
        <v>126</v>
      </c>
      <c r="BD212" s="11" t="s">
        <v>83</v>
      </c>
      <c r="BE212" s="12" t="n">
        <v>516114</v>
      </c>
      <c r="BF212" s="13" t="n">
        <f aca="false">IFERROR(P212/BE212-1,"")</f>
        <v>0.0544840868490295</v>
      </c>
      <c r="BG212" s="17" t="n">
        <v>-0.012</v>
      </c>
      <c r="BH212" s="17" t="n">
        <v>0.063</v>
      </c>
      <c r="BI212" s="14" t="n">
        <f aca="false">P212*(1+IFERROR(Q212,0))^4</f>
        <v>892633.370742217</v>
      </c>
      <c r="BJ212" s="12" t="n">
        <v>-1403059</v>
      </c>
      <c r="BK212" s="11" t="s">
        <v>192</v>
      </c>
      <c r="BL212" s="11" t="s">
        <v>128</v>
      </c>
      <c r="BM212" s="14" t="n">
        <f aca="false">O212</f>
        <v>66699355</v>
      </c>
      <c r="BN212" s="11" t="s">
        <v>303</v>
      </c>
      <c r="BO212" s="13" t="n">
        <f aca="false">IFERROR(1-L212/M212,"")</f>
        <v>0.139791309764834</v>
      </c>
      <c r="BP212" s="11" t="s">
        <v>142</v>
      </c>
      <c r="BQ212" s="12" t="n">
        <v>1732441</v>
      </c>
      <c r="BR212" s="11" t="s">
        <v>88</v>
      </c>
      <c r="BS212" s="11" t="s">
        <v>89</v>
      </c>
      <c r="BT212" s="19" t="str">
        <f aca="false">IF(OR(Z212&lt;6,AH212&lt;0.9,S212&lt;0.02,AK212&lt;1),"REVIEW",IF(AND(S212&gt;0.25,AH212&gt;1.2),"ACCELERATING","STABLE"))</f>
        <v>STABLE</v>
      </c>
    </row>
    <row r="213" customFormat="false" ht="15" hidden="false" customHeight="false" outlineLevel="0" collapsed="false">
      <c r="A213" s="11" t="s">
        <v>301</v>
      </c>
      <c r="B213" s="11" t="s">
        <v>93</v>
      </c>
      <c r="C213" s="11" t="s">
        <v>74</v>
      </c>
      <c r="D213" s="11" t="s">
        <v>165</v>
      </c>
      <c r="E213" s="11" t="s">
        <v>105</v>
      </c>
      <c r="F213" s="11" t="s">
        <v>302</v>
      </c>
      <c r="G213" s="11" t="s">
        <v>78</v>
      </c>
      <c r="H213" s="11" t="s">
        <v>79</v>
      </c>
      <c r="I213" s="11" t="s">
        <v>78</v>
      </c>
      <c r="J213" s="12" t="n">
        <v>4488000</v>
      </c>
      <c r="K213" s="13" t="n">
        <f aca="false">IFERROR(J213/M213,"")</f>
        <v>0.139791309764834</v>
      </c>
      <c r="L213" s="12" t="n">
        <v>27617000</v>
      </c>
      <c r="M213" s="14" t="n">
        <f aca="false">L213+J213</f>
        <v>32105000</v>
      </c>
      <c r="N213" s="12" t="n">
        <v>4488000</v>
      </c>
      <c r="O213" s="12" t="n">
        <v>66699355</v>
      </c>
      <c r="P213" s="12" t="n">
        <v>692834</v>
      </c>
      <c r="Q213" s="13" t="n">
        <f aca="false">IFERROR(P213/P212-1,"")</f>
        <v>0.273044315496643</v>
      </c>
      <c r="R213" s="12" t="n">
        <v>722936</v>
      </c>
      <c r="S213" s="13" t="n">
        <f aca="false">IFERROR(R213/R212-1,"")</f>
        <v>0.168880136332916</v>
      </c>
      <c r="T213" s="12" t="n">
        <v>463290</v>
      </c>
      <c r="U213" s="13" t="n">
        <f aca="false">IFERROR(T213/P213,"")</f>
        <v>0.668688314949901</v>
      </c>
      <c r="V213" s="14" t="n">
        <f aca="false">T213-AV213</f>
        <v>-1349450</v>
      </c>
      <c r="W213" s="14" t="n">
        <f aca="false">V213-AA213*0.1</f>
        <v>-1388350</v>
      </c>
      <c r="X213" s="12" t="n">
        <v>3216000</v>
      </c>
      <c r="Y213" s="12" t="n">
        <v>134000</v>
      </c>
      <c r="Z213" s="15" t="n">
        <f aca="false">IFERROR(X213/Y213,"")</f>
        <v>24</v>
      </c>
      <c r="AA213" s="12" t="n">
        <v>389000</v>
      </c>
      <c r="AB213" s="14" t="n">
        <f aca="false">W213-0.02*P213</f>
        <v>-1402206.68</v>
      </c>
      <c r="AC213" s="16" t="n">
        <v>62</v>
      </c>
      <c r="AD213" s="13" t="n">
        <f aca="false">IFERROR(AC213/AC212-1,"")</f>
        <v>0.192307692307692</v>
      </c>
      <c r="AE213" s="17" t="n">
        <v>0.048</v>
      </c>
      <c r="AF213" s="17" t="n">
        <v>0.051</v>
      </c>
      <c r="AG213" s="13" t="n">
        <f aca="false">1-AF213</f>
        <v>0.949</v>
      </c>
      <c r="AH213" s="17" t="n">
        <v>1.165</v>
      </c>
      <c r="AI213" s="12" t="n">
        <v>34700</v>
      </c>
      <c r="AJ213" s="14" t="n">
        <f aca="false">IFERROR(AM213*U213*MIN(1/AE213,5),"")</f>
        <v>127585.730492441</v>
      </c>
      <c r="AK213" s="18" t="n">
        <f aca="false">IFERROR(AJ213/AI213,"")</f>
        <v>3.67682220439312</v>
      </c>
      <c r="AL213" s="15" t="n">
        <f aca="false">IFERROR(AI213/(AM213*U213/12),"")</f>
        <v>16.3184393110744</v>
      </c>
      <c r="AM213" s="12" t="n">
        <v>38160</v>
      </c>
      <c r="AN213" s="12" t="n">
        <v>786391</v>
      </c>
      <c r="AO213" s="12" t="n">
        <v>2552415</v>
      </c>
      <c r="AP213" s="17" t="n">
        <v>0.387</v>
      </c>
      <c r="AQ213" s="16" t="n">
        <v>42</v>
      </c>
      <c r="AR213" s="16" t="n">
        <v>2</v>
      </c>
      <c r="AS213" s="13" t="n">
        <f aca="false">IFERROR(AR213/AR212-1,"")</f>
        <v>0</v>
      </c>
      <c r="AT213" s="11" t="s">
        <v>153</v>
      </c>
      <c r="AU213" s="14" t="n">
        <f aca="false">IFERROR(P213/AR213,"")</f>
        <v>346417</v>
      </c>
      <c r="AV213" s="12" t="n">
        <v>1812740</v>
      </c>
      <c r="AW213" s="12" t="n">
        <v>607845</v>
      </c>
      <c r="AX213" s="12" t="n">
        <v>349767</v>
      </c>
      <c r="AY213" s="16" t="n">
        <v>31230</v>
      </c>
      <c r="AZ213" s="13" t="n">
        <f aca="false">IFERROR(AY213/AY212-1,"")</f>
        <v>0.163605201386043</v>
      </c>
      <c r="BA213" s="17" t="n">
        <v>0.954</v>
      </c>
      <c r="BB213" s="11" t="s">
        <v>99</v>
      </c>
      <c r="BC213" s="11" t="s">
        <v>126</v>
      </c>
      <c r="BD213" s="11" t="s">
        <v>83</v>
      </c>
      <c r="BE213" s="12" t="n">
        <v>782223</v>
      </c>
      <c r="BF213" s="13" t="n">
        <f aca="false">IFERROR(P213/BE213-1,"")</f>
        <v>-0.114275596600969</v>
      </c>
      <c r="BG213" s="17" t="n">
        <v>-0.033</v>
      </c>
      <c r="BH213" s="17" t="n">
        <v>0.092</v>
      </c>
      <c r="BI213" s="14" t="n">
        <f aca="false">P213*(1+IFERROR(Q213,0))^4</f>
        <v>1819714.60178837</v>
      </c>
      <c r="BJ213" s="12" t="n">
        <v>-1194900</v>
      </c>
      <c r="BK213" s="11" t="s">
        <v>192</v>
      </c>
      <c r="BL213" s="11" t="s">
        <v>128</v>
      </c>
      <c r="BM213" s="14" t="n">
        <f aca="false">O213</f>
        <v>66699355</v>
      </c>
      <c r="BN213" s="11" t="s">
        <v>303</v>
      </c>
      <c r="BO213" s="13" t="n">
        <f aca="false">IFERROR(1-L213/M213,"")</f>
        <v>0.139791309764834</v>
      </c>
      <c r="BP213" s="11" t="s">
        <v>142</v>
      </c>
      <c r="BQ213" s="12" t="n">
        <v>1943628</v>
      </c>
      <c r="BR213" s="11" t="s">
        <v>88</v>
      </c>
      <c r="BS213" s="11" t="s">
        <v>89</v>
      </c>
      <c r="BT213" s="19" t="str">
        <f aca="false">IF(OR(Z213&lt;6,AH213&lt;0.9,S213&lt;0.02,AK213&lt;1),"REVIEW",IF(AND(S213&gt;0.25,AH213&gt;1.2),"ACCELERATING","STABLE"))</f>
        <v>STABLE</v>
      </c>
    </row>
    <row r="214" customFormat="false" ht="15" hidden="false" customHeight="false" outlineLevel="0" collapsed="false">
      <c r="A214" s="3" t="s">
        <v>304</v>
      </c>
      <c r="B214" s="3" t="s">
        <v>73</v>
      </c>
      <c r="C214" s="3" t="s">
        <v>74</v>
      </c>
      <c r="D214" s="3" t="s">
        <v>132</v>
      </c>
      <c r="E214" s="3" t="s">
        <v>105</v>
      </c>
      <c r="F214" s="3" t="s">
        <v>305</v>
      </c>
      <c r="G214" s="3" t="s">
        <v>78</v>
      </c>
      <c r="H214" s="3" t="s">
        <v>79</v>
      </c>
      <c r="I214" s="3" t="s">
        <v>78</v>
      </c>
      <c r="J214" s="4" t="n">
        <v>3394000</v>
      </c>
      <c r="K214" s="5" t="n">
        <f aca="false">IFERROR(J214/M214,"")</f>
        <v>0.12371509805351</v>
      </c>
      <c r="L214" s="4" t="n">
        <v>24040000</v>
      </c>
      <c r="M214" s="6" t="n">
        <f aca="false">L214+J214</f>
        <v>27434000</v>
      </c>
      <c r="N214" s="4" t="n">
        <v>7556000</v>
      </c>
      <c r="O214" s="4" t="n">
        <v>44922318</v>
      </c>
      <c r="P214" s="4" t="n">
        <v>926874</v>
      </c>
      <c r="Q214" s="7"/>
      <c r="R214" s="4" t="n">
        <v>1131307</v>
      </c>
      <c r="S214" s="7"/>
      <c r="T214" s="4" t="n">
        <v>631723</v>
      </c>
      <c r="U214" s="5" t="n">
        <f aca="false">IFERROR(T214/P214,"")</f>
        <v>0.681562974039621</v>
      </c>
      <c r="V214" s="6" t="n">
        <f aca="false">T214-AV214</f>
        <v>-1922786</v>
      </c>
      <c r="W214" s="6" t="n">
        <f aca="false">V214-AA214*0.1</f>
        <v>-1968586</v>
      </c>
      <c r="X214" s="4" t="n">
        <v>5489925</v>
      </c>
      <c r="Y214" s="4" t="n">
        <v>159250</v>
      </c>
      <c r="Z214" s="8" t="n">
        <f aca="false">IFERROR(X214/Y214,"")</f>
        <v>34.4736263736264</v>
      </c>
      <c r="AA214" s="4" t="n">
        <v>458000</v>
      </c>
      <c r="AB214" s="6" t="n">
        <f aca="false">W214-0.02*P214</f>
        <v>-1987123.48</v>
      </c>
      <c r="AC214" s="9" t="n">
        <v>39</v>
      </c>
      <c r="AD214" s="7"/>
      <c r="AE214" s="7" t="n">
        <v>0.143</v>
      </c>
      <c r="AF214" s="7" t="n">
        <v>0.14</v>
      </c>
      <c r="AG214" s="5" t="n">
        <f aca="false">1-AF214</f>
        <v>0.86</v>
      </c>
      <c r="AH214" s="7" t="n">
        <v>1.179</v>
      </c>
      <c r="AI214" s="4" t="n">
        <v>57770</v>
      </c>
      <c r="AJ214" s="6" t="n">
        <f aca="false">IFERROR(AM214*U214*MIN(1/AE214,5),"")</f>
        <v>190837.632731094</v>
      </c>
      <c r="AK214" s="10" t="n">
        <f aca="false">IFERROR(AJ214/AI214,"")</f>
        <v>3.30340371700007</v>
      </c>
      <c r="AL214" s="8" t="n">
        <f aca="false">IFERROR(AI214/(AM214*U214/12),"")</f>
        <v>18.1630842428451</v>
      </c>
      <c r="AM214" s="4" t="n">
        <v>56000</v>
      </c>
      <c r="AN214" s="4" t="n">
        <v>1624959</v>
      </c>
      <c r="AO214" s="4" t="n">
        <v>2986770</v>
      </c>
      <c r="AP214" s="7" t="n">
        <v>0.297</v>
      </c>
      <c r="AQ214" s="9" t="n">
        <v>54</v>
      </c>
      <c r="AR214" s="9" t="n">
        <v>3</v>
      </c>
      <c r="AS214" s="7"/>
      <c r="AT214" s="3" t="s">
        <v>218</v>
      </c>
      <c r="AU214" s="6" t="n">
        <f aca="false">IFERROR(P214/AR214,"")</f>
        <v>308958</v>
      </c>
      <c r="AV214" s="4" t="n">
        <v>2554509</v>
      </c>
      <c r="AW214" s="4" t="n">
        <v>956459</v>
      </c>
      <c r="AX214" s="4" t="n">
        <v>658760</v>
      </c>
      <c r="AY214" s="9" t="n">
        <v>5967</v>
      </c>
      <c r="AZ214" s="7"/>
      <c r="BA214" s="7" t="n">
        <v>0.85</v>
      </c>
      <c r="BB214" s="3" t="s">
        <v>99</v>
      </c>
      <c r="BC214" s="3" t="s">
        <v>126</v>
      </c>
      <c r="BD214" s="3" t="s">
        <v>101</v>
      </c>
      <c r="BE214" s="4" t="n">
        <v>1136754</v>
      </c>
      <c r="BF214" s="5" t="n">
        <f aca="false">IFERROR(P214/BE214-1,"")</f>
        <v>-0.184630975567273</v>
      </c>
      <c r="BG214" s="7" t="n">
        <v>-0.052</v>
      </c>
      <c r="BH214" s="7" t="n">
        <v>-0.017</v>
      </c>
      <c r="BI214" s="6" t="n">
        <f aca="false">P214</f>
        <v>926874</v>
      </c>
      <c r="BJ214" s="4" t="n">
        <v>-1791775</v>
      </c>
      <c r="BK214" s="3" t="s">
        <v>102</v>
      </c>
      <c r="BL214" s="3" t="s">
        <v>162</v>
      </c>
      <c r="BM214" s="6" t="n">
        <f aca="false">O214</f>
        <v>44922318</v>
      </c>
      <c r="BN214" s="3" t="s">
        <v>306</v>
      </c>
      <c r="BO214" s="5" t="n">
        <f aca="false">IFERROR(1-L214/M214,"")</f>
        <v>0.12371509805351</v>
      </c>
      <c r="BP214" s="3" t="s">
        <v>113</v>
      </c>
      <c r="BQ214" s="4" t="n">
        <v>2776467</v>
      </c>
      <c r="BR214" s="3" t="s">
        <v>88</v>
      </c>
      <c r="BS214" s="3" t="s">
        <v>89</v>
      </c>
      <c r="BT214" s="3" t="s">
        <v>90</v>
      </c>
    </row>
    <row r="215" customFormat="false" ht="15" hidden="false" customHeight="false" outlineLevel="0" collapsed="false">
      <c r="A215" s="11" t="s">
        <v>304</v>
      </c>
      <c r="B215" s="11" t="s">
        <v>91</v>
      </c>
      <c r="C215" s="11" t="s">
        <v>74</v>
      </c>
      <c r="D215" s="11" t="s">
        <v>132</v>
      </c>
      <c r="E215" s="11" t="s">
        <v>105</v>
      </c>
      <c r="F215" s="11" t="s">
        <v>305</v>
      </c>
      <c r="G215" s="11" t="s">
        <v>78</v>
      </c>
      <c r="H215" s="11" t="s">
        <v>79</v>
      </c>
      <c r="I215" s="11" t="s">
        <v>78</v>
      </c>
      <c r="J215" s="12" t="n">
        <v>3394000</v>
      </c>
      <c r="K215" s="13" t="n">
        <f aca="false">IFERROR(J215/M215,"")</f>
        <v>0.12371509805351</v>
      </c>
      <c r="L215" s="12" t="n">
        <v>24040000</v>
      </c>
      <c r="M215" s="14" t="n">
        <f aca="false">L215+J215</f>
        <v>27434000</v>
      </c>
      <c r="N215" s="12" t="n">
        <v>7556000</v>
      </c>
      <c r="O215" s="12" t="n">
        <v>44922318</v>
      </c>
      <c r="P215" s="12" t="n">
        <v>936742</v>
      </c>
      <c r="Q215" s="13" t="n">
        <f aca="false">IFERROR(P215/P214-1,"")</f>
        <v>0.010646538795996</v>
      </c>
      <c r="R215" s="12" t="n">
        <v>1247140</v>
      </c>
      <c r="S215" s="13" t="n">
        <f aca="false">IFERROR(R215/R214-1,"")</f>
        <v>0.102388653124218</v>
      </c>
      <c r="T215" s="12" t="n">
        <v>641034</v>
      </c>
      <c r="U215" s="13" t="n">
        <f aca="false">IFERROR(T215/P215,"")</f>
        <v>0.684322897873694</v>
      </c>
      <c r="V215" s="14" t="n">
        <f aca="false">T215-AV215</f>
        <v>-1519030</v>
      </c>
      <c r="W215" s="14" t="n">
        <f aca="false">V215-AA215*0.1</f>
        <v>-1564830</v>
      </c>
      <c r="X215" s="12" t="n">
        <v>5088300</v>
      </c>
      <c r="Y215" s="12" t="n">
        <v>164500</v>
      </c>
      <c r="Z215" s="15" t="n">
        <f aca="false">IFERROR(X215/Y215,"")</f>
        <v>30.931914893617</v>
      </c>
      <c r="AA215" s="12" t="n">
        <v>458000</v>
      </c>
      <c r="AB215" s="14" t="n">
        <f aca="false">W215-0.02*P215</f>
        <v>-1583564.84</v>
      </c>
      <c r="AC215" s="16" t="n">
        <v>43</v>
      </c>
      <c r="AD215" s="13" t="n">
        <f aca="false">IFERROR(AC215/AC214-1,"")</f>
        <v>0.102564102564103</v>
      </c>
      <c r="AE215" s="17" t="n">
        <v>0.139</v>
      </c>
      <c r="AF215" s="17" t="n">
        <v>0.14</v>
      </c>
      <c r="AG215" s="13" t="n">
        <f aca="false">1-AF215</f>
        <v>0.86</v>
      </c>
      <c r="AH215" s="17" t="n">
        <v>1.174</v>
      </c>
      <c r="AI215" s="12" t="n">
        <v>56680</v>
      </c>
      <c r="AJ215" s="14" t="n">
        <f aca="false">IFERROR(AM215*U215*MIN(1/AE215,5),"")</f>
        <v>195442.619632727</v>
      </c>
      <c r="AK215" s="18" t="n">
        <f aca="false">IFERROR(AJ215/AI215,"")</f>
        <v>3.4481760697376</v>
      </c>
      <c r="AL215" s="15" t="n">
        <f aca="false">IFERROR(AI215/(AM215*U215/12),"")</f>
        <v>17.4005035666772</v>
      </c>
      <c r="AM215" s="12" t="n">
        <v>57120</v>
      </c>
      <c r="AN215" s="12" t="n">
        <v>1664355</v>
      </c>
      <c r="AO215" s="12" t="n">
        <v>2182621</v>
      </c>
      <c r="AP215" s="17" t="n">
        <v>0.297</v>
      </c>
      <c r="AQ215" s="16" t="n">
        <v>54</v>
      </c>
      <c r="AR215" s="16" t="n">
        <v>3</v>
      </c>
      <c r="AS215" s="13" t="n">
        <f aca="false">IFERROR(AR215/AR214-1,"")</f>
        <v>0</v>
      </c>
      <c r="AT215" s="11" t="s">
        <v>218</v>
      </c>
      <c r="AU215" s="14" t="n">
        <f aca="false">IFERROR(P215/AR215,"")</f>
        <v>312247.333333333</v>
      </c>
      <c r="AV215" s="12" t="n">
        <v>2160064</v>
      </c>
      <c r="AW215" s="12" t="n">
        <v>723339</v>
      </c>
      <c r="AX215" s="12" t="n">
        <v>598729</v>
      </c>
      <c r="AY215" s="16" t="n">
        <v>6793</v>
      </c>
      <c r="AZ215" s="13" t="n">
        <f aca="false">IFERROR(AY215/AY214-1,"")</f>
        <v>0.138428020780962</v>
      </c>
      <c r="BA215" s="17" t="n">
        <v>0.879</v>
      </c>
      <c r="BB215" s="11" t="s">
        <v>99</v>
      </c>
      <c r="BC215" s="11" t="s">
        <v>126</v>
      </c>
      <c r="BD215" s="11" t="s">
        <v>101</v>
      </c>
      <c r="BE215" s="12" t="n">
        <v>916109</v>
      </c>
      <c r="BF215" s="13" t="n">
        <f aca="false">IFERROR(P215/BE215-1,"")</f>
        <v>0.022522429099594</v>
      </c>
      <c r="BG215" s="17" t="n">
        <v>0.022</v>
      </c>
      <c r="BH215" s="17" t="n">
        <v>0.048</v>
      </c>
      <c r="BI215" s="14" t="n">
        <f aca="false">P215*(1+IFERROR(Q215,0))^4</f>
        <v>977275.845375749</v>
      </c>
      <c r="BJ215" s="12" t="n">
        <v>-1025137</v>
      </c>
      <c r="BK215" s="11" t="s">
        <v>102</v>
      </c>
      <c r="BL215" s="11" t="s">
        <v>162</v>
      </c>
      <c r="BM215" s="14" t="n">
        <f aca="false">O215</f>
        <v>44922318</v>
      </c>
      <c r="BN215" s="11" t="s">
        <v>306</v>
      </c>
      <c r="BO215" s="13" t="n">
        <f aca="false">IFERROR(1-L215/M215,"")</f>
        <v>0.12371509805351</v>
      </c>
      <c r="BP215" s="11" t="s">
        <v>113</v>
      </c>
      <c r="BQ215" s="12" t="n">
        <v>3027108</v>
      </c>
      <c r="BR215" s="11" t="s">
        <v>88</v>
      </c>
      <c r="BS215" s="11" t="s">
        <v>89</v>
      </c>
      <c r="BT215" s="19" t="str">
        <f aca="false">IF(OR(Z215&lt;6,AH215&lt;0.9,S215&lt;0.02,AK215&lt;1),"REVIEW",IF(AND(S215&gt;0.25,AH215&gt;1.2),"ACCELERATING","STABLE"))</f>
        <v>STABLE</v>
      </c>
    </row>
    <row r="216" customFormat="false" ht="15" hidden="false" customHeight="false" outlineLevel="0" collapsed="false">
      <c r="A216" s="11" t="s">
        <v>304</v>
      </c>
      <c r="B216" s="11" t="s">
        <v>92</v>
      </c>
      <c r="C216" s="11" t="s">
        <v>74</v>
      </c>
      <c r="D216" s="11" t="s">
        <v>132</v>
      </c>
      <c r="E216" s="11" t="s">
        <v>105</v>
      </c>
      <c r="F216" s="11" t="s">
        <v>305</v>
      </c>
      <c r="G216" s="11" t="s">
        <v>78</v>
      </c>
      <c r="H216" s="11" t="s">
        <v>79</v>
      </c>
      <c r="I216" s="11" t="s">
        <v>78</v>
      </c>
      <c r="J216" s="12" t="n">
        <v>3394000</v>
      </c>
      <c r="K216" s="13" t="n">
        <f aca="false">IFERROR(J216/M216,"")</f>
        <v>0.12371509805351</v>
      </c>
      <c r="L216" s="12" t="n">
        <v>24040000</v>
      </c>
      <c r="M216" s="14" t="n">
        <f aca="false">L216+J216</f>
        <v>27434000</v>
      </c>
      <c r="N216" s="12" t="n">
        <v>7556000</v>
      </c>
      <c r="O216" s="12" t="n">
        <v>44922318</v>
      </c>
      <c r="P216" s="12" t="n">
        <v>998042</v>
      </c>
      <c r="Q216" s="13" t="n">
        <f aca="false">IFERROR(P216/P215-1,"")</f>
        <v>0.0654395767457849</v>
      </c>
      <c r="R216" s="12" t="n">
        <v>1326300</v>
      </c>
      <c r="S216" s="13" t="n">
        <f aca="false">IFERROR(R216/R215-1,"")</f>
        <v>0.0634732267427876</v>
      </c>
      <c r="T216" s="12" t="n">
        <v>685736</v>
      </c>
      <c r="U216" s="13" t="n">
        <f aca="false">IFERROR(T216/P216,"")</f>
        <v>0.687081305195573</v>
      </c>
      <c r="V216" s="14" t="n">
        <f aca="false">T216-AV216</f>
        <v>-1751051</v>
      </c>
      <c r="W216" s="14" t="n">
        <f aca="false">V216-AA216*0.1</f>
        <v>-1796851</v>
      </c>
      <c r="X216" s="12" t="n">
        <v>4658325</v>
      </c>
      <c r="Y216" s="12" t="n">
        <v>169750</v>
      </c>
      <c r="Z216" s="15" t="n">
        <f aca="false">IFERROR(X216/Y216,"")</f>
        <v>27.4422680412371</v>
      </c>
      <c r="AA216" s="12" t="n">
        <v>458000</v>
      </c>
      <c r="AB216" s="14" t="n">
        <f aca="false">W216-0.02*P216</f>
        <v>-1816811.84</v>
      </c>
      <c r="AC216" s="16" t="n">
        <v>46</v>
      </c>
      <c r="AD216" s="13" t="n">
        <f aca="false">IFERROR(AC216/AC215-1,"")</f>
        <v>0.069767441860465</v>
      </c>
      <c r="AE216" s="17" t="n">
        <v>0.135</v>
      </c>
      <c r="AF216" s="17" t="n">
        <v>0.088</v>
      </c>
      <c r="AG216" s="13" t="n">
        <f aca="false">1-AF216</f>
        <v>0.912</v>
      </c>
      <c r="AH216" s="17" t="n">
        <v>1.169</v>
      </c>
      <c r="AI216" s="12" t="n">
        <v>55590</v>
      </c>
      <c r="AJ216" s="14" t="n">
        <f aca="false">IFERROR(AM216*U216*MIN(1/AE216,5),"")</f>
        <v>200078.076072951</v>
      </c>
      <c r="AK216" s="18" t="n">
        <f aca="false">IFERROR(AJ216/AI216,"")</f>
        <v>3.59917388150658</v>
      </c>
      <c r="AL216" s="15" t="n">
        <f aca="false">IFERROR(AI216/(AM216*U216/12),"")</f>
        <v>16.6704921671871</v>
      </c>
      <c r="AM216" s="12" t="n">
        <v>58240</v>
      </c>
      <c r="AN216" s="12" t="n">
        <v>1377620</v>
      </c>
      <c r="AO216" s="12" t="n">
        <v>4860885</v>
      </c>
      <c r="AP216" s="17" t="n">
        <v>0.297</v>
      </c>
      <c r="AQ216" s="16" t="n">
        <v>54</v>
      </c>
      <c r="AR216" s="16" t="n">
        <v>3</v>
      </c>
      <c r="AS216" s="13" t="n">
        <f aca="false">IFERROR(AR216/AR215-1,"")</f>
        <v>0</v>
      </c>
      <c r="AT216" s="11" t="s">
        <v>218</v>
      </c>
      <c r="AU216" s="14" t="n">
        <f aca="false">IFERROR(P216/AR216,"")</f>
        <v>332680.666666667</v>
      </c>
      <c r="AV216" s="12" t="n">
        <v>2436787</v>
      </c>
      <c r="AW216" s="12" t="n">
        <v>859441</v>
      </c>
      <c r="AX216" s="12" t="n">
        <v>708453</v>
      </c>
      <c r="AY216" s="16" t="n">
        <v>6799</v>
      </c>
      <c r="AZ216" s="13" t="n">
        <f aca="false">IFERROR(AY216/AY215-1,"")</f>
        <v>0.000883262181657685</v>
      </c>
      <c r="BA216" s="17" t="n">
        <v>0.901</v>
      </c>
      <c r="BB216" s="11" t="s">
        <v>99</v>
      </c>
      <c r="BC216" s="11" t="s">
        <v>126</v>
      </c>
      <c r="BD216" s="11" t="s">
        <v>101</v>
      </c>
      <c r="BE216" s="12" t="n">
        <v>1246656</v>
      </c>
      <c r="BF216" s="13" t="n">
        <f aca="false">IFERROR(P216/BE216-1,"")</f>
        <v>-0.199424700960008</v>
      </c>
      <c r="BG216" s="17" t="n">
        <v>0.047</v>
      </c>
      <c r="BH216" s="17" t="n">
        <v>-0.042</v>
      </c>
      <c r="BI216" s="14" t="n">
        <f aca="false">P216*(1+IFERROR(Q216,0))^4</f>
        <v>1286068.54985328</v>
      </c>
      <c r="BJ216" s="12" t="n">
        <v>-1115495</v>
      </c>
      <c r="BK216" s="11" t="s">
        <v>102</v>
      </c>
      <c r="BL216" s="11" t="s">
        <v>162</v>
      </c>
      <c r="BM216" s="14" t="n">
        <f aca="false">O216</f>
        <v>44922318</v>
      </c>
      <c r="BN216" s="11" t="s">
        <v>306</v>
      </c>
      <c r="BO216" s="13" t="n">
        <f aca="false">IFERROR(1-L216/M216,"")</f>
        <v>0.12371509805351</v>
      </c>
      <c r="BP216" s="11" t="s">
        <v>113</v>
      </c>
      <c r="BQ216" s="12" t="n">
        <v>3074023</v>
      </c>
      <c r="BR216" s="11" t="s">
        <v>88</v>
      </c>
      <c r="BS216" s="11" t="s">
        <v>89</v>
      </c>
      <c r="BT216" s="19" t="str">
        <f aca="false">IF(OR(Z216&lt;6,AH216&lt;0.9,S216&lt;0.02,AK216&lt;1),"REVIEW",IF(AND(S216&gt;0.25,AH216&gt;1.2),"ACCELERATING","STABLE"))</f>
        <v>STABLE</v>
      </c>
    </row>
    <row r="217" customFormat="false" ht="15" hidden="false" customHeight="false" outlineLevel="0" collapsed="false">
      <c r="A217" s="11" t="s">
        <v>304</v>
      </c>
      <c r="B217" s="11" t="s">
        <v>93</v>
      </c>
      <c r="C217" s="11" t="s">
        <v>74</v>
      </c>
      <c r="D217" s="11" t="s">
        <v>132</v>
      </c>
      <c r="E217" s="11" t="s">
        <v>105</v>
      </c>
      <c r="F217" s="11" t="s">
        <v>305</v>
      </c>
      <c r="G217" s="11" t="s">
        <v>78</v>
      </c>
      <c r="H217" s="11" t="s">
        <v>79</v>
      </c>
      <c r="I217" s="11" t="s">
        <v>78</v>
      </c>
      <c r="J217" s="12" t="n">
        <v>3394000</v>
      </c>
      <c r="K217" s="13" t="n">
        <f aca="false">IFERROR(J217/M217,"")</f>
        <v>0.12371509805351</v>
      </c>
      <c r="L217" s="12" t="n">
        <v>24040000</v>
      </c>
      <c r="M217" s="14" t="n">
        <f aca="false">L217+J217</f>
        <v>27434000</v>
      </c>
      <c r="N217" s="12" t="n">
        <v>7556000</v>
      </c>
      <c r="O217" s="12" t="n">
        <v>44922318</v>
      </c>
      <c r="P217" s="12" t="n">
        <v>1167979</v>
      </c>
      <c r="Q217" s="13" t="n">
        <f aca="false">IFERROR(P217/P216-1,"")</f>
        <v>0.170270389422489</v>
      </c>
      <c r="R217" s="12" t="n">
        <v>1408705</v>
      </c>
      <c r="S217" s="13" t="n">
        <f aca="false">IFERROR(R217/R216-1,"")</f>
        <v>0.0621314936288924</v>
      </c>
      <c r="T217" s="12" t="n">
        <v>805720</v>
      </c>
      <c r="U217" s="13" t="n">
        <f aca="false">IFERROR(T217/P217,"")</f>
        <v>0.689841170089531</v>
      </c>
      <c r="V217" s="14" t="n">
        <f aca="false">T217-AV217</f>
        <v>-2175928</v>
      </c>
      <c r="W217" s="14" t="n">
        <f aca="false">V217-AA217*0.1</f>
        <v>-2221728</v>
      </c>
      <c r="X217" s="12" t="n">
        <v>4200000</v>
      </c>
      <c r="Y217" s="12" t="n">
        <v>175000</v>
      </c>
      <c r="Z217" s="15" t="n">
        <f aca="false">IFERROR(X217/Y217,"")</f>
        <v>24</v>
      </c>
      <c r="AA217" s="12" t="n">
        <v>458000</v>
      </c>
      <c r="AB217" s="14" t="n">
        <f aca="false">W217-0.02*P217</f>
        <v>-2245087.58</v>
      </c>
      <c r="AC217" s="16" t="n">
        <v>48</v>
      </c>
      <c r="AD217" s="13" t="n">
        <f aca="false">IFERROR(AC217/AC216-1,"")</f>
        <v>0.0434782608695652</v>
      </c>
      <c r="AE217" s="17" t="n">
        <v>0.131</v>
      </c>
      <c r="AF217" s="17" t="n">
        <v>0.082</v>
      </c>
      <c r="AG217" s="13" t="n">
        <f aca="false">1-AF217</f>
        <v>0.918</v>
      </c>
      <c r="AH217" s="17" t="n">
        <v>1.164</v>
      </c>
      <c r="AI217" s="12" t="n">
        <v>54500</v>
      </c>
      <c r="AJ217" s="14" t="n">
        <f aca="false">IFERROR(AM217*U217*MIN(1/AE217,5),"")</f>
        <v>204744.859282573</v>
      </c>
      <c r="AK217" s="18" t="n">
        <f aca="false">IFERROR(AJ217/AI217,"")</f>
        <v>3.75678640885455</v>
      </c>
      <c r="AL217" s="15" t="n">
        <f aca="false">IFERROR(AI217/(AM217*U217/12),"")</f>
        <v>15.9710969616434</v>
      </c>
      <c r="AM217" s="12" t="n">
        <v>59360</v>
      </c>
      <c r="AN217" s="12" t="n">
        <v>1880984</v>
      </c>
      <c r="AO217" s="12" t="n">
        <v>3985344</v>
      </c>
      <c r="AP217" s="17" t="n">
        <v>0.297</v>
      </c>
      <c r="AQ217" s="16" t="n">
        <v>54</v>
      </c>
      <c r="AR217" s="16" t="n">
        <v>3</v>
      </c>
      <c r="AS217" s="13" t="n">
        <f aca="false">IFERROR(AR217/AR216-1,"")</f>
        <v>0</v>
      </c>
      <c r="AT217" s="11" t="s">
        <v>218</v>
      </c>
      <c r="AU217" s="14" t="n">
        <f aca="false">IFERROR(P217/AR217,"")</f>
        <v>389326.333333333</v>
      </c>
      <c r="AV217" s="12" t="n">
        <v>2981648</v>
      </c>
      <c r="AW217" s="12" t="n">
        <v>1400383</v>
      </c>
      <c r="AX217" s="12" t="n">
        <v>633496</v>
      </c>
      <c r="AY217" s="16" t="n">
        <v>7495</v>
      </c>
      <c r="AZ217" s="13" t="n">
        <f aca="false">IFERROR(AY217/AY216-1,"")</f>
        <v>0.102367995293426</v>
      </c>
      <c r="BA217" s="17" t="n">
        <v>0.88</v>
      </c>
      <c r="BB217" s="11" t="s">
        <v>99</v>
      </c>
      <c r="BC217" s="11" t="s">
        <v>126</v>
      </c>
      <c r="BD217" s="11" t="s">
        <v>101</v>
      </c>
      <c r="BE217" s="12" t="n">
        <v>1153435</v>
      </c>
      <c r="BF217" s="13" t="n">
        <f aca="false">IFERROR(P217/BE217-1,"")</f>
        <v>0.0126092931114454</v>
      </c>
      <c r="BG217" s="17" t="n">
        <v>-0.055</v>
      </c>
      <c r="BH217" s="17" t="n">
        <v>-0.019</v>
      </c>
      <c r="BI217" s="14" t="n">
        <f aca="false">P217*(1+IFERROR(Q217,0))^4</f>
        <v>2190684.82738226</v>
      </c>
      <c r="BJ217" s="12" t="n">
        <v>-1554389</v>
      </c>
      <c r="BK217" s="11" t="s">
        <v>102</v>
      </c>
      <c r="BL217" s="11" t="s">
        <v>162</v>
      </c>
      <c r="BM217" s="14" t="n">
        <f aca="false">O217</f>
        <v>44922318</v>
      </c>
      <c r="BN217" s="11" t="s">
        <v>306</v>
      </c>
      <c r="BO217" s="13" t="n">
        <f aca="false">IFERROR(1-L217/M217,"")</f>
        <v>0.12371509805351</v>
      </c>
      <c r="BP217" s="11" t="s">
        <v>113</v>
      </c>
      <c r="BQ217" s="12" t="n">
        <v>2143336</v>
      </c>
      <c r="BR217" s="11" t="s">
        <v>88</v>
      </c>
      <c r="BS217" s="11" t="s">
        <v>89</v>
      </c>
      <c r="BT217" s="19" t="str">
        <f aca="false">IF(OR(Z217&lt;6,AH217&lt;0.9,S217&lt;0.02,AK217&lt;1),"REVIEW",IF(AND(S217&gt;0.25,AH217&gt;1.2),"ACCELERATING","STABLE"))</f>
        <v>STABLE</v>
      </c>
    </row>
    <row r="218" customFormat="false" ht="15" hidden="false" customHeight="false" outlineLevel="0" collapsed="false">
      <c r="A218" s="3" t="s">
        <v>307</v>
      </c>
      <c r="B218" s="3" t="s">
        <v>73</v>
      </c>
      <c r="C218" s="3" t="s">
        <v>74</v>
      </c>
      <c r="D218" s="3" t="s">
        <v>165</v>
      </c>
      <c r="E218" s="3" t="s">
        <v>105</v>
      </c>
      <c r="F218" s="3" t="s">
        <v>308</v>
      </c>
      <c r="G218" s="3" t="s">
        <v>78</v>
      </c>
      <c r="H218" s="3" t="s">
        <v>79</v>
      </c>
      <c r="I218" s="3" t="s">
        <v>78</v>
      </c>
      <c r="J218" s="4" t="n">
        <v>3257000</v>
      </c>
      <c r="K218" s="5" t="n">
        <f aca="false">IFERROR(J218/M218,"")</f>
        <v>0.113960811756473</v>
      </c>
      <c r="L218" s="4" t="n">
        <v>25323000</v>
      </c>
      <c r="M218" s="6" t="n">
        <f aca="false">L218+J218</f>
        <v>28580000</v>
      </c>
      <c r="N218" s="4" t="n">
        <v>7793000</v>
      </c>
      <c r="O218" s="4" t="n">
        <v>47001557</v>
      </c>
      <c r="P218" s="4" t="n">
        <v>323034</v>
      </c>
      <c r="Q218" s="7"/>
      <c r="R218" s="4" t="n">
        <v>364987</v>
      </c>
      <c r="S218" s="7"/>
      <c r="T218" s="4" t="n">
        <v>212865</v>
      </c>
      <c r="U218" s="5" t="n">
        <f aca="false">IFERROR(T218/P218,"")</f>
        <v>0.658955404075113</v>
      </c>
      <c r="V218" s="6" t="n">
        <f aca="false">T218-AV218</f>
        <v>-2319924</v>
      </c>
      <c r="W218" s="6" t="n">
        <f aca="false">V218-AA218*0.1</f>
        <v>-2319924</v>
      </c>
      <c r="X218" s="4" t="n">
        <v>4360691</v>
      </c>
      <c r="Y218" s="4" t="n">
        <v>196560</v>
      </c>
      <c r="Z218" s="8" t="n">
        <f aca="false">IFERROR(X218/Y218,"")</f>
        <v>22.1850376475376</v>
      </c>
      <c r="AA218" s="4" t="n">
        <v>0</v>
      </c>
      <c r="AB218" s="6" t="n">
        <f aca="false">W218-0.02*P218</f>
        <v>-2326384.68</v>
      </c>
      <c r="AC218" s="9" t="n">
        <v>27</v>
      </c>
      <c r="AD218" s="7"/>
      <c r="AE218" s="7" t="n">
        <v>0.125</v>
      </c>
      <c r="AF218" s="7" t="n">
        <v>0.136</v>
      </c>
      <c r="AG218" s="5" t="n">
        <f aca="false">1-AF218</f>
        <v>0.864</v>
      </c>
      <c r="AH218" s="7" t="n">
        <v>1.071</v>
      </c>
      <c r="AI218" s="4" t="n">
        <v>21836</v>
      </c>
      <c r="AJ218" s="6" t="n">
        <f aca="false">IFERROR(AM218*U218*MIN(1/AE218,5),"")</f>
        <v>52716.432326009</v>
      </c>
      <c r="AK218" s="10" t="n">
        <f aca="false">IFERROR(AJ218/AI218,"")</f>
        <v>2.4141982197293</v>
      </c>
      <c r="AL218" s="8" t="n">
        <f aca="false">IFERROR(AI218/(AM218*U218/12),"")</f>
        <v>24.85297168628</v>
      </c>
      <c r="AM218" s="4" t="n">
        <v>16000</v>
      </c>
      <c r="AN218" s="4" t="n">
        <v>382350</v>
      </c>
      <c r="AO218" s="4" t="n">
        <v>1134262</v>
      </c>
      <c r="AP218" s="7" t="n">
        <v>0.334</v>
      </c>
      <c r="AQ218" s="9" t="n">
        <v>54</v>
      </c>
      <c r="AR218" s="9" t="n">
        <v>7</v>
      </c>
      <c r="AS218" s="7"/>
      <c r="AT218" s="3" t="s">
        <v>98</v>
      </c>
      <c r="AU218" s="6" t="n">
        <f aca="false">IFERROR(P218/AR218,"")</f>
        <v>46147.7142857143</v>
      </c>
      <c r="AV218" s="4" t="n">
        <v>2532789</v>
      </c>
      <c r="AW218" s="4" t="n">
        <v>858745</v>
      </c>
      <c r="AX218" s="4" t="n">
        <v>631335</v>
      </c>
      <c r="AY218" s="9" t="n">
        <v>3788</v>
      </c>
      <c r="AZ218" s="7"/>
      <c r="BA218" s="7" t="n">
        <v>0.867</v>
      </c>
      <c r="BB218" s="3" t="s">
        <v>107</v>
      </c>
      <c r="BC218" s="3" t="s">
        <v>108</v>
      </c>
      <c r="BD218" s="3" t="s">
        <v>83</v>
      </c>
      <c r="BE218" s="4" t="n">
        <v>303668</v>
      </c>
      <c r="BF218" s="5" t="n">
        <f aca="false">IFERROR(P218/BE218-1,"")</f>
        <v>0.063773594847004</v>
      </c>
      <c r="BG218" s="7" t="n">
        <v>0.012</v>
      </c>
      <c r="BH218" s="7" t="n">
        <v>0.031</v>
      </c>
      <c r="BI218" s="6" t="n">
        <f aca="false">P218</f>
        <v>323034</v>
      </c>
      <c r="BJ218" s="4" t="n">
        <v>-1340253</v>
      </c>
      <c r="BK218" s="3" t="s">
        <v>127</v>
      </c>
      <c r="BL218" s="3" t="s">
        <v>128</v>
      </c>
      <c r="BM218" s="6" t="n">
        <f aca="false">O218</f>
        <v>47001557</v>
      </c>
      <c r="BN218" s="3" t="s">
        <v>309</v>
      </c>
      <c r="BO218" s="5" t="n">
        <f aca="false">IFERROR(1-L218/M218,"")</f>
        <v>0.113960811756473</v>
      </c>
      <c r="BP218" s="3" t="s">
        <v>130</v>
      </c>
      <c r="BQ218" s="4" t="n">
        <v>3674095</v>
      </c>
      <c r="BR218" s="3" t="s">
        <v>88</v>
      </c>
      <c r="BS218" s="3" t="s">
        <v>89</v>
      </c>
      <c r="BT218" s="3" t="s">
        <v>90</v>
      </c>
    </row>
    <row r="219" customFormat="false" ht="15" hidden="false" customHeight="false" outlineLevel="0" collapsed="false">
      <c r="A219" s="11" t="s">
        <v>307</v>
      </c>
      <c r="B219" s="11" t="s">
        <v>91</v>
      </c>
      <c r="C219" s="11" t="s">
        <v>74</v>
      </c>
      <c r="D219" s="11" t="s">
        <v>165</v>
      </c>
      <c r="E219" s="11" t="s">
        <v>105</v>
      </c>
      <c r="F219" s="11" t="s">
        <v>308</v>
      </c>
      <c r="G219" s="11" t="s">
        <v>78</v>
      </c>
      <c r="H219" s="11" t="s">
        <v>79</v>
      </c>
      <c r="I219" s="11" t="s">
        <v>78</v>
      </c>
      <c r="J219" s="12" t="n">
        <v>3257000</v>
      </c>
      <c r="K219" s="13" t="n">
        <f aca="false">IFERROR(J219/M219,"")</f>
        <v>0.113960811756473</v>
      </c>
      <c r="L219" s="12" t="n">
        <v>25323000</v>
      </c>
      <c r="M219" s="14" t="n">
        <f aca="false">L219+J219</f>
        <v>28580000</v>
      </c>
      <c r="N219" s="12" t="n">
        <v>7793000</v>
      </c>
      <c r="O219" s="12" t="n">
        <v>47001557</v>
      </c>
      <c r="P219" s="12" t="n">
        <v>364948</v>
      </c>
      <c r="Q219" s="13" t="n">
        <f aca="false">IFERROR(P219/P218-1,"")</f>
        <v>0.129751047877313</v>
      </c>
      <c r="R219" s="12" t="n">
        <v>446750</v>
      </c>
      <c r="S219" s="13" t="n">
        <f aca="false">IFERROR(R219/R218-1,"")</f>
        <v>0.224016197837183</v>
      </c>
      <c r="T219" s="12" t="n">
        <v>241459</v>
      </c>
      <c r="U219" s="13" t="n">
        <f aca="false">IFERROR(T219/P219,"")</f>
        <v>0.661625765862534</v>
      </c>
      <c r="V219" s="14" t="n">
        <f aca="false">T219-AV219</f>
        <v>-2505001</v>
      </c>
      <c r="W219" s="14" t="n">
        <f aca="false">V219-AA219*0.1</f>
        <v>-2505001</v>
      </c>
      <c r="X219" s="12" t="n">
        <v>3864971</v>
      </c>
      <c r="Y219" s="12" t="n">
        <v>203040</v>
      </c>
      <c r="Z219" s="15" t="n">
        <f aca="false">IFERROR(X219/Y219,"")</f>
        <v>19.0355151694247</v>
      </c>
      <c r="AA219" s="12" t="n">
        <v>0</v>
      </c>
      <c r="AB219" s="14" t="n">
        <f aca="false">W219-0.02*P219</f>
        <v>-2512299.96</v>
      </c>
      <c r="AC219" s="16" t="n">
        <v>29</v>
      </c>
      <c r="AD219" s="13" t="n">
        <f aca="false">IFERROR(AC219/AC218-1,"")</f>
        <v>0.0740740740740742</v>
      </c>
      <c r="AE219" s="17" t="n">
        <v>0.122</v>
      </c>
      <c r="AF219" s="17" t="n">
        <v>0.079</v>
      </c>
      <c r="AG219" s="13" t="n">
        <f aca="false">1-AF219</f>
        <v>0.921</v>
      </c>
      <c r="AH219" s="17" t="n">
        <v>1.066</v>
      </c>
      <c r="AI219" s="12" t="n">
        <v>21424</v>
      </c>
      <c r="AJ219" s="14" t="n">
        <f aca="false">IFERROR(AM219*U219*MIN(1/AE219,5),"")</f>
        <v>53988.6624943828</v>
      </c>
      <c r="AK219" s="18" t="n">
        <f aca="false">IFERROR(AJ219/AI219,"")</f>
        <v>2.52000851822175</v>
      </c>
      <c r="AL219" s="15" t="n">
        <f aca="false">IFERROR(AI219/(AM219*U219/12),"")</f>
        <v>23.809443327731</v>
      </c>
      <c r="AM219" s="12" t="n">
        <v>16320</v>
      </c>
      <c r="AN219" s="12" t="n">
        <v>515876</v>
      </c>
      <c r="AO219" s="12" t="n">
        <v>1645110</v>
      </c>
      <c r="AP219" s="17" t="n">
        <v>0.334</v>
      </c>
      <c r="AQ219" s="16" t="n">
        <v>54</v>
      </c>
      <c r="AR219" s="16" t="n">
        <v>7</v>
      </c>
      <c r="AS219" s="13" t="n">
        <f aca="false">IFERROR(AR219/AR218-1,"")</f>
        <v>0</v>
      </c>
      <c r="AT219" s="11" t="s">
        <v>98</v>
      </c>
      <c r="AU219" s="14" t="n">
        <f aca="false">IFERROR(P219/AR219,"")</f>
        <v>52135.4285714286</v>
      </c>
      <c r="AV219" s="12" t="n">
        <v>2746460</v>
      </c>
      <c r="AW219" s="12" t="n">
        <v>1305698</v>
      </c>
      <c r="AX219" s="12" t="n">
        <v>773723</v>
      </c>
      <c r="AY219" s="16" t="n">
        <v>4468</v>
      </c>
      <c r="AZ219" s="13" t="n">
        <f aca="false">IFERROR(AY219/AY218-1,"")</f>
        <v>0.179514255543823</v>
      </c>
      <c r="BA219" s="17" t="n">
        <v>0.895</v>
      </c>
      <c r="BB219" s="11" t="s">
        <v>107</v>
      </c>
      <c r="BC219" s="11" t="s">
        <v>108</v>
      </c>
      <c r="BD219" s="11" t="s">
        <v>83</v>
      </c>
      <c r="BE219" s="12" t="n">
        <v>400200</v>
      </c>
      <c r="BF219" s="13" t="n">
        <f aca="false">IFERROR(P219/BE219-1,"")</f>
        <v>-0.0880859570214893</v>
      </c>
      <c r="BG219" s="17" t="n">
        <v>-0.059</v>
      </c>
      <c r="BH219" s="17" t="n">
        <v>0.088</v>
      </c>
      <c r="BI219" s="14" t="n">
        <f aca="false">P219*(1+IFERROR(Q219,0))^4</f>
        <v>594513.881086287</v>
      </c>
      <c r="BJ219" s="12" t="n">
        <v>-1805599</v>
      </c>
      <c r="BK219" s="11" t="s">
        <v>127</v>
      </c>
      <c r="BL219" s="11" t="s">
        <v>128</v>
      </c>
      <c r="BM219" s="14" t="n">
        <f aca="false">O219</f>
        <v>47001557</v>
      </c>
      <c r="BN219" s="11" t="s">
        <v>309</v>
      </c>
      <c r="BO219" s="13" t="n">
        <f aca="false">IFERROR(1-L219/M219,"")</f>
        <v>0.113960811756473</v>
      </c>
      <c r="BP219" s="11" t="s">
        <v>130</v>
      </c>
      <c r="BQ219" s="12" t="n">
        <v>3018959</v>
      </c>
      <c r="BR219" s="11" t="s">
        <v>88</v>
      </c>
      <c r="BS219" s="11" t="s">
        <v>89</v>
      </c>
      <c r="BT219" s="19" t="str">
        <f aca="false">IF(OR(Z219&lt;6,AH219&lt;0.9,S219&lt;0.02,AK219&lt;1),"REVIEW",IF(AND(S219&gt;0.25,AH219&gt;1.2),"ACCELERATING","STABLE"))</f>
        <v>STABLE</v>
      </c>
    </row>
    <row r="220" customFormat="false" ht="15" hidden="false" customHeight="false" outlineLevel="0" collapsed="false">
      <c r="A220" s="11" t="s">
        <v>307</v>
      </c>
      <c r="B220" s="11" t="s">
        <v>92</v>
      </c>
      <c r="C220" s="11" t="s">
        <v>74</v>
      </c>
      <c r="D220" s="11" t="s">
        <v>165</v>
      </c>
      <c r="E220" s="11" t="s">
        <v>105</v>
      </c>
      <c r="F220" s="11" t="s">
        <v>308</v>
      </c>
      <c r="G220" s="11" t="s">
        <v>78</v>
      </c>
      <c r="H220" s="11" t="s">
        <v>79</v>
      </c>
      <c r="I220" s="11" t="s">
        <v>78</v>
      </c>
      <c r="J220" s="12" t="n">
        <v>3257000</v>
      </c>
      <c r="K220" s="13" t="n">
        <f aca="false">IFERROR(J220/M220,"")</f>
        <v>0.113960811756473</v>
      </c>
      <c r="L220" s="12" t="n">
        <v>25323000</v>
      </c>
      <c r="M220" s="14" t="n">
        <f aca="false">L220+J220</f>
        <v>28580000</v>
      </c>
      <c r="N220" s="12" t="n">
        <v>7793000</v>
      </c>
      <c r="O220" s="12" t="n">
        <v>47001557</v>
      </c>
      <c r="P220" s="12" t="n">
        <v>443457</v>
      </c>
      <c r="Q220" s="13" t="n">
        <f aca="false">IFERROR(P220/P219-1,"")</f>
        <v>0.215123798458958</v>
      </c>
      <c r="R220" s="12" t="n">
        <v>520938</v>
      </c>
      <c r="S220" s="13" t="n">
        <f aca="false">IFERROR(R220/R219-1,"")</f>
        <v>0.166061555679911</v>
      </c>
      <c r="T220" s="12" t="n">
        <v>294585</v>
      </c>
      <c r="U220" s="13" t="n">
        <f aca="false">IFERROR(T220/P220,"")</f>
        <v>0.66429214106441</v>
      </c>
      <c r="V220" s="14" t="n">
        <f aca="false">T220-AV220</f>
        <v>-2029373</v>
      </c>
      <c r="W220" s="14" t="n">
        <f aca="false">V220-AA220*0.1</f>
        <v>-2029373</v>
      </c>
      <c r="X220" s="12" t="n">
        <v>3334259</v>
      </c>
      <c r="Y220" s="12" t="n">
        <v>209520</v>
      </c>
      <c r="Z220" s="15" t="n">
        <f aca="false">IFERROR(X220/Y220,"")</f>
        <v>15.9137982054219</v>
      </c>
      <c r="AA220" s="12" t="n">
        <v>0</v>
      </c>
      <c r="AB220" s="14" t="n">
        <f aca="false">W220-0.02*P220</f>
        <v>-2038242.14</v>
      </c>
      <c r="AC220" s="16" t="n">
        <v>37</v>
      </c>
      <c r="AD220" s="13" t="n">
        <f aca="false">IFERROR(AC220/AC219-1,"")</f>
        <v>0.275862068965517</v>
      </c>
      <c r="AE220" s="17" t="n">
        <v>0.118</v>
      </c>
      <c r="AF220" s="17" t="n">
        <v>0.105</v>
      </c>
      <c r="AG220" s="13" t="n">
        <f aca="false">1-AF220</f>
        <v>0.895</v>
      </c>
      <c r="AH220" s="17" t="n">
        <v>1.061</v>
      </c>
      <c r="AI220" s="12" t="n">
        <v>21012</v>
      </c>
      <c r="AJ220" s="14" t="n">
        <f aca="false">IFERROR(AM220*U220*MIN(1/AE220,5),"")</f>
        <v>55269.1061365589</v>
      </c>
      <c r="AK220" s="18" t="n">
        <f aca="false">IFERROR(AJ220/AI220,"")</f>
        <v>2.63035913461636</v>
      </c>
      <c r="AL220" s="15" t="n">
        <f aca="false">IFERROR(AI220/(AM220*U220/12),"")</f>
        <v>22.8105733587407</v>
      </c>
      <c r="AM220" s="12" t="n">
        <v>16640</v>
      </c>
      <c r="AN220" s="12" t="n">
        <v>626780</v>
      </c>
      <c r="AO220" s="12" t="n">
        <v>833940</v>
      </c>
      <c r="AP220" s="17" t="n">
        <v>0.334</v>
      </c>
      <c r="AQ220" s="16" t="n">
        <v>54</v>
      </c>
      <c r="AR220" s="16" t="n">
        <v>8</v>
      </c>
      <c r="AS220" s="13" t="n">
        <f aca="false">IFERROR(AR220/AR219-1,"")</f>
        <v>0.142857142857143</v>
      </c>
      <c r="AT220" s="11" t="s">
        <v>98</v>
      </c>
      <c r="AU220" s="14" t="n">
        <f aca="false">IFERROR(P220/AR220,"")</f>
        <v>55432.125</v>
      </c>
      <c r="AV220" s="12" t="n">
        <v>2323958</v>
      </c>
      <c r="AW220" s="12" t="n">
        <v>881511</v>
      </c>
      <c r="AX220" s="12" t="n">
        <v>687748</v>
      </c>
      <c r="AY220" s="16" t="n">
        <v>5337</v>
      </c>
      <c r="AZ220" s="13" t="n">
        <f aca="false">IFERROR(AY220/AY219-1,"")</f>
        <v>0.19449418084154</v>
      </c>
      <c r="BA220" s="17" t="n">
        <v>0.915</v>
      </c>
      <c r="BB220" s="11" t="s">
        <v>107</v>
      </c>
      <c r="BC220" s="11" t="s">
        <v>108</v>
      </c>
      <c r="BD220" s="11" t="s">
        <v>83</v>
      </c>
      <c r="BE220" s="12" t="n">
        <v>467580</v>
      </c>
      <c r="BF220" s="13" t="n">
        <f aca="false">IFERROR(P220/BE220-1,"")</f>
        <v>-0.0515911715642243</v>
      </c>
      <c r="BG220" s="17" t="n">
        <v>0.081</v>
      </c>
      <c r="BH220" s="17" t="n">
        <v>0.074</v>
      </c>
      <c r="BI220" s="14" t="n">
        <f aca="false">P220*(1+IFERROR(Q220,0))^4</f>
        <v>966793.276450367</v>
      </c>
      <c r="BJ220" s="12" t="n">
        <v>-2059373</v>
      </c>
      <c r="BK220" s="11" t="s">
        <v>127</v>
      </c>
      <c r="BL220" s="11" t="s">
        <v>128</v>
      </c>
      <c r="BM220" s="14" t="n">
        <f aca="false">O220</f>
        <v>47001557</v>
      </c>
      <c r="BN220" s="11" t="s">
        <v>309</v>
      </c>
      <c r="BO220" s="13" t="n">
        <f aca="false">IFERROR(1-L220/M220,"")</f>
        <v>0.113960811756473</v>
      </c>
      <c r="BP220" s="11" t="s">
        <v>130</v>
      </c>
      <c r="BQ220" s="12" t="n">
        <v>3401451</v>
      </c>
      <c r="BR220" s="11" t="s">
        <v>88</v>
      </c>
      <c r="BS220" s="11" t="s">
        <v>89</v>
      </c>
      <c r="BT220" s="19" t="str">
        <f aca="false">IF(OR(Z220&lt;6,AH220&lt;0.9,S220&lt;0.02,AK220&lt;1),"REVIEW",IF(AND(S220&gt;0.25,AH220&gt;1.2),"ACCELERATING","STABLE"))</f>
        <v>STABLE</v>
      </c>
    </row>
    <row r="221" customFormat="false" ht="15" hidden="false" customHeight="false" outlineLevel="0" collapsed="false">
      <c r="A221" s="11" t="s">
        <v>307</v>
      </c>
      <c r="B221" s="11" t="s">
        <v>93</v>
      </c>
      <c r="C221" s="11" t="s">
        <v>74</v>
      </c>
      <c r="D221" s="11" t="s">
        <v>165</v>
      </c>
      <c r="E221" s="11" t="s">
        <v>105</v>
      </c>
      <c r="F221" s="11" t="s">
        <v>308</v>
      </c>
      <c r="G221" s="11" t="s">
        <v>78</v>
      </c>
      <c r="H221" s="11" t="s">
        <v>79</v>
      </c>
      <c r="I221" s="11" t="s">
        <v>78</v>
      </c>
      <c r="J221" s="12" t="n">
        <v>3257000</v>
      </c>
      <c r="K221" s="13" t="n">
        <f aca="false">IFERROR(J221/M221,"")</f>
        <v>0.113960811756473</v>
      </c>
      <c r="L221" s="12" t="n">
        <v>25323000</v>
      </c>
      <c r="M221" s="14" t="n">
        <f aca="false">L221+J221</f>
        <v>28580000</v>
      </c>
      <c r="N221" s="12" t="n">
        <v>7793000</v>
      </c>
      <c r="O221" s="12" t="n">
        <v>47001557</v>
      </c>
      <c r="P221" s="12" t="n">
        <v>567302</v>
      </c>
      <c r="Q221" s="13" t="n">
        <f aca="false">IFERROR(P221/P220-1,"")</f>
        <v>0.279271721948239</v>
      </c>
      <c r="R221" s="12" t="n">
        <v>620067</v>
      </c>
      <c r="S221" s="13" t="n">
        <f aca="false">IFERROR(R221/R220-1,"")</f>
        <v>0.190289439434251</v>
      </c>
      <c r="T221" s="12" t="n">
        <v>378368</v>
      </c>
      <c r="U221" s="13" t="n">
        <f aca="false">IFERROR(T221/P221,"")</f>
        <v>0.666960454925243</v>
      </c>
      <c r="V221" s="14" t="n">
        <f aca="false">T221-AV221</f>
        <v>-1958501</v>
      </c>
      <c r="W221" s="14" t="n">
        <f aca="false">V221-AA221*0.1</f>
        <v>-1958501</v>
      </c>
      <c r="X221" s="12" t="n">
        <v>2768555</v>
      </c>
      <c r="Y221" s="12" t="n">
        <v>216000</v>
      </c>
      <c r="Z221" s="15" t="n">
        <f aca="false">IFERROR(X221/Y221,"")</f>
        <v>12.8173842592593</v>
      </c>
      <c r="AA221" s="12" t="n">
        <v>0</v>
      </c>
      <c r="AB221" s="14" t="n">
        <f aca="false">W221-0.02*P221</f>
        <v>-1969847.04</v>
      </c>
      <c r="AC221" s="16" t="n">
        <v>42</v>
      </c>
      <c r="AD221" s="13" t="n">
        <f aca="false">IFERROR(AC221/AC220-1,"")</f>
        <v>0.135135135135135</v>
      </c>
      <c r="AE221" s="17" t="n">
        <v>0.115</v>
      </c>
      <c r="AF221" s="17" t="n">
        <v>0.07</v>
      </c>
      <c r="AG221" s="13" t="n">
        <f aca="false">1-AF221</f>
        <v>0.93</v>
      </c>
      <c r="AH221" s="17" t="n">
        <v>1.056</v>
      </c>
      <c r="AI221" s="12" t="n">
        <v>20600</v>
      </c>
      <c r="AJ221" s="14" t="n">
        <f aca="false">IFERROR(AM221*U221*MIN(1/AE221,5),"")</f>
        <v>56558.2465776606</v>
      </c>
      <c r="AK221" s="18" t="n">
        <f aca="false">IFERROR(AJ221/AI221,"")</f>
        <v>2.74554595037187</v>
      </c>
      <c r="AL221" s="15" t="n">
        <f aca="false">IFERROR(AI221/(AM221*U221/12),"")</f>
        <v>21.8535770606474</v>
      </c>
      <c r="AM221" s="12" t="n">
        <v>16960</v>
      </c>
      <c r="AN221" s="12" t="n">
        <v>863675</v>
      </c>
      <c r="AO221" s="12" t="n">
        <v>1248004</v>
      </c>
      <c r="AP221" s="17" t="n">
        <v>0.334</v>
      </c>
      <c r="AQ221" s="16" t="n">
        <v>54</v>
      </c>
      <c r="AR221" s="16" t="n">
        <v>9</v>
      </c>
      <c r="AS221" s="13" t="n">
        <f aca="false">IFERROR(AR221/AR220-1,"")</f>
        <v>0.125</v>
      </c>
      <c r="AT221" s="11" t="s">
        <v>98</v>
      </c>
      <c r="AU221" s="14" t="n">
        <f aca="false">IFERROR(P221/AR221,"")</f>
        <v>63033.5555555556</v>
      </c>
      <c r="AV221" s="12" t="n">
        <v>2336869</v>
      </c>
      <c r="AW221" s="12" t="n">
        <v>821126</v>
      </c>
      <c r="AX221" s="12" t="n">
        <v>703674</v>
      </c>
      <c r="AY221" s="16" t="n">
        <v>6519</v>
      </c>
      <c r="AZ221" s="13" t="n">
        <f aca="false">IFERROR(AY221/AY220-1,"")</f>
        <v>0.221472737492973</v>
      </c>
      <c r="BA221" s="17" t="n">
        <v>0.879</v>
      </c>
      <c r="BB221" s="11" t="s">
        <v>107</v>
      </c>
      <c r="BC221" s="11" t="s">
        <v>108</v>
      </c>
      <c r="BD221" s="11" t="s">
        <v>83</v>
      </c>
      <c r="BE221" s="12" t="n">
        <v>544259</v>
      </c>
      <c r="BF221" s="13" t="n">
        <f aca="false">IFERROR(P221/BE221-1,"")</f>
        <v>0.0423382984939156</v>
      </c>
      <c r="BG221" s="17" t="n">
        <v>0.059</v>
      </c>
      <c r="BH221" s="17" t="n">
        <v>-0.019</v>
      </c>
      <c r="BI221" s="14" t="n">
        <f aca="false">P221*(1+IFERROR(Q221,0))^4</f>
        <v>1519376.88379628</v>
      </c>
      <c r="BJ221" s="12" t="n">
        <v>-1857213</v>
      </c>
      <c r="BK221" s="11" t="s">
        <v>127</v>
      </c>
      <c r="BL221" s="11" t="s">
        <v>128</v>
      </c>
      <c r="BM221" s="14" t="n">
        <f aca="false">O221</f>
        <v>47001557</v>
      </c>
      <c r="BN221" s="11" t="s">
        <v>309</v>
      </c>
      <c r="BO221" s="13" t="n">
        <f aca="false">IFERROR(1-L221/M221,"")</f>
        <v>0.113960811756473</v>
      </c>
      <c r="BP221" s="11" t="s">
        <v>130</v>
      </c>
      <c r="BQ221" s="12" t="n">
        <v>3189344</v>
      </c>
      <c r="BR221" s="11" t="s">
        <v>88</v>
      </c>
      <c r="BS221" s="11" t="s">
        <v>89</v>
      </c>
      <c r="BT221" s="19" t="str">
        <f aca="false">IF(OR(Z221&lt;6,AH221&lt;0.9,S221&lt;0.02,AK221&lt;1),"REVIEW",IF(AND(S221&gt;0.25,AH221&gt;1.2),"ACCELERATING","STABLE"))</f>
        <v>STABLE</v>
      </c>
    </row>
    <row r="222" customFormat="false" ht="15" hidden="false" customHeight="false" outlineLevel="0" collapsed="false">
      <c r="A222" s="3" t="s">
        <v>310</v>
      </c>
      <c r="B222" s="3" t="s">
        <v>73</v>
      </c>
      <c r="C222" s="3" t="s">
        <v>74</v>
      </c>
      <c r="D222" s="3" t="s">
        <v>132</v>
      </c>
      <c r="E222" s="3" t="s">
        <v>105</v>
      </c>
      <c r="F222" s="3" t="s">
        <v>311</v>
      </c>
      <c r="G222" s="3" t="s">
        <v>78</v>
      </c>
      <c r="H222" s="3" t="s">
        <v>79</v>
      </c>
      <c r="I222" s="3" t="s">
        <v>78</v>
      </c>
      <c r="J222" s="4" t="n">
        <v>5906000</v>
      </c>
      <c r="K222" s="5" t="n">
        <f aca="false">IFERROR(J222/M222,"")</f>
        <v>0.186910563959744</v>
      </c>
      <c r="L222" s="4" t="n">
        <v>25692000</v>
      </c>
      <c r="M222" s="6" t="n">
        <f aca="false">L222+J222</f>
        <v>31598000</v>
      </c>
      <c r="N222" s="4" t="n">
        <v>5906000</v>
      </c>
      <c r="O222" s="4" t="n">
        <v>39161852</v>
      </c>
      <c r="P222" s="4" t="n">
        <v>545964</v>
      </c>
      <c r="Q222" s="7"/>
      <c r="R222" s="4" t="n">
        <v>529776</v>
      </c>
      <c r="S222" s="7"/>
      <c r="T222" s="4" t="n">
        <v>456103</v>
      </c>
      <c r="U222" s="5" t="n">
        <f aca="false">IFERROR(T222/P222,"")</f>
        <v>0.835408561736671</v>
      </c>
      <c r="V222" s="6" t="n">
        <f aca="false">T222-AV222</f>
        <v>-1395392</v>
      </c>
      <c r="W222" s="6" t="n">
        <f aca="false">V222-AA222*0.1</f>
        <v>-1504992</v>
      </c>
      <c r="X222" s="4" t="n">
        <v>3733149</v>
      </c>
      <c r="Y222" s="4" t="n">
        <v>108290</v>
      </c>
      <c r="Z222" s="8" t="n">
        <f aca="false">IFERROR(X222/Y222,"")</f>
        <v>34.4736263736264</v>
      </c>
      <c r="AA222" s="4" t="n">
        <v>1096000</v>
      </c>
      <c r="AB222" s="6" t="n">
        <f aca="false">W222-0.02*P222</f>
        <v>-1515911.28</v>
      </c>
      <c r="AC222" s="9" t="n">
        <v>35</v>
      </c>
      <c r="AD222" s="7"/>
      <c r="AE222" s="7" t="n">
        <v>0.05</v>
      </c>
      <c r="AF222" s="7" t="n">
        <v>0.039</v>
      </c>
      <c r="AG222" s="5" t="n">
        <f aca="false">1-AF222</f>
        <v>0.961</v>
      </c>
      <c r="AH222" s="7" t="n">
        <v>1.116</v>
      </c>
      <c r="AI222" s="4" t="n">
        <v>77062</v>
      </c>
      <c r="AJ222" s="6" t="n">
        <f aca="false">IFERROR(AM222*U222*MIN(1/AE222,5),"")</f>
        <v>187966.926390751</v>
      </c>
      <c r="AK222" s="10" t="n">
        <f aca="false">IFERROR(AJ222/AI222,"")</f>
        <v>2.43916491125005</v>
      </c>
      <c r="AL222" s="8" t="n">
        <f aca="false">IFERROR(AI222/(AM222*U222/12),"")</f>
        <v>24.5985827867828</v>
      </c>
      <c r="AM222" s="4" t="n">
        <v>45000</v>
      </c>
      <c r="AN222" s="4" t="n">
        <v>682743</v>
      </c>
      <c r="AO222" s="4" t="n">
        <v>1896615</v>
      </c>
      <c r="AP222" s="7" t="n">
        <v>0.389</v>
      </c>
      <c r="AQ222" s="9" t="n">
        <v>48</v>
      </c>
      <c r="AR222" s="9" t="n">
        <v>2</v>
      </c>
      <c r="AS222" s="7"/>
      <c r="AT222" s="3" t="s">
        <v>134</v>
      </c>
      <c r="AU222" s="6" t="n">
        <f aca="false">IFERROR(P222/AR222,"")</f>
        <v>272982</v>
      </c>
      <c r="AV222" s="4" t="n">
        <v>1851495</v>
      </c>
      <c r="AW222" s="4" t="n">
        <v>672765</v>
      </c>
      <c r="AX222" s="4" t="n">
        <v>446397</v>
      </c>
      <c r="AY222" s="9" t="n">
        <v>2053</v>
      </c>
      <c r="AZ222" s="7"/>
      <c r="BA222" s="7" t="n">
        <v>0.957</v>
      </c>
      <c r="BB222" s="3" t="s">
        <v>161</v>
      </c>
      <c r="BC222" s="3" t="s">
        <v>126</v>
      </c>
      <c r="BD222" s="3" t="s">
        <v>83</v>
      </c>
      <c r="BE222" s="4" t="n">
        <v>586847</v>
      </c>
      <c r="BF222" s="5" t="n">
        <f aca="false">IFERROR(P222/BE222-1,"")</f>
        <v>-0.0696655175880596</v>
      </c>
      <c r="BG222" s="7" t="n">
        <v>-0.014</v>
      </c>
      <c r="BH222" s="7" t="n">
        <v>0.003</v>
      </c>
      <c r="BI222" s="6" t="n">
        <f aca="false">P222</f>
        <v>545964</v>
      </c>
      <c r="BJ222" s="4" t="n">
        <v>-935121</v>
      </c>
      <c r="BK222" s="3" t="s">
        <v>102</v>
      </c>
      <c r="BL222" s="3" t="s">
        <v>128</v>
      </c>
      <c r="BM222" s="6" t="n">
        <f aca="false">O222</f>
        <v>39161852</v>
      </c>
      <c r="BN222" s="3" t="s">
        <v>312</v>
      </c>
      <c r="BO222" s="5" t="n">
        <f aca="false">IFERROR(1-L222/M222,"")</f>
        <v>0.186910563959744</v>
      </c>
      <c r="BP222" s="3" t="s">
        <v>130</v>
      </c>
      <c r="BQ222" s="4" t="n">
        <v>2151476</v>
      </c>
      <c r="BR222" s="3" t="s">
        <v>88</v>
      </c>
      <c r="BS222" s="3" t="s">
        <v>89</v>
      </c>
      <c r="BT222" s="3" t="s">
        <v>90</v>
      </c>
    </row>
    <row r="223" customFormat="false" ht="15" hidden="false" customHeight="false" outlineLevel="0" collapsed="false">
      <c r="A223" s="11" t="s">
        <v>310</v>
      </c>
      <c r="B223" s="11" t="s">
        <v>91</v>
      </c>
      <c r="C223" s="11" t="s">
        <v>74</v>
      </c>
      <c r="D223" s="11" t="s">
        <v>132</v>
      </c>
      <c r="E223" s="11" t="s">
        <v>105</v>
      </c>
      <c r="F223" s="11" t="s">
        <v>311</v>
      </c>
      <c r="G223" s="11" t="s">
        <v>78</v>
      </c>
      <c r="H223" s="11" t="s">
        <v>79</v>
      </c>
      <c r="I223" s="11" t="s">
        <v>78</v>
      </c>
      <c r="J223" s="12" t="n">
        <v>5906000</v>
      </c>
      <c r="K223" s="13" t="n">
        <f aca="false">IFERROR(J223/M223,"")</f>
        <v>0.186910563959744</v>
      </c>
      <c r="L223" s="12" t="n">
        <v>25692000</v>
      </c>
      <c r="M223" s="14" t="n">
        <f aca="false">L223+J223</f>
        <v>31598000</v>
      </c>
      <c r="N223" s="12" t="n">
        <v>5906000</v>
      </c>
      <c r="O223" s="12" t="n">
        <v>39161852</v>
      </c>
      <c r="P223" s="12" t="n">
        <v>671152</v>
      </c>
      <c r="Q223" s="13" t="n">
        <f aca="false">IFERROR(P223/P222-1,"")</f>
        <v>0.229297169776762</v>
      </c>
      <c r="R223" s="12" t="n">
        <v>648088</v>
      </c>
      <c r="S223" s="13" t="n">
        <f aca="false">IFERROR(R223/R222-1,"")</f>
        <v>0.223324574914681</v>
      </c>
      <c r="T223" s="12" t="n">
        <v>562956</v>
      </c>
      <c r="U223" s="13" t="n">
        <f aca="false">IFERROR(T223/P223,"")</f>
        <v>0.838790616730636</v>
      </c>
      <c r="V223" s="14" t="n">
        <f aca="false">T223-AV223</f>
        <v>-1201272</v>
      </c>
      <c r="W223" s="14" t="n">
        <f aca="false">V223-AA223*0.1</f>
        <v>-1310872</v>
      </c>
      <c r="X223" s="12" t="n">
        <v>3460044</v>
      </c>
      <c r="Y223" s="12" t="n">
        <v>111860</v>
      </c>
      <c r="Z223" s="15" t="n">
        <f aca="false">IFERROR(X223/Y223,"")</f>
        <v>30.931914893617</v>
      </c>
      <c r="AA223" s="12" t="n">
        <v>1096000</v>
      </c>
      <c r="AB223" s="14" t="n">
        <f aca="false">W223-0.02*P223</f>
        <v>-1324295.04</v>
      </c>
      <c r="AC223" s="16" t="n">
        <v>42</v>
      </c>
      <c r="AD223" s="13" t="n">
        <f aca="false">IFERROR(AC223/AC222-1,"")</f>
        <v>0.2</v>
      </c>
      <c r="AE223" s="17" t="n">
        <v>0.049</v>
      </c>
      <c r="AF223" s="17" t="n">
        <v>0.036</v>
      </c>
      <c r="AG223" s="13" t="n">
        <f aca="false">1-AF223</f>
        <v>0.964</v>
      </c>
      <c r="AH223" s="17" t="n">
        <v>1.111</v>
      </c>
      <c r="AI223" s="12" t="n">
        <v>75608</v>
      </c>
      <c r="AJ223" s="14" t="n">
        <f aca="false">IFERROR(AM223*U223*MIN(1/AE223,5),"")</f>
        <v>192502.446539681</v>
      </c>
      <c r="AK223" s="18" t="n">
        <f aca="false">IFERROR(AJ223/AI223,"")</f>
        <v>2.54605923367476</v>
      </c>
      <c r="AL223" s="15" t="n">
        <f aca="false">IFERROR(AI223/(AM223*U223/12),"")</f>
        <v>23.5658303649917</v>
      </c>
      <c r="AM223" s="12" t="n">
        <v>45900</v>
      </c>
      <c r="AN223" s="12" t="n">
        <v>936716</v>
      </c>
      <c r="AO223" s="12" t="n">
        <v>1404255</v>
      </c>
      <c r="AP223" s="17" t="n">
        <v>0.389</v>
      </c>
      <c r="AQ223" s="16" t="n">
        <v>48</v>
      </c>
      <c r="AR223" s="16" t="n">
        <v>2</v>
      </c>
      <c r="AS223" s="13" t="n">
        <f aca="false">IFERROR(AR223/AR222-1,"")</f>
        <v>0</v>
      </c>
      <c r="AT223" s="11" t="s">
        <v>134</v>
      </c>
      <c r="AU223" s="14" t="n">
        <f aca="false">IFERROR(P223/AR223,"")</f>
        <v>335576</v>
      </c>
      <c r="AV223" s="12" t="n">
        <v>1764228</v>
      </c>
      <c r="AW223" s="12" t="n">
        <v>764481</v>
      </c>
      <c r="AX223" s="12" t="n">
        <v>596055</v>
      </c>
      <c r="AY223" s="16" t="n">
        <v>2455</v>
      </c>
      <c r="AZ223" s="13" t="n">
        <f aca="false">IFERROR(AY223/AY222-1,"")</f>
        <v>0.195811008280565</v>
      </c>
      <c r="BA223" s="17" t="n">
        <v>0.952</v>
      </c>
      <c r="BB223" s="11" t="s">
        <v>161</v>
      </c>
      <c r="BC223" s="11" t="s">
        <v>126</v>
      </c>
      <c r="BD223" s="11" t="s">
        <v>83</v>
      </c>
      <c r="BE223" s="12" t="n">
        <v>659458</v>
      </c>
      <c r="BF223" s="13" t="n">
        <f aca="false">IFERROR(P223/BE223-1,"")</f>
        <v>0.0177327441626305</v>
      </c>
      <c r="BG223" s="17" t="n">
        <v>0.026</v>
      </c>
      <c r="BH223" s="17" t="n">
        <v>-0.034</v>
      </c>
      <c r="BI223" s="14" t="n">
        <f aca="false">P223*(1+IFERROR(Q223,0))^4</f>
        <v>1532669.14923457</v>
      </c>
      <c r="BJ223" s="12" t="n">
        <v>-1028177</v>
      </c>
      <c r="BK223" s="11" t="s">
        <v>102</v>
      </c>
      <c r="BL223" s="11" t="s">
        <v>128</v>
      </c>
      <c r="BM223" s="14" t="n">
        <f aca="false">O223</f>
        <v>39161852</v>
      </c>
      <c r="BN223" s="11" t="s">
        <v>312</v>
      </c>
      <c r="BO223" s="13" t="n">
        <f aca="false">IFERROR(1-L223/M223,"")</f>
        <v>0.186910563959744</v>
      </c>
      <c r="BP223" s="11" t="s">
        <v>130</v>
      </c>
      <c r="BQ223" s="12" t="n">
        <v>2209633</v>
      </c>
      <c r="BR223" s="11" t="s">
        <v>88</v>
      </c>
      <c r="BS223" s="11" t="s">
        <v>89</v>
      </c>
      <c r="BT223" s="19" t="str">
        <f aca="false">IF(OR(Z223&lt;6,AH223&lt;0.9,S223&lt;0.02,AK223&lt;1),"REVIEW",IF(AND(S223&gt;0.25,AH223&gt;1.2),"ACCELERATING","STABLE"))</f>
        <v>STABLE</v>
      </c>
    </row>
    <row r="224" customFormat="false" ht="15" hidden="false" customHeight="false" outlineLevel="0" collapsed="false">
      <c r="A224" s="11" t="s">
        <v>310</v>
      </c>
      <c r="B224" s="11" t="s">
        <v>92</v>
      </c>
      <c r="C224" s="11" t="s">
        <v>74</v>
      </c>
      <c r="D224" s="11" t="s">
        <v>132</v>
      </c>
      <c r="E224" s="11" t="s">
        <v>105</v>
      </c>
      <c r="F224" s="11" t="s">
        <v>311</v>
      </c>
      <c r="G224" s="11" t="s">
        <v>78</v>
      </c>
      <c r="H224" s="11" t="s">
        <v>79</v>
      </c>
      <c r="I224" s="11" t="s">
        <v>78</v>
      </c>
      <c r="J224" s="12" t="n">
        <v>5906000</v>
      </c>
      <c r="K224" s="13" t="n">
        <f aca="false">IFERROR(J224/M224,"")</f>
        <v>0.186910563959744</v>
      </c>
      <c r="L224" s="12" t="n">
        <v>25692000</v>
      </c>
      <c r="M224" s="14" t="n">
        <f aca="false">L224+J224</f>
        <v>31598000</v>
      </c>
      <c r="N224" s="12" t="n">
        <v>5906000</v>
      </c>
      <c r="O224" s="12" t="n">
        <v>39161852</v>
      </c>
      <c r="P224" s="12" t="n">
        <v>773100</v>
      </c>
      <c r="Q224" s="13" t="n">
        <f aca="false">IFERROR(P224/P223-1,"")</f>
        <v>0.151900016687725</v>
      </c>
      <c r="R224" s="12" t="n">
        <v>857676</v>
      </c>
      <c r="S224" s="13" t="n">
        <f aca="false">IFERROR(R224/R223-1,"")</f>
        <v>0.323394353853181</v>
      </c>
      <c r="T224" s="12" t="n">
        <v>651083</v>
      </c>
      <c r="U224" s="13" t="n">
        <f aca="false">IFERROR(T224/P224,"")</f>
        <v>0.842171775966887</v>
      </c>
      <c r="V224" s="14" t="n">
        <f aca="false">T224-AV224</f>
        <v>-1447901</v>
      </c>
      <c r="W224" s="14" t="n">
        <f aca="false">V224-AA224*0.1</f>
        <v>-1557501</v>
      </c>
      <c r="X224" s="12" t="n">
        <v>3167661</v>
      </c>
      <c r="Y224" s="12" t="n">
        <v>115430</v>
      </c>
      <c r="Z224" s="15" t="n">
        <f aca="false">IFERROR(X224/Y224,"")</f>
        <v>27.4422680412371</v>
      </c>
      <c r="AA224" s="12" t="n">
        <v>1096000</v>
      </c>
      <c r="AB224" s="14" t="n">
        <f aca="false">W224-0.02*P224</f>
        <v>-1572963</v>
      </c>
      <c r="AC224" s="16" t="n">
        <v>46</v>
      </c>
      <c r="AD224" s="13" t="n">
        <f aca="false">IFERROR(AC224/AC223-1,"")</f>
        <v>0.0952380952380953</v>
      </c>
      <c r="AE224" s="17" t="n">
        <v>0.047</v>
      </c>
      <c r="AF224" s="17" t="n">
        <v>0.037</v>
      </c>
      <c r="AG224" s="13" t="n">
        <f aca="false">1-AF224</f>
        <v>0.963</v>
      </c>
      <c r="AH224" s="17" t="n">
        <v>1.106</v>
      </c>
      <c r="AI224" s="12" t="n">
        <v>74154</v>
      </c>
      <c r="AJ224" s="14" t="n">
        <f aca="false">IFERROR(AM224*U224*MIN(1/AE224,5),"")</f>
        <v>197068.195576251</v>
      </c>
      <c r="AK224" s="18" t="n">
        <f aca="false">IFERROR(AJ224/AI224,"")</f>
        <v>2.65755314044086</v>
      </c>
      <c r="AL224" s="15" t="n">
        <f aca="false">IFERROR(AI224/(AM224*U224/12),"")</f>
        <v>22.5771590742478</v>
      </c>
      <c r="AM224" s="12" t="n">
        <v>46800</v>
      </c>
      <c r="AN224" s="12" t="n">
        <v>886856</v>
      </c>
      <c r="AO224" s="12" t="n">
        <v>2260661</v>
      </c>
      <c r="AP224" s="17" t="n">
        <v>0.389</v>
      </c>
      <c r="AQ224" s="16" t="n">
        <v>48</v>
      </c>
      <c r="AR224" s="16" t="n">
        <v>2</v>
      </c>
      <c r="AS224" s="13" t="n">
        <f aca="false">IFERROR(AR224/AR223-1,"")</f>
        <v>0</v>
      </c>
      <c r="AT224" s="11" t="s">
        <v>134</v>
      </c>
      <c r="AU224" s="14" t="n">
        <f aca="false">IFERROR(P224/AR224,"")</f>
        <v>386550</v>
      </c>
      <c r="AV224" s="12" t="n">
        <v>2098984</v>
      </c>
      <c r="AW224" s="12" t="n">
        <v>1028501</v>
      </c>
      <c r="AX224" s="12" t="n">
        <v>507653</v>
      </c>
      <c r="AY224" s="16" t="n">
        <v>3066</v>
      </c>
      <c r="AZ224" s="13" t="n">
        <f aca="false">IFERROR(AY224/AY223-1,"")</f>
        <v>0.24887983706721</v>
      </c>
      <c r="BA224" s="17" t="n">
        <v>0.965</v>
      </c>
      <c r="BB224" s="11" t="s">
        <v>161</v>
      </c>
      <c r="BC224" s="11" t="s">
        <v>126</v>
      </c>
      <c r="BD224" s="11" t="s">
        <v>83</v>
      </c>
      <c r="BE224" s="12" t="n">
        <v>866260</v>
      </c>
      <c r="BF224" s="13" t="n">
        <f aca="false">IFERROR(P224/BE224-1,"")</f>
        <v>-0.107542770069032</v>
      </c>
      <c r="BG224" s="17" t="n">
        <v>-0.052</v>
      </c>
      <c r="BH224" s="17" t="n">
        <v>-0.025</v>
      </c>
      <c r="BI224" s="14" t="n">
        <f aca="false">P224*(1+IFERROR(Q224,0))^4</f>
        <v>1361114.97318714</v>
      </c>
      <c r="BJ224" s="12" t="n">
        <v>-1154570</v>
      </c>
      <c r="BK224" s="11" t="s">
        <v>102</v>
      </c>
      <c r="BL224" s="11" t="s">
        <v>128</v>
      </c>
      <c r="BM224" s="14" t="n">
        <f aca="false">O224</f>
        <v>39161852</v>
      </c>
      <c r="BN224" s="11" t="s">
        <v>312</v>
      </c>
      <c r="BO224" s="13" t="n">
        <f aca="false">IFERROR(1-L224/M224,"")</f>
        <v>0.186910563959744</v>
      </c>
      <c r="BP224" s="11" t="s">
        <v>130</v>
      </c>
      <c r="BQ224" s="12" t="n">
        <v>2017279</v>
      </c>
      <c r="BR224" s="11" t="s">
        <v>88</v>
      </c>
      <c r="BS224" s="11" t="s">
        <v>89</v>
      </c>
      <c r="BT224" s="19" t="str">
        <f aca="false">IF(OR(Z224&lt;6,AH224&lt;0.9,S224&lt;0.02,AK224&lt;1),"REVIEW",IF(AND(S224&gt;0.25,AH224&gt;1.2),"ACCELERATING","STABLE"))</f>
        <v>STABLE</v>
      </c>
    </row>
    <row r="225" customFormat="false" ht="15" hidden="false" customHeight="false" outlineLevel="0" collapsed="false">
      <c r="A225" s="11" t="s">
        <v>310</v>
      </c>
      <c r="B225" s="11" t="s">
        <v>93</v>
      </c>
      <c r="C225" s="11" t="s">
        <v>74</v>
      </c>
      <c r="D225" s="11" t="s">
        <v>132</v>
      </c>
      <c r="E225" s="11" t="s">
        <v>105</v>
      </c>
      <c r="F225" s="11" t="s">
        <v>311</v>
      </c>
      <c r="G225" s="11" t="s">
        <v>78</v>
      </c>
      <c r="H225" s="11" t="s">
        <v>79</v>
      </c>
      <c r="I225" s="11" t="s">
        <v>78</v>
      </c>
      <c r="J225" s="12" t="n">
        <v>5906000</v>
      </c>
      <c r="K225" s="13" t="n">
        <f aca="false">IFERROR(J225/M225,"")</f>
        <v>0.186910563959744</v>
      </c>
      <c r="L225" s="12" t="n">
        <v>25692000</v>
      </c>
      <c r="M225" s="14" t="n">
        <f aca="false">L225+J225</f>
        <v>31598000</v>
      </c>
      <c r="N225" s="12" t="n">
        <v>5906000</v>
      </c>
      <c r="O225" s="12" t="n">
        <v>39161852</v>
      </c>
      <c r="P225" s="12" t="n">
        <v>959711</v>
      </c>
      <c r="Q225" s="13" t="n">
        <f aca="false">IFERROR(P225/P224-1,"")</f>
        <v>0.241380157806235</v>
      </c>
      <c r="R225" s="12" t="n">
        <v>1044144</v>
      </c>
      <c r="S225" s="13" t="n">
        <f aca="false">IFERROR(R225/R224-1,"")</f>
        <v>0.217410770500749</v>
      </c>
      <c r="T225" s="12" t="n">
        <v>811488</v>
      </c>
      <c r="U225" s="13" t="n">
        <f aca="false">IFERROR(T225/P225,"")</f>
        <v>0.845554547150132</v>
      </c>
      <c r="V225" s="14" t="n">
        <f aca="false">T225-AV225</f>
        <v>-1243710</v>
      </c>
      <c r="W225" s="14" t="n">
        <f aca="false">V225-AA225*0.1</f>
        <v>-1353310</v>
      </c>
      <c r="X225" s="12" t="n">
        <v>2856000</v>
      </c>
      <c r="Y225" s="12" t="n">
        <v>119000</v>
      </c>
      <c r="Z225" s="15" t="n">
        <f aca="false">IFERROR(X225/Y225,"")</f>
        <v>24</v>
      </c>
      <c r="AA225" s="12" t="n">
        <v>1096000</v>
      </c>
      <c r="AB225" s="14" t="n">
        <f aca="false">W225-0.02*P225</f>
        <v>-1372504.22</v>
      </c>
      <c r="AC225" s="16" t="n">
        <v>57</v>
      </c>
      <c r="AD225" s="13" t="n">
        <f aca="false">IFERROR(AC225/AC224-1,"")</f>
        <v>0.239130434782609</v>
      </c>
      <c r="AE225" s="17" t="n">
        <v>0.046</v>
      </c>
      <c r="AF225" s="17" t="n">
        <v>0.032</v>
      </c>
      <c r="AG225" s="13" t="n">
        <f aca="false">1-AF225</f>
        <v>0.968</v>
      </c>
      <c r="AH225" s="17" t="n">
        <v>1.101</v>
      </c>
      <c r="AI225" s="12" t="n">
        <v>72700</v>
      </c>
      <c r="AJ225" s="14" t="n">
        <f aca="false">IFERROR(AM225*U225*MIN(1/AE225,5),"")</f>
        <v>201664.759495306</v>
      </c>
      <c r="AK225" s="18" t="n">
        <f aca="false">IFERROR(AJ225/AI225,"")</f>
        <v>2.77393066706061</v>
      </c>
      <c r="AL225" s="15" t="n">
        <f aca="false">IFERROR(AI225/(AM225*U225/12),"")</f>
        <v>21.6299566216552</v>
      </c>
      <c r="AM225" s="12" t="n">
        <v>47700</v>
      </c>
      <c r="AN225" s="12" t="n">
        <v>1086971</v>
      </c>
      <c r="AO225" s="12" t="n">
        <v>2283769</v>
      </c>
      <c r="AP225" s="17" t="n">
        <v>0.389</v>
      </c>
      <c r="AQ225" s="16" t="n">
        <v>48</v>
      </c>
      <c r="AR225" s="16" t="n">
        <v>2</v>
      </c>
      <c r="AS225" s="13" t="n">
        <f aca="false">IFERROR(AR225/AR224-1,"")</f>
        <v>0</v>
      </c>
      <c r="AT225" s="11" t="s">
        <v>134</v>
      </c>
      <c r="AU225" s="14" t="n">
        <f aca="false">IFERROR(P225/AR225,"")</f>
        <v>479855.5</v>
      </c>
      <c r="AV225" s="12" t="n">
        <v>2055198</v>
      </c>
      <c r="AW225" s="12" t="n">
        <v>791305</v>
      </c>
      <c r="AX225" s="12" t="n">
        <v>462713</v>
      </c>
      <c r="AY225" s="16" t="n">
        <v>3490</v>
      </c>
      <c r="AZ225" s="13" t="n">
        <f aca="false">IFERROR(AY225/AY224-1,"")</f>
        <v>0.138290932811481</v>
      </c>
      <c r="BA225" s="17" t="n">
        <v>0.951</v>
      </c>
      <c r="BB225" s="11" t="s">
        <v>161</v>
      </c>
      <c r="BC225" s="11" t="s">
        <v>126</v>
      </c>
      <c r="BD225" s="11" t="s">
        <v>83</v>
      </c>
      <c r="BE225" s="12" t="n">
        <v>1168180</v>
      </c>
      <c r="BF225" s="13" t="n">
        <f aca="false">IFERROR(P225/BE225-1,"")</f>
        <v>-0.178456231060282</v>
      </c>
      <c r="BG225" s="17" t="n">
        <v>0.058</v>
      </c>
      <c r="BH225" s="17" t="n">
        <v>-0.058</v>
      </c>
      <c r="BI225" s="14" t="n">
        <f aca="false">P225*(1+IFERROR(Q225,0))^4</f>
        <v>2279080.52490564</v>
      </c>
      <c r="BJ225" s="12" t="n">
        <v>-930936</v>
      </c>
      <c r="BK225" s="11" t="s">
        <v>102</v>
      </c>
      <c r="BL225" s="11" t="s">
        <v>128</v>
      </c>
      <c r="BM225" s="14" t="n">
        <f aca="false">O225</f>
        <v>39161852</v>
      </c>
      <c r="BN225" s="11" t="s">
        <v>312</v>
      </c>
      <c r="BO225" s="13" t="n">
        <f aca="false">IFERROR(1-L225/M225,"")</f>
        <v>0.186910563959744</v>
      </c>
      <c r="BP225" s="11" t="s">
        <v>130</v>
      </c>
      <c r="BQ225" s="12" t="n">
        <v>2127408</v>
      </c>
      <c r="BR225" s="11" t="s">
        <v>88</v>
      </c>
      <c r="BS225" s="11" t="s">
        <v>89</v>
      </c>
      <c r="BT225" s="19" t="str">
        <f aca="false">IF(OR(Z225&lt;6,AH225&lt;0.9,S225&lt;0.02,AK225&lt;1),"REVIEW",IF(AND(S225&gt;0.25,AH225&gt;1.2),"ACCELERATING","STABLE"))</f>
        <v>STABLE</v>
      </c>
    </row>
    <row r="226" customFormat="false" ht="15" hidden="false" customHeight="false" outlineLevel="0" collapsed="false">
      <c r="A226" s="3" t="s">
        <v>313</v>
      </c>
      <c r="B226" s="3" t="s">
        <v>73</v>
      </c>
      <c r="C226" s="3" t="s">
        <v>74</v>
      </c>
      <c r="D226" s="3" t="s">
        <v>132</v>
      </c>
      <c r="E226" s="3" t="s">
        <v>105</v>
      </c>
      <c r="F226" s="3" t="s">
        <v>314</v>
      </c>
      <c r="G226" s="3" t="s">
        <v>78</v>
      </c>
      <c r="H226" s="3" t="s">
        <v>79</v>
      </c>
      <c r="I226" s="3" t="s">
        <v>78</v>
      </c>
      <c r="J226" s="4" t="n">
        <v>3332000</v>
      </c>
      <c r="K226" s="5" t="n">
        <f aca="false">IFERROR(J226/M226,"")</f>
        <v>0.154962329085666</v>
      </c>
      <c r="L226" s="4" t="n">
        <v>18170000</v>
      </c>
      <c r="M226" s="6" t="n">
        <f aca="false">L226+J226</f>
        <v>21502000</v>
      </c>
      <c r="N226" s="4" t="n">
        <v>3809000</v>
      </c>
      <c r="O226" s="4" t="n">
        <v>34362983</v>
      </c>
      <c r="P226" s="4" t="n">
        <v>256602</v>
      </c>
      <c r="Q226" s="7"/>
      <c r="R226" s="4" t="n">
        <v>302318</v>
      </c>
      <c r="S226" s="7"/>
      <c r="T226" s="4" t="n">
        <v>149893</v>
      </c>
      <c r="U226" s="5" t="n">
        <f aca="false">IFERROR(T226/P226,"")</f>
        <v>0.584145875714141</v>
      </c>
      <c r="V226" s="6" t="n">
        <f aca="false">T226-AV226</f>
        <v>-724004</v>
      </c>
      <c r="W226" s="6" t="n">
        <f aca="false">V226-AA226*0.1</f>
        <v>-724004</v>
      </c>
      <c r="X226" s="4" t="n">
        <v>2541051</v>
      </c>
      <c r="Y226" s="4" t="n">
        <v>73710</v>
      </c>
      <c r="Z226" s="8" t="n">
        <f aca="false">IFERROR(X226/Y226,"")</f>
        <v>34.4736263736264</v>
      </c>
      <c r="AA226" s="4" t="n">
        <v>0</v>
      </c>
      <c r="AB226" s="6" t="n">
        <f aca="false">W226-0.02*P226</f>
        <v>-729136.04</v>
      </c>
      <c r="AC226" s="9" t="n">
        <v>15</v>
      </c>
      <c r="AD226" s="7"/>
      <c r="AE226" s="7" t="n">
        <v>0.119</v>
      </c>
      <c r="AF226" s="7" t="n">
        <v>0.091</v>
      </c>
      <c r="AG226" s="5" t="n">
        <f aca="false">1-AF226</f>
        <v>0.909</v>
      </c>
      <c r="AH226" s="7" t="n">
        <v>1.134</v>
      </c>
      <c r="AI226" s="4" t="n">
        <v>37524</v>
      </c>
      <c r="AJ226" s="6" t="n">
        <f aca="false">IFERROR(AM226*U226*MIN(1/AE226,5),"")</f>
        <v>64256.0463285555</v>
      </c>
      <c r="AK226" s="10" t="n">
        <f aca="false">IFERROR(AJ226/AI226,"")</f>
        <v>1.71239863363595</v>
      </c>
      <c r="AL226" s="8" t="n">
        <f aca="false">IFERROR(AI226/(AM226*U226/12),"")</f>
        <v>35.0385703547318</v>
      </c>
      <c r="AM226" s="4" t="n">
        <v>22000</v>
      </c>
      <c r="AN226" s="4" t="n">
        <v>389656</v>
      </c>
      <c r="AO226" s="4" t="n">
        <v>710848</v>
      </c>
      <c r="AP226" s="7" t="n">
        <v>0.179</v>
      </c>
      <c r="AQ226" s="9" t="n">
        <v>90</v>
      </c>
      <c r="AR226" s="9" t="n">
        <v>2</v>
      </c>
      <c r="AS226" s="7"/>
      <c r="AT226" s="3" t="s">
        <v>98</v>
      </c>
      <c r="AU226" s="6" t="n">
        <f aca="false">IFERROR(P226/AR226,"")</f>
        <v>128301</v>
      </c>
      <c r="AV226" s="4" t="n">
        <v>873897</v>
      </c>
      <c r="AW226" s="4" t="n">
        <v>326699</v>
      </c>
      <c r="AX226" s="4" t="n">
        <v>247687</v>
      </c>
      <c r="AY226" s="9" t="n">
        <v>25928</v>
      </c>
      <c r="AZ226" s="7"/>
      <c r="BA226" s="7" t="n">
        <v>0.904</v>
      </c>
      <c r="BB226" s="3" t="s">
        <v>107</v>
      </c>
      <c r="BC226" s="3" t="s">
        <v>100</v>
      </c>
      <c r="BD226" s="3" t="s">
        <v>109</v>
      </c>
      <c r="BE226" s="4" t="n">
        <v>280270</v>
      </c>
      <c r="BF226" s="5" t="n">
        <f aca="false">IFERROR(P226/BE226-1,"")</f>
        <v>-0.0844471402576087</v>
      </c>
      <c r="BG226" s="7" t="n">
        <v>-0.025</v>
      </c>
      <c r="BH226" s="7" t="n">
        <v>0.061</v>
      </c>
      <c r="BI226" s="6" t="n">
        <f aca="false">P226</f>
        <v>256602</v>
      </c>
      <c r="BJ226" s="4" t="n">
        <v>-782987</v>
      </c>
      <c r="BK226" s="3" t="s">
        <v>110</v>
      </c>
      <c r="BL226" s="3" t="s">
        <v>85</v>
      </c>
      <c r="BM226" s="6" t="n">
        <f aca="false">O226</f>
        <v>34362983</v>
      </c>
      <c r="BN226" s="3" t="s">
        <v>315</v>
      </c>
      <c r="BO226" s="5" t="n">
        <f aca="false">IFERROR(1-L226/M226,"")</f>
        <v>0.154962329085666</v>
      </c>
      <c r="BP226" s="3" t="s">
        <v>130</v>
      </c>
      <c r="BQ226" s="4" t="n">
        <v>1341400</v>
      </c>
      <c r="BR226" s="3" t="s">
        <v>88</v>
      </c>
      <c r="BS226" s="3" t="s">
        <v>89</v>
      </c>
      <c r="BT226" s="3" t="s">
        <v>90</v>
      </c>
    </row>
    <row r="227" customFormat="false" ht="15" hidden="false" customHeight="false" outlineLevel="0" collapsed="false">
      <c r="A227" s="11" t="s">
        <v>313</v>
      </c>
      <c r="B227" s="11" t="s">
        <v>91</v>
      </c>
      <c r="C227" s="11" t="s">
        <v>74</v>
      </c>
      <c r="D227" s="11" t="s">
        <v>132</v>
      </c>
      <c r="E227" s="11" t="s">
        <v>105</v>
      </c>
      <c r="F227" s="11" t="s">
        <v>314</v>
      </c>
      <c r="G227" s="11" t="s">
        <v>78</v>
      </c>
      <c r="H227" s="11" t="s">
        <v>79</v>
      </c>
      <c r="I227" s="11" t="s">
        <v>78</v>
      </c>
      <c r="J227" s="12" t="n">
        <v>3332000</v>
      </c>
      <c r="K227" s="13" t="n">
        <f aca="false">IFERROR(J227/M227,"")</f>
        <v>0.154962329085666</v>
      </c>
      <c r="L227" s="12" t="n">
        <v>18170000</v>
      </c>
      <c r="M227" s="14" t="n">
        <f aca="false">L227+J227</f>
        <v>21502000</v>
      </c>
      <c r="N227" s="12" t="n">
        <v>3809000</v>
      </c>
      <c r="O227" s="12" t="n">
        <v>34362983</v>
      </c>
      <c r="P227" s="12" t="n">
        <v>282199</v>
      </c>
      <c r="Q227" s="13" t="n">
        <f aca="false">IFERROR(P227/P226-1,"")</f>
        <v>0.0997537041800143</v>
      </c>
      <c r="R227" s="12" t="n">
        <v>322328</v>
      </c>
      <c r="S227" s="13" t="n">
        <f aca="false">IFERROR(R227/R226-1,"")</f>
        <v>0.0661885828829245</v>
      </c>
      <c r="T227" s="12" t="n">
        <v>165512</v>
      </c>
      <c r="U227" s="13" t="n">
        <f aca="false">IFERROR(T227/P227,"")</f>
        <v>0.58650810243835</v>
      </c>
      <c r="V227" s="14" t="n">
        <f aca="false">T227-AV227</f>
        <v>-755902</v>
      </c>
      <c r="W227" s="14" t="n">
        <f aca="false">V227-AA227*0.1</f>
        <v>-755902</v>
      </c>
      <c r="X227" s="12" t="n">
        <v>2355156</v>
      </c>
      <c r="Y227" s="12" t="n">
        <v>76140</v>
      </c>
      <c r="Z227" s="15" t="n">
        <f aca="false">IFERROR(X227/Y227,"")</f>
        <v>30.931914893617</v>
      </c>
      <c r="AA227" s="12" t="n">
        <v>0</v>
      </c>
      <c r="AB227" s="14" t="n">
        <f aca="false">W227-0.02*P227</f>
        <v>-761545.98</v>
      </c>
      <c r="AC227" s="16" t="n">
        <v>15</v>
      </c>
      <c r="AD227" s="13" t="n">
        <f aca="false">IFERROR(AC227/AC226-1,"")</f>
        <v>0</v>
      </c>
      <c r="AE227" s="17" t="n">
        <v>0.116</v>
      </c>
      <c r="AF227" s="17" t="n">
        <v>0.092</v>
      </c>
      <c r="AG227" s="13" t="n">
        <f aca="false">1-AF227</f>
        <v>0.908</v>
      </c>
      <c r="AH227" s="17" t="n">
        <v>1.129</v>
      </c>
      <c r="AI227" s="12" t="n">
        <v>36816</v>
      </c>
      <c r="AJ227" s="14" t="n">
        <f aca="false">IFERROR(AM227*U227*MIN(1/AE227,5),"")</f>
        <v>65806.2090935829</v>
      </c>
      <c r="AK227" s="18" t="n">
        <f aca="false">IFERROR(AJ227/AI227,"")</f>
        <v>1.7874350579526</v>
      </c>
      <c r="AL227" s="15" t="n">
        <f aca="false">IFERROR(AI227/(AM227*U227/12),"")</f>
        <v>33.5676531200672</v>
      </c>
      <c r="AM227" s="12" t="n">
        <v>22440</v>
      </c>
      <c r="AN227" s="12" t="n">
        <v>436224</v>
      </c>
      <c r="AO227" s="12" t="n">
        <v>998711</v>
      </c>
      <c r="AP227" s="17" t="n">
        <v>0.179</v>
      </c>
      <c r="AQ227" s="16" t="n">
        <v>90</v>
      </c>
      <c r="AR227" s="16" t="n">
        <v>2</v>
      </c>
      <c r="AS227" s="13" t="n">
        <f aca="false">IFERROR(AR227/AR226-1,"")</f>
        <v>0</v>
      </c>
      <c r="AT227" s="11" t="s">
        <v>98</v>
      </c>
      <c r="AU227" s="14" t="n">
        <f aca="false">IFERROR(P227/AR227,"")</f>
        <v>141099.5</v>
      </c>
      <c r="AV227" s="12" t="n">
        <v>921414</v>
      </c>
      <c r="AW227" s="12" t="n">
        <v>290874</v>
      </c>
      <c r="AX227" s="12" t="n">
        <v>205722</v>
      </c>
      <c r="AY227" s="16" t="n">
        <v>28410</v>
      </c>
      <c r="AZ227" s="13" t="n">
        <f aca="false">IFERROR(AY227/AY226-1,"")</f>
        <v>0.0957266275840789</v>
      </c>
      <c r="BA227" s="17" t="n">
        <v>0.873</v>
      </c>
      <c r="BB227" s="11" t="s">
        <v>107</v>
      </c>
      <c r="BC227" s="11" t="s">
        <v>100</v>
      </c>
      <c r="BD227" s="11" t="s">
        <v>109</v>
      </c>
      <c r="BE227" s="12" t="n">
        <v>315939</v>
      </c>
      <c r="BF227" s="13" t="n">
        <f aca="false">IFERROR(P227/BE227-1,"")</f>
        <v>-0.106792766958179</v>
      </c>
      <c r="BG227" s="17" t="n">
        <v>0.085</v>
      </c>
      <c r="BH227" s="17" t="n">
        <v>0.068</v>
      </c>
      <c r="BI227" s="14" t="n">
        <f aca="false">P227*(1+IFERROR(Q227,0))^4</f>
        <v>412797.63855569</v>
      </c>
      <c r="BJ227" s="12" t="n">
        <v>-573356</v>
      </c>
      <c r="BK227" s="11" t="s">
        <v>110</v>
      </c>
      <c r="BL227" s="11" t="s">
        <v>85</v>
      </c>
      <c r="BM227" s="14" t="n">
        <f aca="false">O227</f>
        <v>34362983</v>
      </c>
      <c r="BN227" s="11" t="s">
        <v>315</v>
      </c>
      <c r="BO227" s="13" t="n">
        <f aca="false">IFERROR(1-L227/M227,"")</f>
        <v>0.154962329085666</v>
      </c>
      <c r="BP227" s="11" t="s">
        <v>130</v>
      </c>
      <c r="BQ227" s="12" t="n">
        <v>1113986</v>
      </c>
      <c r="BR227" s="11" t="s">
        <v>88</v>
      </c>
      <c r="BS227" s="11" t="s">
        <v>89</v>
      </c>
      <c r="BT227" s="19" t="str">
        <f aca="false">IF(OR(Z227&lt;6,AH227&lt;0.9,S227&lt;0.02,AK227&lt;1),"REVIEW",IF(AND(S227&gt;0.25,AH227&gt;1.2),"ACCELERATING","STABLE"))</f>
        <v>STABLE</v>
      </c>
    </row>
    <row r="228" customFormat="false" ht="15" hidden="false" customHeight="false" outlineLevel="0" collapsed="false">
      <c r="A228" s="11" t="s">
        <v>313</v>
      </c>
      <c r="B228" s="11" t="s">
        <v>92</v>
      </c>
      <c r="C228" s="11" t="s">
        <v>74</v>
      </c>
      <c r="D228" s="11" t="s">
        <v>132</v>
      </c>
      <c r="E228" s="11" t="s">
        <v>105</v>
      </c>
      <c r="F228" s="11" t="s">
        <v>314</v>
      </c>
      <c r="G228" s="11" t="s">
        <v>78</v>
      </c>
      <c r="H228" s="11" t="s">
        <v>79</v>
      </c>
      <c r="I228" s="11" t="s">
        <v>78</v>
      </c>
      <c r="J228" s="12" t="n">
        <v>3332000</v>
      </c>
      <c r="K228" s="13" t="n">
        <f aca="false">IFERROR(J228/M228,"")</f>
        <v>0.154962329085666</v>
      </c>
      <c r="L228" s="12" t="n">
        <v>18170000</v>
      </c>
      <c r="M228" s="14" t="n">
        <f aca="false">L228+J228</f>
        <v>21502000</v>
      </c>
      <c r="N228" s="12" t="n">
        <v>3809000</v>
      </c>
      <c r="O228" s="12" t="n">
        <v>34362983</v>
      </c>
      <c r="P228" s="12" t="n">
        <v>326445</v>
      </c>
      <c r="Q228" s="13" t="n">
        <f aca="false">IFERROR(P228/P227-1,"")</f>
        <v>0.156790066584219</v>
      </c>
      <c r="R228" s="12" t="n">
        <v>346468</v>
      </c>
      <c r="S228" s="13" t="n">
        <f aca="false">IFERROR(R228/R227-1,"")</f>
        <v>0.0748926559281229</v>
      </c>
      <c r="T228" s="12" t="n">
        <v>192235</v>
      </c>
      <c r="U228" s="13" t="n">
        <f aca="false">IFERROR(T228/P228,"")</f>
        <v>0.588874082923617</v>
      </c>
      <c r="V228" s="14" t="n">
        <f aca="false">T228-AV228</f>
        <v>-772410</v>
      </c>
      <c r="W228" s="14" t="n">
        <f aca="false">V228-AA228*0.1</f>
        <v>-772410</v>
      </c>
      <c r="X228" s="12" t="n">
        <v>2156139</v>
      </c>
      <c r="Y228" s="12" t="n">
        <v>78570</v>
      </c>
      <c r="Z228" s="15" t="n">
        <f aca="false">IFERROR(X228/Y228,"")</f>
        <v>27.4422680412371</v>
      </c>
      <c r="AA228" s="12" t="n">
        <v>0</v>
      </c>
      <c r="AB228" s="14" t="n">
        <f aca="false">W228-0.02*P228</f>
        <v>-778938.9</v>
      </c>
      <c r="AC228" s="16" t="n">
        <v>18</v>
      </c>
      <c r="AD228" s="13" t="n">
        <f aca="false">IFERROR(AC228/AC227-1,"")</f>
        <v>0.2</v>
      </c>
      <c r="AE228" s="17" t="n">
        <v>0.112</v>
      </c>
      <c r="AF228" s="17" t="n">
        <v>0.089</v>
      </c>
      <c r="AG228" s="13" t="n">
        <f aca="false">1-AF228</f>
        <v>0.911</v>
      </c>
      <c r="AH228" s="17" t="n">
        <v>1.124</v>
      </c>
      <c r="AI228" s="12" t="n">
        <v>36108</v>
      </c>
      <c r="AJ228" s="14" t="n">
        <f aca="false">IFERROR(AM228*U228*MIN(1/AE228,5),"")</f>
        <v>67367.1950864617</v>
      </c>
      <c r="AK228" s="18" t="n">
        <f aca="false">IFERROR(AJ228/AI228,"")</f>
        <v>1.86571383312456</v>
      </c>
      <c r="AL228" s="15" t="n">
        <f aca="false">IFERROR(AI228/(AM228*U228/12),"")</f>
        <v>32.1592727323656</v>
      </c>
      <c r="AM228" s="12" t="n">
        <v>22880</v>
      </c>
      <c r="AN228" s="12" t="n">
        <v>324991</v>
      </c>
      <c r="AO228" s="12" t="n">
        <v>1335548</v>
      </c>
      <c r="AP228" s="17" t="n">
        <v>0.179</v>
      </c>
      <c r="AQ228" s="16" t="n">
        <v>90</v>
      </c>
      <c r="AR228" s="16" t="n">
        <v>3</v>
      </c>
      <c r="AS228" s="13" t="n">
        <f aca="false">IFERROR(AR228/AR227-1,"")</f>
        <v>0.5</v>
      </c>
      <c r="AT228" s="11" t="s">
        <v>98</v>
      </c>
      <c r="AU228" s="14" t="n">
        <f aca="false">IFERROR(P228/AR228,"")</f>
        <v>108815</v>
      </c>
      <c r="AV228" s="12" t="n">
        <v>964645</v>
      </c>
      <c r="AW228" s="12" t="n">
        <v>453657</v>
      </c>
      <c r="AX228" s="12" t="n">
        <v>249652</v>
      </c>
      <c r="AY228" s="16" t="n">
        <v>33489</v>
      </c>
      <c r="AZ228" s="13" t="n">
        <f aca="false">IFERROR(AY228/AY227-1,"")</f>
        <v>0.178775079197466</v>
      </c>
      <c r="BA228" s="17" t="n">
        <v>0.914</v>
      </c>
      <c r="BB228" s="11" t="s">
        <v>107</v>
      </c>
      <c r="BC228" s="11" t="s">
        <v>100</v>
      </c>
      <c r="BD228" s="11" t="s">
        <v>109</v>
      </c>
      <c r="BE228" s="12" t="n">
        <v>390292</v>
      </c>
      <c r="BF228" s="13" t="n">
        <f aca="false">IFERROR(P228/BE228-1,"")</f>
        <v>-0.163587775306693</v>
      </c>
      <c r="BG228" s="17" t="n">
        <v>-0.058</v>
      </c>
      <c r="BH228" s="17" t="n">
        <v>-0.021</v>
      </c>
      <c r="BI228" s="14" t="n">
        <f aca="false">P228*(1+IFERROR(Q228,0))^4</f>
        <v>584558.828181931</v>
      </c>
      <c r="BJ228" s="12" t="n">
        <v>-799803</v>
      </c>
      <c r="BK228" s="11" t="s">
        <v>110</v>
      </c>
      <c r="BL228" s="11" t="s">
        <v>85</v>
      </c>
      <c r="BM228" s="14" t="n">
        <f aca="false">O228</f>
        <v>34362983</v>
      </c>
      <c r="BN228" s="11" t="s">
        <v>315</v>
      </c>
      <c r="BO228" s="13" t="n">
        <f aca="false">IFERROR(1-L228/M228,"")</f>
        <v>0.154962329085666</v>
      </c>
      <c r="BP228" s="11" t="s">
        <v>130</v>
      </c>
      <c r="BQ228" s="12" t="n">
        <v>1103067</v>
      </c>
      <c r="BR228" s="11" t="s">
        <v>88</v>
      </c>
      <c r="BS228" s="11" t="s">
        <v>89</v>
      </c>
      <c r="BT228" s="19" t="str">
        <f aca="false">IF(OR(Z228&lt;6,AH228&lt;0.9,S228&lt;0.02,AK228&lt;1),"REVIEW",IF(AND(S228&gt;0.25,AH228&gt;1.2),"ACCELERATING","STABLE"))</f>
        <v>STABLE</v>
      </c>
    </row>
    <row r="229" customFormat="false" ht="15" hidden="false" customHeight="false" outlineLevel="0" collapsed="false">
      <c r="A229" s="11" t="s">
        <v>313</v>
      </c>
      <c r="B229" s="11" t="s">
        <v>93</v>
      </c>
      <c r="C229" s="11" t="s">
        <v>74</v>
      </c>
      <c r="D229" s="11" t="s">
        <v>132</v>
      </c>
      <c r="E229" s="11" t="s">
        <v>105</v>
      </c>
      <c r="F229" s="11" t="s">
        <v>314</v>
      </c>
      <c r="G229" s="11" t="s">
        <v>78</v>
      </c>
      <c r="H229" s="11" t="s">
        <v>79</v>
      </c>
      <c r="I229" s="11" t="s">
        <v>78</v>
      </c>
      <c r="J229" s="12" t="n">
        <v>3332000</v>
      </c>
      <c r="K229" s="13" t="n">
        <f aca="false">IFERROR(J229/M229,"")</f>
        <v>0.154962329085666</v>
      </c>
      <c r="L229" s="12" t="n">
        <v>18170000</v>
      </c>
      <c r="M229" s="14" t="n">
        <f aca="false">L229+J229</f>
        <v>21502000</v>
      </c>
      <c r="N229" s="12" t="n">
        <v>3809000</v>
      </c>
      <c r="O229" s="12" t="n">
        <v>34362983</v>
      </c>
      <c r="P229" s="12" t="n">
        <v>354636</v>
      </c>
      <c r="Q229" s="13" t="n">
        <f aca="false">IFERROR(P229/P228-1,"")</f>
        <v>0.0863575793778431</v>
      </c>
      <c r="R229" s="12" t="n">
        <v>380918</v>
      </c>
      <c r="S229" s="13" t="n">
        <f aca="false">IFERROR(R229/R228-1,"")</f>
        <v>0.0994319821743999</v>
      </c>
      <c r="T229" s="12" t="n">
        <v>209675</v>
      </c>
      <c r="U229" s="13" t="n">
        <f aca="false">IFERROR(T229/P229,"")</f>
        <v>0.591240032032845</v>
      </c>
      <c r="V229" s="14" t="n">
        <f aca="false">T229-AV229</f>
        <v>-865201</v>
      </c>
      <c r="W229" s="14" t="n">
        <f aca="false">V229-AA229*0.1</f>
        <v>-865201</v>
      </c>
      <c r="X229" s="12" t="n">
        <v>1944000</v>
      </c>
      <c r="Y229" s="12" t="n">
        <v>81000</v>
      </c>
      <c r="Z229" s="15" t="n">
        <f aca="false">IFERROR(X229/Y229,"")</f>
        <v>24</v>
      </c>
      <c r="AA229" s="12" t="n">
        <v>0</v>
      </c>
      <c r="AB229" s="14" t="n">
        <f aca="false">W229-0.02*P229</f>
        <v>-872293.72</v>
      </c>
      <c r="AC229" s="16" t="n">
        <v>20</v>
      </c>
      <c r="AD229" s="13" t="n">
        <f aca="false">IFERROR(AC229/AC228-1,"")</f>
        <v>0.111111111111111</v>
      </c>
      <c r="AE229" s="17" t="n">
        <v>0.109</v>
      </c>
      <c r="AF229" s="17" t="n">
        <v>0.088</v>
      </c>
      <c r="AG229" s="13" t="n">
        <f aca="false">1-AF229</f>
        <v>0.912</v>
      </c>
      <c r="AH229" s="17" t="n">
        <v>1.119</v>
      </c>
      <c r="AI229" s="12" t="n">
        <v>35400</v>
      </c>
      <c r="AJ229" s="14" t="n">
        <f aca="false">IFERROR(AM229*U229*MIN(1/AE229,5),"")</f>
        <v>68938.5877350297</v>
      </c>
      <c r="AK229" s="18" t="n">
        <f aca="false">IFERROR(AJ229/AI229,"")</f>
        <v>1.94741773262796</v>
      </c>
      <c r="AL229" s="15" t="n">
        <f aca="false">IFERROR(AI229/(AM229*U229/12),"")</f>
        <v>30.8100306342762</v>
      </c>
      <c r="AM229" s="12" t="n">
        <v>23320</v>
      </c>
      <c r="AN229" s="12" t="n">
        <v>453066</v>
      </c>
      <c r="AO229" s="12" t="n">
        <v>1289220</v>
      </c>
      <c r="AP229" s="17" t="n">
        <v>0.179</v>
      </c>
      <c r="AQ229" s="16" t="n">
        <v>90</v>
      </c>
      <c r="AR229" s="16" t="n">
        <v>3</v>
      </c>
      <c r="AS229" s="13" t="n">
        <f aca="false">IFERROR(AR229/AR228-1,"")</f>
        <v>0</v>
      </c>
      <c r="AT229" s="11" t="s">
        <v>98</v>
      </c>
      <c r="AU229" s="14" t="n">
        <f aca="false">IFERROR(P229/AR229,"")</f>
        <v>118212</v>
      </c>
      <c r="AV229" s="12" t="n">
        <v>1074876</v>
      </c>
      <c r="AW229" s="12" t="n">
        <v>503205</v>
      </c>
      <c r="AX229" s="12" t="n">
        <v>311437</v>
      </c>
      <c r="AY229" s="16" t="n">
        <v>33860</v>
      </c>
      <c r="AZ229" s="13" t="n">
        <f aca="false">IFERROR(AY229/AY228-1,"")</f>
        <v>0.0110782645047627</v>
      </c>
      <c r="BA229" s="17" t="n">
        <v>0.903</v>
      </c>
      <c r="BB229" s="11" t="s">
        <v>107</v>
      </c>
      <c r="BC229" s="11" t="s">
        <v>100</v>
      </c>
      <c r="BD229" s="11" t="s">
        <v>109</v>
      </c>
      <c r="BE229" s="12" t="n">
        <v>435121</v>
      </c>
      <c r="BF229" s="13" t="n">
        <f aca="false">IFERROR(P229/BE229-1,"")</f>
        <v>-0.184971536653023</v>
      </c>
      <c r="BG229" s="17" t="n">
        <v>0.018</v>
      </c>
      <c r="BH229" s="17" t="n">
        <v>0.013</v>
      </c>
      <c r="BI229" s="14" t="n">
        <f aca="false">P229*(1+IFERROR(Q229,0))^4</f>
        <v>493939.792244046</v>
      </c>
      <c r="BJ229" s="12" t="n">
        <v>-873763</v>
      </c>
      <c r="BK229" s="11" t="s">
        <v>110</v>
      </c>
      <c r="BL229" s="11" t="s">
        <v>85</v>
      </c>
      <c r="BM229" s="14" t="n">
        <f aca="false">O229</f>
        <v>34362983</v>
      </c>
      <c r="BN229" s="11" t="s">
        <v>315</v>
      </c>
      <c r="BO229" s="13" t="n">
        <f aca="false">IFERROR(1-L229/M229,"")</f>
        <v>0.154962329085666</v>
      </c>
      <c r="BP229" s="11" t="s">
        <v>130</v>
      </c>
      <c r="BQ229" s="12" t="n">
        <v>1525236</v>
      </c>
      <c r="BR229" s="11" t="s">
        <v>88</v>
      </c>
      <c r="BS229" s="11" t="s">
        <v>89</v>
      </c>
      <c r="BT229" s="19" t="str">
        <f aca="false">IF(OR(Z229&lt;6,AH229&lt;0.9,S229&lt;0.02,AK229&lt;1),"REVIEW",IF(AND(S229&gt;0.25,AH229&gt;1.2),"ACCELERATING","STABLE"))</f>
        <v>STABLE</v>
      </c>
    </row>
    <row r="230" customFormat="false" ht="15" hidden="false" customHeight="false" outlineLevel="0" collapsed="false">
      <c r="A230" s="3" t="s">
        <v>316</v>
      </c>
      <c r="B230" s="3" t="s">
        <v>73</v>
      </c>
      <c r="C230" s="3" t="s">
        <v>74</v>
      </c>
      <c r="D230" s="3" t="s">
        <v>165</v>
      </c>
      <c r="E230" s="3" t="s">
        <v>105</v>
      </c>
      <c r="F230" s="3" t="s">
        <v>317</v>
      </c>
      <c r="G230" s="3" t="s">
        <v>78</v>
      </c>
      <c r="H230" s="3" t="s">
        <v>79</v>
      </c>
      <c r="I230" s="3" t="s">
        <v>78</v>
      </c>
      <c r="J230" s="4" t="n">
        <v>4956000</v>
      </c>
      <c r="K230" s="5" t="n">
        <f aca="false">IFERROR(J230/M230,"")</f>
        <v>0.171880418949851</v>
      </c>
      <c r="L230" s="4" t="n">
        <v>23878000</v>
      </c>
      <c r="M230" s="6" t="n">
        <f aca="false">L230+J230</f>
        <v>28834000</v>
      </c>
      <c r="N230" s="4" t="n">
        <v>6717000</v>
      </c>
      <c r="O230" s="4" t="n">
        <v>25086104</v>
      </c>
      <c r="P230" s="4" t="n">
        <v>777548</v>
      </c>
      <c r="Q230" s="7"/>
      <c r="R230" s="4" t="n">
        <v>955847</v>
      </c>
      <c r="S230" s="7"/>
      <c r="T230" s="4" t="n">
        <v>401503</v>
      </c>
      <c r="U230" s="5" t="n">
        <f aca="false">IFERROR(T230/P230,"")</f>
        <v>0.516370693513455</v>
      </c>
      <c r="V230" s="6" t="n">
        <f aca="false">T230-AV230</f>
        <v>-1898152</v>
      </c>
      <c r="W230" s="6" t="n">
        <f aca="false">V230-AA230*0.1</f>
        <v>-1898152</v>
      </c>
      <c r="X230" s="4" t="n">
        <v>2619970</v>
      </c>
      <c r="Y230" s="4" t="n">
        <v>180400</v>
      </c>
      <c r="Z230" s="8" t="n">
        <f aca="false">IFERROR(X230/Y230,"")</f>
        <v>14.5231152993348</v>
      </c>
      <c r="AA230" s="4" t="n">
        <v>0</v>
      </c>
      <c r="AB230" s="6" t="n">
        <f aca="false">W230-0.02*P230</f>
        <v>-1913702.96</v>
      </c>
      <c r="AC230" s="9" t="n">
        <v>42</v>
      </c>
      <c r="AD230" s="7"/>
      <c r="AE230" s="7" t="n">
        <v>0.196</v>
      </c>
      <c r="AF230" s="7" t="n">
        <v>0.128</v>
      </c>
      <c r="AG230" s="5" t="n">
        <f aca="false">1-AF230</f>
        <v>0.872</v>
      </c>
      <c r="AH230" s="7" t="n">
        <v>0.875</v>
      </c>
      <c r="AI230" s="4" t="n">
        <v>97584</v>
      </c>
      <c r="AJ230" s="6" t="n">
        <f aca="false">IFERROR(AM230*U230*MIN(1/AE230,5),"")</f>
        <v>147165.647651335</v>
      </c>
      <c r="AK230" s="10" t="n">
        <f aca="false">IFERROR(AJ230/AI230,"")</f>
        <v>1.5080919787192</v>
      </c>
      <c r="AL230" s="8" t="n">
        <f aca="false">IFERROR(AI230/(AM230*U230/12),"")</f>
        <v>39.7853717456657</v>
      </c>
      <c r="AM230" s="4" t="n">
        <v>57000</v>
      </c>
      <c r="AN230" s="4" t="n">
        <v>898591</v>
      </c>
      <c r="AO230" s="4" t="n">
        <v>1467369</v>
      </c>
      <c r="AP230" s="7" t="n">
        <v>0.151</v>
      </c>
      <c r="AQ230" s="9" t="n">
        <v>35</v>
      </c>
      <c r="AR230" s="9" t="n">
        <v>29</v>
      </c>
      <c r="AS230" s="7"/>
      <c r="AT230" s="3" t="s">
        <v>196</v>
      </c>
      <c r="AU230" s="6" t="n">
        <f aca="false">IFERROR(P230/AR230,"")</f>
        <v>26812</v>
      </c>
      <c r="AV230" s="4" t="n">
        <v>2299655</v>
      </c>
      <c r="AW230" s="4" t="n">
        <v>1076517</v>
      </c>
      <c r="AX230" s="4" t="n">
        <v>491380</v>
      </c>
      <c r="AY230" s="9" t="n">
        <v>33716</v>
      </c>
      <c r="AZ230" s="7"/>
      <c r="BA230" s="7" t="n">
        <v>0.813</v>
      </c>
      <c r="BB230" s="3" t="s">
        <v>119</v>
      </c>
      <c r="BC230" s="3" t="s">
        <v>120</v>
      </c>
      <c r="BD230" s="3" t="s">
        <v>157</v>
      </c>
      <c r="BE230" s="4" t="n">
        <v>1122716</v>
      </c>
      <c r="BF230" s="5" t="n">
        <f aca="false">IFERROR(P230/BE230-1,"")</f>
        <v>-0.307440171868932</v>
      </c>
      <c r="BG230" s="7" t="n">
        <v>0.309</v>
      </c>
      <c r="BH230" s="7" t="n">
        <v>0.366</v>
      </c>
      <c r="BI230" s="6" t="n">
        <f aca="false">P230</f>
        <v>777548</v>
      </c>
      <c r="BJ230" s="4" t="n">
        <v>-2073785</v>
      </c>
      <c r="BK230" s="3" t="s">
        <v>121</v>
      </c>
      <c r="BL230" s="3" t="s">
        <v>122</v>
      </c>
      <c r="BM230" s="6" t="n">
        <f aca="false">O230</f>
        <v>25086104</v>
      </c>
      <c r="BN230" s="3" t="s">
        <v>318</v>
      </c>
      <c r="BO230" s="5" t="n">
        <f aca="false">IFERROR(1-L230/M230,"")</f>
        <v>0.171880418949851</v>
      </c>
      <c r="BP230" s="3" t="s">
        <v>130</v>
      </c>
      <c r="BQ230" s="4" t="n">
        <v>2776824</v>
      </c>
      <c r="BR230" s="3" t="s">
        <v>88</v>
      </c>
      <c r="BS230" s="3" t="s">
        <v>89</v>
      </c>
      <c r="BT230" s="3" t="s">
        <v>90</v>
      </c>
    </row>
    <row r="231" customFormat="false" ht="15" hidden="false" customHeight="false" outlineLevel="0" collapsed="false">
      <c r="A231" s="11" t="s">
        <v>316</v>
      </c>
      <c r="B231" s="11" t="s">
        <v>91</v>
      </c>
      <c r="C231" s="11" t="s">
        <v>74</v>
      </c>
      <c r="D231" s="11" t="s">
        <v>165</v>
      </c>
      <c r="E231" s="11" t="s">
        <v>105</v>
      </c>
      <c r="F231" s="11" t="s">
        <v>317</v>
      </c>
      <c r="G231" s="11" t="s">
        <v>78</v>
      </c>
      <c r="H231" s="11" t="s">
        <v>79</v>
      </c>
      <c r="I231" s="11" t="s">
        <v>78</v>
      </c>
      <c r="J231" s="12" t="n">
        <v>4956000</v>
      </c>
      <c r="K231" s="13" t="n">
        <f aca="false">IFERROR(J231/M231,"")</f>
        <v>0.171880418949851</v>
      </c>
      <c r="L231" s="12" t="n">
        <v>23878000</v>
      </c>
      <c r="M231" s="14" t="n">
        <f aca="false">L231+J231</f>
        <v>28834000</v>
      </c>
      <c r="N231" s="12" t="n">
        <v>6717000</v>
      </c>
      <c r="O231" s="12" t="n">
        <v>25086104</v>
      </c>
      <c r="P231" s="12" t="n">
        <v>734152</v>
      </c>
      <c r="Q231" s="13" t="n">
        <f aca="false">IFERROR(P231/P230-1,"")</f>
        <v>-0.0558113454089008</v>
      </c>
      <c r="R231" s="12" t="n">
        <v>885122</v>
      </c>
      <c r="S231" s="13" t="n">
        <f aca="false">IFERROR(R231/R230-1,"")</f>
        <v>-0.0739919673336842</v>
      </c>
      <c r="T231" s="12" t="n">
        <v>371942</v>
      </c>
      <c r="U231" s="13" t="n">
        <f aca="false">IFERROR(T231/P231,"")</f>
        <v>0.506628055225621</v>
      </c>
      <c r="V231" s="14" t="n">
        <f aca="false">T231-AV231</f>
        <v>-1748051</v>
      </c>
      <c r="W231" s="14" t="n">
        <f aca="false">V231-AA231*0.1</f>
        <v>-1748051</v>
      </c>
      <c r="X231" s="12" t="n">
        <v>2111770</v>
      </c>
      <c r="Y231" s="12" t="n">
        <v>193600</v>
      </c>
      <c r="Z231" s="15" t="n">
        <f aca="false">IFERROR(X231/Y231,"")</f>
        <v>10.907902892562</v>
      </c>
      <c r="AA231" s="12" t="n">
        <v>0</v>
      </c>
      <c r="AB231" s="14" t="n">
        <f aca="false">W231-0.02*P231</f>
        <v>-1762734.04</v>
      </c>
      <c r="AC231" s="16" t="n">
        <v>41</v>
      </c>
      <c r="AD231" s="13" t="n">
        <f aca="false">IFERROR(AC231/AC230-1,"")</f>
        <v>-0.0238095238095238</v>
      </c>
      <c r="AE231" s="17" t="n">
        <v>0.233</v>
      </c>
      <c r="AF231" s="17" t="n">
        <v>0.2</v>
      </c>
      <c r="AG231" s="13" t="n">
        <f aca="false">1-AF231</f>
        <v>0.8</v>
      </c>
      <c r="AH231" s="17" t="n">
        <v>0.835</v>
      </c>
      <c r="AI231" s="12" t="n">
        <v>107856</v>
      </c>
      <c r="AJ231" s="14" t="n">
        <f aca="false">IFERROR(AM231*U231*MIN(1/AE231,5),"")</f>
        <v>126417.833179475</v>
      </c>
      <c r="AK231" s="18" t="n">
        <f aca="false">IFERROR(AJ231/AI231,"")</f>
        <v>1.17209829012271</v>
      </c>
      <c r="AL231" s="15" t="n">
        <f aca="false">IFERROR(AI231/(AM231*U231/12),"")</f>
        <v>43.9401254628185</v>
      </c>
      <c r="AM231" s="12" t="n">
        <v>58140</v>
      </c>
      <c r="AN231" s="12" t="n">
        <v>1292862</v>
      </c>
      <c r="AO231" s="12" t="n">
        <v>3441408</v>
      </c>
      <c r="AP231" s="17" t="n">
        <v>0.151</v>
      </c>
      <c r="AQ231" s="16" t="n">
        <v>35</v>
      </c>
      <c r="AR231" s="16" t="n">
        <v>27</v>
      </c>
      <c r="AS231" s="13" t="n">
        <f aca="false">IFERROR(AR231/AR230-1,"")</f>
        <v>-0.0689655172413793</v>
      </c>
      <c r="AT231" s="11" t="s">
        <v>196</v>
      </c>
      <c r="AU231" s="14" t="n">
        <f aca="false">IFERROR(P231/AR231,"")</f>
        <v>27190.8148148148</v>
      </c>
      <c r="AV231" s="12" t="n">
        <v>2119993</v>
      </c>
      <c r="AW231" s="12" t="n">
        <v>776336</v>
      </c>
      <c r="AX231" s="12" t="n">
        <v>523273</v>
      </c>
      <c r="AY231" s="16" t="n">
        <v>31904</v>
      </c>
      <c r="AZ231" s="13" t="n">
        <f aca="false">IFERROR(AY231/AY230-1,"")</f>
        <v>-0.0537430300154229</v>
      </c>
      <c r="BA231" s="17" t="n">
        <v>0.745</v>
      </c>
      <c r="BB231" s="11" t="s">
        <v>119</v>
      </c>
      <c r="BC231" s="11" t="s">
        <v>120</v>
      </c>
      <c r="BD231" s="11" t="s">
        <v>157</v>
      </c>
      <c r="BE231" s="12" t="n">
        <v>1175517</v>
      </c>
      <c r="BF231" s="13" t="n">
        <f aca="false">IFERROR(P231/BE231-1,"")</f>
        <v>-0.375464582817603</v>
      </c>
      <c r="BG231" s="17" t="n">
        <v>0.218</v>
      </c>
      <c r="BH231" s="17" t="n">
        <v>0.304</v>
      </c>
      <c r="BI231" s="14" t="n">
        <f aca="false">P231*(1+IFERROR(Q231,0))^4</f>
        <v>583473.447016098</v>
      </c>
      <c r="BJ231" s="12" t="n">
        <v>-1862026</v>
      </c>
      <c r="BK231" s="11" t="s">
        <v>121</v>
      </c>
      <c r="BL231" s="11" t="s">
        <v>122</v>
      </c>
      <c r="BM231" s="14" t="n">
        <f aca="false">O231</f>
        <v>25086104</v>
      </c>
      <c r="BN231" s="11" t="s">
        <v>318</v>
      </c>
      <c r="BO231" s="13" t="n">
        <f aca="false">IFERROR(1-L231/M231,"")</f>
        <v>0.171880418949851</v>
      </c>
      <c r="BP231" s="11" t="s">
        <v>130</v>
      </c>
      <c r="BQ231" s="12" t="n">
        <v>3141971</v>
      </c>
      <c r="BR231" s="11" t="s">
        <v>88</v>
      </c>
      <c r="BS231" s="11" t="s">
        <v>89</v>
      </c>
      <c r="BT231" s="19" t="str">
        <f aca="false">IF(OR(Z231&lt;6,AH231&lt;0.9,S231&lt;0.02,AK231&lt;1),"REVIEW",IF(AND(S231&gt;0.25,AH231&gt;1.2),"ACCELERATING","STABLE"))</f>
        <v>REVIEW</v>
      </c>
    </row>
    <row r="232" customFormat="false" ht="15" hidden="false" customHeight="false" outlineLevel="0" collapsed="false">
      <c r="A232" s="11" t="s">
        <v>316</v>
      </c>
      <c r="B232" s="11" t="s">
        <v>92</v>
      </c>
      <c r="C232" s="11" t="s">
        <v>74</v>
      </c>
      <c r="D232" s="11" t="s">
        <v>165</v>
      </c>
      <c r="E232" s="11" t="s">
        <v>105</v>
      </c>
      <c r="F232" s="11" t="s">
        <v>317</v>
      </c>
      <c r="G232" s="11" t="s">
        <v>78</v>
      </c>
      <c r="H232" s="11" t="s">
        <v>79</v>
      </c>
      <c r="I232" s="11" t="s">
        <v>78</v>
      </c>
      <c r="J232" s="12" t="n">
        <v>4956000</v>
      </c>
      <c r="K232" s="13" t="n">
        <f aca="false">IFERROR(J232/M232,"")</f>
        <v>0.171880418949851</v>
      </c>
      <c r="L232" s="12" t="n">
        <v>23878000</v>
      </c>
      <c r="M232" s="14" t="n">
        <f aca="false">L232+J232</f>
        <v>28834000</v>
      </c>
      <c r="N232" s="12" t="n">
        <v>6717000</v>
      </c>
      <c r="O232" s="12" t="n">
        <v>25086104</v>
      </c>
      <c r="P232" s="12" t="n">
        <v>683401</v>
      </c>
      <c r="Q232" s="13" t="n">
        <f aca="false">IFERROR(P232/P231-1,"")</f>
        <v>-0.0691287362834945</v>
      </c>
      <c r="R232" s="12" t="n">
        <v>849730</v>
      </c>
      <c r="S232" s="13" t="n">
        <f aca="false">IFERROR(R232/R231-1,"")</f>
        <v>-0.039985448333676</v>
      </c>
      <c r="T232" s="12" t="n">
        <v>339572</v>
      </c>
      <c r="U232" s="13" t="n">
        <f aca="false">IFERROR(T232/P232,"")</f>
        <v>0.496885430369578</v>
      </c>
      <c r="V232" s="14" t="n">
        <f aca="false">T232-AV232</f>
        <v>-2537406</v>
      </c>
      <c r="W232" s="14" t="n">
        <f aca="false">V232-AA232*0.1</f>
        <v>-2537406</v>
      </c>
      <c r="X232" s="12" t="n">
        <v>1516450</v>
      </c>
      <c r="Y232" s="12" t="n">
        <v>206800</v>
      </c>
      <c r="Z232" s="15" t="n">
        <f aca="false">IFERROR(X232/Y232,"")</f>
        <v>7.33293036750484</v>
      </c>
      <c r="AA232" s="12" t="n">
        <v>0</v>
      </c>
      <c r="AB232" s="14" t="n">
        <f aca="false">W232-0.02*P232</f>
        <v>-2551074.02</v>
      </c>
      <c r="AC232" s="16" t="n">
        <v>39</v>
      </c>
      <c r="AD232" s="13" t="n">
        <f aca="false">IFERROR(AC232/AC231-1,"")</f>
        <v>-0.0487804878048781</v>
      </c>
      <c r="AE232" s="17" t="n">
        <v>0.269</v>
      </c>
      <c r="AF232" s="17" t="n">
        <v>0.264</v>
      </c>
      <c r="AG232" s="13" t="n">
        <f aca="false">1-AF232</f>
        <v>0.736</v>
      </c>
      <c r="AH232" s="17" t="n">
        <v>0.795</v>
      </c>
      <c r="AI232" s="12" t="n">
        <v>118128</v>
      </c>
      <c r="AJ232" s="14" t="n">
        <f aca="false">IFERROR(AM232*U232*MIN(1/AE232,5),"")</f>
        <v>109499.510454679</v>
      </c>
      <c r="AK232" s="18" t="n">
        <f aca="false">IFERROR(AJ232/AI232,"")</f>
        <v>0.92695644093423</v>
      </c>
      <c r="AL232" s="15" t="n">
        <f aca="false">IFERROR(AI232/(AM232*U232/12),"")</f>
        <v>48.1248777801787</v>
      </c>
      <c r="AM232" s="12" t="n">
        <v>59280</v>
      </c>
      <c r="AN232" s="12" t="n">
        <v>1257896</v>
      </c>
      <c r="AO232" s="12" t="n">
        <v>2081809</v>
      </c>
      <c r="AP232" s="17" t="n">
        <v>0.151</v>
      </c>
      <c r="AQ232" s="16" t="n">
        <v>35</v>
      </c>
      <c r="AR232" s="16" t="n">
        <v>25</v>
      </c>
      <c r="AS232" s="13" t="n">
        <f aca="false">IFERROR(AR232/AR231-1,"")</f>
        <v>-0.0740740740740741</v>
      </c>
      <c r="AT232" s="11" t="s">
        <v>196</v>
      </c>
      <c r="AU232" s="14" t="n">
        <f aca="false">IFERROR(P232/AR232,"")</f>
        <v>27336.04</v>
      </c>
      <c r="AV232" s="12" t="n">
        <v>2876978</v>
      </c>
      <c r="AW232" s="12" t="n">
        <v>1299904</v>
      </c>
      <c r="AX232" s="12" t="n">
        <v>589564</v>
      </c>
      <c r="AY232" s="16" t="n">
        <v>31233</v>
      </c>
      <c r="AZ232" s="13" t="n">
        <f aca="false">IFERROR(AY232/AY231-1,"")</f>
        <v>-0.0210318455366099</v>
      </c>
      <c r="BA232" s="17" t="n">
        <v>0.782</v>
      </c>
      <c r="BB232" s="11" t="s">
        <v>119</v>
      </c>
      <c r="BC232" s="11" t="s">
        <v>120</v>
      </c>
      <c r="BD232" s="11" t="s">
        <v>157</v>
      </c>
      <c r="BE232" s="12" t="n">
        <v>894889</v>
      </c>
      <c r="BF232" s="13" t="n">
        <f aca="false">IFERROR(P232/BE232-1,"")</f>
        <v>-0.236328751387044</v>
      </c>
      <c r="BG232" s="17" t="n">
        <v>0.2</v>
      </c>
      <c r="BH232" s="17" t="n">
        <v>0.209</v>
      </c>
      <c r="BI232" s="14" t="n">
        <f aca="false">P232*(1+IFERROR(Q232,0))^4</f>
        <v>513137.914480551</v>
      </c>
      <c r="BJ232" s="12" t="n">
        <v>-2214738</v>
      </c>
      <c r="BK232" s="11" t="s">
        <v>121</v>
      </c>
      <c r="BL232" s="11" t="s">
        <v>122</v>
      </c>
      <c r="BM232" s="14" t="n">
        <f aca="false">O232</f>
        <v>25086104</v>
      </c>
      <c r="BN232" s="11" t="s">
        <v>318</v>
      </c>
      <c r="BO232" s="13" t="n">
        <f aca="false">IFERROR(1-L232/M232,"")</f>
        <v>0.171880418949851</v>
      </c>
      <c r="BP232" s="11" t="s">
        <v>130</v>
      </c>
      <c r="BQ232" s="12" t="n">
        <v>2526289</v>
      </c>
      <c r="BR232" s="11" t="s">
        <v>88</v>
      </c>
      <c r="BS232" s="11" t="s">
        <v>89</v>
      </c>
      <c r="BT232" s="19" t="str">
        <f aca="false">IF(OR(Z232&lt;6,AH232&lt;0.9,S232&lt;0.02,AK232&lt;1),"REVIEW",IF(AND(S232&gt;0.25,AH232&gt;1.2),"ACCELERATING","STABLE"))</f>
        <v>REVIEW</v>
      </c>
    </row>
    <row r="233" customFormat="false" ht="15" hidden="false" customHeight="false" outlineLevel="0" collapsed="false">
      <c r="A233" s="11" t="s">
        <v>316</v>
      </c>
      <c r="B233" s="11" t="s">
        <v>93</v>
      </c>
      <c r="C233" s="11" t="s">
        <v>74</v>
      </c>
      <c r="D233" s="11" t="s">
        <v>165</v>
      </c>
      <c r="E233" s="11" t="s">
        <v>105</v>
      </c>
      <c r="F233" s="11" t="s">
        <v>317</v>
      </c>
      <c r="G233" s="11" t="s">
        <v>78</v>
      </c>
      <c r="H233" s="11" t="s">
        <v>79</v>
      </c>
      <c r="I233" s="11" t="s">
        <v>78</v>
      </c>
      <c r="J233" s="12" t="n">
        <v>4956000</v>
      </c>
      <c r="K233" s="13" t="n">
        <f aca="false">IFERROR(J233/M233,"")</f>
        <v>0.171880418949851</v>
      </c>
      <c r="L233" s="12" t="n">
        <v>23878000</v>
      </c>
      <c r="M233" s="14" t="n">
        <f aca="false">L233+J233</f>
        <v>28834000</v>
      </c>
      <c r="N233" s="12" t="n">
        <v>6717000</v>
      </c>
      <c r="O233" s="12" t="n">
        <v>25086104</v>
      </c>
      <c r="P233" s="12" t="n">
        <v>649833</v>
      </c>
      <c r="Q233" s="13" t="n">
        <f aca="false">IFERROR(P233/P232-1,"")</f>
        <v>-0.0491190384561919</v>
      </c>
      <c r="R233" s="12" t="n">
        <v>786445</v>
      </c>
      <c r="S233" s="13" t="n">
        <f aca="false">IFERROR(R233/R232-1,"")</f>
        <v>-0.0744765984489191</v>
      </c>
      <c r="T233" s="12" t="n">
        <v>316561</v>
      </c>
      <c r="U233" s="13" t="n">
        <f aca="false">IFERROR(T233/P233,"")</f>
        <v>0.487142081119303</v>
      </c>
      <c r="V233" s="14" t="n">
        <f aca="false">T233-AV233</f>
        <v>-2779151</v>
      </c>
      <c r="W233" s="14" t="n">
        <f aca="false">V233-AA233*0.1</f>
        <v>-2779151</v>
      </c>
      <c r="X233" s="12" t="n">
        <v>834010</v>
      </c>
      <c r="Y233" s="12" t="n">
        <v>220000</v>
      </c>
      <c r="Z233" s="15" t="n">
        <f aca="false">IFERROR(X233/Y233,"")</f>
        <v>3.79095454545455</v>
      </c>
      <c r="AA233" s="12" t="n">
        <v>0</v>
      </c>
      <c r="AB233" s="14" t="n">
        <f aca="false">W233-0.02*P233</f>
        <v>-2792147.66</v>
      </c>
      <c r="AC233" s="16" t="n">
        <v>37</v>
      </c>
      <c r="AD233" s="13" t="n">
        <f aca="false">IFERROR(AC233/AC232-1,"")</f>
        <v>-0.0512820512820513</v>
      </c>
      <c r="AE233" s="17" t="n">
        <v>0.306</v>
      </c>
      <c r="AF233" s="17" t="n">
        <v>0.305</v>
      </c>
      <c r="AG233" s="13" t="n">
        <f aca="false">1-AF233</f>
        <v>0.695</v>
      </c>
      <c r="AH233" s="17" t="n">
        <v>0.755</v>
      </c>
      <c r="AI233" s="12" t="n">
        <v>128400</v>
      </c>
      <c r="AJ233" s="14" t="n">
        <f aca="false">IFERROR(AM233*U233*MIN(1/AE233,5),"")</f>
        <v>96186.681507282</v>
      </c>
      <c r="AK233" s="18" t="n">
        <f aca="false">IFERROR(AJ233/AI233,"")</f>
        <v>0.749117457221822</v>
      </c>
      <c r="AL233" s="15" t="n">
        <f aca="false">IFERROR(AI233/(AM233*U233/12),"")</f>
        <v>52.3491822229656</v>
      </c>
      <c r="AM233" s="12" t="n">
        <v>60420</v>
      </c>
      <c r="AN233" s="12" t="n">
        <v>893674</v>
      </c>
      <c r="AO233" s="12" t="n">
        <v>1346526</v>
      </c>
      <c r="AP233" s="17" t="n">
        <v>0.151</v>
      </c>
      <c r="AQ233" s="16" t="n">
        <v>35</v>
      </c>
      <c r="AR233" s="16" t="n">
        <v>23</v>
      </c>
      <c r="AS233" s="13" t="n">
        <f aca="false">IFERROR(AR233/AR232-1,"")</f>
        <v>-0.08</v>
      </c>
      <c r="AT233" s="11" t="s">
        <v>196</v>
      </c>
      <c r="AU233" s="14" t="n">
        <f aca="false">IFERROR(P233/AR233,"")</f>
        <v>28253.6086956522</v>
      </c>
      <c r="AV233" s="12" t="n">
        <v>3095712</v>
      </c>
      <c r="AW233" s="12" t="n">
        <v>1230164</v>
      </c>
      <c r="AX233" s="12" t="n">
        <v>778788</v>
      </c>
      <c r="AY233" s="16" t="n">
        <v>29691</v>
      </c>
      <c r="AZ233" s="13" t="n">
        <f aca="false">IFERROR(AY233/AY232-1,"")</f>
        <v>-0.0493708577466142</v>
      </c>
      <c r="BA233" s="17" t="n">
        <v>0.678</v>
      </c>
      <c r="BB233" s="11" t="s">
        <v>119</v>
      </c>
      <c r="BC233" s="11" t="s">
        <v>120</v>
      </c>
      <c r="BD233" s="11" t="s">
        <v>157</v>
      </c>
      <c r="BE233" s="12" t="n">
        <v>880252</v>
      </c>
      <c r="BF233" s="13" t="n">
        <f aca="false">IFERROR(P233/BE233-1,"")</f>
        <v>-0.261764812803606</v>
      </c>
      <c r="BG233" s="17" t="n">
        <v>0.157</v>
      </c>
      <c r="BH233" s="17" t="n">
        <v>0.153</v>
      </c>
      <c r="BI233" s="14" t="n">
        <f aca="false">P233*(1+IFERROR(Q233,0))^4</f>
        <v>531259.085496726</v>
      </c>
      <c r="BJ233" s="12" t="n">
        <v>-1798936</v>
      </c>
      <c r="BK233" s="11" t="s">
        <v>121</v>
      </c>
      <c r="BL233" s="11" t="s">
        <v>122</v>
      </c>
      <c r="BM233" s="14" t="n">
        <f aca="false">O233</f>
        <v>25086104</v>
      </c>
      <c r="BN233" s="11" t="s">
        <v>318</v>
      </c>
      <c r="BO233" s="13" t="n">
        <f aca="false">IFERROR(1-L233/M233,"")</f>
        <v>0.171880418949851</v>
      </c>
      <c r="BP233" s="11" t="s">
        <v>130</v>
      </c>
      <c r="BQ233" s="12" t="n">
        <v>2845778</v>
      </c>
      <c r="BR233" s="11" t="s">
        <v>88</v>
      </c>
      <c r="BS233" s="11" t="s">
        <v>89</v>
      </c>
      <c r="BT233" s="19" t="str">
        <f aca="false">IF(OR(Z233&lt;6,AH233&lt;0.9,S233&lt;0.02,AK233&lt;1),"REVIEW",IF(AND(S233&gt;0.25,AH233&gt;1.2),"ACCELERATING","STABLE"))</f>
        <v>REVIEW</v>
      </c>
    </row>
    <row r="234" customFormat="false" ht="15" hidden="false" customHeight="false" outlineLevel="0" collapsed="false">
      <c r="A234" s="3" t="s">
        <v>319</v>
      </c>
      <c r="B234" s="3" t="s">
        <v>73</v>
      </c>
      <c r="C234" s="3" t="s">
        <v>74</v>
      </c>
      <c r="D234" s="3" t="s">
        <v>165</v>
      </c>
      <c r="E234" s="3" t="s">
        <v>105</v>
      </c>
      <c r="F234" s="3" t="s">
        <v>320</v>
      </c>
      <c r="G234" s="3" t="s">
        <v>78</v>
      </c>
      <c r="H234" s="3" t="s">
        <v>79</v>
      </c>
      <c r="I234" s="3" t="s">
        <v>78</v>
      </c>
      <c r="J234" s="4" t="n">
        <v>2482000</v>
      </c>
      <c r="K234" s="5" t="n">
        <f aca="false">IFERROR(J234/M234,"")</f>
        <v>0.157257809035038</v>
      </c>
      <c r="L234" s="4" t="n">
        <v>13301000</v>
      </c>
      <c r="M234" s="6" t="n">
        <f aca="false">L234+J234</f>
        <v>15783000</v>
      </c>
      <c r="N234" s="4" t="n">
        <v>7737000</v>
      </c>
      <c r="O234" s="4" t="n">
        <v>26520570</v>
      </c>
      <c r="P234" s="4" t="n">
        <v>469790</v>
      </c>
      <c r="Q234" s="7"/>
      <c r="R234" s="4" t="n">
        <v>529669</v>
      </c>
      <c r="S234" s="7"/>
      <c r="T234" s="4" t="n">
        <v>255420</v>
      </c>
      <c r="U234" s="5" t="n">
        <f aca="false">IFERROR(T234/P234,"")</f>
        <v>0.543689733710807</v>
      </c>
      <c r="V234" s="6" t="n">
        <f aca="false">T234-AV234</f>
        <v>-921739</v>
      </c>
      <c r="W234" s="6" t="n">
        <f aca="false">V234-AA234*0.1</f>
        <v>-931939</v>
      </c>
      <c r="X234" s="4" t="n">
        <v>2697906</v>
      </c>
      <c r="Y234" s="4" t="n">
        <v>78260</v>
      </c>
      <c r="Z234" s="8" t="n">
        <f aca="false">IFERROR(X234/Y234,"")</f>
        <v>34.4736263736264</v>
      </c>
      <c r="AA234" s="4" t="n">
        <v>102000</v>
      </c>
      <c r="AB234" s="6" t="n">
        <f aca="false">W234-0.02*P234</f>
        <v>-941334.8</v>
      </c>
      <c r="AC234" s="9" t="n">
        <v>21</v>
      </c>
      <c r="AD234" s="7"/>
      <c r="AE234" s="7" t="n">
        <v>0.049</v>
      </c>
      <c r="AF234" s="7" t="n">
        <v>0.045</v>
      </c>
      <c r="AG234" s="5" t="n">
        <f aca="false">1-AF234</f>
        <v>0.955</v>
      </c>
      <c r="AH234" s="7" t="n">
        <v>1.15</v>
      </c>
      <c r="AI234" s="4" t="n">
        <v>18656</v>
      </c>
      <c r="AJ234" s="6" t="n">
        <f aca="false">IFERROR(AM234*U234*MIN(1/AE234,5),"")</f>
        <v>43495.1786968646</v>
      </c>
      <c r="AK234" s="10" t="n">
        <f aca="false">IFERROR(AJ234/AI234,"")</f>
        <v>2.33143110510638</v>
      </c>
      <c r="AL234" s="8" t="n">
        <f aca="false">IFERROR(AI234/(AM234*U234/12),"")</f>
        <v>25.7352661498708</v>
      </c>
      <c r="AM234" s="4" t="n">
        <v>16000</v>
      </c>
      <c r="AN234" s="4" t="n">
        <v>752261</v>
      </c>
      <c r="AO234" s="4" t="n">
        <v>1946981</v>
      </c>
      <c r="AP234" s="7" t="n">
        <v>0.285</v>
      </c>
      <c r="AQ234" s="9" t="n">
        <v>42</v>
      </c>
      <c r="AR234" s="9" t="n">
        <v>2</v>
      </c>
      <c r="AS234" s="7"/>
      <c r="AT234" s="3" t="s">
        <v>134</v>
      </c>
      <c r="AU234" s="6" t="n">
        <f aca="false">IFERROR(P234/AR234,"")</f>
        <v>234895</v>
      </c>
      <c r="AV234" s="4" t="n">
        <v>1177159</v>
      </c>
      <c r="AW234" s="4" t="n">
        <v>544253</v>
      </c>
      <c r="AX234" s="4" t="n">
        <v>385688</v>
      </c>
      <c r="AY234" s="9" t="n">
        <v>11755</v>
      </c>
      <c r="AZ234" s="7"/>
      <c r="BA234" s="7" t="n">
        <v>0.961</v>
      </c>
      <c r="BB234" s="3" t="s">
        <v>107</v>
      </c>
      <c r="BC234" s="3" t="s">
        <v>82</v>
      </c>
      <c r="BD234" s="3" t="s">
        <v>83</v>
      </c>
      <c r="BE234" s="4" t="n">
        <v>485907</v>
      </c>
      <c r="BF234" s="5" t="n">
        <f aca="false">IFERROR(P234/BE234-1,"")</f>
        <v>-0.0331688985752417</v>
      </c>
      <c r="BG234" s="7" t="n">
        <v>0.037</v>
      </c>
      <c r="BH234" s="7" t="n">
        <v>-0.066</v>
      </c>
      <c r="BI234" s="6" t="n">
        <f aca="false">P234</f>
        <v>469790</v>
      </c>
      <c r="BJ234" s="4" t="n">
        <v>-820834</v>
      </c>
      <c r="BK234" s="3" t="s">
        <v>110</v>
      </c>
      <c r="BL234" s="3" t="s">
        <v>162</v>
      </c>
      <c r="BM234" s="6" t="n">
        <f aca="false">O234</f>
        <v>26520570</v>
      </c>
      <c r="BN234" s="3" t="s">
        <v>321</v>
      </c>
      <c r="BO234" s="5" t="n">
        <f aca="false">IFERROR(1-L234/M234,"")</f>
        <v>0.157257809035038</v>
      </c>
      <c r="BP234" s="3" t="s">
        <v>142</v>
      </c>
      <c r="BQ234" s="4" t="n">
        <v>1166524</v>
      </c>
      <c r="BR234" s="3" t="s">
        <v>88</v>
      </c>
      <c r="BS234" s="3" t="s">
        <v>89</v>
      </c>
      <c r="BT234" s="3" t="s">
        <v>90</v>
      </c>
    </row>
    <row r="235" customFormat="false" ht="15" hidden="false" customHeight="false" outlineLevel="0" collapsed="false">
      <c r="A235" s="11" t="s">
        <v>319</v>
      </c>
      <c r="B235" s="11" t="s">
        <v>91</v>
      </c>
      <c r="C235" s="11" t="s">
        <v>74</v>
      </c>
      <c r="D235" s="11" t="s">
        <v>165</v>
      </c>
      <c r="E235" s="11" t="s">
        <v>105</v>
      </c>
      <c r="F235" s="11" t="s">
        <v>320</v>
      </c>
      <c r="G235" s="11" t="s">
        <v>78</v>
      </c>
      <c r="H235" s="11" t="s">
        <v>79</v>
      </c>
      <c r="I235" s="11" t="s">
        <v>78</v>
      </c>
      <c r="J235" s="12" t="n">
        <v>2482000</v>
      </c>
      <c r="K235" s="13" t="n">
        <f aca="false">IFERROR(J235/M235,"")</f>
        <v>0.157257809035038</v>
      </c>
      <c r="L235" s="12" t="n">
        <v>13301000</v>
      </c>
      <c r="M235" s="14" t="n">
        <f aca="false">L235+J235</f>
        <v>15783000</v>
      </c>
      <c r="N235" s="12" t="n">
        <v>7737000</v>
      </c>
      <c r="O235" s="12" t="n">
        <v>26520570</v>
      </c>
      <c r="P235" s="12" t="n">
        <v>596579</v>
      </c>
      <c r="Q235" s="13" t="n">
        <f aca="false">IFERROR(P235/P234-1,"")</f>
        <v>0.269884416441389</v>
      </c>
      <c r="R235" s="12" t="n">
        <v>640817</v>
      </c>
      <c r="S235" s="13" t="n">
        <f aca="false">IFERROR(R235/R234-1,"")</f>
        <v>0.209844261227295</v>
      </c>
      <c r="T235" s="12" t="n">
        <v>325667</v>
      </c>
      <c r="U235" s="13" t="n">
        <f aca="false">IFERROR(T235/P235,"")</f>
        <v>0.5458908208301</v>
      </c>
      <c r="V235" s="14" t="n">
        <f aca="false">T235-AV235</f>
        <v>-753019</v>
      </c>
      <c r="W235" s="14" t="n">
        <f aca="false">V235-AA235*0.1</f>
        <v>-763219</v>
      </c>
      <c r="X235" s="12" t="n">
        <v>2500536</v>
      </c>
      <c r="Y235" s="12" t="n">
        <v>80840</v>
      </c>
      <c r="Z235" s="15" t="n">
        <f aca="false">IFERROR(X235/Y235,"")</f>
        <v>30.931914893617</v>
      </c>
      <c r="AA235" s="12" t="n">
        <v>102000</v>
      </c>
      <c r="AB235" s="14" t="n">
        <f aca="false">W235-0.02*P235</f>
        <v>-775150.58</v>
      </c>
      <c r="AC235" s="16" t="n">
        <v>26</v>
      </c>
      <c r="AD235" s="13" t="n">
        <f aca="false">IFERROR(AC235/AC234-1,"")</f>
        <v>0.238095238095238</v>
      </c>
      <c r="AE235" s="17" t="n">
        <v>0.048</v>
      </c>
      <c r="AF235" s="17" t="n">
        <v>0.03</v>
      </c>
      <c r="AG235" s="13" t="n">
        <f aca="false">1-AF235</f>
        <v>0.97</v>
      </c>
      <c r="AH235" s="17" t="n">
        <v>1.145</v>
      </c>
      <c r="AI235" s="12" t="n">
        <v>18304</v>
      </c>
      <c r="AJ235" s="14" t="n">
        <f aca="false">IFERROR(AM235*U235*MIN(1/AE235,5),"")</f>
        <v>44544.6909797361</v>
      </c>
      <c r="AK235" s="18" t="n">
        <f aca="false">IFERROR(AJ235/AI235,"")</f>
        <v>2.43360418377055</v>
      </c>
      <c r="AL235" s="15" t="n">
        <f aca="false">IFERROR(AI235/(AM235*U235/12),"")</f>
        <v>24.6547899613806</v>
      </c>
      <c r="AM235" s="12" t="n">
        <v>16320</v>
      </c>
      <c r="AN235" s="12" t="n">
        <v>675134</v>
      </c>
      <c r="AO235" s="12" t="n">
        <v>1254077</v>
      </c>
      <c r="AP235" s="17" t="n">
        <v>0.285</v>
      </c>
      <c r="AQ235" s="16" t="n">
        <v>42</v>
      </c>
      <c r="AR235" s="16" t="n">
        <v>2</v>
      </c>
      <c r="AS235" s="13" t="n">
        <f aca="false">IFERROR(AR235/AR234-1,"")</f>
        <v>0</v>
      </c>
      <c r="AT235" s="11" t="s">
        <v>134</v>
      </c>
      <c r="AU235" s="14" t="n">
        <f aca="false">IFERROR(P235/AR235,"")</f>
        <v>298289.5</v>
      </c>
      <c r="AV235" s="12" t="n">
        <v>1078686</v>
      </c>
      <c r="AW235" s="12" t="n">
        <v>538409</v>
      </c>
      <c r="AX235" s="12" t="n">
        <v>343258</v>
      </c>
      <c r="AY235" s="16" t="n">
        <v>14049</v>
      </c>
      <c r="AZ235" s="13" t="n">
        <f aca="false">IFERROR(AY235/AY234-1,"")</f>
        <v>0.195150999574649</v>
      </c>
      <c r="BA235" s="17" t="n">
        <v>0.952</v>
      </c>
      <c r="BB235" s="11" t="s">
        <v>107</v>
      </c>
      <c r="BC235" s="11" t="s">
        <v>82</v>
      </c>
      <c r="BD235" s="11" t="s">
        <v>83</v>
      </c>
      <c r="BE235" s="12" t="n">
        <v>609540</v>
      </c>
      <c r="BF235" s="13" t="n">
        <f aca="false">IFERROR(P235/BE235-1,"")</f>
        <v>-0.0212635758112675</v>
      </c>
      <c r="BG235" s="17" t="n">
        <v>0.025</v>
      </c>
      <c r="BH235" s="17" t="n">
        <v>0.006</v>
      </c>
      <c r="BI235" s="14" t="n">
        <f aca="false">P235*(1+IFERROR(Q235,0))^4</f>
        <v>1551403.39221979</v>
      </c>
      <c r="BJ235" s="12" t="n">
        <v>-821497</v>
      </c>
      <c r="BK235" s="11" t="s">
        <v>110</v>
      </c>
      <c r="BL235" s="11" t="s">
        <v>162</v>
      </c>
      <c r="BM235" s="14" t="n">
        <f aca="false">O235</f>
        <v>26520570</v>
      </c>
      <c r="BN235" s="11" t="s">
        <v>321</v>
      </c>
      <c r="BO235" s="13" t="n">
        <f aca="false">IFERROR(1-L235/M235,"")</f>
        <v>0.157257809035038</v>
      </c>
      <c r="BP235" s="11" t="s">
        <v>142</v>
      </c>
      <c r="BQ235" s="12" t="n">
        <v>1467631</v>
      </c>
      <c r="BR235" s="11" t="s">
        <v>88</v>
      </c>
      <c r="BS235" s="11" t="s">
        <v>89</v>
      </c>
      <c r="BT235" s="19" t="str">
        <f aca="false">IF(OR(Z235&lt;6,AH235&lt;0.9,S235&lt;0.02,AK235&lt;1),"REVIEW",IF(AND(S235&gt;0.25,AH235&gt;1.2),"ACCELERATING","STABLE"))</f>
        <v>STABLE</v>
      </c>
    </row>
    <row r="236" customFormat="false" ht="15" hidden="false" customHeight="false" outlineLevel="0" collapsed="false">
      <c r="A236" s="11" t="s">
        <v>319</v>
      </c>
      <c r="B236" s="11" t="s">
        <v>92</v>
      </c>
      <c r="C236" s="11" t="s">
        <v>74</v>
      </c>
      <c r="D236" s="11" t="s">
        <v>165</v>
      </c>
      <c r="E236" s="11" t="s">
        <v>105</v>
      </c>
      <c r="F236" s="11" t="s">
        <v>320</v>
      </c>
      <c r="G236" s="11" t="s">
        <v>78</v>
      </c>
      <c r="H236" s="11" t="s">
        <v>79</v>
      </c>
      <c r="I236" s="11" t="s">
        <v>78</v>
      </c>
      <c r="J236" s="12" t="n">
        <v>2482000</v>
      </c>
      <c r="K236" s="13" t="n">
        <f aca="false">IFERROR(J236/M236,"")</f>
        <v>0.157257809035038</v>
      </c>
      <c r="L236" s="12" t="n">
        <v>13301000</v>
      </c>
      <c r="M236" s="14" t="n">
        <f aca="false">L236+J236</f>
        <v>15783000</v>
      </c>
      <c r="N236" s="12" t="n">
        <v>7737000</v>
      </c>
      <c r="O236" s="12" t="n">
        <v>26520570</v>
      </c>
      <c r="P236" s="12" t="n">
        <v>734806</v>
      </c>
      <c r="Q236" s="13" t="n">
        <f aca="false">IFERROR(P236/P235-1,"")</f>
        <v>0.231699406113859</v>
      </c>
      <c r="R236" s="12" t="n">
        <v>775901</v>
      </c>
      <c r="S236" s="13" t="n">
        <f aca="false">IFERROR(R236/R235-1,"")</f>
        <v>0.21079965107043</v>
      </c>
      <c r="T236" s="12" t="n">
        <v>402741</v>
      </c>
      <c r="U236" s="13" t="n">
        <f aca="false">IFERROR(T236/P236,"")</f>
        <v>0.54809160513115</v>
      </c>
      <c r="V236" s="14" t="n">
        <f aca="false">T236-AV236</f>
        <v>-1029339</v>
      </c>
      <c r="W236" s="14" t="n">
        <f aca="false">V236-AA236*0.1</f>
        <v>-1039539</v>
      </c>
      <c r="X236" s="12" t="n">
        <v>2289234</v>
      </c>
      <c r="Y236" s="12" t="n">
        <v>83420</v>
      </c>
      <c r="Z236" s="15" t="n">
        <f aca="false">IFERROR(X236/Y236,"")</f>
        <v>27.4422680412371</v>
      </c>
      <c r="AA236" s="12" t="n">
        <v>102000</v>
      </c>
      <c r="AB236" s="14" t="n">
        <f aca="false">W236-0.02*P236</f>
        <v>-1054235.12</v>
      </c>
      <c r="AC236" s="16" t="n">
        <v>29</v>
      </c>
      <c r="AD236" s="13" t="n">
        <f aca="false">IFERROR(AC236/AC235-1,"")</f>
        <v>0.115384615384615</v>
      </c>
      <c r="AE236" s="17" t="n">
        <v>0.046</v>
      </c>
      <c r="AF236" s="17" t="n">
        <v>0.046</v>
      </c>
      <c r="AG236" s="13" t="n">
        <f aca="false">1-AF236</f>
        <v>0.954</v>
      </c>
      <c r="AH236" s="17" t="n">
        <v>1.14</v>
      </c>
      <c r="AI236" s="12" t="n">
        <v>17952</v>
      </c>
      <c r="AJ236" s="14" t="n">
        <f aca="false">IFERROR(AM236*U236*MIN(1/AE236,5),"")</f>
        <v>45601.2215469117</v>
      </c>
      <c r="AK236" s="18" t="n">
        <f aca="false">IFERROR(AJ236/AI236,"")</f>
        <v>2.54017499704276</v>
      </c>
      <c r="AL236" s="15" t="n">
        <f aca="false">IFERROR(AI236/(AM236*U236/12),"")</f>
        <v>23.6204198804614</v>
      </c>
      <c r="AM236" s="12" t="n">
        <v>16640</v>
      </c>
      <c r="AN236" s="12" t="n">
        <v>909514</v>
      </c>
      <c r="AO236" s="12" t="n">
        <v>2646651</v>
      </c>
      <c r="AP236" s="17" t="n">
        <v>0.285</v>
      </c>
      <c r="AQ236" s="16" t="n">
        <v>42</v>
      </c>
      <c r="AR236" s="16" t="n">
        <v>2</v>
      </c>
      <c r="AS236" s="13" t="n">
        <f aca="false">IFERROR(AR236/AR235-1,"")</f>
        <v>0</v>
      </c>
      <c r="AT236" s="11" t="s">
        <v>134</v>
      </c>
      <c r="AU236" s="14" t="n">
        <f aca="false">IFERROR(P236/AR236,"")</f>
        <v>367403</v>
      </c>
      <c r="AV236" s="12" t="n">
        <v>1432080</v>
      </c>
      <c r="AW236" s="12" t="n">
        <v>681140</v>
      </c>
      <c r="AX236" s="12" t="n">
        <v>269638</v>
      </c>
      <c r="AY236" s="16" t="n">
        <v>16101</v>
      </c>
      <c r="AZ236" s="13" t="n">
        <f aca="false">IFERROR(AY236/AY235-1,"")</f>
        <v>0.146060217809097</v>
      </c>
      <c r="BA236" s="17" t="n">
        <v>0.953</v>
      </c>
      <c r="BB236" s="11" t="s">
        <v>107</v>
      </c>
      <c r="BC236" s="11" t="s">
        <v>82</v>
      </c>
      <c r="BD236" s="11" t="s">
        <v>83</v>
      </c>
      <c r="BE236" s="12" t="n">
        <v>770910</v>
      </c>
      <c r="BF236" s="13" t="n">
        <f aca="false">IFERROR(P236/BE236-1,"")</f>
        <v>-0.046832963640373</v>
      </c>
      <c r="BG236" s="17" t="n">
        <v>0.036</v>
      </c>
      <c r="BH236" s="17" t="n">
        <v>0.073</v>
      </c>
      <c r="BI236" s="14" t="n">
        <f aca="false">P236*(1+IFERROR(Q236,0))^4</f>
        <v>1691186.96236657</v>
      </c>
      <c r="BJ236" s="12" t="n">
        <v>-717154</v>
      </c>
      <c r="BK236" s="11" t="s">
        <v>110</v>
      </c>
      <c r="BL236" s="11" t="s">
        <v>162</v>
      </c>
      <c r="BM236" s="14" t="n">
        <f aca="false">O236</f>
        <v>26520570</v>
      </c>
      <c r="BN236" s="11" t="s">
        <v>321</v>
      </c>
      <c r="BO236" s="13" t="n">
        <f aca="false">IFERROR(1-L236/M236,"")</f>
        <v>0.157257809035038</v>
      </c>
      <c r="BP236" s="11" t="s">
        <v>142</v>
      </c>
      <c r="BQ236" s="12" t="n">
        <v>1549769</v>
      </c>
      <c r="BR236" s="11" t="s">
        <v>88</v>
      </c>
      <c r="BS236" s="11" t="s">
        <v>89</v>
      </c>
      <c r="BT236" s="19" t="str">
        <f aca="false">IF(OR(Z236&lt;6,AH236&lt;0.9,S236&lt;0.02,AK236&lt;1),"REVIEW",IF(AND(S236&gt;0.25,AH236&gt;1.2),"ACCELERATING","STABLE"))</f>
        <v>STABLE</v>
      </c>
    </row>
    <row r="237" customFormat="false" ht="15" hidden="false" customHeight="false" outlineLevel="0" collapsed="false">
      <c r="A237" s="11" t="s">
        <v>319</v>
      </c>
      <c r="B237" s="11" t="s">
        <v>93</v>
      </c>
      <c r="C237" s="11" t="s">
        <v>74</v>
      </c>
      <c r="D237" s="11" t="s">
        <v>165</v>
      </c>
      <c r="E237" s="11" t="s">
        <v>105</v>
      </c>
      <c r="F237" s="11" t="s">
        <v>320</v>
      </c>
      <c r="G237" s="11" t="s">
        <v>78</v>
      </c>
      <c r="H237" s="11" t="s">
        <v>79</v>
      </c>
      <c r="I237" s="11" t="s">
        <v>78</v>
      </c>
      <c r="J237" s="12" t="n">
        <v>2482000</v>
      </c>
      <c r="K237" s="13" t="n">
        <f aca="false">IFERROR(J237/M237,"")</f>
        <v>0.157257809035038</v>
      </c>
      <c r="L237" s="12" t="n">
        <v>13301000</v>
      </c>
      <c r="M237" s="14" t="n">
        <f aca="false">L237+J237</f>
        <v>15783000</v>
      </c>
      <c r="N237" s="12" t="n">
        <v>7737000</v>
      </c>
      <c r="O237" s="12" t="n">
        <v>26520570</v>
      </c>
      <c r="P237" s="12" t="n">
        <v>886840</v>
      </c>
      <c r="Q237" s="13" t="n">
        <f aca="false">IFERROR(P237/P236-1,"")</f>
        <v>0.20690359087977</v>
      </c>
      <c r="R237" s="12" t="n">
        <v>979324</v>
      </c>
      <c r="S237" s="13" t="n">
        <f aca="false">IFERROR(R237/R236-1,"")</f>
        <v>0.26217648901084</v>
      </c>
      <c r="T237" s="12" t="n">
        <v>488021</v>
      </c>
      <c r="U237" s="13" t="n">
        <f aca="false">IFERROR(T237/P237,"")</f>
        <v>0.550292048171034</v>
      </c>
      <c r="V237" s="14" t="n">
        <f aca="false">T237-AV237</f>
        <v>-799371</v>
      </c>
      <c r="W237" s="14" t="n">
        <f aca="false">V237-AA237*0.1</f>
        <v>-809571</v>
      </c>
      <c r="X237" s="12" t="n">
        <v>2064000</v>
      </c>
      <c r="Y237" s="12" t="n">
        <v>86000</v>
      </c>
      <c r="Z237" s="15" t="n">
        <f aca="false">IFERROR(X237/Y237,"")</f>
        <v>24</v>
      </c>
      <c r="AA237" s="12" t="n">
        <v>102000</v>
      </c>
      <c r="AB237" s="14" t="n">
        <f aca="false">W237-0.02*P237</f>
        <v>-827307.8</v>
      </c>
      <c r="AC237" s="16" t="n">
        <v>34</v>
      </c>
      <c r="AD237" s="13" t="n">
        <f aca="false">IFERROR(AC237/AC236-1,"")</f>
        <v>0.172413793103448</v>
      </c>
      <c r="AE237" s="17" t="n">
        <v>0.045</v>
      </c>
      <c r="AF237" s="17" t="n">
        <v>0.034</v>
      </c>
      <c r="AG237" s="13" t="n">
        <f aca="false">1-AF237</f>
        <v>0.966</v>
      </c>
      <c r="AH237" s="17" t="n">
        <v>1.135</v>
      </c>
      <c r="AI237" s="12" t="n">
        <v>17600</v>
      </c>
      <c r="AJ237" s="14" t="n">
        <f aca="false">IFERROR(AM237*U237*MIN(1/AE237,5),"")</f>
        <v>46664.7656849037</v>
      </c>
      <c r="AK237" s="18" t="n">
        <f aca="false">IFERROR(AJ237/AI237,"")</f>
        <v>2.65140714118771</v>
      </c>
      <c r="AL237" s="15" t="n">
        <f aca="false">IFERROR(AI237/(AM237*U237/12),"")</f>
        <v>22.6294932482994</v>
      </c>
      <c r="AM237" s="12" t="n">
        <v>16960</v>
      </c>
      <c r="AN237" s="12" t="n">
        <v>930086</v>
      </c>
      <c r="AO237" s="12" t="n">
        <v>3192676</v>
      </c>
      <c r="AP237" s="17" t="n">
        <v>0.285</v>
      </c>
      <c r="AQ237" s="16" t="n">
        <v>42</v>
      </c>
      <c r="AR237" s="16" t="n">
        <v>2</v>
      </c>
      <c r="AS237" s="13" t="n">
        <f aca="false">IFERROR(AR237/AR236-1,"")</f>
        <v>0</v>
      </c>
      <c r="AT237" s="11" t="s">
        <v>134</v>
      </c>
      <c r="AU237" s="14" t="n">
        <f aca="false">IFERROR(P237/AR237,"")</f>
        <v>443420</v>
      </c>
      <c r="AV237" s="12" t="n">
        <v>1287392</v>
      </c>
      <c r="AW237" s="12" t="n">
        <v>575981</v>
      </c>
      <c r="AX237" s="12" t="n">
        <v>237562</v>
      </c>
      <c r="AY237" s="16" t="n">
        <v>18558</v>
      </c>
      <c r="AZ237" s="13" t="n">
        <f aca="false">IFERROR(AY237/AY236-1,"")</f>
        <v>0.152599217439911</v>
      </c>
      <c r="BA237" s="17" t="n">
        <v>0.962</v>
      </c>
      <c r="BB237" s="11" t="s">
        <v>107</v>
      </c>
      <c r="BC237" s="11" t="s">
        <v>82</v>
      </c>
      <c r="BD237" s="11" t="s">
        <v>83</v>
      </c>
      <c r="BE237" s="12" t="n">
        <v>956486</v>
      </c>
      <c r="BF237" s="13" t="n">
        <f aca="false">IFERROR(P237/BE237-1,"")</f>
        <v>-0.0728144478852801</v>
      </c>
      <c r="BG237" s="17" t="n">
        <v>-0.02</v>
      </c>
      <c r="BH237" s="17" t="n">
        <v>0.095</v>
      </c>
      <c r="BI237" s="14" t="n">
        <f aca="false">P237*(1+IFERROR(Q237,0))^4</f>
        <v>1881635.90265609</v>
      </c>
      <c r="BJ237" s="12" t="n">
        <v>-565098</v>
      </c>
      <c r="BK237" s="11" t="s">
        <v>110</v>
      </c>
      <c r="BL237" s="11" t="s">
        <v>162</v>
      </c>
      <c r="BM237" s="14" t="n">
        <f aca="false">O237</f>
        <v>26520570</v>
      </c>
      <c r="BN237" s="11" t="s">
        <v>321</v>
      </c>
      <c r="BO237" s="13" t="n">
        <f aca="false">IFERROR(1-L237/M237,"")</f>
        <v>0.157257809035038</v>
      </c>
      <c r="BP237" s="11" t="s">
        <v>142</v>
      </c>
      <c r="BQ237" s="12" t="n">
        <v>1530596</v>
      </c>
      <c r="BR237" s="11" t="s">
        <v>88</v>
      </c>
      <c r="BS237" s="11" t="s">
        <v>89</v>
      </c>
      <c r="BT237" s="19" t="str">
        <f aca="false">IF(OR(Z237&lt;6,AH237&lt;0.9,S237&lt;0.02,AK237&lt;1),"REVIEW",IF(AND(S237&gt;0.25,AH237&gt;1.2),"ACCELERATING","STABLE"))</f>
        <v>STABLE</v>
      </c>
    </row>
    <row r="238" customFormat="false" ht="15" hidden="false" customHeight="false" outlineLevel="0" collapsed="false">
      <c r="A238" s="3" t="s">
        <v>322</v>
      </c>
      <c r="B238" s="3" t="s">
        <v>73</v>
      </c>
      <c r="C238" s="3" t="s">
        <v>74</v>
      </c>
      <c r="D238" s="3" t="s">
        <v>115</v>
      </c>
      <c r="E238" s="3" t="s">
        <v>105</v>
      </c>
      <c r="F238" s="3" t="s">
        <v>323</v>
      </c>
      <c r="G238" s="3" t="s">
        <v>78</v>
      </c>
      <c r="H238" s="3" t="s">
        <v>79</v>
      </c>
      <c r="I238" s="3" t="s">
        <v>78</v>
      </c>
      <c r="J238" s="4" t="n">
        <v>2517000</v>
      </c>
      <c r="K238" s="5" t="n">
        <f aca="false">IFERROR(J238/M238,"")</f>
        <v>0.139942177248971</v>
      </c>
      <c r="L238" s="4" t="n">
        <v>15469000</v>
      </c>
      <c r="M238" s="6" t="n">
        <f aca="false">L238+J238</f>
        <v>17986000</v>
      </c>
      <c r="N238" s="4" t="n">
        <v>6495000</v>
      </c>
      <c r="O238" s="4" t="n">
        <v>34457621</v>
      </c>
      <c r="P238" s="4" t="n">
        <v>1098257</v>
      </c>
      <c r="Q238" s="7"/>
      <c r="R238" s="4" t="n">
        <v>1260029</v>
      </c>
      <c r="S238" s="7"/>
      <c r="T238" s="4" t="n">
        <v>847808</v>
      </c>
      <c r="U238" s="5" t="n">
        <f aca="false">IFERROR(T238/P238,"")</f>
        <v>0.771957747594598</v>
      </c>
      <c r="V238" s="6" t="n">
        <f aca="false">T238-AV238</f>
        <v>-1284323</v>
      </c>
      <c r="W238" s="6" t="n">
        <f aca="false">V238-AA238*0.1</f>
        <v>-1284323</v>
      </c>
      <c r="X238" s="4" t="n">
        <v>1218000</v>
      </c>
      <c r="Y238" s="4" t="n">
        <v>131950</v>
      </c>
      <c r="Z238" s="8" t="n">
        <f aca="false">IFERROR(X238/Y238,"")</f>
        <v>9.23076923076923</v>
      </c>
      <c r="AA238" s="4" t="n">
        <v>0</v>
      </c>
      <c r="AB238" s="6" t="n">
        <f aca="false">W238-0.02*P238</f>
        <v>-1306288.14</v>
      </c>
      <c r="AC238" s="9" t="n">
        <v>34</v>
      </c>
      <c r="AD238" s="7"/>
      <c r="AE238" s="7" t="n">
        <v>0.034</v>
      </c>
      <c r="AF238" s="7" t="n">
        <v>0.032</v>
      </c>
      <c r="AG238" s="5" t="n">
        <f aca="false">1-AF238</f>
        <v>0.968</v>
      </c>
      <c r="AH238" s="7" t="n">
        <v>1.201</v>
      </c>
      <c r="AI238" s="4" t="n">
        <v>36570</v>
      </c>
      <c r="AJ238" s="6" t="n">
        <f aca="false">IFERROR(AM238*U238*MIN(1/AE238,5),"")</f>
        <v>165970.915732839</v>
      </c>
      <c r="AK238" s="10" t="n">
        <f aca="false">IFERROR(AJ238/AI238,"")</f>
        <v>4.53844451005848</v>
      </c>
      <c r="AL238" s="8" t="n">
        <f aca="false">IFERROR(AI238/(AM238*U238/12),"")</f>
        <v>13.2203885862266</v>
      </c>
      <c r="AM238" s="4" t="n">
        <v>43000</v>
      </c>
      <c r="AN238" s="4" t="n">
        <v>1374533</v>
      </c>
      <c r="AO238" s="4" t="n">
        <v>3174017</v>
      </c>
      <c r="AP238" s="7" t="n">
        <v>0.361</v>
      </c>
      <c r="AQ238" s="9" t="n">
        <v>32</v>
      </c>
      <c r="AR238" s="9" t="n">
        <v>2</v>
      </c>
      <c r="AS238" s="7"/>
      <c r="AT238" s="3" t="s">
        <v>80</v>
      </c>
      <c r="AU238" s="6" t="n">
        <f aca="false">IFERROR(P238/AR238,"")</f>
        <v>549128.5</v>
      </c>
      <c r="AV238" s="4" t="n">
        <v>2132131</v>
      </c>
      <c r="AW238" s="4" t="n">
        <v>845249</v>
      </c>
      <c r="AX238" s="4" t="n">
        <v>658823</v>
      </c>
      <c r="AY238" s="9" t="n">
        <v>9536</v>
      </c>
      <c r="AZ238" s="7"/>
      <c r="BA238" s="7" t="n">
        <v>0.967</v>
      </c>
      <c r="BB238" s="3" t="s">
        <v>99</v>
      </c>
      <c r="BC238" s="3" t="s">
        <v>82</v>
      </c>
      <c r="BD238" s="3" t="s">
        <v>101</v>
      </c>
      <c r="BE238" s="4" t="n">
        <v>1026088</v>
      </c>
      <c r="BF238" s="5" t="n">
        <f aca="false">IFERROR(P238/BE238-1,"")</f>
        <v>0.0703341233890271</v>
      </c>
      <c r="BG238" s="7" t="n">
        <v>-0.047</v>
      </c>
      <c r="BH238" s="7" t="n">
        <v>0.04</v>
      </c>
      <c r="BI238" s="6" t="n">
        <f aca="false">P238</f>
        <v>1098257</v>
      </c>
      <c r="BJ238" s="4" t="n">
        <v>-1279687</v>
      </c>
      <c r="BK238" s="3" t="s">
        <v>84</v>
      </c>
      <c r="BL238" s="3" t="s">
        <v>162</v>
      </c>
      <c r="BM238" s="6" t="n">
        <f aca="false">O238</f>
        <v>34457621</v>
      </c>
      <c r="BN238" s="3" t="s">
        <v>324</v>
      </c>
      <c r="BO238" s="5" t="n">
        <f aca="false">IFERROR(1-L238/M238,"")</f>
        <v>0.139942177248971</v>
      </c>
      <c r="BP238" s="3" t="s">
        <v>142</v>
      </c>
      <c r="BQ238" s="4" t="n">
        <v>2225561</v>
      </c>
      <c r="BR238" s="3" t="s">
        <v>88</v>
      </c>
      <c r="BS238" s="3" t="s">
        <v>89</v>
      </c>
      <c r="BT238" s="3" t="s">
        <v>90</v>
      </c>
    </row>
    <row r="239" customFormat="false" ht="15" hidden="false" customHeight="false" outlineLevel="0" collapsed="false">
      <c r="A239" s="11" t="s">
        <v>322</v>
      </c>
      <c r="B239" s="11" t="s">
        <v>91</v>
      </c>
      <c r="C239" s="11" t="s">
        <v>74</v>
      </c>
      <c r="D239" s="11" t="s">
        <v>115</v>
      </c>
      <c r="E239" s="11" t="s">
        <v>105</v>
      </c>
      <c r="F239" s="11" t="s">
        <v>323</v>
      </c>
      <c r="G239" s="11" t="s">
        <v>78</v>
      </c>
      <c r="H239" s="11" t="s">
        <v>79</v>
      </c>
      <c r="I239" s="11" t="s">
        <v>78</v>
      </c>
      <c r="J239" s="12" t="n">
        <v>2517000</v>
      </c>
      <c r="K239" s="13" t="n">
        <f aca="false">IFERROR(J239/M239,"")</f>
        <v>0.139942177248971</v>
      </c>
      <c r="L239" s="12" t="n">
        <v>15469000</v>
      </c>
      <c r="M239" s="14" t="n">
        <f aca="false">L239+J239</f>
        <v>17986000</v>
      </c>
      <c r="N239" s="12" t="n">
        <v>6495000</v>
      </c>
      <c r="O239" s="12" t="n">
        <v>34457621</v>
      </c>
      <c r="P239" s="12" t="n">
        <v>1295882</v>
      </c>
      <c r="Q239" s="13" t="n">
        <f aca="false">IFERROR(P239/P238-1,"")</f>
        <v>0.179944220706082</v>
      </c>
      <c r="R239" s="12" t="n">
        <v>1598901</v>
      </c>
      <c r="S239" s="13" t="n">
        <f aca="false">IFERROR(R239/R238-1,"")</f>
        <v>0.268939841860783</v>
      </c>
      <c r="T239" s="12" t="n">
        <v>1004417</v>
      </c>
      <c r="U239" s="13" t="n">
        <f aca="false">IFERROR(T239/P239,"")</f>
        <v>0.775083688175312</v>
      </c>
      <c r="V239" s="14" t="n">
        <f aca="false">T239-AV239</f>
        <v>-1314844</v>
      </c>
      <c r="W239" s="14" t="n">
        <f aca="false">V239-AA239*0.1</f>
        <v>-1314844</v>
      </c>
      <c r="X239" s="12" t="n">
        <v>1566000</v>
      </c>
      <c r="Y239" s="12" t="n">
        <v>136300</v>
      </c>
      <c r="Z239" s="15" t="n">
        <f aca="false">IFERROR(X239/Y239,"")</f>
        <v>11.4893617021277</v>
      </c>
      <c r="AA239" s="12" t="n">
        <v>0</v>
      </c>
      <c r="AB239" s="14" t="n">
        <f aca="false">W239-0.02*P239</f>
        <v>-1340761.64</v>
      </c>
      <c r="AC239" s="16" t="n">
        <v>45</v>
      </c>
      <c r="AD239" s="13" t="n">
        <f aca="false">IFERROR(AC239/AC238-1,"")</f>
        <v>0.323529411764706</v>
      </c>
      <c r="AE239" s="17" t="n">
        <v>0.033</v>
      </c>
      <c r="AF239" s="17" t="n">
        <v>0.033</v>
      </c>
      <c r="AG239" s="13" t="n">
        <f aca="false">1-AF239</f>
        <v>0.967</v>
      </c>
      <c r="AH239" s="17" t="n">
        <v>1.231</v>
      </c>
      <c r="AI239" s="12" t="n">
        <v>35880</v>
      </c>
      <c r="AJ239" s="14" t="n">
        <f aca="false">IFERROR(AM239*U239*MIN(1/AE239,5),"")</f>
        <v>169975.852816846</v>
      </c>
      <c r="AK239" s="18" t="n">
        <f aca="false">IFERROR(AJ239/AI239,"")</f>
        <v>4.73734260916516</v>
      </c>
      <c r="AL239" s="15" t="n">
        <f aca="false">IFERROR(AI239/(AM239*U239/12),"")</f>
        <v>12.6653284235597</v>
      </c>
      <c r="AM239" s="12" t="n">
        <v>43860</v>
      </c>
      <c r="AN239" s="12" t="n">
        <v>1654948</v>
      </c>
      <c r="AO239" s="12" t="n">
        <v>4337776</v>
      </c>
      <c r="AP239" s="17" t="n">
        <v>0.361</v>
      </c>
      <c r="AQ239" s="16" t="n">
        <v>32</v>
      </c>
      <c r="AR239" s="16" t="n">
        <v>2</v>
      </c>
      <c r="AS239" s="13" t="n">
        <f aca="false">IFERROR(AR239/AR238-1,"")</f>
        <v>0</v>
      </c>
      <c r="AT239" s="11" t="s">
        <v>80</v>
      </c>
      <c r="AU239" s="14" t="n">
        <f aca="false">IFERROR(P239/AR239,"")</f>
        <v>647941</v>
      </c>
      <c r="AV239" s="12" t="n">
        <v>2319261</v>
      </c>
      <c r="AW239" s="12" t="n">
        <v>747894</v>
      </c>
      <c r="AX239" s="12" t="n">
        <v>676633</v>
      </c>
      <c r="AY239" s="16" t="n">
        <v>12155</v>
      </c>
      <c r="AZ239" s="13" t="n">
        <f aca="false">IFERROR(AY239/AY238-1,"")</f>
        <v>0.274643456375839</v>
      </c>
      <c r="BA239" s="17" t="n">
        <v>0.97</v>
      </c>
      <c r="BB239" s="11" t="s">
        <v>99</v>
      </c>
      <c r="BC239" s="11" t="s">
        <v>82</v>
      </c>
      <c r="BD239" s="11" t="s">
        <v>101</v>
      </c>
      <c r="BE239" s="12" t="n">
        <v>1469358</v>
      </c>
      <c r="BF239" s="13" t="n">
        <f aca="false">IFERROR(P239/BE239-1,"")</f>
        <v>-0.118062446320094</v>
      </c>
      <c r="BG239" s="17" t="n">
        <v>-0.007</v>
      </c>
      <c r="BH239" s="17" t="n">
        <v>0.075</v>
      </c>
      <c r="BI239" s="14" t="n">
        <f aca="false">P239*(1+IFERROR(Q239,0))^4</f>
        <v>2511952.17922241</v>
      </c>
      <c r="BJ239" s="12" t="n">
        <v>-872444</v>
      </c>
      <c r="BK239" s="11" t="s">
        <v>84</v>
      </c>
      <c r="BL239" s="11" t="s">
        <v>162</v>
      </c>
      <c r="BM239" s="14" t="n">
        <f aca="false">O239</f>
        <v>34457621</v>
      </c>
      <c r="BN239" s="11" t="s">
        <v>324</v>
      </c>
      <c r="BO239" s="13" t="n">
        <f aca="false">IFERROR(1-L239/M239,"")</f>
        <v>0.139942177248971</v>
      </c>
      <c r="BP239" s="11" t="s">
        <v>142</v>
      </c>
      <c r="BQ239" s="12" t="n">
        <v>2103467</v>
      </c>
      <c r="BR239" s="11" t="s">
        <v>88</v>
      </c>
      <c r="BS239" s="11" t="s">
        <v>89</v>
      </c>
      <c r="BT239" s="19" t="str">
        <f aca="false">IF(OR(Z239&lt;6,AH239&lt;0.9,S239&lt;0.02,AK239&lt;1),"REVIEW",IF(AND(S239&gt;0.25,AH239&gt;1.2),"ACCELERATING","STABLE"))</f>
        <v>ACCELERATING</v>
      </c>
    </row>
    <row r="240" customFormat="false" ht="15" hidden="false" customHeight="false" outlineLevel="0" collapsed="false">
      <c r="A240" s="11" t="s">
        <v>322</v>
      </c>
      <c r="B240" s="11" t="s">
        <v>92</v>
      </c>
      <c r="C240" s="11" t="s">
        <v>74</v>
      </c>
      <c r="D240" s="11" t="s">
        <v>115</v>
      </c>
      <c r="E240" s="11" t="s">
        <v>105</v>
      </c>
      <c r="F240" s="11" t="s">
        <v>323</v>
      </c>
      <c r="G240" s="11" t="s">
        <v>78</v>
      </c>
      <c r="H240" s="11" t="s">
        <v>79</v>
      </c>
      <c r="I240" s="11" t="s">
        <v>78</v>
      </c>
      <c r="J240" s="12" t="n">
        <v>2517000</v>
      </c>
      <c r="K240" s="13" t="n">
        <f aca="false">IFERROR(J240/M240,"")</f>
        <v>0.139942177248971</v>
      </c>
      <c r="L240" s="12" t="n">
        <v>15469000</v>
      </c>
      <c r="M240" s="14" t="n">
        <f aca="false">L240+J240</f>
        <v>17986000</v>
      </c>
      <c r="N240" s="12" t="n">
        <v>6495000</v>
      </c>
      <c r="O240" s="12" t="n">
        <v>34457621</v>
      </c>
      <c r="P240" s="12" t="n">
        <v>1748520</v>
      </c>
      <c r="Q240" s="13" t="n">
        <f aca="false">IFERROR(P240/P239-1,"")</f>
        <v>0.349289518644444</v>
      </c>
      <c r="R240" s="12" t="n">
        <v>2171446</v>
      </c>
      <c r="S240" s="13" t="n">
        <f aca="false">IFERROR(R240/R239-1,"")</f>
        <v>0.358086585723569</v>
      </c>
      <c r="T240" s="12" t="n">
        <v>1360713</v>
      </c>
      <c r="U240" s="13" t="n">
        <f aca="false">IFERROR(T240/P240,"")</f>
        <v>0.778208427698854</v>
      </c>
      <c r="V240" s="14" t="n">
        <f aca="false">T240-AV240</f>
        <v>-1693743</v>
      </c>
      <c r="W240" s="14" t="n">
        <f aca="false">V240-AA240*0.1</f>
        <v>-1693743</v>
      </c>
      <c r="X240" s="12" t="n">
        <v>1914000</v>
      </c>
      <c r="Y240" s="12" t="n">
        <v>140650</v>
      </c>
      <c r="Z240" s="15" t="n">
        <f aca="false">IFERROR(X240/Y240,"")</f>
        <v>13.6082474226804</v>
      </c>
      <c r="AA240" s="12" t="n">
        <v>0</v>
      </c>
      <c r="AB240" s="14" t="n">
        <f aca="false">W240-0.02*P240</f>
        <v>-1728713.4</v>
      </c>
      <c r="AC240" s="16" t="n">
        <v>56</v>
      </c>
      <c r="AD240" s="13" t="n">
        <f aca="false">IFERROR(AC240/AC239-1,"")</f>
        <v>0.244444444444444</v>
      </c>
      <c r="AE240" s="17" t="n">
        <v>0.032</v>
      </c>
      <c r="AF240" s="17" t="n">
        <v>0.02</v>
      </c>
      <c r="AG240" s="13" t="n">
        <f aca="false">1-AF240</f>
        <v>0.98</v>
      </c>
      <c r="AH240" s="17" t="n">
        <v>1.261</v>
      </c>
      <c r="AI240" s="12" t="n">
        <v>35190</v>
      </c>
      <c r="AJ240" s="14" t="n">
        <f aca="false">IFERROR(AM240*U240*MIN(1/AE240,5),"")</f>
        <v>174007.404433464</v>
      </c>
      <c r="AK240" s="18" t="n">
        <f aca="false">IFERROR(AJ240/AI240,"")</f>
        <v>4.9447969432641</v>
      </c>
      <c r="AL240" s="15" t="n">
        <f aca="false">IFERROR(AI240/(AM240*U240/12),"")</f>
        <v>12.1339664072016</v>
      </c>
      <c r="AM240" s="12" t="n">
        <v>44720</v>
      </c>
      <c r="AN240" s="12" t="n">
        <v>2026106</v>
      </c>
      <c r="AO240" s="12" t="n">
        <v>5001294</v>
      </c>
      <c r="AP240" s="17" t="n">
        <v>0.361</v>
      </c>
      <c r="AQ240" s="16" t="n">
        <v>32</v>
      </c>
      <c r="AR240" s="16" t="n">
        <v>2</v>
      </c>
      <c r="AS240" s="13" t="n">
        <f aca="false">IFERROR(AR240/AR239-1,"")</f>
        <v>0</v>
      </c>
      <c r="AT240" s="11" t="s">
        <v>80</v>
      </c>
      <c r="AU240" s="14" t="n">
        <f aca="false">IFERROR(P240/AR240,"")</f>
        <v>874260</v>
      </c>
      <c r="AV240" s="12" t="n">
        <v>3054456</v>
      </c>
      <c r="AW240" s="12" t="n">
        <v>969966</v>
      </c>
      <c r="AX240" s="12" t="n">
        <v>832048</v>
      </c>
      <c r="AY240" s="16" t="n">
        <v>16280</v>
      </c>
      <c r="AZ240" s="13" t="n">
        <f aca="false">IFERROR(AY240/AY239-1,"")</f>
        <v>0.339366515837104</v>
      </c>
      <c r="BA240" s="17" t="n">
        <v>0.971</v>
      </c>
      <c r="BB240" s="11" t="s">
        <v>99</v>
      </c>
      <c r="BC240" s="11" t="s">
        <v>82</v>
      </c>
      <c r="BD240" s="11" t="s">
        <v>101</v>
      </c>
      <c r="BE240" s="12" t="n">
        <v>1622480</v>
      </c>
      <c r="BF240" s="13" t="n">
        <f aca="false">IFERROR(P240/BE240-1,"")</f>
        <v>0.077683546176224</v>
      </c>
      <c r="BG240" s="17" t="n">
        <v>-0.043</v>
      </c>
      <c r="BH240" s="17" t="n">
        <v>0.048</v>
      </c>
      <c r="BI240" s="14" t="n">
        <f aca="false">P240*(1+IFERROR(Q240,0))^4</f>
        <v>5795503.75086613</v>
      </c>
      <c r="BJ240" s="12" t="n">
        <v>-1179383</v>
      </c>
      <c r="BK240" s="11" t="s">
        <v>84</v>
      </c>
      <c r="BL240" s="11" t="s">
        <v>162</v>
      </c>
      <c r="BM240" s="14" t="n">
        <f aca="false">O240</f>
        <v>34457621</v>
      </c>
      <c r="BN240" s="11" t="s">
        <v>324</v>
      </c>
      <c r="BO240" s="13" t="n">
        <f aca="false">IFERROR(1-L240/M240,"")</f>
        <v>0.139942177248971</v>
      </c>
      <c r="BP240" s="11" t="s">
        <v>142</v>
      </c>
      <c r="BQ240" s="12" t="n">
        <v>2696712</v>
      </c>
      <c r="BR240" s="11" t="s">
        <v>88</v>
      </c>
      <c r="BS240" s="11" t="s">
        <v>89</v>
      </c>
      <c r="BT240" s="19" t="str">
        <f aca="false">IF(OR(Z240&lt;6,AH240&lt;0.9,S240&lt;0.02,AK240&lt;1),"REVIEW",IF(AND(S240&gt;0.25,AH240&gt;1.2),"ACCELERATING","STABLE"))</f>
        <v>ACCELERATING</v>
      </c>
    </row>
    <row r="241" customFormat="false" ht="15" hidden="false" customHeight="false" outlineLevel="0" collapsed="false">
      <c r="A241" s="11" t="s">
        <v>322</v>
      </c>
      <c r="B241" s="11" t="s">
        <v>93</v>
      </c>
      <c r="C241" s="11" t="s">
        <v>74</v>
      </c>
      <c r="D241" s="11" t="s">
        <v>115</v>
      </c>
      <c r="E241" s="11" t="s">
        <v>105</v>
      </c>
      <c r="F241" s="11" t="s">
        <v>323</v>
      </c>
      <c r="G241" s="11" t="s">
        <v>78</v>
      </c>
      <c r="H241" s="11" t="s">
        <v>79</v>
      </c>
      <c r="I241" s="11" t="s">
        <v>78</v>
      </c>
      <c r="J241" s="12" t="n">
        <v>2517000</v>
      </c>
      <c r="K241" s="13" t="n">
        <f aca="false">IFERROR(J241/M241,"")</f>
        <v>0.139942177248971</v>
      </c>
      <c r="L241" s="12" t="n">
        <v>15469000</v>
      </c>
      <c r="M241" s="14" t="n">
        <f aca="false">L241+J241</f>
        <v>17986000</v>
      </c>
      <c r="N241" s="12" t="n">
        <v>6495000</v>
      </c>
      <c r="O241" s="12" t="n">
        <v>34457621</v>
      </c>
      <c r="P241" s="12" t="n">
        <v>2179709</v>
      </c>
      <c r="Q241" s="13" t="n">
        <f aca="false">IFERROR(P241/P240-1,"")</f>
        <v>0.246602269347791</v>
      </c>
      <c r="R241" s="12" t="n">
        <v>2580022</v>
      </c>
      <c r="S241" s="13" t="n">
        <f aca="false">IFERROR(R241/R240-1,"")</f>
        <v>0.188158489780543</v>
      </c>
      <c r="T241" s="12" t="n">
        <v>1703081</v>
      </c>
      <c r="U241" s="13" t="n">
        <f aca="false">IFERROR(T241/P241,"")</f>
        <v>0.781334113865658</v>
      </c>
      <c r="V241" s="14" t="n">
        <f aca="false">T241-AV241</f>
        <v>-1755368</v>
      </c>
      <c r="W241" s="14" t="n">
        <f aca="false">V241-AA241*0.1</f>
        <v>-1755368</v>
      </c>
      <c r="X241" s="12" t="n">
        <v>3480000</v>
      </c>
      <c r="Y241" s="12" t="n">
        <v>145000</v>
      </c>
      <c r="Z241" s="15" t="n">
        <f aca="false">IFERROR(X241/Y241,"")</f>
        <v>24</v>
      </c>
      <c r="AA241" s="12" t="n">
        <v>0</v>
      </c>
      <c r="AB241" s="14" t="n">
        <f aca="false">W241-0.02*P241</f>
        <v>-1798962.18</v>
      </c>
      <c r="AC241" s="16" t="n">
        <v>65</v>
      </c>
      <c r="AD241" s="13" t="n">
        <f aca="false">IFERROR(AC241/AC240-1,"")</f>
        <v>0.160714285714286</v>
      </c>
      <c r="AE241" s="17" t="n">
        <v>0.031</v>
      </c>
      <c r="AF241" s="17" t="n">
        <v>0.022</v>
      </c>
      <c r="AG241" s="13" t="n">
        <f aca="false">1-AF241</f>
        <v>0.978</v>
      </c>
      <c r="AH241" s="17" t="n">
        <v>1.291</v>
      </c>
      <c r="AI241" s="12" t="n">
        <v>34500</v>
      </c>
      <c r="AJ241" s="14" t="n">
        <f aca="false">IFERROR(AM241*U241*MIN(1/AE241,5),"")</f>
        <v>178066.044549984</v>
      </c>
      <c r="AK241" s="18" t="n">
        <f aca="false">IFERROR(AJ241/AI241,"")</f>
        <v>5.1613346246372</v>
      </c>
      <c r="AL241" s="15" t="n">
        <f aca="false">IFERROR(AI241/(AM241*U241/12),"")</f>
        <v>11.6249002173963</v>
      </c>
      <c r="AM241" s="12" t="n">
        <v>45580</v>
      </c>
      <c r="AN241" s="12" t="n">
        <v>2523253</v>
      </c>
      <c r="AO241" s="12" t="n">
        <v>8137161</v>
      </c>
      <c r="AP241" s="17" t="n">
        <v>0.361</v>
      </c>
      <c r="AQ241" s="16" t="n">
        <v>32</v>
      </c>
      <c r="AR241" s="16" t="n">
        <v>3</v>
      </c>
      <c r="AS241" s="13" t="n">
        <f aca="false">IFERROR(AR241/AR240-1,"")</f>
        <v>0.5</v>
      </c>
      <c r="AT241" s="11" t="s">
        <v>80</v>
      </c>
      <c r="AU241" s="14" t="n">
        <f aca="false">IFERROR(P241/AR241,"")</f>
        <v>726569.666666667</v>
      </c>
      <c r="AV241" s="12" t="n">
        <v>3458449</v>
      </c>
      <c r="AW241" s="12" t="n">
        <v>1495918</v>
      </c>
      <c r="AX241" s="12" t="n">
        <v>1129483</v>
      </c>
      <c r="AY241" s="16" t="n">
        <v>20457</v>
      </c>
      <c r="AZ241" s="13" t="n">
        <f aca="false">IFERROR(AY241/AY240-1,"")</f>
        <v>0.256572481572481</v>
      </c>
      <c r="BA241" s="17" t="n">
        <v>0.967</v>
      </c>
      <c r="BB241" s="11" t="s">
        <v>99</v>
      </c>
      <c r="BC241" s="11" t="s">
        <v>82</v>
      </c>
      <c r="BD241" s="11" t="s">
        <v>101</v>
      </c>
      <c r="BE241" s="12" t="n">
        <v>2389965</v>
      </c>
      <c r="BF241" s="13" t="n">
        <f aca="false">IFERROR(P241/BE241-1,"")</f>
        <v>-0.0879745100869678</v>
      </c>
      <c r="BG241" s="17" t="n">
        <v>-0.042</v>
      </c>
      <c r="BH241" s="17" t="n">
        <v>0.078</v>
      </c>
      <c r="BI241" s="14" t="n">
        <f aca="false">P241*(1+IFERROR(Q241,0))^4</f>
        <v>5263930.78365795</v>
      </c>
      <c r="BJ241" s="12" t="n">
        <v>-1318204</v>
      </c>
      <c r="BK241" s="11" t="s">
        <v>84</v>
      </c>
      <c r="BL241" s="11" t="s">
        <v>162</v>
      </c>
      <c r="BM241" s="14" t="n">
        <f aca="false">O241</f>
        <v>34457621</v>
      </c>
      <c r="BN241" s="11" t="s">
        <v>324</v>
      </c>
      <c r="BO241" s="13" t="n">
        <f aca="false">IFERROR(1-L241/M241,"")</f>
        <v>0.139942177248971</v>
      </c>
      <c r="BP241" s="11" t="s">
        <v>142</v>
      </c>
      <c r="BQ241" s="12" t="n">
        <v>2729642</v>
      </c>
      <c r="BR241" s="11" t="s">
        <v>88</v>
      </c>
      <c r="BS241" s="11" t="s">
        <v>89</v>
      </c>
      <c r="BT241" s="19" t="str">
        <f aca="false">IF(OR(Z241&lt;6,AH241&lt;0.9,S241&lt;0.02,AK241&lt;1),"REVIEW",IF(AND(S241&gt;0.25,AH241&gt;1.2),"ACCELERATING","STABLE"))</f>
        <v>STABLE</v>
      </c>
    </row>
    <row r="242" customFormat="false" ht="15" hidden="false" customHeight="false" outlineLevel="0" collapsed="false">
      <c r="A242" s="3" t="s">
        <v>325</v>
      </c>
      <c r="B242" s="3" t="s">
        <v>73</v>
      </c>
      <c r="C242" s="3" t="s">
        <v>74</v>
      </c>
      <c r="D242" s="3" t="s">
        <v>115</v>
      </c>
      <c r="E242" s="3" t="s">
        <v>105</v>
      </c>
      <c r="F242" s="3" t="s">
        <v>326</v>
      </c>
      <c r="G242" s="3" t="s">
        <v>78</v>
      </c>
      <c r="H242" s="3" t="s">
        <v>79</v>
      </c>
      <c r="I242" s="3" t="s">
        <v>78</v>
      </c>
      <c r="J242" s="4" t="n">
        <v>2421000</v>
      </c>
      <c r="K242" s="5" t="n">
        <f aca="false">IFERROR(J242/M242,"")</f>
        <v>0.112641325082585</v>
      </c>
      <c r="L242" s="4" t="n">
        <v>19072000</v>
      </c>
      <c r="M242" s="6" t="n">
        <f aca="false">L242+J242</f>
        <v>21493000</v>
      </c>
      <c r="N242" s="4" t="n">
        <v>2421000</v>
      </c>
      <c r="O242" s="4" t="n">
        <v>37303477</v>
      </c>
      <c r="P242" s="4" t="n">
        <v>988060</v>
      </c>
      <c r="Q242" s="7"/>
      <c r="R242" s="4" t="n">
        <v>1095889</v>
      </c>
      <c r="S242" s="7"/>
      <c r="T242" s="4" t="n">
        <v>690608</v>
      </c>
      <c r="U242" s="5" t="n">
        <f aca="false">IFERROR(T242/P242,"")</f>
        <v>0.698953504847884</v>
      </c>
      <c r="V242" s="6" t="n">
        <f aca="false">T242-AV242</f>
        <v>-1623594</v>
      </c>
      <c r="W242" s="6" t="n">
        <f aca="false">V242-AA242*0.1</f>
        <v>-1623594</v>
      </c>
      <c r="X242" s="4" t="n">
        <v>5835006</v>
      </c>
      <c r="Y242" s="4" t="n">
        <v>169260</v>
      </c>
      <c r="Z242" s="8" t="n">
        <f aca="false">IFERROR(X242/Y242,"")</f>
        <v>34.4736263736264</v>
      </c>
      <c r="AA242" s="4" t="n">
        <v>0</v>
      </c>
      <c r="AB242" s="6" t="n">
        <f aca="false">W242-0.02*P242</f>
        <v>-1643355.2</v>
      </c>
      <c r="AC242" s="9" t="n">
        <v>45</v>
      </c>
      <c r="AD242" s="7"/>
      <c r="AE242" s="7" t="n">
        <v>0.095</v>
      </c>
      <c r="AF242" s="7" t="n">
        <v>0.093</v>
      </c>
      <c r="AG242" s="5" t="n">
        <f aca="false">1-AF242</f>
        <v>0.907</v>
      </c>
      <c r="AH242" s="7" t="n">
        <v>1.064</v>
      </c>
      <c r="AI242" s="4" t="n">
        <v>27772</v>
      </c>
      <c r="AJ242" s="6" t="n">
        <f aca="false">IFERROR(AM242*U242*MIN(1/AE242,5),"")</f>
        <v>94358.7231544643</v>
      </c>
      <c r="AK242" s="10" t="n">
        <f aca="false">IFERROR(AJ242/AI242,"")</f>
        <v>3.39762073867436</v>
      </c>
      <c r="AL242" s="8" t="n">
        <f aca="false">IFERROR(AI242/(AM242*U242/12),"")</f>
        <v>17.6594165784996</v>
      </c>
      <c r="AM242" s="4" t="n">
        <v>27000</v>
      </c>
      <c r="AN242" s="4" t="n">
        <v>1603130</v>
      </c>
      <c r="AO242" s="4" t="n">
        <v>3021345</v>
      </c>
      <c r="AP242" s="7" t="n">
        <v>0.155</v>
      </c>
      <c r="AQ242" s="9" t="n">
        <v>62</v>
      </c>
      <c r="AR242" s="9" t="n">
        <v>2</v>
      </c>
      <c r="AS242" s="7"/>
      <c r="AT242" s="3" t="s">
        <v>153</v>
      </c>
      <c r="AU242" s="6" t="n">
        <f aca="false">IFERROR(P242/AR242,"")</f>
        <v>494030</v>
      </c>
      <c r="AV242" s="4" t="n">
        <v>2314202</v>
      </c>
      <c r="AW242" s="4" t="n">
        <v>770983</v>
      </c>
      <c r="AX242" s="4" t="n">
        <v>422968</v>
      </c>
      <c r="AY242" s="9" t="n">
        <v>19862</v>
      </c>
      <c r="AZ242" s="7"/>
      <c r="BA242" s="7" t="n">
        <v>0.933</v>
      </c>
      <c r="BB242" s="3" t="s">
        <v>81</v>
      </c>
      <c r="BC242" s="3" t="s">
        <v>108</v>
      </c>
      <c r="BD242" s="3" t="s">
        <v>83</v>
      </c>
      <c r="BE242" s="4" t="n">
        <v>977387</v>
      </c>
      <c r="BF242" s="5" t="n">
        <f aca="false">IFERROR(P242/BE242-1,"")</f>
        <v>0.0109199324320868</v>
      </c>
      <c r="BG242" s="7" t="n">
        <v>0.032</v>
      </c>
      <c r="BH242" s="7" t="n">
        <v>-0.012</v>
      </c>
      <c r="BI242" s="6" t="n">
        <f aca="false">P242</f>
        <v>988060</v>
      </c>
      <c r="BJ242" s="4" t="n">
        <v>-1318680</v>
      </c>
      <c r="BK242" s="3" t="s">
        <v>192</v>
      </c>
      <c r="BL242" s="3" t="s">
        <v>162</v>
      </c>
      <c r="BM242" s="6" t="n">
        <f aca="false">O242</f>
        <v>37303477</v>
      </c>
      <c r="BN242" s="3" t="s">
        <v>327</v>
      </c>
      <c r="BO242" s="5" t="n">
        <f aca="false">IFERROR(1-L242/M242,"")</f>
        <v>0.112641325082585</v>
      </c>
      <c r="BP242" s="3" t="s">
        <v>142</v>
      </c>
      <c r="BQ242" s="4" t="n">
        <v>2460591</v>
      </c>
      <c r="BR242" s="3" t="s">
        <v>88</v>
      </c>
      <c r="BS242" s="3" t="s">
        <v>89</v>
      </c>
      <c r="BT242" s="3" t="s">
        <v>90</v>
      </c>
    </row>
    <row r="243" customFormat="false" ht="15" hidden="false" customHeight="false" outlineLevel="0" collapsed="false">
      <c r="A243" s="11" t="s">
        <v>325</v>
      </c>
      <c r="B243" s="11" t="s">
        <v>91</v>
      </c>
      <c r="C243" s="11" t="s">
        <v>74</v>
      </c>
      <c r="D243" s="11" t="s">
        <v>115</v>
      </c>
      <c r="E243" s="11" t="s">
        <v>105</v>
      </c>
      <c r="F243" s="11" t="s">
        <v>326</v>
      </c>
      <c r="G243" s="11" t="s">
        <v>78</v>
      </c>
      <c r="H243" s="11" t="s">
        <v>79</v>
      </c>
      <c r="I243" s="11" t="s">
        <v>78</v>
      </c>
      <c r="J243" s="12" t="n">
        <v>2421000</v>
      </c>
      <c r="K243" s="13" t="n">
        <f aca="false">IFERROR(J243/M243,"")</f>
        <v>0.112641325082585</v>
      </c>
      <c r="L243" s="12" t="n">
        <v>19072000</v>
      </c>
      <c r="M243" s="14" t="n">
        <f aca="false">L243+J243</f>
        <v>21493000</v>
      </c>
      <c r="N243" s="12" t="n">
        <v>2421000</v>
      </c>
      <c r="O243" s="12" t="n">
        <v>37303477</v>
      </c>
      <c r="P243" s="12" t="n">
        <v>1173138</v>
      </c>
      <c r="Q243" s="13" t="n">
        <f aca="false">IFERROR(P243/P242-1,"")</f>
        <v>0.187314535554521</v>
      </c>
      <c r="R243" s="12" t="n">
        <v>1223687</v>
      </c>
      <c r="S243" s="13" t="n">
        <f aca="false">IFERROR(R243/R242-1,"")</f>
        <v>0.116615825142875</v>
      </c>
      <c r="T243" s="12" t="n">
        <v>823289</v>
      </c>
      <c r="U243" s="13" t="n">
        <f aca="false">IFERROR(T243/P243,"")</f>
        <v>0.701783592382141</v>
      </c>
      <c r="V243" s="14" t="n">
        <f aca="false">T243-AV243</f>
        <v>-1834785</v>
      </c>
      <c r="W243" s="14" t="n">
        <f aca="false">V243-AA243*0.1</f>
        <v>-1834785</v>
      </c>
      <c r="X243" s="12" t="n">
        <v>5408136</v>
      </c>
      <c r="Y243" s="12" t="n">
        <v>174840</v>
      </c>
      <c r="Z243" s="15" t="n">
        <f aca="false">IFERROR(X243/Y243,"")</f>
        <v>30.931914893617</v>
      </c>
      <c r="AA243" s="12" t="n">
        <v>0</v>
      </c>
      <c r="AB243" s="14" t="n">
        <f aca="false">W243-0.02*P243</f>
        <v>-1858247.76</v>
      </c>
      <c r="AC243" s="16" t="n">
        <v>57</v>
      </c>
      <c r="AD243" s="13" t="n">
        <f aca="false">IFERROR(AC243/AC242-1,"")</f>
        <v>0.266666666666667</v>
      </c>
      <c r="AE243" s="17" t="n">
        <v>0.092</v>
      </c>
      <c r="AF243" s="17" t="n">
        <v>0.072</v>
      </c>
      <c r="AG243" s="13" t="n">
        <f aca="false">1-AF243</f>
        <v>0.928</v>
      </c>
      <c r="AH243" s="17" t="n">
        <v>1.059</v>
      </c>
      <c r="AI243" s="12" t="n">
        <v>27248</v>
      </c>
      <c r="AJ243" s="14" t="n">
        <f aca="false">IFERROR(AM243*U243*MIN(1/AE243,5),"")</f>
        <v>96635.6006710208</v>
      </c>
      <c r="AK243" s="18" t="n">
        <f aca="false">IFERROR(AJ243/AI243,"")</f>
        <v>3.54652087019307</v>
      </c>
      <c r="AL243" s="15" t="n">
        <f aca="false">IFERROR(AI243/(AM243*U243/12),"")</f>
        <v>16.9179886982404</v>
      </c>
      <c r="AM243" s="12" t="n">
        <v>27540</v>
      </c>
      <c r="AN243" s="12" t="n">
        <v>1161827</v>
      </c>
      <c r="AO243" s="12" t="n">
        <v>2748043</v>
      </c>
      <c r="AP243" s="17" t="n">
        <v>0.155</v>
      </c>
      <c r="AQ243" s="16" t="n">
        <v>62</v>
      </c>
      <c r="AR243" s="16" t="n">
        <v>2</v>
      </c>
      <c r="AS243" s="13" t="n">
        <f aca="false">IFERROR(AR243/AR242-1,"")</f>
        <v>0</v>
      </c>
      <c r="AT243" s="11" t="s">
        <v>153</v>
      </c>
      <c r="AU243" s="14" t="n">
        <f aca="false">IFERROR(P243/AR243,"")</f>
        <v>586569</v>
      </c>
      <c r="AV243" s="12" t="n">
        <v>2658074</v>
      </c>
      <c r="AW243" s="12" t="n">
        <v>1087087</v>
      </c>
      <c r="AX243" s="12" t="n">
        <v>499233</v>
      </c>
      <c r="AY243" s="16" t="n">
        <v>22959</v>
      </c>
      <c r="AZ243" s="13" t="n">
        <f aca="false">IFERROR(AY243/AY242-1,"")</f>
        <v>0.155925888631558</v>
      </c>
      <c r="BA243" s="17" t="n">
        <v>0.903</v>
      </c>
      <c r="BB243" s="11" t="s">
        <v>81</v>
      </c>
      <c r="BC243" s="11" t="s">
        <v>108</v>
      </c>
      <c r="BD243" s="11" t="s">
        <v>83</v>
      </c>
      <c r="BE243" s="12" t="n">
        <v>1379408</v>
      </c>
      <c r="BF243" s="13" t="n">
        <f aca="false">IFERROR(P243/BE243-1,"")</f>
        <v>-0.149535162910466</v>
      </c>
      <c r="BG243" s="17" t="n">
        <v>0.064</v>
      </c>
      <c r="BH243" s="17" t="n">
        <v>-0.069</v>
      </c>
      <c r="BI243" s="14" t="n">
        <f aca="false">P243*(1+IFERROR(Q243,0))^4</f>
        <v>2331375.56910958</v>
      </c>
      <c r="BJ243" s="12" t="n">
        <v>-1985236</v>
      </c>
      <c r="BK243" s="11" t="s">
        <v>192</v>
      </c>
      <c r="BL243" s="11" t="s">
        <v>162</v>
      </c>
      <c r="BM243" s="14" t="n">
        <f aca="false">O243</f>
        <v>37303477</v>
      </c>
      <c r="BN243" s="11" t="s">
        <v>327</v>
      </c>
      <c r="BO243" s="13" t="n">
        <f aca="false">IFERROR(1-L243/M243,"")</f>
        <v>0.112641325082585</v>
      </c>
      <c r="BP243" s="11" t="s">
        <v>142</v>
      </c>
      <c r="BQ243" s="12" t="n">
        <v>2895423</v>
      </c>
      <c r="BR243" s="11" t="s">
        <v>88</v>
      </c>
      <c r="BS243" s="11" t="s">
        <v>89</v>
      </c>
      <c r="BT243" s="19" t="str">
        <f aca="false">IF(OR(Z243&lt;6,AH243&lt;0.9,S243&lt;0.02,AK243&lt;1),"REVIEW",IF(AND(S243&gt;0.25,AH243&gt;1.2),"ACCELERATING","STABLE"))</f>
        <v>STABLE</v>
      </c>
    </row>
    <row r="244" customFormat="false" ht="15" hidden="false" customHeight="false" outlineLevel="0" collapsed="false">
      <c r="A244" s="11" t="s">
        <v>325</v>
      </c>
      <c r="B244" s="11" t="s">
        <v>92</v>
      </c>
      <c r="C244" s="11" t="s">
        <v>74</v>
      </c>
      <c r="D244" s="11" t="s">
        <v>115</v>
      </c>
      <c r="E244" s="11" t="s">
        <v>105</v>
      </c>
      <c r="F244" s="11" t="s">
        <v>326</v>
      </c>
      <c r="G244" s="11" t="s">
        <v>78</v>
      </c>
      <c r="H244" s="11" t="s">
        <v>79</v>
      </c>
      <c r="I244" s="11" t="s">
        <v>78</v>
      </c>
      <c r="J244" s="12" t="n">
        <v>2421000</v>
      </c>
      <c r="K244" s="13" t="n">
        <f aca="false">IFERROR(J244/M244,"")</f>
        <v>0.112641325082585</v>
      </c>
      <c r="L244" s="12" t="n">
        <v>19072000</v>
      </c>
      <c r="M244" s="14" t="n">
        <f aca="false">L244+J244</f>
        <v>21493000</v>
      </c>
      <c r="N244" s="12" t="n">
        <v>2421000</v>
      </c>
      <c r="O244" s="12" t="n">
        <v>37303477</v>
      </c>
      <c r="P244" s="12" t="n">
        <v>1305677</v>
      </c>
      <c r="Q244" s="13" t="n">
        <f aca="false">IFERROR(P244/P243-1,"")</f>
        <v>0.112978183299833</v>
      </c>
      <c r="R244" s="12" t="n">
        <v>1586033</v>
      </c>
      <c r="S244" s="13" t="n">
        <f aca="false">IFERROR(R244/R243-1,"")</f>
        <v>0.296110034673899</v>
      </c>
      <c r="T244" s="12" t="n">
        <v>919997</v>
      </c>
      <c r="U244" s="13" t="n">
        <f aca="false">IFERROR(T244/P244,"")</f>
        <v>0.704613009189869</v>
      </c>
      <c r="V244" s="14" t="n">
        <f aca="false">T244-AV244</f>
        <v>-2179641</v>
      </c>
      <c r="W244" s="14" t="n">
        <f aca="false">V244-AA244*0.1</f>
        <v>-2179641</v>
      </c>
      <c r="X244" s="12" t="n">
        <v>4951134</v>
      </c>
      <c r="Y244" s="12" t="n">
        <v>180420</v>
      </c>
      <c r="Z244" s="15" t="n">
        <f aca="false">IFERROR(X244/Y244,"")</f>
        <v>27.4422680412371</v>
      </c>
      <c r="AA244" s="12" t="n">
        <v>0</v>
      </c>
      <c r="AB244" s="14" t="n">
        <f aca="false">W244-0.02*P244</f>
        <v>-2205754.54</v>
      </c>
      <c r="AC244" s="16" t="n">
        <v>62</v>
      </c>
      <c r="AD244" s="13" t="n">
        <f aca="false">IFERROR(AC244/AC243-1,"")</f>
        <v>0.0877192982456141</v>
      </c>
      <c r="AE244" s="17" t="n">
        <v>0.09</v>
      </c>
      <c r="AF244" s="17" t="n">
        <v>0.097</v>
      </c>
      <c r="AG244" s="13" t="n">
        <f aca="false">1-AF244</f>
        <v>0.903</v>
      </c>
      <c r="AH244" s="17" t="n">
        <v>1.054</v>
      </c>
      <c r="AI244" s="12" t="n">
        <v>26724</v>
      </c>
      <c r="AJ244" s="14" t="n">
        <f aca="false">IFERROR(AM244*U244*MIN(1/AE244,5),"")</f>
        <v>98927.6664902575</v>
      </c>
      <c r="AK244" s="18" t="n">
        <f aca="false">IFERROR(AJ244/AI244,"")</f>
        <v>3.70182856197641</v>
      </c>
      <c r="AL244" s="15" t="n">
        <f aca="false">IFERROR(AI244/(AM244*U244/12),"")</f>
        <v>16.2082060245291</v>
      </c>
      <c r="AM244" s="12" t="n">
        <v>28080</v>
      </c>
      <c r="AN244" s="12" t="n">
        <v>1597659</v>
      </c>
      <c r="AO244" s="12" t="n">
        <v>2762800</v>
      </c>
      <c r="AP244" s="17" t="n">
        <v>0.155</v>
      </c>
      <c r="AQ244" s="16" t="n">
        <v>62</v>
      </c>
      <c r="AR244" s="16" t="n">
        <v>2</v>
      </c>
      <c r="AS244" s="13" t="n">
        <f aca="false">IFERROR(AR244/AR243-1,"")</f>
        <v>0</v>
      </c>
      <c r="AT244" s="11" t="s">
        <v>153</v>
      </c>
      <c r="AU244" s="14" t="n">
        <f aca="false">IFERROR(P244/AR244,"")</f>
        <v>652838.5</v>
      </c>
      <c r="AV244" s="12" t="n">
        <v>3099638</v>
      </c>
      <c r="AW244" s="12" t="n">
        <v>1496623</v>
      </c>
      <c r="AX244" s="12" t="n">
        <v>790917</v>
      </c>
      <c r="AY244" s="16" t="n">
        <v>26187</v>
      </c>
      <c r="AZ244" s="13" t="n">
        <f aca="false">IFERROR(AY244/AY243-1,"")</f>
        <v>0.140598458120998</v>
      </c>
      <c r="BA244" s="17" t="n">
        <v>0.918</v>
      </c>
      <c r="BB244" s="11" t="s">
        <v>81</v>
      </c>
      <c r="BC244" s="11" t="s">
        <v>108</v>
      </c>
      <c r="BD244" s="11" t="s">
        <v>83</v>
      </c>
      <c r="BE244" s="12" t="n">
        <v>1449362</v>
      </c>
      <c r="BF244" s="13" t="n">
        <f aca="false">IFERROR(P244/BE244-1,"")</f>
        <v>-0.0991367236066628</v>
      </c>
      <c r="BG244" s="17" t="n">
        <v>-0.037</v>
      </c>
      <c r="BH244" s="17" t="n">
        <v>-0.071</v>
      </c>
      <c r="BI244" s="14" t="n">
        <f aca="false">P244*(1+IFERROR(Q244,0))^4</f>
        <v>2003467.76531962</v>
      </c>
      <c r="BJ244" s="12" t="n">
        <v>-2010628</v>
      </c>
      <c r="BK244" s="11" t="s">
        <v>192</v>
      </c>
      <c r="BL244" s="11" t="s">
        <v>162</v>
      </c>
      <c r="BM244" s="14" t="n">
        <f aca="false">O244</f>
        <v>37303477</v>
      </c>
      <c r="BN244" s="11" t="s">
        <v>327</v>
      </c>
      <c r="BO244" s="13" t="n">
        <f aca="false">IFERROR(1-L244/M244,"")</f>
        <v>0.112641325082585</v>
      </c>
      <c r="BP244" s="11" t="s">
        <v>142</v>
      </c>
      <c r="BQ244" s="12" t="n">
        <v>2257490</v>
      </c>
      <c r="BR244" s="11" t="s">
        <v>88</v>
      </c>
      <c r="BS244" s="11" t="s">
        <v>89</v>
      </c>
      <c r="BT244" s="19" t="str">
        <f aca="false">IF(OR(Z244&lt;6,AH244&lt;0.9,S244&lt;0.02,AK244&lt;1),"REVIEW",IF(AND(S244&gt;0.25,AH244&gt;1.2),"ACCELERATING","STABLE"))</f>
        <v>STABLE</v>
      </c>
    </row>
    <row r="245" customFormat="false" ht="15" hidden="false" customHeight="false" outlineLevel="0" collapsed="false">
      <c r="A245" s="11" t="s">
        <v>325</v>
      </c>
      <c r="B245" s="11" t="s">
        <v>93</v>
      </c>
      <c r="C245" s="11" t="s">
        <v>74</v>
      </c>
      <c r="D245" s="11" t="s">
        <v>115</v>
      </c>
      <c r="E245" s="11" t="s">
        <v>105</v>
      </c>
      <c r="F245" s="11" t="s">
        <v>326</v>
      </c>
      <c r="G245" s="11" t="s">
        <v>78</v>
      </c>
      <c r="H245" s="11" t="s">
        <v>79</v>
      </c>
      <c r="I245" s="11" t="s">
        <v>78</v>
      </c>
      <c r="J245" s="12" t="n">
        <v>2421000</v>
      </c>
      <c r="K245" s="13" t="n">
        <f aca="false">IFERROR(J245/M245,"")</f>
        <v>0.112641325082585</v>
      </c>
      <c r="L245" s="12" t="n">
        <v>19072000</v>
      </c>
      <c r="M245" s="14" t="n">
        <f aca="false">L245+J245</f>
        <v>21493000</v>
      </c>
      <c r="N245" s="12" t="n">
        <v>2421000</v>
      </c>
      <c r="O245" s="12" t="n">
        <v>37303477</v>
      </c>
      <c r="P245" s="12" t="n">
        <v>1600037</v>
      </c>
      <c r="Q245" s="13" t="n">
        <f aca="false">IFERROR(P245/P244-1,"")</f>
        <v>0.225446262743389</v>
      </c>
      <c r="R245" s="12" t="n">
        <v>1708238</v>
      </c>
      <c r="S245" s="13" t="n">
        <f aca="false">IFERROR(R245/R244-1,"")</f>
        <v>0.0770507297136944</v>
      </c>
      <c r="T245" s="12" t="n">
        <v>1131935</v>
      </c>
      <c r="U245" s="13" t="n">
        <f aca="false">IFERROR(T245/P245,"")</f>
        <v>0.707443015380269</v>
      </c>
      <c r="V245" s="14" t="n">
        <f aca="false">T245-AV245</f>
        <v>-1753819</v>
      </c>
      <c r="W245" s="14" t="n">
        <f aca="false">V245-AA245*0.1</f>
        <v>-1753819</v>
      </c>
      <c r="X245" s="12" t="n">
        <v>4464000</v>
      </c>
      <c r="Y245" s="12" t="n">
        <v>186000</v>
      </c>
      <c r="Z245" s="15" t="n">
        <f aca="false">IFERROR(X245/Y245,"")</f>
        <v>24</v>
      </c>
      <c r="AA245" s="12" t="n">
        <v>0</v>
      </c>
      <c r="AB245" s="14" t="n">
        <f aca="false">W245-0.02*P245</f>
        <v>-1785819.74</v>
      </c>
      <c r="AC245" s="16" t="n">
        <v>68</v>
      </c>
      <c r="AD245" s="13" t="n">
        <f aca="false">IFERROR(AC245/AC244-1,"")</f>
        <v>0.096774193548387</v>
      </c>
      <c r="AE245" s="17" t="n">
        <v>0.087</v>
      </c>
      <c r="AF245" s="17" t="n">
        <v>0.093</v>
      </c>
      <c r="AG245" s="13" t="n">
        <f aca="false">1-AF245</f>
        <v>0.907</v>
      </c>
      <c r="AH245" s="17" t="n">
        <v>1.049</v>
      </c>
      <c r="AI245" s="12" t="n">
        <v>26200</v>
      </c>
      <c r="AJ245" s="14" t="n">
        <f aca="false">IFERROR(AM245*U245*MIN(1/AE245,5),"")</f>
        <v>101235.095500917</v>
      </c>
      <c r="AK245" s="18" t="n">
        <f aca="false">IFERROR(AJ245/AI245,"")</f>
        <v>3.86393494278307</v>
      </c>
      <c r="AL245" s="15" t="n">
        <f aca="false">IFERROR(AI245/(AM245*U245/12),"")</f>
        <v>15.5282117552383</v>
      </c>
      <c r="AM245" s="12" t="n">
        <v>28620</v>
      </c>
      <c r="AN245" s="12" t="n">
        <v>2388255</v>
      </c>
      <c r="AO245" s="12" t="n">
        <v>6280138</v>
      </c>
      <c r="AP245" s="17" t="n">
        <v>0.155</v>
      </c>
      <c r="AQ245" s="16" t="n">
        <v>62</v>
      </c>
      <c r="AR245" s="16" t="n">
        <v>2</v>
      </c>
      <c r="AS245" s="13" t="n">
        <f aca="false">IFERROR(AR245/AR244-1,"")</f>
        <v>0</v>
      </c>
      <c r="AT245" s="11" t="s">
        <v>153</v>
      </c>
      <c r="AU245" s="14" t="n">
        <f aca="false">IFERROR(P245/AR245,"")</f>
        <v>800018.5</v>
      </c>
      <c r="AV245" s="12" t="n">
        <v>2885754</v>
      </c>
      <c r="AW245" s="12" t="n">
        <v>1094162</v>
      </c>
      <c r="AX245" s="12" t="n">
        <v>745646</v>
      </c>
      <c r="AY245" s="16" t="n">
        <v>32496</v>
      </c>
      <c r="AZ245" s="13" t="n">
        <f aca="false">IFERROR(AY245/AY244-1,"")</f>
        <v>0.24092106770535</v>
      </c>
      <c r="BA245" s="17" t="n">
        <v>0.921</v>
      </c>
      <c r="BB245" s="11" t="s">
        <v>81</v>
      </c>
      <c r="BC245" s="11" t="s">
        <v>108</v>
      </c>
      <c r="BD245" s="11" t="s">
        <v>83</v>
      </c>
      <c r="BE245" s="12" t="n">
        <v>1741371</v>
      </c>
      <c r="BF245" s="13" t="n">
        <f aca="false">IFERROR(P245/BE245-1,"")</f>
        <v>-0.0811624863397863</v>
      </c>
      <c r="BG245" s="17" t="n">
        <v>-0.051</v>
      </c>
      <c r="BH245" s="17" t="n">
        <v>-0.064</v>
      </c>
      <c r="BI245" s="14" t="n">
        <f aca="false">P245*(1+IFERROR(Q245,0))^4</f>
        <v>3608337.17207525</v>
      </c>
      <c r="BJ245" s="12" t="n">
        <v>-1763052</v>
      </c>
      <c r="BK245" s="11" t="s">
        <v>192</v>
      </c>
      <c r="BL245" s="11" t="s">
        <v>162</v>
      </c>
      <c r="BM245" s="14" t="n">
        <f aca="false">O245</f>
        <v>37303477</v>
      </c>
      <c r="BN245" s="11" t="s">
        <v>327</v>
      </c>
      <c r="BO245" s="13" t="n">
        <f aca="false">IFERROR(1-L245/M245,"")</f>
        <v>0.112641325082585</v>
      </c>
      <c r="BP245" s="11" t="s">
        <v>142</v>
      </c>
      <c r="BQ245" s="12" t="n">
        <v>2586485</v>
      </c>
      <c r="BR245" s="11" t="s">
        <v>88</v>
      </c>
      <c r="BS245" s="11" t="s">
        <v>89</v>
      </c>
      <c r="BT245" s="19" t="str">
        <f aca="false">IF(OR(Z245&lt;6,AH245&lt;0.9,S245&lt;0.02,AK245&lt;1),"REVIEW",IF(AND(S245&gt;0.25,AH245&gt;1.2),"ACCELERATING","STABLE"))</f>
        <v>STABLE</v>
      </c>
    </row>
    <row r="246" customFormat="false" ht="15" hidden="false" customHeight="false" outlineLevel="0" collapsed="false">
      <c r="A246" s="3" t="s">
        <v>328</v>
      </c>
      <c r="B246" s="3" t="s">
        <v>73</v>
      </c>
      <c r="C246" s="3" t="s">
        <v>74</v>
      </c>
      <c r="D246" s="3" t="s">
        <v>165</v>
      </c>
      <c r="E246" s="3" t="s">
        <v>105</v>
      </c>
      <c r="F246" s="3" t="s">
        <v>329</v>
      </c>
      <c r="G246" s="3" t="s">
        <v>78</v>
      </c>
      <c r="H246" s="3" t="s">
        <v>79</v>
      </c>
      <c r="I246" s="3" t="s">
        <v>78</v>
      </c>
      <c r="J246" s="4" t="n">
        <v>3372000</v>
      </c>
      <c r="K246" s="5" t="n">
        <f aca="false">IFERROR(J246/M246,"")</f>
        <v>0.111918749377676</v>
      </c>
      <c r="L246" s="4" t="n">
        <v>26757000</v>
      </c>
      <c r="M246" s="6" t="n">
        <f aca="false">L246+J246</f>
        <v>30129000</v>
      </c>
      <c r="N246" s="4" t="n">
        <v>5530000</v>
      </c>
      <c r="O246" s="4" t="n">
        <v>29255089</v>
      </c>
      <c r="P246" s="4" t="n">
        <v>966051</v>
      </c>
      <c r="Q246" s="7"/>
      <c r="R246" s="4" t="n">
        <v>999934</v>
      </c>
      <c r="S246" s="7"/>
      <c r="T246" s="4" t="n">
        <v>713882</v>
      </c>
      <c r="U246" s="5" t="n">
        <f aca="false">IFERROR(T246/P246,"")</f>
        <v>0.738969267668063</v>
      </c>
      <c r="V246" s="6" t="n">
        <f aca="false">T246-AV246</f>
        <v>-1604386</v>
      </c>
      <c r="W246" s="6" t="n">
        <f aca="false">V246-AA246*0.1</f>
        <v>-1604386</v>
      </c>
      <c r="X246" s="4" t="n">
        <v>3381437</v>
      </c>
      <c r="Y246" s="4" t="n">
        <v>166530</v>
      </c>
      <c r="Z246" s="8" t="n">
        <f aca="false">IFERROR(X246/Y246,"")</f>
        <v>20.3052723233051</v>
      </c>
      <c r="AA246" s="4" t="n">
        <v>0</v>
      </c>
      <c r="AB246" s="6" t="n">
        <f aca="false">W246-0.02*P246</f>
        <v>-1623707.02</v>
      </c>
      <c r="AC246" s="9" t="n">
        <v>62</v>
      </c>
      <c r="AD246" s="7"/>
      <c r="AE246" s="7" t="n">
        <v>0.077</v>
      </c>
      <c r="AF246" s="7" t="n">
        <v>0.079</v>
      </c>
      <c r="AG246" s="5" t="n">
        <f aca="false">1-AF246</f>
        <v>0.921</v>
      </c>
      <c r="AH246" s="7" t="n">
        <v>1.185</v>
      </c>
      <c r="AI246" s="4" t="n">
        <v>56286</v>
      </c>
      <c r="AJ246" s="6" t="n">
        <f aca="false">IFERROR(AM246*U246*MIN(1/AE246,5),"")</f>
        <v>162573.238886974</v>
      </c>
      <c r="AK246" s="10" t="n">
        <f aca="false">IFERROR(AJ246/AI246,"")</f>
        <v>2.88834237442657</v>
      </c>
      <c r="AL246" s="8" t="n">
        <f aca="false">IFERROR(AI246/(AM246*U246/12),"")</f>
        <v>20.7731605959325</v>
      </c>
      <c r="AM246" s="4" t="n">
        <v>44000</v>
      </c>
      <c r="AN246" s="4" t="n">
        <v>962456</v>
      </c>
      <c r="AO246" s="4" t="n">
        <v>2846629</v>
      </c>
      <c r="AP246" s="7" t="n">
        <v>0.189</v>
      </c>
      <c r="AQ246" s="9" t="n">
        <v>28</v>
      </c>
      <c r="AR246" s="9" t="n">
        <v>2</v>
      </c>
      <c r="AS246" s="7"/>
      <c r="AT246" s="3" t="s">
        <v>218</v>
      </c>
      <c r="AU246" s="6" t="n">
        <f aca="false">IFERROR(P246/AR246,"")</f>
        <v>483025.5</v>
      </c>
      <c r="AV246" s="4" t="n">
        <v>2318268</v>
      </c>
      <c r="AW246" s="4" t="n">
        <v>818846</v>
      </c>
      <c r="AX246" s="4" t="n">
        <v>733032</v>
      </c>
      <c r="AY246" s="9" t="n">
        <v>3446</v>
      </c>
      <c r="AZ246" s="7"/>
      <c r="BA246" s="7" t="n">
        <v>0.942</v>
      </c>
      <c r="BB246" s="3" t="s">
        <v>81</v>
      </c>
      <c r="BC246" s="3" t="s">
        <v>126</v>
      </c>
      <c r="BD246" s="3" t="s">
        <v>83</v>
      </c>
      <c r="BE246" s="4" t="n">
        <v>1008030</v>
      </c>
      <c r="BF246" s="5" t="n">
        <f aca="false">IFERROR(P246/BE246-1,"")</f>
        <v>-0.0416445939108955</v>
      </c>
      <c r="BG246" s="7" t="n">
        <v>0.044</v>
      </c>
      <c r="BH246" s="7" t="n">
        <v>-0.059</v>
      </c>
      <c r="BI246" s="6" t="n">
        <f aca="false">P246</f>
        <v>966051</v>
      </c>
      <c r="BJ246" s="4" t="n">
        <v>-1632357</v>
      </c>
      <c r="BK246" s="3" t="s">
        <v>127</v>
      </c>
      <c r="BL246" s="3" t="s">
        <v>111</v>
      </c>
      <c r="BM246" s="6" t="n">
        <f aca="false">O246</f>
        <v>29255089</v>
      </c>
      <c r="BN246" s="3" t="s">
        <v>330</v>
      </c>
      <c r="BO246" s="5" t="n">
        <f aca="false">IFERROR(1-L246/M246,"")</f>
        <v>0.111918749377676</v>
      </c>
      <c r="BP246" s="3" t="s">
        <v>198</v>
      </c>
      <c r="BQ246" s="4" t="n">
        <v>3019302</v>
      </c>
      <c r="BR246" s="3" t="s">
        <v>88</v>
      </c>
      <c r="BS246" s="3" t="s">
        <v>89</v>
      </c>
      <c r="BT246" s="3" t="s">
        <v>90</v>
      </c>
    </row>
    <row r="247" customFormat="false" ht="15" hidden="false" customHeight="false" outlineLevel="0" collapsed="false">
      <c r="A247" s="11" t="s">
        <v>328</v>
      </c>
      <c r="B247" s="11" t="s">
        <v>91</v>
      </c>
      <c r="C247" s="11" t="s">
        <v>74</v>
      </c>
      <c r="D247" s="11" t="s">
        <v>165</v>
      </c>
      <c r="E247" s="11" t="s">
        <v>105</v>
      </c>
      <c r="F247" s="11" t="s">
        <v>329</v>
      </c>
      <c r="G247" s="11" t="s">
        <v>78</v>
      </c>
      <c r="H247" s="11" t="s">
        <v>79</v>
      </c>
      <c r="I247" s="11" t="s">
        <v>78</v>
      </c>
      <c r="J247" s="12" t="n">
        <v>3372000</v>
      </c>
      <c r="K247" s="13" t="n">
        <f aca="false">IFERROR(J247/M247,"")</f>
        <v>0.111918749377676</v>
      </c>
      <c r="L247" s="12" t="n">
        <v>26757000</v>
      </c>
      <c r="M247" s="14" t="n">
        <f aca="false">L247+J247</f>
        <v>30129000</v>
      </c>
      <c r="N247" s="12" t="n">
        <v>5530000</v>
      </c>
      <c r="O247" s="12" t="n">
        <v>29255089</v>
      </c>
      <c r="P247" s="12" t="n">
        <v>1101140</v>
      </c>
      <c r="Q247" s="13" t="n">
        <f aca="false">IFERROR(P247/P246-1,"")</f>
        <v>0.139836302638267</v>
      </c>
      <c r="R247" s="12" t="n">
        <v>1114368</v>
      </c>
      <c r="S247" s="13" t="n">
        <f aca="false">IFERROR(R247/R246-1,"")</f>
        <v>0.114441553142507</v>
      </c>
      <c r="T247" s="12" t="n">
        <v>817003</v>
      </c>
      <c r="U247" s="13" t="n">
        <f aca="false">IFERROR(T247/P247,"")</f>
        <v>0.741961058539332</v>
      </c>
      <c r="V247" s="14" t="n">
        <f aca="false">T247-AV247</f>
        <v>-2054547</v>
      </c>
      <c r="W247" s="14" t="n">
        <f aca="false">V247-AA247*0.1</f>
        <v>-2054547</v>
      </c>
      <c r="X247" s="12" t="n">
        <v>2961452</v>
      </c>
      <c r="Y247" s="12" t="n">
        <v>172020</v>
      </c>
      <c r="Z247" s="15" t="n">
        <f aca="false">IFERROR(X247/Y247,"")</f>
        <v>17.2157423555401</v>
      </c>
      <c r="AA247" s="12" t="n">
        <v>0</v>
      </c>
      <c r="AB247" s="14" t="n">
        <f aca="false">W247-0.02*P247</f>
        <v>-2076569.8</v>
      </c>
      <c r="AC247" s="16" t="n">
        <v>63</v>
      </c>
      <c r="AD247" s="13" t="n">
        <f aca="false">IFERROR(AC247/AC246-1,"")</f>
        <v>0.0161290322580645</v>
      </c>
      <c r="AE247" s="17" t="n">
        <v>0.075</v>
      </c>
      <c r="AF247" s="17" t="n">
        <v>0.081</v>
      </c>
      <c r="AG247" s="13" t="n">
        <f aca="false">1-AF247</f>
        <v>0.919</v>
      </c>
      <c r="AH247" s="17" t="n">
        <v>1.18</v>
      </c>
      <c r="AI247" s="12" t="n">
        <v>55224</v>
      </c>
      <c r="AJ247" s="14" t="n">
        <f aca="false">IFERROR(AM247*U247*MIN(1/AE247,5),"")</f>
        <v>166496.061536226</v>
      </c>
      <c r="AK247" s="18" t="n">
        <f aca="false">IFERROR(AJ247/AI247,"")</f>
        <v>3.01492216312158</v>
      </c>
      <c r="AL247" s="15" t="n">
        <f aca="false">IFERROR(AI247/(AM247*U247/12),"")</f>
        <v>19.9010112877599</v>
      </c>
      <c r="AM247" s="12" t="n">
        <v>44880</v>
      </c>
      <c r="AN247" s="12" t="n">
        <v>1142548</v>
      </c>
      <c r="AO247" s="12" t="n">
        <v>4413785</v>
      </c>
      <c r="AP247" s="17" t="n">
        <v>0.189</v>
      </c>
      <c r="AQ247" s="16" t="n">
        <v>28</v>
      </c>
      <c r="AR247" s="16" t="n">
        <v>3</v>
      </c>
      <c r="AS247" s="13" t="n">
        <f aca="false">IFERROR(AR247/AR246-1,"")</f>
        <v>0.5</v>
      </c>
      <c r="AT247" s="11" t="s">
        <v>218</v>
      </c>
      <c r="AU247" s="14" t="n">
        <f aca="false">IFERROR(P247/AR247,"")</f>
        <v>367046.666666667</v>
      </c>
      <c r="AV247" s="12" t="n">
        <v>2871550</v>
      </c>
      <c r="AW247" s="12" t="n">
        <v>907110</v>
      </c>
      <c r="AX247" s="12" t="n">
        <v>680592</v>
      </c>
      <c r="AY247" s="16" t="n">
        <v>3675</v>
      </c>
      <c r="AZ247" s="13" t="n">
        <f aca="false">IFERROR(AY247/AY246-1,"")</f>
        <v>0.0664538595473012</v>
      </c>
      <c r="BA247" s="17" t="n">
        <v>0.933</v>
      </c>
      <c r="BB247" s="11" t="s">
        <v>81</v>
      </c>
      <c r="BC247" s="11" t="s">
        <v>126</v>
      </c>
      <c r="BD247" s="11" t="s">
        <v>83</v>
      </c>
      <c r="BE247" s="12" t="n">
        <v>1099475</v>
      </c>
      <c r="BF247" s="13" t="n">
        <f aca="false">IFERROR(P247/BE247-1,"")</f>
        <v>0.00151435912594655</v>
      </c>
      <c r="BG247" s="17" t="n">
        <v>0.007</v>
      </c>
      <c r="BH247" s="17" t="n">
        <v>0.012</v>
      </c>
      <c r="BI247" s="14" t="n">
        <f aca="false">P247*(1+IFERROR(Q247,0))^4</f>
        <v>1858713.60541731</v>
      </c>
      <c r="BJ247" s="12" t="n">
        <v>-1207270</v>
      </c>
      <c r="BK247" s="11" t="s">
        <v>127</v>
      </c>
      <c r="BL247" s="11" t="s">
        <v>111</v>
      </c>
      <c r="BM247" s="14" t="n">
        <f aca="false">O247</f>
        <v>29255089</v>
      </c>
      <c r="BN247" s="11" t="s">
        <v>330</v>
      </c>
      <c r="BO247" s="13" t="n">
        <f aca="false">IFERROR(1-L247/M247,"")</f>
        <v>0.111918749377676</v>
      </c>
      <c r="BP247" s="11" t="s">
        <v>198</v>
      </c>
      <c r="BQ247" s="12" t="n">
        <v>2422668</v>
      </c>
      <c r="BR247" s="11" t="s">
        <v>88</v>
      </c>
      <c r="BS247" s="11" t="s">
        <v>89</v>
      </c>
      <c r="BT247" s="19" t="str">
        <f aca="false">IF(OR(Z247&lt;6,AH247&lt;0.9,S247&lt;0.02,AK247&lt;1),"REVIEW",IF(AND(S247&gt;0.25,AH247&gt;1.2),"ACCELERATING","STABLE"))</f>
        <v>STABLE</v>
      </c>
    </row>
    <row r="248" customFormat="false" ht="15" hidden="false" customHeight="false" outlineLevel="0" collapsed="false">
      <c r="A248" s="11" t="s">
        <v>328</v>
      </c>
      <c r="B248" s="11" t="s">
        <v>92</v>
      </c>
      <c r="C248" s="11" t="s">
        <v>74</v>
      </c>
      <c r="D248" s="11" t="s">
        <v>165</v>
      </c>
      <c r="E248" s="11" t="s">
        <v>105</v>
      </c>
      <c r="F248" s="11" t="s">
        <v>329</v>
      </c>
      <c r="G248" s="11" t="s">
        <v>78</v>
      </c>
      <c r="H248" s="11" t="s">
        <v>79</v>
      </c>
      <c r="I248" s="11" t="s">
        <v>78</v>
      </c>
      <c r="J248" s="12" t="n">
        <v>3372000</v>
      </c>
      <c r="K248" s="13" t="n">
        <f aca="false">IFERROR(J248/M248,"")</f>
        <v>0.111918749377676</v>
      </c>
      <c r="L248" s="12" t="n">
        <v>26757000</v>
      </c>
      <c r="M248" s="14" t="n">
        <f aca="false">L248+J248</f>
        <v>30129000</v>
      </c>
      <c r="N248" s="12" t="n">
        <v>5530000</v>
      </c>
      <c r="O248" s="12" t="n">
        <v>29255089</v>
      </c>
      <c r="P248" s="12" t="n">
        <v>1093718</v>
      </c>
      <c r="Q248" s="13" t="n">
        <f aca="false">IFERROR(P248/P247-1,"")</f>
        <v>-0.00674028733857635</v>
      </c>
      <c r="R248" s="12" t="n">
        <v>1205340</v>
      </c>
      <c r="S248" s="13" t="n">
        <f aca="false">IFERROR(R248/R247-1,"")</f>
        <v>0.0816355099931081</v>
      </c>
      <c r="T248" s="12" t="n">
        <v>814769</v>
      </c>
      <c r="U248" s="13" t="n">
        <f aca="false">IFERROR(T248/P248,"")</f>
        <v>0.744953452352435</v>
      </c>
      <c r="V248" s="14" t="n">
        <f aca="false">T248-AV248</f>
        <v>-2075706</v>
      </c>
      <c r="W248" s="14" t="n">
        <f aca="false">V248-AA248*0.1</f>
        <v>-2075706</v>
      </c>
      <c r="X248" s="12" t="n">
        <v>2511821</v>
      </c>
      <c r="Y248" s="12" t="n">
        <v>177510</v>
      </c>
      <c r="Z248" s="15" t="n">
        <f aca="false">IFERROR(X248/Y248,"")</f>
        <v>14.1503070249563</v>
      </c>
      <c r="AA248" s="12" t="n">
        <v>0</v>
      </c>
      <c r="AB248" s="14" t="n">
        <f aca="false">W248-0.02*P248</f>
        <v>-2097580.36</v>
      </c>
      <c r="AC248" s="16" t="n">
        <v>64</v>
      </c>
      <c r="AD248" s="13" t="n">
        <f aca="false">IFERROR(AC248/AC247-1,"")</f>
        <v>0.0158730158730158</v>
      </c>
      <c r="AE248" s="17" t="n">
        <v>0.073</v>
      </c>
      <c r="AF248" s="17" t="n">
        <v>0.074</v>
      </c>
      <c r="AG248" s="13" t="n">
        <f aca="false">1-AF248</f>
        <v>0.926</v>
      </c>
      <c r="AH248" s="17" t="n">
        <v>1.175</v>
      </c>
      <c r="AI248" s="12" t="n">
        <v>54162</v>
      </c>
      <c r="AJ248" s="14" t="n">
        <f aca="false">IFERROR(AM248*U248*MIN(1/AE248,5),"")</f>
        <v>170445.349898237</v>
      </c>
      <c r="AK248" s="18" t="n">
        <f aca="false">IFERROR(AJ248/AI248,"")</f>
        <v>3.14695450497096</v>
      </c>
      <c r="AL248" s="15" t="n">
        <f aca="false">IFERROR(AI248/(AM248*U248/12),"")</f>
        <v>19.0660525613648</v>
      </c>
      <c r="AM248" s="12" t="n">
        <v>45760</v>
      </c>
      <c r="AN248" s="12" t="n">
        <v>1498981</v>
      </c>
      <c r="AO248" s="12" t="n">
        <v>3049292</v>
      </c>
      <c r="AP248" s="17" t="n">
        <v>0.189</v>
      </c>
      <c r="AQ248" s="16" t="n">
        <v>28</v>
      </c>
      <c r="AR248" s="16" t="n">
        <v>3</v>
      </c>
      <c r="AS248" s="13" t="n">
        <f aca="false">IFERROR(AR248/AR247-1,"")</f>
        <v>0</v>
      </c>
      <c r="AT248" s="11" t="s">
        <v>218</v>
      </c>
      <c r="AU248" s="14" t="n">
        <f aca="false">IFERROR(P248/AR248,"")</f>
        <v>364572.666666667</v>
      </c>
      <c r="AV248" s="12" t="n">
        <v>2890475</v>
      </c>
      <c r="AW248" s="12" t="n">
        <v>1228628</v>
      </c>
      <c r="AX248" s="12" t="n">
        <v>607152</v>
      </c>
      <c r="AY248" s="16" t="n">
        <v>3937</v>
      </c>
      <c r="AZ248" s="13" t="n">
        <f aca="false">IFERROR(AY248/AY247-1,"")</f>
        <v>0.0712925170068026</v>
      </c>
      <c r="BA248" s="17" t="n">
        <v>0.941</v>
      </c>
      <c r="BB248" s="11" t="s">
        <v>81</v>
      </c>
      <c r="BC248" s="11" t="s">
        <v>126</v>
      </c>
      <c r="BD248" s="11" t="s">
        <v>83</v>
      </c>
      <c r="BE248" s="12" t="n">
        <v>1298631</v>
      </c>
      <c r="BF248" s="13" t="n">
        <f aca="false">IFERROR(P248/BE248-1,"")</f>
        <v>-0.15779155125667</v>
      </c>
      <c r="BG248" s="17" t="n">
        <v>0.066</v>
      </c>
      <c r="BH248" s="17" t="n">
        <v>-0.015</v>
      </c>
      <c r="BI248" s="14" t="n">
        <f aca="false">P248*(1+IFERROR(Q248,0))^4</f>
        <v>1064526.90355086</v>
      </c>
      <c r="BJ248" s="12" t="n">
        <v>-1870982</v>
      </c>
      <c r="BK248" s="11" t="s">
        <v>127</v>
      </c>
      <c r="BL248" s="11" t="s">
        <v>111</v>
      </c>
      <c r="BM248" s="14" t="n">
        <f aca="false">O248</f>
        <v>29255089</v>
      </c>
      <c r="BN248" s="11" t="s">
        <v>330</v>
      </c>
      <c r="BO248" s="13" t="n">
        <f aca="false">IFERROR(1-L248/M248,"")</f>
        <v>0.111918749377676</v>
      </c>
      <c r="BP248" s="11" t="s">
        <v>198</v>
      </c>
      <c r="BQ248" s="12" t="n">
        <v>2311572</v>
      </c>
      <c r="BR248" s="11" t="s">
        <v>88</v>
      </c>
      <c r="BS248" s="11" t="s">
        <v>89</v>
      </c>
      <c r="BT248" s="19" t="str">
        <f aca="false">IF(OR(Z248&lt;6,AH248&lt;0.9,S248&lt;0.02,AK248&lt;1),"REVIEW",IF(AND(S248&gt;0.25,AH248&gt;1.2),"ACCELERATING","STABLE"))</f>
        <v>STABLE</v>
      </c>
    </row>
    <row r="249" customFormat="false" ht="15" hidden="false" customHeight="false" outlineLevel="0" collapsed="false">
      <c r="A249" s="11" t="s">
        <v>328</v>
      </c>
      <c r="B249" s="11" t="s">
        <v>93</v>
      </c>
      <c r="C249" s="11" t="s">
        <v>74</v>
      </c>
      <c r="D249" s="11" t="s">
        <v>165</v>
      </c>
      <c r="E249" s="11" t="s">
        <v>105</v>
      </c>
      <c r="F249" s="11" t="s">
        <v>329</v>
      </c>
      <c r="G249" s="11" t="s">
        <v>78</v>
      </c>
      <c r="H249" s="11" t="s">
        <v>79</v>
      </c>
      <c r="I249" s="11" t="s">
        <v>78</v>
      </c>
      <c r="J249" s="12" t="n">
        <v>3372000</v>
      </c>
      <c r="K249" s="13" t="n">
        <f aca="false">IFERROR(J249/M249,"")</f>
        <v>0.111918749377676</v>
      </c>
      <c r="L249" s="12" t="n">
        <v>26757000</v>
      </c>
      <c r="M249" s="14" t="n">
        <f aca="false">L249+J249</f>
        <v>30129000</v>
      </c>
      <c r="N249" s="12" t="n">
        <v>5530000</v>
      </c>
      <c r="O249" s="12" t="n">
        <v>29255089</v>
      </c>
      <c r="P249" s="12" t="n">
        <v>1304066</v>
      </c>
      <c r="Q249" s="13" t="n">
        <f aca="false">IFERROR(P249/P248-1,"")</f>
        <v>0.192323798273412</v>
      </c>
      <c r="R249" s="12" t="n">
        <v>1351443</v>
      </c>
      <c r="S249" s="13" t="n">
        <f aca="false">IFERROR(R249/R248-1,"")</f>
        <v>0.121213101697446</v>
      </c>
      <c r="T249" s="12" t="n">
        <v>975369</v>
      </c>
      <c r="U249" s="13" t="n">
        <f aca="false">IFERROR(T249/P249,"")</f>
        <v>0.747944505876236</v>
      </c>
      <c r="V249" s="14" t="n">
        <f aca="false">T249-AV249</f>
        <v>-1660084</v>
      </c>
      <c r="W249" s="14" t="n">
        <f aca="false">V249-AA249*0.1</f>
        <v>-1660084</v>
      </c>
      <c r="X249" s="12" t="n">
        <v>2032544</v>
      </c>
      <c r="Y249" s="12" t="n">
        <v>183000</v>
      </c>
      <c r="Z249" s="15" t="n">
        <f aca="false">IFERROR(X249/Y249,"")</f>
        <v>11.1067978142077</v>
      </c>
      <c r="AA249" s="12" t="n">
        <v>0</v>
      </c>
      <c r="AB249" s="14" t="n">
        <f aca="false">W249-0.02*P249</f>
        <v>-1686165.32</v>
      </c>
      <c r="AC249" s="16" t="n">
        <v>73</v>
      </c>
      <c r="AD249" s="13" t="n">
        <f aca="false">IFERROR(AC249/AC248-1,"")</f>
        <v>0.140625</v>
      </c>
      <c r="AE249" s="17" t="n">
        <v>0.071</v>
      </c>
      <c r="AF249" s="17" t="n">
        <v>0.064</v>
      </c>
      <c r="AG249" s="13" t="n">
        <f aca="false">1-AF249</f>
        <v>0.936</v>
      </c>
      <c r="AH249" s="17" t="n">
        <v>1.17</v>
      </c>
      <c r="AI249" s="12" t="n">
        <v>53100</v>
      </c>
      <c r="AJ249" s="14" t="n">
        <f aca="false">IFERROR(AM249*U249*MIN(1/AE249,5),"")</f>
        <v>174420.658770338</v>
      </c>
      <c r="AK249" s="18" t="n">
        <f aca="false">IFERROR(AJ249/AI249,"")</f>
        <v>3.28475816893293</v>
      </c>
      <c r="AL249" s="15" t="n">
        <f aca="false">IFERROR(AI249/(AM249*U249/12),"")</f>
        <v>18.2661848800551</v>
      </c>
      <c r="AM249" s="12" t="n">
        <v>46640</v>
      </c>
      <c r="AN249" s="12" t="n">
        <v>1653629</v>
      </c>
      <c r="AO249" s="12" t="n">
        <v>2515599</v>
      </c>
      <c r="AP249" s="17" t="n">
        <v>0.189</v>
      </c>
      <c r="AQ249" s="16" t="n">
        <v>28</v>
      </c>
      <c r="AR249" s="16" t="n">
        <v>3</v>
      </c>
      <c r="AS249" s="13" t="n">
        <f aca="false">IFERROR(AR249/AR248-1,"")</f>
        <v>0</v>
      </c>
      <c r="AT249" s="11" t="s">
        <v>218</v>
      </c>
      <c r="AU249" s="14" t="n">
        <f aca="false">IFERROR(P249/AR249,"")</f>
        <v>434688.666666667</v>
      </c>
      <c r="AV249" s="12" t="n">
        <v>2635453</v>
      </c>
      <c r="AW249" s="12" t="n">
        <v>957391</v>
      </c>
      <c r="AX249" s="12" t="n">
        <v>668722</v>
      </c>
      <c r="AY249" s="16" t="n">
        <v>4603</v>
      </c>
      <c r="AZ249" s="13" t="n">
        <f aca="false">IFERROR(AY249/AY248-1,"")</f>
        <v>0.169164338328677</v>
      </c>
      <c r="BA249" s="17" t="n">
        <v>0.949</v>
      </c>
      <c r="BB249" s="11" t="s">
        <v>81</v>
      </c>
      <c r="BC249" s="11" t="s">
        <v>126</v>
      </c>
      <c r="BD249" s="11" t="s">
        <v>83</v>
      </c>
      <c r="BE249" s="12" t="n">
        <v>1257042</v>
      </c>
      <c r="BF249" s="13" t="n">
        <f aca="false">IFERROR(P249/BE249-1,"")</f>
        <v>0.0374084557238341</v>
      </c>
      <c r="BG249" s="17" t="n">
        <v>0.002</v>
      </c>
      <c r="BH249" s="17" t="n">
        <v>-0.016</v>
      </c>
      <c r="BI249" s="14" t="n">
        <f aca="false">P249*(1+IFERROR(Q249,0))^4</f>
        <v>2635581.3243891</v>
      </c>
      <c r="BJ249" s="12" t="n">
        <v>-1136024</v>
      </c>
      <c r="BK249" s="11" t="s">
        <v>127</v>
      </c>
      <c r="BL249" s="11" t="s">
        <v>111</v>
      </c>
      <c r="BM249" s="14" t="n">
        <f aca="false">O249</f>
        <v>29255089</v>
      </c>
      <c r="BN249" s="11" t="s">
        <v>330</v>
      </c>
      <c r="BO249" s="13" t="n">
        <f aca="false">IFERROR(1-L249/M249,"")</f>
        <v>0.111918749377676</v>
      </c>
      <c r="BP249" s="11" t="s">
        <v>198</v>
      </c>
      <c r="BQ249" s="12" t="n">
        <v>3296100</v>
      </c>
      <c r="BR249" s="11" t="s">
        <v>88</v>
      </c>
      <c r="BS249" s="11" t="s">
        <v>89</v>
      </c>
      <c r="BT249" s="19" t="str">
        <f aca="false">IF(OR(Z249&lt;6,AH249&lt;0.9,S249&lt;0.02,AK249&lt;1),"REVIEW",IF(AND(S249&gt;0.25,AH249&gt;1.2),"ACCELERATING","STABLE"))</f>
        <v>STABLE</v>
      </c>
    </row>
    <row r="250" customFormat="false" ht="15" hidden="false" customHeight="false" outlineLevel="0" collapsed="false">
      <c r="A250" s="3" t="s">
        <v>331</v>
      </c>
      <c r="B250" s="3" t="s">
        <v>73</v>
      </c>
      <c r="C250" s="3" t="s">
        <v>74</v>
      </c>
      <c r="D250" s="3" t="s">
        <v>132</v>
      </c>
      <c r="E250" s="3" t="s">
        <v>105</v>
      </c>
      <c r="F250" s="3" t="s">
        <v>332</v>
      </c>
      <c r="G250" s="3" t="s">
        <v>78</v>
      </c>
      <c r="H250" s="3" t="s">
        <v>79</v>
      </c>
      <c r="I250" s="3" t="s">
        <v>78</v>
      </c>
      <c r="J250" s="4" t="n">
        <v>4353000</v>
      </c>
      <c r="K250" s="5" t="n">
        <f aca="false">IFERROR(J250/M250,"")</f>
        <v>0.16362201172756</v>
      </c>
      <c r="L250" s="4" t="n">
        <v>22251000</v>
      </c>
      <c r="M250" s="6" t="n">
        <f aca="false">L250+J250</f>
        <v>26604000</v>
      </c>
      <c r="N250" s="4" t="n">
        <v>5262000</v>
      </c>
      <c r="O250" s="4" t="n">
        <v>30933898</v>
      </c>
      <c r="P250" s="4" t="n">
        <v>653460</v>
      </c>
      <c r="Q250" s="7"/>
      <c r="R250" s="4" t="n">
        <v>726148</v>
      </c>
      <c r="S250" s="7"/>
      <c r="T250" s="4" t="n">
        <v>542668</v>
      </c>
      <c r="U250" s="5" t="n">
        <f aca="false">IFERROR(T250/P250,"")</f>
        <v>0.830453279466226</v>
      </c>
      <c r="V250" s="6" t="n">
        <f aca="false">T250-AV250</f>
        <v>-1409468</v>
      </c>
      <c r="W250" s="6" t="n">
        <f aca="false">V250-AA250*0.1</f>
        <v>-1409468</v>
      </c>
      <c r="X250" s="4" t="n">
        <v>4105311</v>
      </c>
      <c r="Y250" s="4" t="n">
        <v>128310</v>
      </c>
      <c r="Z250" s="8" t="n">
        <f aca="false">IFERROR(X250/Y250,"")</f>
        <v>31.9952536824877</v>
      </c>
      <c r="AA250" s="4" t="n">
        <v>0</v>
      </c>
      <c r="AB250" s="6" t="n">
        <f aca="false">W250-0.02*P250</f>
        <v>-1422537.2</v>
      </c>
      <c r="AC250" s="9" t="n">
        <v>33</v>
      </c>
      <c r="AD250" s="7"/>
      <c r="AE250" s="7" t="n">
        <v>0.068</v>
      </c>
      <c r="AF250" s="7" t="n">
        <v>0.043</v>
      </c>
      <c r="AG250" s="5" t="n">
        <f aca="false">1-AF250</f>
        <v>0.957</v>
      </c>
      <c r="AH250" s="7" t="n">
        <v>1.1</v>
      </c>
      <c r="AI250" s="4" t="n">
        <v>81938</v>
      </c>
      <c r="AJ250" s="6" t="n">
        <f aca="false">IFERROR(AM250*U250*MIN(1/AE250,5),"")</f>
        <v>199308.787071894</v>
      </c>
      <c r="AK250" s="10" t="n">
        <f aca="false">IFERROR(AJ250/AI250,"")</f>
        <v>2.43243412179812</v>
      </c>
      <c r="AL250" s="8" t="n">
        <f aca="false">IFERROR(AI250/(AM250*U250/12),"")</f>
        <v>24.6666495352591</v>
      </c>
      <c r="AM250" s="4" t="n">
        <v>48000</v>
      </c>
      <c r="AN250" s="4" t="n">
        <v>929817</v>
      </c>
      <c r="AO250" s="4" t="n">
        <v>1806064</v>
      </c>
      <c r="AP250" s="7" t="n">
        <v>0.369</v>
      </c>
      <c r="AQ250" s="9" t="n">
        <v>56</v>
      </c>
      <c r="AR250" s="9" t="n">
        <v>11</v>
      </c>
      <c r="AS250" s="7"/>
      <c r="AT250" s="3" t="s">
        <v>201</v>
      </c>
      <c r="AU250" s="6" t="n">
        <f aca="false">IFERROR(P250/AR250,"")</f>
        <v>59405.4545454545</v>
      </c>
      <c r="AV250" s="4" t="n">
        <v>1952136</v>
      </c>
      <c r="AW250" s="4" t="n">
        <v>966839</v>
      </c>
      <c r="AX250" s="4" t="n">
        <v>518017</v>
      </c>
      <c r="AY250" s="9" t="n">
        <v>20331</v>
      </c>
      <c r="AZ250" s="7"/>
      <c r="BA250" s="7" t="n">
        <v>0.94</v>
      </c>
      <c r="BB250" s="3" t="s">
        <v>107</v>
      </c>
      <c r="BC250" s="3" t="s">
        <v>126</v>
      </c>
      <c r="BD250" s="3" t="s">
        <v>83</v>
      </c>
      <c r="BE250" s="4" t="n">
        <v>647054</v>
      </c>
      <c r="BF250" s="5" t="n">
        <f aca="false">IFERROR(P250/BE250-1,"")</f>
        <v>0.00990025562008734</v>
      </c>
      <c r="BG250" s="7" t="n">
        <v>0.055</v>
      </c>
      <c r="BH250" s="7" t="n">
        <v>0.075</v>
      </c>
      <c r="BI250" s="6" t="n">
        <f aca="false">P250</f>
        <v>653460</v>
      </c>
      <c r="BJ250" s="4" t="n">
        <v>-944159</v>
      </c>
      <c r="BK250" s="3" t="s">
        <v>127</v>
      </c>
      <c r="BL250" s="3" t="s">
        <v>128</v>
      </c>
      <c r="BM250" s="6" t="n">
        <f aca="false">O250</f>
        <v>30933898</v>
      </c>
      <c r="BN250" s="3" t="s">
        <v>333</v>
      </c>
      <c r="BO250" s="5" t="n">
        <f aca="false">IFERROR(1-L250/M250,"")</f>
        <v>0.16362201172756</v>
      </c>
      <c r="BP250" s="3" t="s">
        <v>142</v>
      </c>
      <c r="BQ250" s="4" t="n">
        <v>1569264</v>
      </c>
      <c r="BR250" s="3" t="s">
        <v>88</v>
      </c>
      <c r="BS250" s="3" t="s">
        <v>89</v>
      </c>
      <c r="BT250" s="3" t="s">
        <v>90</v>
      </c>
    </row>
    <row r="251" customFormat="false" ht="15" hidden="false" customHeight="false" outlineLevel="0" collapsed="false">
      <c r="A251" s="11" t="s">
        <v>331</v>
      </c>
      <c r="B251" s="11" t="s">
        <v>91</v>
      </c>
      <c r="C251" s="11" t="s">
        <v>74</v>
      </c>
      <c r="D251" s="11" t="s">
        <v>132</v>
      </c>
      <c r="E251" s="11" t="s">
        <v>105</v>
      </c>
      <c r="F251" s="11" t="s">
        <v>332</v>
      </c>
      <c r="G251" s="11" t="s">
        <v>78</v>
      </c>
      <c r="H251" s="11" t="s">
        <v>79</v>
      </c>
      <c r="I251" s="11" t="s">
        <v>78</v>
      </c>
      <c r="J251" s="12" t="n">
        <v>4353000</v>
      </c>
      <c r="K251" s="13" t="n">
        <f aca="false">IFERROR(J251/M251,"")</f>
        <v>0.16362201172756</v>
      </c>
      <c r="L251" s="12" t="n">
        <v>22251000</v>
      </c>
      <c r="M251" s="14" t="n">
        <f aca="false">L251+J251</f>
        <v>26604000</v>
      </c>
      <c r="N251" s="12" t="n">
        <v>5262000</v>
      </c>
      <c r="O251" s="12" t="n">
        <v>30933898</v>
      </c>
      <c r="P251" s="12" t="n">
        <v>807200</v>
      </c>
      <c r="Q251" s="13" t="n">
        <f aca="false">IFERROR(P251/P250-1,"")</f>
        <v>0.235270712820984</v>
      </c>
      <c r="R251" s="12" t="n">
        <v>876747</v>
      </c>
      <c r="S251" s="13" t="n">
        <f aca="false">IFERROR(R251/R250-1,"")</f>
        <v>0.207394360378325</v>
      </c>
      <c r="T251" s="12" t="n">
        <v>673056</v>
      </c>
      <c r="U251" s="13" t="n">
        <f aca="false">IFERROR(T251/P251,"")</f>
        <v>0.833815659068385</v>
      </c>
      <c r="V251" s="14" t="n">
        <f aca="false">T251-AV251</f>
        <v>-1575745</v>
      </c>
      <c r="W251" s="14" t="n">
        <f aca="false">V251-AA251*0.1</f>
        <v>-1575745</v>
      </c>
      <c r="X251" s="12" t="n">
        <v>3781716</v>
      </c>
      <c r="Y251" s="12" t="n">
        <v>132540</v>
      </c>
      <c r="Z251" s="15" t="n">
        <f aca="false">IFERROR(X251/Y251,"")</f>
        <v>28.5326392032594</v>
      </c>
      <c r="AA251" s="12" t="n">
        <v>0</v>
      </c>
      <c r="AB251" s="14" t="n">
        <f aca="false">W251-0.02*P251</f>
        <v>-1591889</v>
      </c>
      <c r="AC251" s="16" t="n">
        <v>35</v>
      </c>
      <c r="AD251" s="13" t="n">
        <f aca="false">IFERROR(AC251/AC250-1,"")</f>
        <v>0.0606060606060606</v>
      </c>
      <c r="AE251" s="17" t="n">
        <v>0.066</v>
      </c>
      <c r="AF251" s="17" t="n">
        <v>0.07</v>
      </c>
      <c r="AG251" s="13" t="n">
        <f aca="false">1-AF251</f>
        <v>0.93</v>
      </c>
      <c r="AH251" s="17" t="n">
        <v>1.095</v>
      </c>
      <c r="AI251" s="12" t="n">
        <v>80392</v>
      </c>
      <c r="AJ251" s="14" t="n">
        <f aca="false">IFERROR(AM251*U251*MIN(1/AE251,5),"")</f>
        <v>204118.073339941</v>
      </c>
      <c r="AK251" s="18" t="n">
        <f aca="false">IFERROR(AJ251/AI251,"")</f>
        <v>2.53903464697906</v>
      </c>
      <c r="AL251" s="15" t="n">
        <f aca="false">IFERROR(AI251/(AM251*U251/12),"")</f>
        <v>23.6310284585474</v>
      </c>
      <c r="AM251" s="12" t="n">
        <v>48960</v>
      </c>
      <c r="AN251" s="12" t="n">
        <v>881162</v>
      </c>
      <c r="AO251" s="12" t="n">
        <v>2143984</v>
      </c>
      <c r="AP251" s="17" t="n">
        <v>0.369</v>
      </c>
      <c r="AQ251" s="16" t="n">
        <v>56</v>
      </c>
      <c r="AR251" s="16" t="n">
        <v>13</v>
      </c>
      <c r="AS251" s="13" t="n">
        <f aca="false">IFERROR(AR251/AR250-1,"")</f>
        <v>0.181818181818182</v>
      </c>
      <c r="AT251" s="11" t="s">
        <v>201</v>
      </c>
      <c r="AU251" s="14" t="n">
        <f aca="false">IFERROR(P251/AR251,"")</f>
        <v>62092.3076923077</v>
      </c>
      <c r="AV251" s="12" t="n">
        <v>2248801</v>
      </c>
      <c r="AW251" s="12" t="n">
        <v>1121508</v>
      </c>
      <c r="AX251" s="12" t="n">
        <v>486357</v>
      </c>
      <c r="AY251" s="16" t="n">
        <v>23768</v>
      </c>
      <c r="AZ251" s="13" t="n">
        <f aca="false">IFERROR(AY251/AY250-1,"")</f>
        <v>0.169052186316462</v>
      </c>
      <c r="BA251" s="17" t="n">
        <v>0.945</v>
      </c>
      <c r="BB251" s="11" t="s">
        <v>107</v>
      </c>
      <c r="BC251" s="11" t="s">
        <v>126</v>
      </c>
      <c r="BD251" s="11" t="s">
        <v>83</v>
      </c>
      <c r="BE251" s="12" t="n">
        <v>922319</v>
      </c>
      <c r="BF251" s="13" t="n">
        <f aca="false">IFERROR(P251/BE251-1,"")</f>
        <v>-0.124814733297265</v>
      </c>
      <c r="BG251" s="17" t="n">
        <v>0.052</v>
      </c>
      <c r="BH251" s="17" t="n">
        <v>0.042</v>
      </c>
      <c r="BI251" s="14" t="n">
        <f aca="false">P251*(1+IFERROR(Q251,0))^4</f>
        <v>1879445.48200295</v>
      </c>
      <c r="BJ251" s="12" t="n">
        <v>-1541756</v>
      </c>
      <c r="BK251" s="11" t="s">
        <v>127</v>
      </c>
      <c r="BL251" s="11" t="s">
        <v>128</v>
      </c>
      <c r="BM251" s="14" t="n">
        <f aca="false">O251</f>
        <v>30933898</v>
      </c>
      <c r="BN251" s="11" t="s">
        <v>333</v>
      </c>
      <c r="BO251" s="13" t="n">
        <f aca="false">IFERROR(1-L251/M251,"")</f>
        <v>0.16362201172756</v>
      </c>
      <c r="BP251" s="11" t="s">
        <v>142</v>
      </c>
      <c r="BQ251" s="12" t="n">
        <v>2215583</v>
      </c>
      <c r="BR251" s="11" t="s">
        <v>88</v>
      </c>
      <c r="BS251" s="11" t="s">
        <v>89</v>
      </c>
      <c r="BT251" s="19" t="str">
        <f aca="false">IF(OR(Z251&lt;6,AH251&lt;0.9,S251&lt;0.02,AK251&lt;1),"REVIEW",IF(AND(S251&gt;0.25,AH251&gt;1.2),"ACCELERATING","STABLE"))</f>
        <v>STABLE</v>
      </c>
    </row>
    <row r="252" customFormat="false" ht="15" hidden="false" customHeight="false" outlineLevel="0" collapsed="false">
      <c r="A252" s="11" t="s">
        <v>331</v>
      </c>
      <c r="B252" s="11" t="s">
        <v>92</v>
      </c>
      <c r="C252" s="11" t="s">
        <v>74</v>
      </c>
      <c r="D252" s="11" t="s">
        <v>132</v>
      </c>
      <c r="E252" s="11" t="s">
        <v>105</v>
      </c>
      <c r="F252" s="11" t="s">
        <v>332</v>
      </c>
      <c r="G252" s="11" t="s">
        <v>78</v>
      </c>
      <c r="H252" s="11" t="s">
        <v>79</v>
      </c>
      <c r="I252" s="11" t="s">
        <v>78</v>
      </c>
      <c r="J252" s="12" t="n">
        <v>4353000</v>
      </c>
      <c r="K252" s="13" t="n">
        <f aca="false">IFERROR(J252/M252,"")</f>
        <v>0.16362201172756</v>
      </c>
      <c r="L252" s="12" t="n">
        <v>22251000</v>
      </c>
      <c r="M252" s="14" t="n">
        <f aca="false">L252+J252</f>
        <v>26604000</v>
      </c>
      <c r="N252" s="12" t="n">
        <v>5262000</v>
      </c>
      <c r="O252" s="12" t="n">
        <v>30933898</v>
      </c>
      <c r="P252" s="12" t="n">
        <v>965194</v>
      </c>
      <c r="Q252" s="13" t="n">
        <f aca="false">IFERROR(P252/P251-1,"")</f>
        <v>0.195730921704658</v>
      </c>
      <c r="R252" s="12" t="n">
        <v>1092569</v>
      </c>
      <c r="S252" s="13" t="n">
        <f aca="false">IFERROR(R252/R251-1,"")</f>
        <v>0.24616223380291</v>
      </c>
      <c r="T252" s="12" t="n">
        <v>808040</v>
      </c>
      <c r="U252" s="13" t="n">
        <f aca="false">IFERROR(T252/P252,"")</f>
        <v>0.837178846946831</v>
      </c>
      <c r="V252" s="14" t="n">
        <f aca="false">T252-AV252</f>
        <v>-1447272</v>
      </c>
      <c r="W252" s="14" t="n">
        <f aca="false">V252-AA252*0.1</f>
        <v>-1447272</v>
      </c>
      <c r="X252" s="12" t="n">
        <v>3435279</v>
      </c>
      <c r="Y252" s="12" t="n">
        <v>136770</v>
      </c>
      <c r="Z252" s="15" t="n">
        <f aca="false">IFERROR(X252/Y252,"")</f>
        <v>25.1171967536741</v>
      </c>
      <c r="AA252" s="12" t="n">
        <v>0</v>
      </c>
      <c r="AB252" s="14" t="n">
        <f aca="false">W252-0.02*P252</f>
        <v>-1466575.88</v>
      </c>
      <c r="AC252" s="16" t="n">
        <v>42</v>
      </c>
      <c r="AD252" s="13" t="n">
        <f aca="false">IFERROR(AC252/AC251-1,"")</f>
        <v>0.2</v>
      </c>
      <c r="AE252" s="17" t="n">
        <v>0.064</v>
      </c>
      <c r="AF252" s="17" t="n">
        <v>0.058</v>
      </c>
      <c r="AG252" s="13" t="n">
        <f aca="false">1-AF252</f>
        <v>0.942</v>
      </c>
      <c r="AH252" s="17" t="n">
        <v>1.09</v>
      </c>
      <c r="AI252" s="12" t="n">
        <v>78846</v>
      </c>
      <c r="AJ252" s="14" t="n">
        <f aca="false">IFERROR(AM252*U252*MIN(1/AE252,5),"")</f>
        <v>208959.840197929</v>
      </c>
      <c r="AK252" s="18" t="n">
        <f aca="false">IFERROR(AJ252/AI252,"")</f>
        <v>2.65022753466161</v>
      </c>
      <c r="AL252" s="15" t="n">
        <f aca="false">IFERROR(AI252/(AM252*U252/12),"")</f>
        <v>22.6395655524955</v>
      </c>
      <c r="AM252" s="12" t="n">
        <v>49920</v>
      </c>
      <c r="AN252" s="12" t="n">
        <v>1158255</v>
      </c>
      <c r="AO252" s="12" t="n">
        <v>3967497</v>
      </c>
      <c r="AP252" s="17" t="n">
        <v>0.369</v>
      </c>
      <c r="AQ252" s="16" t="n">
        <v>56</v>
      </c>
      <c r="AR252" s="16" t="n">
        <v>14</v>
      </c>
      <c r="AS252" s="13" t="n">
        <f aca="false">IFERROR(AR252/AR251-1,"")</f>
        <v>0.0769230769230769</v>
      </c>
      <c r="AT252" s="11" t="s">
        <v>201</v>
      </c>
      <c r="AU252" s="14" t="n">
        <f aca="false">IFERROR(P252/AR252,"")</f>
        <v>68942.4285714286</v>
      </c>
      <c r="AV252" s="12" t="n">
        <v>2255312</v>
      </c>
      <c r="AW252" s="12" t="n">
        <v>1088813</v>
      </c>
      <c r="AX252" s="12" t="n">
        <v>473856</v>
      </c>
      <c r="AY252" s="16" t="n">
        <v>27319</v>
      </c>
      <c r="AZ252" s="13" t="n">
        <f aca="false">IFERROR(AY252/AY251-1,"")</f>
        <v>0.149402558061259</v>
      </c>
      <c r="BA252" s="17" t="n">
        <v>0.932</v>
      </c>
      <c r="BB252" s="11" t="s">
        <v>107</v>
      </c>
      <c r="BC252" s="11" t="s">
        <v>126</v>
      </c>
      <c r="BD252" s="11" t="s">
        <v>83</v>
      </c>
      <c r="BE252" s="12" t="n">
        <v>877153</v>
      </c>
      <c r="BF252" s="13" t="n">
        <f aca="false">IFERROR(P252/BE252-1,"")</f>
        <v>0.100371314924534</v>
      </c>
      <c r="BG252" s="17" t="n">
        <v>0.07</v>
      </c>
      <c r="BH252" s="17" t="n">
        <v>0.078</v>
      </c>
      <c r="BI252" s="14" t="n">
        <f aca="false">P252*(1+IFERROR(Q252,0))^4</f>
        <v>1973097.08353079</v>
      </c>
      <c r="BJ252" s="12" t="n">
        <v>-1073775</v>
      </c>
      <c r="BK252" s="11" t="s">
        <v>127</v>
      </c>
      <c r="BL252" s="11" t="s">
        <v>128</v>
      </c>
      <c r="BM252" s="14" t="n">
        <f aca="false">O252</f>
        <v>30933898</v>
      </c>
      <c r="BN252" s="11" t="s">
        <v>333</v>
      </c>
      <c r="BO252" s="13" t="n">
        <f aca="false">IFERROR(1-L252/M252,"")</f>
        <v>0.16362201172756</v>
      </c>
      <c r="BP252" s="11" t="s">
        <v>142</v>
      </c>
      <c r="BQ252" s="12" t="n">
        <v>2350989</v>
      </c>
      <c r="BR252" s="11" t="s">
        <v>88</v>
      </c>
      <c r="BS252" s="11" t="s">
        <v>89</v>
      </c>
      <c r="BT252" s="19" t="str">
        <f aca="false">IF(OR(Z252&lt;6,AH252&lt;0.9,S252&lt;0.02,AK252&lt;1),"REVIEW",IF(AND(S252&gt;0.25,AH252&gt;1.2),"ACCELERATING","STABLE"))</f>
        <v>STABLE</v>
      </c>
    </row>
    <row r="253" customFormat="false" ht="15" hidden="false" customHeight="false" outlineLevel="0" collapsed="false">
      <c r="A253" s="11" t="s">
        <v>331</v>
      </c>
      <c r="B253" s="11" t="s">
        <v>93</v>
      </c>
      <c r="C253" s="11" t="s">
        <v>74</v>
      </c>
      <c r="D253" s="11" t="s">
        <v>132</v>
      </c>
      <c r="E253" s="11" t="s">
        <v>105</v>
      </c>
      <c r="F253" s="11" t="s">
        <v>332</v>
      </c>
      <c r="G253" s="11" t="s">
        <v>78</v>
      </c>
      <c r="H253" s="11" t="s">
        <v>79</v>
      </c>
      <c r="I253" s="11" t="s">
        <v>78</v>
      </c>
      <c r="J253" s="12" t="n">
        <v>4353000</v>
      </c>
      <c r="K253" s="13" t="n">
        <f aca="false">IFERROR(J253/M253,"")</f>
        <v>0.16362201172756</v>
      </c>
      <c r="L253" s="12" t="n">
        <v>22251000</v>
      </c>
      <c r="M253" s="14" t="n">
        <f aca="false">L253+J253</f>
        <v>26604000</v>
      </c>
      <c r="N253" s="12" t="n">
        <v>5262000</v>
      </c>
      <c r="O253" s="12" t="n">
        <v>30933898</v>
      </c>
      <c r="P253" s="12" t="n">
        <v>1163206</v>
      </c>
      <c r="Q253" s="13" t="n">
        <f aca="false">IFERROR(P253/P252-1,"")</f>
        <v>0.205152539282258</v>
      </c>
      <c r="R253" s="12" t="n">
        <v>1274732</v>
      </c>
      <c r="S253" s="13" t="n">
        <f aca="false">IFERROR(R253/R252-1,"")</f>
        <v>0.166729057844402</v>
      </c>
      <c r="T253" s="12" t="n">
        <v>977722</v>
      </c>
      <c r="U253" s="13" t="n">
        <f aca="false">IFERROR(T253/P253,"")</f>
        <v>0.840540712479131</v>
      </c>
      <c r="V253" s="14" t="n">
        <f aca="false">T253-AV253</f>
        <v>-1696258</v>
      </c>
      <c r="W253" s="14" t="n">
        <f aca="false">V253-AA253*0.1</f>
        <v>-1696258</v>
      </c>
      <c r="X253" s="12" t="n">
        <v>3066000</v>
      </c>
      <c r="Y253" s="12" t="n">
        <v>141000</v>
      </c>
      <c r="Z253" s="15" t="n">
        <f aca="false">IFERROR(X253/Y253,"")</f>
        <v>21.7446808510638</v>
      </c>
      <c r="AA253" s="12" t="n">
        <v>0</v>
      </c>
      <c r="AB253" s="14" t="n">
        <f aca="false">W253-0.02*P253</f>
        <v>-1719522.12</v>
      </c>
      <c r="AC253" s="16" t="n">
        <v>47</v>
      </c>
      <c r="AD253" s="13" t="n">
        <f aca="false">IFERROR(AC253/AC252-1,"")</f>
        <v>0.119047619047619</v>
      </c>
      <c r="AE253" s="17" t="n">
        <v>0.062</v>
      </c>
      <c r="AF253" s="17" t="n">
        <v>0.05</v>
      </c>
      <c r="AG253" s="13" t="n">
        <f aca="false">1-AF253</f>
        <v>0.95</v>
      </c>
      <c r="AH253" s="17" t="n">
        <v>1.085</v>
      </c>
      <c r="AI253" s="12" t="n">
        <v>77300</v>
      </c>
      <c r="AJ253" s="14" t="n">
        <f aca="false">IFERROR(AM253*U253*MIN(1/AE253,5),"")</f>
        <v>213833.557254691</v>
      </c>
      <c r="AK253" s="18" t="n">
        <f aca="false">IFERROR(AJ253/AI253,"")</f>
        <v>2.76628146513184</v>
      </c>
      <c r="AL253" s="15" t="n">
        <f aca="false">IFERROR(AI253/(AM253*U253/12),"")</f>
        <v>21.6897668427029</v>
      </c>
      <c r="AM253" s="12" t="n">
        <v>50880</v>
      </c>
      <c r="AN253" s="12" t="n">
        <v>1748374</v>
      </c>
      <c r="AO253" s="12" t="n">
        <v>3041343</v>
      </c>
      <c r="AP253" s="17" t="n">
        <v>0.369</v>
      </c>
      <c r="AQ253" s="16" t="n">
        <v>56</v>
      </c>
      <c r="AR253" s="16" t="n">
        <v>15</v>
      </c>
      <c r="AS253" s="13" t="n">
        <f aca="false">IFERROR(AR253/AR252-1,"")</f>
        <v>0.0714285714285714</v>
      </c>
      <c r="AT253" s="11" t="s">
        <v>201</v>
      </c>
      <c r="AU253" s="14" t="n">
        <f aca="false">IFERROR(P253/AR253,"")</f>
        <v>77547.0666666667</v>
      </c>
      <c r="AV253" s="12" t="n">
        <v>2673980</v>
      </c>
      <c r="AW253" s="12" t="n">
        <v>1301933</v>
      </c>
      <c r="AX253" s="12" t="n">
        <v>486817</v>
      </c>
      <c r="AY253" s="16" t="n">
        <v>33550</v>
      </c>
      <c r="AZ253" s="13" t="n">
        <f aca="false">IFERROR(AY253/AY252-1,"")</f>
        <v>0.228083019144185</v>
      </c>
      <c r="BA253" s="17" t="n">
        <v>0.938</v>
      </c>
      <c r="BB253" s="11" t="s">
        <v>107</v>
      </c>
      <c r="BC253" s="11" t="s">
        <v>126</v>
      </c>
      <c r="BD253" s="11" t="s">
        <v>83</v>
      </c>
      <c r="BE253" s="12" t="n">
        <v>1255718</v>
      </c>
      <c r="BF253" s="13" t="n">
        <f aca="false">IFERROR(P253/BE253-1,"")</f>
        <v>-0.0736725920947219</v>
      </c>
      <c r="BG253" s="17" t="n">
        <v>0.004</v>
      </c>
      <c r="BH253" s="17" t="n">
        <v>-0.03</v>
      </c>
      <c r="BI253" s="14" t="n">
        <f aca="false">P253*(1+IFERROR(Q253,0))^4</f>
        <v>2453718.37025567</v>
      </c>
      <c r="BJ253" s="12" t="n">
        <v>-1196565</v>
      </c>
      <c r="BK253" s="11" t="s">
        <v>127</v>
      </c>
      <c r="BL253" s="11" t="s">
        <v>128</v>
      </c>
      <c r="BM253" s="14" t="n">
        <f aca="false">O253</f>
        <v>30933898</v>
      </c>
      <c r="BN253" s="11" t="s">
        <v>333</v>
      </c>
      <c r="BO253" s="13" t="n">
        <f aca="false">IFERROR(1-L253/M253,"")</f>
        <v>0.16362201172756</v>
      </c>
      <c r="BP253" s="11" t="s">
        <v>142</v>
      </c>
      <c r="BQ253" s="12" t="n">
        <v>1866331</v>
      </c>
      <c r="BR253" s="11" t="s">
        <v>88</v>
      </c>
      <c r="BS253" s="11" t="s">
        <v>89</v>
      </c>
      <c r="BT253" s="19" t="str">
        <f aca="false">IF(OR(Z253&lt;6,AH253&lt;0.9,S253&lt;0.02,AK253&lt;1),"REVIEW",IF(AND(S253&gt;0.25,AH253&gt;1.2),"ACCELERATING","STABLE"))</f>
        <v>STABLE</v>
      </c>
    </row>
    <row r="254" customFormat="false" ht="15" hidden="false" customHeight="false" outlineLevel="0" collapsed="false">
      <c r="A254" s="3" t="s">
        <v>334</v>
      </c>
      <c r="B254" s="3" t="s">
        <v>73</v>
      </c>
      <c r="C254" s="3" t="s">
        <v>74</v>
      </c>
      <c r="D254" s="3" t="s">
        <v>151</v>
      </c>
      <c r="E254" s="3" t="s">
        <v>105</v>
      </c>
      <c r="F254" s="3" t="s">
        <v>335</v>
      </c>
      <c r="G254" s="3" t="s">
        <v>78</v>
      </c>
      <c r="H254" s="3" t="s">
        <v>79</v>
      </c>
      <c r="I254" s="3" t="s">
        <v>78</v>
      </c>
      <c r="J254" s="4" t="n">
        <v>2514000</v>
      </c>
      <c r="K254" s="5" t="n">
        <f aca="false">IFERROR(J254/M254,"")</f>
        <v>0.106992382006214</v>
      </c>
      <c r="L254" s="4" t="n">
        <v>20983000</v>
      </c>
      <c r="M254" s="6" t="n">
        <f aca="false">L254+J254</f>
        <v>23497000</v>
      </c>
      <c r="N254" s="4" t="n">
        <v>2903000</v>
      </c>
      <c r="O254" s="4" t="n">
        <v>39592603</v>
      </c>
      <c r="P254" s="4" t="n">
        <v>1619697</v>
      </c>
      <c r="Q254" s="7"/>
      <c r="R254" s="4" t="n">
        <v>1852353</v>
      </c>
      <c r="S254" s="7"/>
      <c r="T254" s="4" t="n">
        <v>1195649</v>
      </c>
      <c r="U254" s="5" t="n">
        <f aca="false">IFERROR(T254/P254,"")</f>
        <v>0.738193007704527</v>
      </c>
      <c r="V254" s="6" t="n">
        <f aca="false">T254-AV254</f>
        <v>-2140412</v>
      </c>
      <c r="W254" s="6" t="n">
        <f aca="false">V254-AA254*0.1</f>
        <v>-2169212</v>
      </c>
      <c r="X254" s="4" t="n">
        <v>1090442</v>
      </c>
      <c r="Y254" s="4" t="n">
        <v>203840</v>
      </c>
      <c r="Z254" s="8" t="n">
        <f aca="false">IFERROR(X254/Y254,"")</f>
        <v>5.34949960753532</v>
      </c>
      <c r="AA254" s="4" t="n">
        <v>288000</v>
      </c>
      <c r="AB254" s="6" t="n">
        <f aca="false">W254-0.02*P254</f>
        <v>-2201605.94</v>
      </c>
      <c r="AC254" s="9" t="n">
        <v>8</v>
      </c>
      <c r="AD254" s="7"/>
      <c r="AE254" s="7" t="n">
        <v>0.069</v>
      </c>
      <c r="AF254" s="7" t="n">
        <v>0.073</v>
      </c>
      <c r="AG254" s="5" t="n">
        <f aca="false">1-AF254</f>
        <v>0.927</v>
      </c>
      <c r="AH254" s="7" t="n">
        <v>1.138</v>
      </c>
      <c r="AI254" s="4" t="n">
        <v>51198</v>
      </c>
      <c r="AJ254" s="6" t="n">
        <f aca="false">IFERROR(AM254*U254*MIN(1/AE254,5),"")</f>
        <v>180857.286887609</v>
      </c>
      <c r="AK254" s="10" t="n">
        <f aca="false">IFERROR(AJ254/AI254,"")</f>
        <v>3.53250687307335</v>
      </c>
      <c r="AL254" s="8" t="n">
        <f aca="false">IFERROR(AI254/(AM254*U254/12),"")</f>
        <v>16.9851049568656</v>
      </c>
      <c r="AM254" s="4" t="n">
        <v>49000</v>
      </c>
      <c r="AN254" s="4" t="n">
        <v>1734421</v>
      </c>
      <c r="AO254" s="4" t="n">
        <v>6538409</v>
      </c>
      <c r="AP254" s="7" t="n">
        <v>0.302</v>
      </c>
      <c r="AQ254" s="9" t="n">
        <v>53</v>
      </c>
      <c r="AR254" s="9" t="n">
        <v>6</v>
      </c>
      <c r="AS254" s="7"/>
      <c r="AT254" s="3" t="s">
        <v>98</v>
      </c>
      <c r="AU254" s="6" t="n">
        <f aca="false">IFERROR(P254/AR254,"")</f>
        <v>269949.5</v>
      </c>
      <c r="AV254" s="4" t="n">
        <v>3336061</v>
      </c>
      <c r="AW254" s="4" t="n">
        <v>1025014</v>
      </c>
      <c r="AX254" s="4" t="n">
        <v>651073</v>
      </c>
      <c r="AY254" s="9" t="n">
        <v>8479</v>
      </c>
      <c r="AZ254" s="7"/>
      <c r="BA254" s="7" t="n">
        <v>0.936</v>
      </c>
      <c r="BB254" s="3" t="s">
        <v>161</v>
      </c>
      <c r="BC254" s="3" t="s">
        <v>108</v>
      </c>
      <c r="BD254" s="3" t="s">
        <v>175</v>
      </c>
      <c r="BE254" s="4" t="n">
        <v>1543292</v>
      </c>
      <c r="BF254" s="5" t="n">
        <f aca="false">IFERROR(P254/BE254-1,"")</f>
        <v>0.0495078053926283</v>
      </c>
      <c r="BG254" s="7" t="n">
        <v>0.081</v>
      </c>
      <c r="BH254" s="7" t="n">
        <v>0.058</v>
      </c>
      <c r="BI254" s="6" t="n">
        <f aca="false">P254</f>
        <v>1619697</v>
      </c>
      <c r="BJ254" s="4" t="n">
        <v>-1770548</v>
      </c>
      <c r="BK254" s="3" t="s">
        <v>192</v>
      </c>
      <c r="BL254" s="3" t="s">
        <v>162</v>
      </c>
      <c r="BM254" s="6" t="n">
        <f aca="false">O254</f>
        <v>39592603</v>
      </c>
      <c r="BN254" s="3" t="s">
        <v>336</v>
      </c>
      <c r="BO254" s="5" t="n">
        <f aca="false">IFERROR(1-L254/M254,"")</f>
        <v>0.106992382006214</v>
      </c>
      <c r="BP254" s="3" t="s">
        <v>142</v>
      </c>
      <c r="BQ254" s="4" t="n">
        <v>2598572</v>
      </c>
      <c r="BR254" s="3" t="s">
        <v>88</v>
      </c>
      <c r="BS254" s="3" t="s">
        <v>89</v>
      </c>
      <c r="BT254" s="3" t="s">
        <v>90</v>
      </c>
    </row>
    <row r="255" customFormat="false" ht="15" hidden="false" customHeight="false" outlineLevel="0" collapsed="false">
      <c r="A255" s="11" t="s">
        <v>334</v>
      </c>
      <c r="B255" s="11" t="s">
        <v>91</v>
      </c>
      <c r="C255" s="11" t="s">
        <v>74</v>
      </c>
      <c r="D255" s="11" t="s">
        <v>151</v>
      </c>
      <c r="E255" s="11" t="s">
        <v>105</v>
      </c>
      <c r="F255" s="11" t="s">
        <v>335</v>
      </c>
      <c r="G255" s="11" t="s">
        <v>78</v>
      </c>
      <c r="H255" s="11" t="s">
        <v>79</v>
      </c>
      <c r="I255" s="11" t="s">
        <v>78</v>
      </c>
      <c r="J255" s="12" t="n">
        <v>2514000</v>
      </c>
      <c r="K255" s="13" t="n">
        <f aca="false">IFERROR(J255/M255,"")</f>
        <v>0.106992382006214</v>
      </c>
      <c r="L255" s="12" t="n">
        <v>20983000</v>
      </c>
      <c r="M255" s="14" t="n">
        <f aca="false">L255+J255</f>
        <v>23497000</v>
      </c>
      <c r="N255" s="12" t="n">
        <v>2903000</v>
      </c>
      <c r="O255" s="12" t="n">
        <v>39592603</v>
      </c>
      <c r="P255" s="12" t="n">
        <v>2132364</v>
      </c>
      <c r="Q255" s="13" t="n">
        <f aca="false">IFERROR(P255/P254-1,"")</f>
        <v>0.316520312132454</v>
      </c>
      <c r="R255" s="12" t="n">
        <v>2295280</v>
      </c>
      <c r="S255" s="13" t="n">
        <f aca="false">IFERROR(R255/R254-1,"")</f>
        <v>0.239115870463135</v>
      </c>
      <c r="T255" s="12" t="n">
        <v>1580469</v>
      </c>
      <c r="U255" s="13" t="n">
        <f aca="false">IFERROR(T255/P255,"")</f>
        <v>0.741181618147746</v>
      </c>
      <c r="V255" s="14" t="n">
        <f aca="false">T255-AV255</f>
        <v>-2152401</v>
      </c>
      <c r="W255" s="14" t="n">
        <f aca="false">V255-AA255*0.1</f>
        <v>-2181201</v>
      </c>
      <c r="X255" s="12" t="n">
        <v>1401997</v>
      </c>
      <c r="Y255" s="12" t="n">
        <v>210560</v>
      </c>
      <c r="Z255" s="15" t="n">
        <f aca="false">IFERROR(X255/Y255,"")</f>
        <v>6.65842040273556</v>
      </c>
      <c r="AA255" s="12" t="n">
        <v>288000</v>
      </c>
      <c r="AB255" s="14" t="n">
        <f aca="false">W255-0.02*P255</f>
        <v>-2223848.28</v>
      </c>
      <c r="AC255" s="16" t="n">
        <v>10</v>
      </c>
      <c r="AD255" s="13" t="n">
        <f aca="false">IFERROR(AC255/AC254-1,"")</f>
        <v>0.25</v>
      </c>
      <c r="AE255" s="17" t="n">
        <v>0.067</v>
      </c>
      <c r="AF255" s="17" t="n">
        <v>0.045</v>
      </c>
      <c r="AG255" s="13" t="n">
        <f aca="false">1-AF255</f>
        <v>0.955</v>
      </c>
      <c r="AH255" s="17" t="n">
        <v>1.168</v>
      </c>
      <c r="AI255" s="12" t="n">
        <v>50232</v>
      </c>
      <c r="AJ255" s="14" t="n">
        <f aca="false">IFERROR(AM255*U255*MIN(1/AE255,5),"")</f>
        <v>185221.286375122</v>
      </c>
      <c r="AK255" s="18" t="n">
        <f aca="false">IFERROR(AJ255/AI255,"")</f>
        <v>3.68731657857783</v>
      </c>
      <c r="AL255" s="15" t="n">
        <f aca="false">IFERROR(AI255/(AM255*U255/12),"")</f>
        <v>16.2719958325741</v>
      </c>
      <c r="AM255" s="12" t="n">
        <v>49980</v>
      </c>
      <c r="AN255" s="12" t="n">
        <v>3246160</v>
      </c>
      <c r="AO255" s="12" t="n">
        <v>4483157</v>
      </c>
      <c r="AP255" s="17" t="n">
        <v>0.302</v>
      </c>
      <c r="AQ255" s="16" t="n">
        <v>53</v>
      </c>
      <c r="AR255" s="16" t="n">
        <v>7</v>
      </c>
      <c r="AS255" s="13" t="n">
        <f aca="false">IFERROR(AR255/AR254-1,"")</f>
        <v>0.166666666666667</v>
      </c>
      <c r="AT255" s="11" t="s">
        <v>98</v>
      </c>
      <c r="AU255" s="14" t="n">
        <f aca="false">IFERROR(P255/AR255,"")</f>
        <v>304623.428571429</v>
      </c>
      <c r="AV255" s="12" t="n">
        <v>3732870</v>
      </c>
      <c r="AW255" s="12" t="n">
        <v>1308912</v>
      </c>
      <c r="AX255" s="12" t="n">
        <v>760809</v>
      </c>
      <c r="AY255" s="16" t="n">
        <v>11073</v>
      </c>
      <c r="AZ255" s="13" t="n">
        <f aca="false">IFERROR(AY255/AY254-1,"")</f>
        <v>0.305932303337658</v>
      </c>
      <c r="BA255" s="17" t="n">
        <v>0.936</v>
      </c>
      <c r="BB255" s="11" t="s">
        <v>161</v>
      </c>
      <c r="BC255" s="11" t="s">
        <v>108</v>
      </c>
      <c r="BD255" s="11" t="s">
        <v>175</v>
      </c>
      <c r="BE255" s="12" t="n">
        <v>2579980</v>
      </c>
      <c r="BF255" s="13" t="n">
        <f aca="false">IFERROR(P255/BE255-1,"")</f>
        <v>-0.173495918573012</v>
      </c>
      <c r="BG255" s="17" t="n">
        <v>-0.058</v>
      </c>
      <c r="BH255" s="17" t="n">
        <v>-0.048</v>
      </c>
      <c r="BI255" s="14" t="n">
        <f aca="false">P255*(1+IFERROR(Q255,0))^4</f>
        <v>6405773.78986432</v>
      </c>
      <c r="BJ255" s="12" t="n">
        <v>-2503936</v>
      </c>
      <c r="BK255" s="11" t="s">
        <v>192</v>
      </c>
      <c r="BL255" s="11" t="s">
        <v>162</v>
      </c>
      <c r="BM255" s="14" t="n">
        <f aca="false">O255</f>
        <v>39592603</v>
      </c>
      <c r="BN255" s="11" t="s">
        <v>336</v>
      </c>
      <c r="BO255" s="13" t="n">
        <f aca="false">IFERROR(1-L255/M255,"")</f>
        <v>0.106992382006214</v>
      </c>
      <c r="BP255" s="11" t="s">
        <v>142</v>
      </c>
      <c r="BQ255" s="12" t="n">
        <v>3740103</v>
      </c>
      <c r="BR255" s="11" t="s">
        <v>88</v>
      </c>
      <c r="BS255" s="11" t="s">
        <v>89</v>
      </c>
      <c r="BT255" s="19" t="str">
        <f aca="false">IF(OR(Z255&lt;6,AH255&lt;0.9,S255&lt;0.02,AK255&lt;1),"REVIEW",IF(AND(S255&gt;0.25,AH255&gt;1.2),"ACCELERATING","STABLE"))</f>
        <v>STABLE</v>
      </c>
    </row>
    <row r="256" customFormat="false" ht="15" hidden="false" customHeight="false" outlineLevel="0" collapsed="false">
      <c r="A256" s="11" t="s">
        <v>334</v>
      </c>
      <c r="B256" s="11" t="s">
        <v>92</v>
      </c>
      <c r="C256" s="11" t="s">
        <v>74</v>
      </c>
      <c r="D256" s="11" t="s">
        <v>151</v>
      </c>
      <c r="E256" s="11" t="s">
        <v>105</v>
      </c>
      <c r="F256" s="11" t="s">
        <v>335</v>
      </c>
      <c r="G256" s="11" t="s">
        <v>78</v>
      </c>
      <c r="H256" s="11" t="s">
        <v>79</v>
      </c>
      <c r="I256" s="11" t="s">
        <v>78</v>
      </c>
      <c r="J256" s="12" t="n">
        <v>2514000</v>
      </c>
      <c r="K256" s="13" t="n">
        <f aca="false">IFERROR(J256/M256,"")</f>
        <v>0.106992382006214</v>
      </c>
      <c r="L256" s="12" t="n">
        <v>20983000</v>
      </c>
      <c r="M256" s="14" t="n">
        <f aca="false">L256+J256</f>
        <v>23497000</v>
      </c>
      <c r="N256" s="12" t="n">
        <v>2903000</v>
      </c>
      <c r="O256" s="12" t="n">
        <v>39592603</v>
      </c>
      <c r="P256" s="12" t="n">
        <v>2786759</v>
      </c>
      <c r="Q256" s="13" t="n">
        <f aca="false">IFERROR(P256/P255-1,"")</f>
        <v>0.306887098075188</v>
      </c>
      <c r="R256" s="12" t="n">
        <v>2858264</v>
      </c>
      <c r="S256" s="13" t="n">
        <f aca="false">IFERROR(R256/R255-1,"")</f>
        <v>0.245279007354223</v>
      </c>
      <c r="T256" s="12" t="n">
        <v>2073823</v>
      </c>
      <c r="U256" s="13" t="n">
        <f aca="false">IFERROR(T256/P256,"")</f>
        <v>0.744170199145315</v>
      </c>
      <c r="V256" s="14" t="n">
        <f aca="false">T256-AV256</f>
        <v>-2590497</v>
      </c>
      <c r="W256" s="14" t="n">
        <f aca="false">V256-AA256*0.1</f>
        <v>-2619297</v>
      </c>
      <c r="X256" s="12" t="n">
        <v>1713553</v>
      </c>
      <c r="Y256" s="12" t="n">
        <v>217280</v>
      </c>
      <c r="Z256" s="15" t="n">
        <f aca="false">IFERROR(X256/Y256,"")</f>
        <v>7.88638162739323</v>
      </c>
      <c r="AA256" s="12" t="n">
        <v>288000</v>
      </c>
      <c r="AB256" s="14" t="n">
        <f aca="false">W256-0.02*P256</f>
        <v>-2675032.18</v>
      </c>
      <c r="AC256" s="16" t="n">
        <v>13</v>
      </c>
      <c r="AD256" s="13" t="n">
        <f aca="false">IFERROR(AC256/AC255-1,"")</f>
        <v>0.3</v>
      </c>
      <c r="AE256" s="17" t="n">
        <v>0.065</v>
      </c>
      <c r="AF256" s="17" t="n">
        <v>0.044</v>
      </c>
      <c r="AG256" s="13" t="n">
        <f aca="false">1-AF256</f>
        <v>0.956</v>
      </c>
      <c r="AH256" s="17" t="n">
        <v>1.198</v>
      </c>
      <c r="AI256" s="12" t="n">
        <v>49266</v>
      </c>
      <c r="AJ256" s="14" t="n">
        <f aca="false">IFERROR(AM256*U256*MIN(1/AE256,5),"")</f>
        <v>189614.566742226</v>
      </c>
      <c r="AK256" s="18" t="n">
        <f aca="false">IFERROR(AJ256/AI256,"")</f>
        <v>3.84879159546597</v>
      </c>
      <c r="AL256" s="15" t="n">
        <f aca="false">IFERROR(AI256/(AM256*U256/12),"")</f>
        <v>15.5893086210961</v>
      </c>
      <c r="AM256" s="12" t="n">
        <v>50960</v>
      </c>
      <c r="AN256" s="12" t="n">
        <v>3713131</v>
      </c>
      <c r="AO256" s="12" t="n">
        <v>9673749</v>
      </c>
      <c r="AP256" s="17" t="n">
        <v>0.302</v>
      </c>
      <c r="AQ256" s="16" t="n">
        <v>53</v>
      </c>
      <c r="AR256" s="16" t="n">
        <v>8</v>
      </c>
      <c r="AS256" s="13" t="n">
        <f aca="false">IFERROR(AR256/AR255-1,"")</f>
        <v>0.142857142857143</v>
      </c>
      <c r="AT256" s="11" t="s">
        <v>98</v>
      </c>
      <c r="AU256" s="14" t="n">
        <f aca="false">IFERROR(P256/AR256,"")</f>
        <v>348344.875</v>
      </c>
      <c r="AV256" s="12" t="n">
        <v>4664320</v>
      </c>
      <c r="AW256" s="12" t="n">
        <v>1874737</v>
      </c>
      <c r="AX256" s="12" t="n">
        <v>968089</v>
      </c>
      <c r="AY256" s="16" t="n">
        <v>13413</v>
      </c>
      <c r="AZ256" s="13" t="n">
        <f aca="false">IFERROR(AY256/AY255-1,"")</f>
        <v>0.21132484421566</v>
      </c>
      <c r="BA256" s="17" t="n">
        <v>0.948</v>
      </c>
      <c r="BB256" s="11" t="s">
        <v>161</v>
      </c>
      <c r="BC256" s="11" t="s">
        <v>108</v>
      </c>
      <c r="BD256" s="11" t="s">
        <v>175</v>
      </c>
      <c r="BE256" s="12" t="n">
        <v>3085554</v>
      </c>
      <c r="BF256" s="13" t="n">
        <f aca="false">IFERROR(P256/BE256-1,"")</f>
        <v>-0.0968367430937848</v>
      </c>
      <c r="BG256" s="17" t="n">
        <v>0.028</v>
      </c>
      <c r="BH256" s="17" t="n">
        <v>0.091</v>
      </c>
      <c r="BI256" s="14" t="n">
        <f aca="false">P256*(1+IFERROR(Q256,0))^4</f>
        <v>8129272.73852669</v>
      </c>
      <c r="BJ256" s="12" t="n">
        <v>-1417188</v>
      </c>
      <c r="BK256" s="11" t="s">
        <v>192</v>
      </c>
      <c r="BL256" s="11" t="s">
        <v>162</v>
      </c>
      <c r="BM256" s="14" t="n">
        <f aca="false">O256</f>
        <v>39592603</v>
      </c>
      <c r="BN256" s="11" t="s">
        <v>336</v>
      </c>
      <c r="BO256" s="13" t="n">
        <f aca="false">IFERROR(1-L256/M256,"")</f>
        <v>0.106992382006214</v>
      </c>
      <c r="BP256" s="11" t="s">
        <v>142</v>
      </c>
      <c r="BQ256" s="12" t="n">
        <v>2780765</v>
      </c>
      <c r="BR256" s="11" t="s">
        <v>88</v>
      </c>
      <c r="BS256" s="11" t="s">
        <v>89</v>
      </c>
      <c r="BT256" s="19" t="str">
        <f aca="false">IF(OR(Z256&lt;6,AH256&lt;0.9,S256&lt;0.02,AK256&lt;1),"REVIEW",IF(AND(S256&gt;0.25,AH256&gt;1.2),"ACCELERATING","STABLE"))</f>
        <v>STABLE</v>
      </c>
    </row>
    <row r="257" customFormat="false" ht="15" hidden="false" customHeight="false" outlineLevel="0" collapsed="false">
      <c r="A257" s="11" t="s">
        <v>334</v>
      </c>
      <c r="B257" s="11" t="s">
        <v>93</v>
      </c>
      <c r="C257" s="11" t="s">
        <v>74</v>
      </c>
      <c r="D257" s="11" t="s">
        <v>151</v>
      </c>
      <c r="E257" s="11" t="s">
        <v>105</v>
      </c>
      <c r="F257" s="11" t="s">
        <v>335</v>
      </c>
      <c r="G257" s="11" t="s">
        <v>78</v>
      </c>
      <c r="H257" s="11" t="s">
        <v>79</v>
      </c>
      <c r="I257" s="11" t="s">
        <v>78</v>
      </c>
      <c r="J257" s="12" t="n">
        <v>2514000</v>
      </c>
      <c r="K257" s="13" t="n">
        <f aca="false">IFERROR(J257/M257,"")</f>
        <v>0.106992382006214</v>
      </c>
      <c r="L257" s="12" t="n">
        <v>20983000</v>
      </c>
      <c r="M257" s="14" t="n">
        <f aca="false">L257+J257</f>
        <v>23497000</v>
      </c>
      <c r="N257" s="12" t="n">
        <v>2903000</v>
      </c>
      <c r="O257" s="12" t="n">
        <v>39592603</v>
      </c>
      <c r="P257" s="12" t="n">
        <v>3569598</v>
      </c>
      <c r="Q257" s="13" t="n">
        <f aca="false">IFERROR(P257/P256-1,"")</f>
        <v>0.280913778335335</v>
      </c>
      <c r="R257" s="12" t="n">
        <v>3698978</v>
      </c>
      <c r="S257" s="13" t="n">
        <f aca="false">IFERROR(R257/R256-1,"")</f>
        <v>0.294134481629409</v>
      </c>
      <c r="T257" s="12" t="n">
        <v>2667056</v>
      </c>
      <c r="U257" s="13" t="n">
        <f aca="false">IFERROR(T257/P257,"")</f>
        <v>0.747158643634381</v>
      </c>
      <c r="V257" s="14" t="n">
        <f aca="false">T257-AV257</f>
        <v>-2793720</v>
      </c>
      <c r="W257" s="14" t="n">
        <f aca="false">V257-AA257*0.1</f>
        <v>-2822520</v>
      </c>
      <c r="X257" s="12" t="n">
        <v>3115551</v>
      </c>
      <c r="Y257" s="12" t="n">
        <v>224000</v>
      </c>
      <c r="Z257" s="15" t="n">
        <f aca="false">IFERROR(X257/Y257,"")</f>
        <v>13.9087098214286</v>
      </c>
      <c r="AA257" s="12" t="n">
        <v>288000</v>
      </c>
      <c r="AB257" s="14" t="n">
        <f aca="false">W257-0.02*P257</f>
        <v>-2893911.96</v>
      </c>
      <c r="AC257" s="16" t="n">
        <v>14</v>
      </c>
      <c r="AD257" s="13" t="n">
        <f aca="false">IFERROR(AC257/AC256-1,"")</f>
        <v>0.0769230769230769</v>
      </c>
      <c r="AE257" s="17" t="n">
        <v>0.063</v>
      </c>
      <c r="AF257" s="17" t="n">
        <v>0.05</v>
      </c>
      <c r="AG257" s="13" t="n">
        <f aca="false">1-AF257</f>
        <v>0.95</v>
      </c>
      <c r="AH257" s="17" t="n">
        <v>1.228</v>
      </c>
      <c r="AI257" s="12" t="n">
        <v>48300</v>
      </c>
      <c r="AJ257" s="14" t="n">
        <f aca="false">IFERROR(AM257*U257*MIN(1/AE257,5),"")</f>
        <v>194037.099751849</v>
      </c>
      <c r="AK257" s="18" t="n">
        <f aca="false">IFERROR(AJ257/AI257,"")</f>
        <v>4.01733125780225</v>
      </c>
      <c r="AL257" s="15" t="n">
        <f aca="false">IFERROR(AI257/(AM257*U257/12),"")</f>
        <v>14.9352881676041</v>
      </c>
      <c r="AM257" s="12" t="n">
        <v>51940</v>
      </c>
      <c r="AN257" s="12" t="n">
        <v>4768839</v>
      </c>
      <c r="AO257" s="12" t="n">
        <v>6700483</v>
      </c>
      <c r="AP257" s="17" t="n">
        <v>0.302</v>
      </c>
      <c r="AQ257" s="16" t="n">
        <v>53</v>
      </c>
      <c r="AR257" s="16" t="n">
        <v>10</v>
      </c>
      <c r="AS257" s="13" t="n">
        <f aca="false">IFERROR(AR257/AR256-1,"")</f>
        <v>0.25</v>
      </c>
      <c r="AT257" s="11" t="s">
        <v>98</v>
      </c>
      <c r="AU257" s="14" t="n">
        <f aca="false">IFERROR(P257/AR257,"")</f>
        <v>356959.8</v>
      </c>
      <c r="AV257" s="12" t="n">
        <v>5460776</v>
      </c>
      <c r="AW257" s="12" t="n">
        <v>1811696</v>
      </c>
      <c r="AX257" s="12" t="n">
        <v>1371926</v>
      </c>
      <c r="AY257" s="16" t="n">
        <v>17046</v>
      </c>
      <c r="AZ257" s="13" t="n">
        <f aca="false">IFERROR(AY257/AY256-1,"")</f>
        <v>0.270856631626034</v>
      </c>
      <c r="BA257" s="17" t="n">
        <v>0.938</v>
      </c>
      <c r="BB257" s="11" t="s">
        <v>161</v>
      </c>
      <c r="BC257" s="11" t="s">
        <v>108</v>
      </c>
      <c r="BD257" s="11" t="s">
        <v>175</v>
      </c>
      <c r="BE257" s="12" t="n">
        <v>3926319</v>
      </c>
      <c r="BF257" s="13" t="n">
        <f aca="false">IFERROR(P257/BE257-1,"")</f>
        <v>-0.0908537997039975</v>
      </c>
      <c r="BG257" s="17" t="n">
        <v>0.014</v>
      </c>
      <c r="BH257" s="17" t="n">
        <v>-0.068</v>
      </c>
      <c r="BI257" s="14" t="n">
        <f aca="false">P257*(1+IFERROR(Q257,0))^4</f>
        <v>9609458.12332894</v>
      </c>
      <c r="BJ257" s="12" t="n">
        <v>-2185971</v>
      </c>
      <c r="BK257" s="11" t="s">
        <v>192</v>
      </c>
      <c r="BL257" s="11" t="s">
        <v>162</v>
      </c>
      <c r="BM257" s="14" t="n">
        <f aca="false">O257</f>
        <v>39592603</v>
      </c>
      <c r="BN257" s="11" t="s">
        <v>336</v>
      </c>
      <c r="BO257" s="13" t="n">
        <f aca="false">IFERROR(1-L257/M257,"")</f>
        <v>0.106992382006214</v>
      </c>
      <c r="BP257" s="11" t="s">
        <v>142</v>
      </c>
      <c r="BQ257" s="12" t="n">
        <v>4321502</v>
      </c>
      <c r="BR257" s="11" t="s">
        <v>88</v>
      </c>
      <c r="BS257" s="11" t="s">
        <v>89</v>
      </c>
      <c r="BT257" s="19" t="str">
        <f aca="false">IF(OR(Z257&lt;6,AH257&lt;0.9,S257&lt;0.02,AK257&lt;1),"REVIEW",IF(AND(S257&gt;0.25,AH257&gt;1.2),"ACCELERATING","STABLE"))</f>
        <v>ACCELERATING</v>
      </c>
    </row>
    <row r="258" customFormat="false" ht="15" hidden="false" customHeight="false" outlineLevel="0" collapsed="false">
      <c r="A258" s="3" t="s">
        <v>337</v>
      </c>
      <c r="B258" s="3" t="s">
        <v>73</v>
      </c>
      <c r="C258" s="3" t="s">
        <v>74</v>
      </c>
      <c r="D258" s="3" t="s">
        <v>151</v>
      </c>
      <c r="E258" s="3" t="s">
        <v>105</v>
      </c>
      <c r="F258" s="3" t="s">
        <v>338</v>
      </c>
      <c r="G258" s="3" t="s">
        <v>78</v>
      </c>
      <c r="H258" s="3" t="s">
        <v>79</v>
      </c>
      <c r="I258" s="3" t="s">
        <v>78</v>
      </c>
      <c r="J258" s="4" t="n">
        <v>2596000</v>
      </c>
      <c r="K258" s="5" t="n">
        <f aca="false">IFERROR(J258/M258,"")</f>
        <v>0.106406525392466</v>
      </c>
      <c r="L258" s="4" t="n">
        <v>21801000</v>
      </c>
      <c r="M258" s="6" t="n">
        <f aca="false">L258+J258</f>
        <v>24397000</v>
      </c>
      <c r="N258" s="4" t="n">
        <v>2767000</v>
      </c>
      <c r="O258" s="4" t="n">
        <v>15824885</v>
      </c>
      <c r="P258" s="4" t="n">
        <v>852787</v>
      </c>
      <c r="Q258" s="7"/>
      <c r="R258" s="4" t="n">
        <v>994479</v>
      </c>
      <c r="S258" s="7"/>
      <c r="T258" s="4" t="n">
        <v>596063</v>
      </c>
      <c r="U258" s="5" t="n">
        <f aca="false">IFERROR(T258/P258,"")</f>
        <v>0.698958825591854</v>
      </c>
      <c r="V258" s="6" t="n">
        <f aca="false">T258-AV258</f>
        <v>-1408836</v>
      </c>
      <c r="W258" s="6" t="n">
        <f aca="false">V258-AA258*0.1</f>
        <v>-1408836</v>
      </c>
      <c r="X258" s="4" t="n">
        <v>1795634</v>
      </c>
      <c r="Y258" s="4" t="n">
        <v>131200</v>
      </c>
      <c r="Z258" s="8" t="n">
        <f aca="false">IFERROR(X258/Y258,"")</f>
        <v>13.6862347560976</v>
      </c>
      <c r="AA258" s="4" t="n">
        <v>0</v>
      </c>
      <c r="AB258" s="6" t="n">
        <f aca="false">W258-0.02*P258</f>
        <v>-1425891.74</v>
      </c>
      <c r="AC258" s="9" t="n">
        <v>97</v>
      </c>
      <c r="AD258" s="7"/>
      <c r="AE258" s="7" t="n">
        <v>0.172</v>
      </c>
      <c r="AF258" s="7" t="n">
        <v>0.139</v>
      </c>
      <c r="AG258" s="5" t="n">
        <f aca="false">1-AF258</f>
        <v>0.861</v>
      </c>
      <c r="AH258" s="7" t="n">
        <v>0.874</v>
      </c>
      <c r="AI258" s="4" t="n">
        <v>65360</v>
      </c>
      <c r="AJ258" s="6" t="n">
        <f aca="false">IFERROR(AM258*U258*MIN(1/AE258,5),"")</f>
        <v>90864.647326941</v>
      </c>
      <c r="AK258" s="10" t="n">
        <f aca="false">IFERROR(AJ258/AI258,"")</f>
        <v>1.39021798235834</v>
      </c>
      <c r="AL258" s="8" t="n">
        <f aca="false">IFERROR(AI258/(AM258*U258/12),"")</f>
        <v>43.1586993992246</v>
      </c>
      <c r="AM258" s="4" t="n">
        <v>26000</v>
      </c>
      <c r="AN258" s="4" t="n">
        <v>1363775</v>
      </c>
      <c r="AO258" s="4" t="n">
        <v>1728280</v>
      </c>
      <c r="AP258" s="7" t="n">
        <v>0.351</v>
      </c>
      <c r="AQ258" s="9" t="n">
        <v>86</v>
      </c>
      <c r="AR258" s="9" t="n">
        <v>2</v>
      </c>
      <c r="AS258" s="7"/>
      <c r="AT258" s="3" t="s">
        <v>170</v>
      </c>
      <c r="AU258" s="6" t="n">
        <f aca="false">IFERROR(P258/AR258,"")</f>
        <v>426393.5</v>
      </c>
      <c r="AV258" s="4" t="n">
        <v>2004899</v>
      </c>
      <c r="AW258" s="4" t="n">
        <v>734543</v>
      </c>
      <c r="AX258" s="4" t="n">
        <v>406982</v>
      </c>
      <c r="AY258" s="9" t="n">
        <v>44623</v>
      </c>
      <c r="AZ258" s="7"/>
      <c r="BA258" s="7" t="n">
        <v>0.819</v>
      </c>
      <c r="BB258" s="3" t="s">
        <v>171</v>
      </c>
      <c r="BC258" s="3" t="s">
        <v>120</v>
      </c>
      <c r="BD258" s="3" t="s">
        <v>101</v>
      </c>
      <c r="BE258" s="4" t="n">
        <v>1386523</v>
      </c>
      <c r="BF258" s="5" t="n">
        <f aca="false">IFERROR(P258/BE258-1,"")</f>
        <v>-0.384945651821138</v>
      </c>
      <c r="BG258" s="7" t="n">
        <v>0.228</v>
      </c>
      <c r="BH258" s="7" t="n">
        <v>0.212</v>
      </c>
      <c r="BI258" s="6" t="n">
        <f aca="false">P258</f>
        <v>852787</v>
      </c>
      <c r="BJ258" s="4" t="n">
        <v>-1540213</v>
      </c>
      <c r="BK258" s="3" t="s">
        <v>139</v>
      </c>
      <c r="BL258" s="3" t="s">
        <v>148</v>
      </c>
      <c r="BM258" s="6" t="n">
        <f aca="false">O258</f>
        <v>15824885</v>
      </c>
      <c r="BN258" s="3" t="s">
        <v>339</v>
      </c>
      <c r="BO258" s="5" t="n">
        <f aca="false">IFERROR(1-L258/M258,"")</f>
        <v>0.106406525392466</v>
      </c>
      <c r="BP258" s="3" t="s">
        <v>142</v>
      </c>
      <c r="BQ258" s="4" t="n">
        <v>2057331</v>
      </c>
      <c r="BR258" s="3" t="s">
        <v>88</v>
      </c>
      <c r="BS258" s="3" t="s">
        <v>89</v>
      </c>
      <c r="BT258" s="3" t="s">
        <v>90</v>
      </c>
    </row>
    <row r="259" customFormat="false" ht="15" hidden="false" customHeight="false" outlineLevel="0" collapsed="false">
      <c r="A259" s="11" t="s">
        <v>337</v>
      </c>
      <c r="B259" s="11" t="s">
        <v>91</v>
      </c>
      <c r="C259" s="11" t="s">
        <v>74</v>
      </c>
      <c r="D259" s="11" t="s">
        <v>151</v>
      </c>
      <c r="E259" s="11" t="s">
        <v>105</v>
      </c>
      <c r="F259" s="11" t="s">
        <v>338</v>
      </c>
      <c r="G259" s="11" t="s">
        <v>78</v>
      </c>
      <c r="H259" s="11" t="s">
        <v>79</v>
      </c>
      <c r="I259" s="11" t="s">
        <v>78</v>
      </c>
      <c r="J259" s="12" t="n">
        <v>2596000</v>
      </c>
      <c r="K259" s="13" t="n">
        <f aca="false">IFERROR(J259/M259,"")</f>
        <v>0.106406525392466</v>
      </c>
      <c r="L259" s="12" t="n">
        <v>21801000</v>
      </c>
      <c r="M259" s="14" t="n">
        <f aca="false">L259+J259</f>
        <v>24397000</v>
      </c>
      <c r="N259" s="12" t="n">
        <v>2767000</v>
      </c>
      <c r="O259" s="12" t="n">
        <v>15824885</v>
      </c>
      <c r="P259" s="12" t="n">
        <v>726657</v>
      </c>
      <c r="Q259" s="13" t="n">
        <f aca="false">IFERROR(P259/P258-1,"")</f>
        <v>-0.147903286518204</v>
      </c>
      <c r="R259" s="12" t="n">
        <v>850685</v>
      </c>
      <c r="S259" s="13" t="n">
        <f aca="false">IFERROR(R259/R258-1,"")</f>
        <v>-0.14459229405548</v>
      </c>
      <c r="T259" s="12" t="n">
        <v>498320</v>
      </c>
      <c r="U259" s="13" t="n">
        <f aca="false">IFERROR(T259/P259,"")</f>
        <v>0.685770590526204</v>
      </c>
      <c r="V259" s="14" t="n">
        <f aca="false">T259-AV259</f>
        <v>-1571685</v>
      </c>
      <c r="W259" s="14" t="n">
        <f aca="false">V259-AA259*0.1</f>
        <v>-1571685</v>
      </c>
      <c r="X259" s="12" t="n">
        <v>1426034</v>
      </c>
      <c r="Y259" s="12" t="n">
        <v>140800</v>
      </c>
      <c r="Z259" s="15" t="n">
        <f aca="false">IFERROR(X259/Y259,"")</f>
        <v>10.1280823863636</v>
      </c>
      <c r="AA259" s="12" t="n">
        <v>0</v>
      </c>
      <c r="AB259" s="14" t="n">
        <f aca="false">W259-0.02*P259</f>
        <v>-1586218.14</v>
      </c>
      <c r="AC259" s="16" t="n">
        <v>88</v>
      </c>
      <c r="AD259" s="13" t="n">
        <f aca="false">IFERROR(AC259/AC258-1,"")</f>
        <v>-0.0927835051546392</v>
      </c>
      <c r="AE259" s="17" t="n">
        <v>0.204</v>
      </c>
      <c r="AF259" s="17" t="n">
        <v>0.18</v>
      </c>
      <c r="AG259" s="13" t="n">
        <f aca="false">1-AF259</f>
        <v>0.82</v>
      </c>
      <c r="AH259" s="17" t="n">
        <v>0.834</v>
      </c>
      <c r="AI259" s="12" t="n">
        <v>72240</v>
      </c>
      <c r="AJ259" s="14" t="n">
        <f aca="false">IFERROR(AM259*U259*MIN(1/AE259,5),"")</f>
        <v>89150.1767684066</v>
      </c>
      <c r="AK259" s="18" t="n">
        <f aca="false">IFERROR(AJ259/AI259,"")</f>
        <v>1.2340832885992</v>
      </c>
      <c r="AL259" s="15" t="n">
        <f aca="false">IFERROR(AI259/(AM259*U259/12),"")</f>
        <v>47.6657693651574</v>
      </c>
      <c r="AM259" s="12" t="n">
        <v>26520</v>
      </c>
      <c r="AN259" s="12" t="n">
        <v>1047681</v>
      </c>
      <c r="AO259" s="12" t="n">
        <v>2400329</v>
      </c>
      <c r="AP259" s="17" t="n">
        <v>0.351</v>
      </c>
      <c r="AQ259" s="16" t="n">
        <v>86</v>
      </c>
      <c r="AR259" s="16" t="n">
        <v>2</v>
      </c>
      <c r="AS259" s="13" t="n">
        <f aca="false">IFERROR(AR259/AR258-1,"")</f>
        <v>0</v>
      </c>
      <c r="AT259" s="11" t="s">
        <v>170</v>
      </c>
      <c r="AU259" s="14" t="n">
        <f aca="false">IFERROR(P259/AR259,"")</f>
        <v>363328.5</v>
      </c>
      <c r="AV259" s="12" t="n">
        <v>2070005</v>
      </c>
      <c r="AW259" s="12" t="n">
        <v>741172</v>
      </c>
      <c r="AX259" s="12" t="n">
        <v>578340</v>
      </c>
      <c r="AY259" s="16" t="n">
        <v>38847</v>
      </c>
      <c r="AZ259" s="13" t="n">
        <f aca="false">IFERROR(AY259/AY258-1,"")</f>
        <v>-0.129439974900836</v>
      </c>
      <c r="BA259" s="17" t="n">
        <v>0.801</v>
      </c>
      <c r="BB259" s="11" t="s">
        <v>171</v>
      </c>
      <c r="BC259" s="11" t="s">
        <v>120</v>
      </c>
      <c r="BD259" s="11" t="s">
        <v>101</v>
      </c>
      <c r="BE259" s="12" t="n">
        <v>1149907</v>
      </c>
      <c r="BF259" s="13" t="n">
        <f aca="false">IFERROR(P259/BE259-1,"")</f>
        <v>-0.368073244184095</v>
      </c>
      <c r="BG259" s="17" t="n">
        <v>0.21</v>
      </c>
      <c r="BH259" s="17" t="n">
        <v>0.347</v>
      </c>
      <c r="BI259" s="14" t="n">
        <f aca="false">P259*(1+IFERROR(Q259,0))^4</f>
        <v>383076.069292224</v>
      </c>
      <c r="BJ259" s="12" t="n">
        <v>-1040279</v>
      </c>
      <c r="BK259" s="11" t="s">
        <v>139</v>
      </c>
      <c r="BL259" s="11" t="s">
        <v>148</v>
      </c>
      <c r="BM259" s="14" t="n">
        <f aca="false">O259</f>
        <v>15824885</v>
      </c>
      <c r="BN259" s="11" t="s">
        <v>339</v>
      </c>
      <c r="BO259" s="13" t="n">
        <f aca="false">IFERROR(1-L259/M259,"")</f>
        <v>0.106406525392466</v>
      </c>
      <c r="BP259" s="11" t="s">
        <v>142</v>
      </c>
      <c r="BQ259" s="12" t="n">
        <v>2715232</v>
      </c>
      <c r="BR259" s="11" t="s">
        <v>88</v>
      </c>
      <c r="BS259" s="11" t="s">
        <v>89</v>
      </c>
      <c r="BT259" s="19" t="str">
        <f aca="false">IF(OR(Z259&lt;6,AH259&lt;0.9,S259&lt;0.02,AK259&lt;1),"REVIEW",IF(AND(S259&gt;0.25,AH259&gt;1.2),"ACCELERATING","STABLE"))</f>
        <v>REVIEW</v>
      </c>
    </row>
    <row r="260" customFormat="false" ht="15" hidden="false" customHeight="false" outlineLevel="0" collapsed="false">
      <c r="A260" s="11" t="s">
        <v>337</v>
      </c>
      <c r="B260" s="11" t="s">
        <v>92</v>
      </c>
      <c r="C260" s="11" t="s">
        <v>74</v>
      </c>
      <c r="D260" s="11" t="s">
        <v>151</v>
      </c>
      <c r="E260" s="11" t="s">
        <v>105</v>
      </c>
      <c r="F260" s="11" t="s">
        <v>338</v>
      </c>
      <c r="G260" s="11" t="s">
        <v>78</v>
      </c>
      <c r="H260" s="11" t="s">
        <v>79</v>
      </c>
      <c r="I260" s="11" t="s">
        <v>78</v>
      </c>
      <c r="J260" s="12" t="n">
        <v>2596000</v>
      </c>
      <c r="K260" s="13" t="n">
        <f aca="false">IFERROR(J260/M260,"")</f>
        <v>0.106406525392466</v>
      </c>
      <c r="L260" s="12" t="n">
        <v>21801000</v>
      </c>
      <c r="M260" s="14" t="n">
        <f aca="false">L260+J260</f>
        <v>24397000</v>
      </c>
      <c r="N260" s="12" t="n">
        <v>2767000</v>
      </c>
      <c r="O260" s="12" t="n">
        <v>15824885</v>
      </c>
      <c r="P260" s="12" t="n">
        <v>637983</v>
      </c>
      <c r="Q260" s="13" t="n">
        <f aca="false">IFERROR(P260/P259-1,"")</f>
        <v>-0.122030063702682</v>
      </c>
      <c r="R260" s="12" t="n">
        <v>733908</v>
      </c>
      <c r="S260" s="13" t="n">
        <f aca="false">IFERROR(R260/R259-1,"")</f>
        <v>-0.13727407912447</v>
      </c>
      <c r="T260" s="12" t="n">
        <v>429096</v>
      </c>
      <c r="U260" s="13" t="n">
        <f aca="false">IFERROR(T260/P260,"")</f>
        <v>0.672582184791758</v>
      </c>
      <c r="V260" s="14" t="n">
        <f aca="false">T260-AV260</f>
        <v>-1801226</v>
      </c>
      <c r="W260" s="14" t="n">
        <f aca="false">V260-AA260*0.1</f>
        <v>-1801226</v>
      </c>
      <c r="X260" s="12" t="n">
        <v>993074</v>
      </c>
      <c r="Y260" s="12" t="n">
        <v>150400</v>
      </c>
      <c r="Z260" s="15" t="n">
        <f aca="false">IFERROR(X260/Y260,"")</f>
        <v>6.60288563829787</v>
      </c>
      <c r="AA260" s="12" t="n">
        <v>0</v>
      </c>
      <c r="AB260" s="14" t="n">
        <f aca="false">W260-0.02*P260</f>
        <v>-1813985.66</v>
      </c>
      <c r="AC260" s="16" t="n">
        <v>77</v>
      </c>
      <c r="AD260" s="13" t="n">
        <f aca="false">IFERROR(AC260/AC259-1,"")</f>
        <v>-0.125</v>
      </c>
      <c r="AE260" s="17" t="n">
        <v>0.237</v>
      </c>
      <c r="AF260" s="17" t="n">
        <v>0.155</v>
      </c>
      <c r="AG260" s="13" t="n">
        <f aca="false">1-AF260</f>
        <v>0.845</v>
      </c>
      <c r="AH260" s="17" t="n">
        <v>0.794</v>
      </c>
      <c r="AI260" s="12" t="n">
        <v>79120</v>
      </c>
      <c r="AJ260" s="14" t="n">
        <f aca="false">IFERROR(AM260*U260*MIN(1/AE260,5),"")</f>
        <v>76736.802855566</v>
      </c>
      <c r="AK260" s="18" t="n">
        <f aca="false">IFERROR(AJ260/AI260,"")</f>
        <v>0.969878701410085</v>
      </c>
      <c r="AL260" s="15" t="n">
        <f aca="false">IFERROR(AI260/(AM260*U260/12),"")</f>
        <v>52.2054060149903</v>
      </c>
      <c r="AM260" s="12" t="n">
        <v>27040</v>
      </c>
      <c r="AN260" s="12" t="n">
        <v>758965</v>
      </c>
      <c r="AO260" s="12" t="n">
        <v>1258687</v>
      </c>
      <c r="AP260" s="17" t="n">
        <v>0.351</v>
      </c>
      <c r="AQ260" s="16" t="n">
        <v>86</v>
      </c>
      <c r="AR260" s="16" t="n">
        <v>2</v>
      </c>
      <c r="AS260" s="13" t="n">
        <f aca="false">IFERROR(AR260/AR259-1,"")</f>
        <v>0</v>
      </c>
      <c r="AT260" s="11" t="s">
        <v>170</v>
      </c>
      <c r="AU260" s="14" t="n">
        <f aca="false">IFERROR(P260/AR260,"")</f>
        <v>318991.5</v>
      </c>
      <c r="AV260" s="12" t="n">
        <v>2230322</v>
      </c>
      <c r="AW260" s="12" t="n">
        <v>999506</v>
      </c>
      <c r="AX260" s="12" t="n">
        <v>511955</v>
      </c>
      <c r="AY260" s="16" t="n">
        <v>34057</v>
      </c>
      <c r="AZ260" s="13" t="n">
        <f aca="false">IFERROR(AY260/AY259-1,"")</f>
        <v>-0.123304244858033</v>
      </c>
      <c r="BA260" s="17" t="n">
        <v>0.812</v>
      </c>
      <c r="BB260" s="11" t="s">
        <v>171</v>
      </c>
      <c r="BC260" s="11" t="s">
        <v>120</v>
      </c>
      <c r="BD260" s="11" t="s">
        <v>101</v>
      </c>
      <c r="BE260" s="12" t="n">
        <v>971778</v>
      </c>
      <c r="BF260" s="13" t="n">
        <f aca="false">IFERROR(P260/BE260-1,"")</f>
        <v>-0.343488945005958</v>
      </c>
      <c r="BG260" s="17" t="n">
        <v>0.194</v>
      </c>
      <c r="BH260" s="17" t="n">
        <v>0.199</v>
      </c>
      <c r="BI260" s="14" t="n">
        <f aca="false">P260*(1+IFERROR(Q260,0))^4</f>
        <v>379077.21923467</v>
      </c>
      <c r="BJ260" s="12" t="n">
        <v>-1036271</v>
      </c>
      <c r="BK260" s="11" t="s">
        <v>139</v>
      </c>
      <c r="BL260" s="11" t="s">
        <v>148</v>
      </c>
      <c r="BM260" s="14" t="n">
        <f aca="false">O260</f>
        <v>15824885</v>
      </c>
      <c r="BN260" s="11" t="s">
        <v>339</v>
      </c>
      <c r="BO260" s="13" t="n">
        <f aca="false">IFERROR(1-L260/M260,"")</f>
        <v>0.106406525392466</v>
      </c>
      <c r="BP260" s="11" t="s">
        <v>142</v>
      </c>
      <c r="BQ260" s="12" t="n">
        <v>2141197</v>
      </c>
      <c r="BR260" s="11" t="s">
        <v>88</v>
      </c>
      <c r="BS260" s="11" t="s">
        <v>89</v>
      </c>
      <c r="BT260" s="19" t="str">
        <f aca="false">IF(OR(Z260&lt;6,AH260&lt;0.9,S260&lt;0.02,AK260&lt;1),"REVIEW",IF(AND(S260&gt;0.25,AH260&gt;1.2),"ACCELERATING","STABLE"))</f>
        <v>REVIEW</v>
      </c>
    </row>
    <row r="261" customFormat="false" ht="15" hidden="false" customHeight="false" outlineLevel="0" collapsed="false">
      <c r="A261" s="11" t="s">
        <v>337</v>
      </c>
      <c r="B261" s="11" t="s">
        <v>93</v>
      </c>
      <c r="C261" s="11" t="s">
        <v>74</v>
      </c>
      <c r="D261" s="11" t="s">
        <v>151</v>
      </c>
      <c r="E261" s="11" t="s">
        <v>105</v>
      </c>
      <c r="F261" s="11" t="s">
        <v>338</v>
      </c>
      <c r="G261" s="11" t="s">
        <v>78</v>
      </c>
      <c r="H261" s="11" t="s">
        <v>79</v>
      </c>
      <c r="I261" s="11" t="s">
        <v>78</v>
      </c>
      <c r="J261" s="12" t="n">
        <v>2596000</v>
      </c>
      <c r="K261" s="13" t="n">
        <f aca="false">IFERROR(J261/M261,"")</f>
        <v>0.106406525392466</v>
      </c>
      <c r="L261" s="12" t="n">
        <v>21801000</v>
      </c>
      <c r="M261" s="14" t="n">
        <f aca="false">L261+J261</f>
        <v>24397000</v>
      </c>
      <c r="N261" s="12" t="n">
        <v>2767000</v>
      </c>
      <c r="O261" s="12" t="n">
        <v>15824885</v>
      </c>
      <c r="P261" s="12" t="n">
        <v>543905</v>
      </c>
      <c r="Q261" s="13" t="n">
        <f aca="false">IFERROR(P261/P260-1,"")</f>
        <v>-0.147461609478623</v>
      </c>
      <c r="R261" s="12" t="n">
        <v>634845</v>
      </c>
      <c r="S261" s="13" t="n">
        <f aca="false">IFERROR(R261/R260-1,"")</f>
        <v>-0.134980133749734</v>
      </c>
      <c r="T261" s="12" t="n">
        <v>358648</v>
      </c>
      <c r="U261" s="13" t="n">
        <f aca="false">IFERROR(T261/P261,"")</f>
        <v>0.659394563388827</v>
      </c>
      <c r="V261" s="14" t="n">
        <f aca="false">T261-AV261</f>
        <v>-1904167</v>
      </c>
      <c r="W261" s="14" t="n">
        <f aca="false">V261-AA261*0.1</f>
        <v>-1904167</v>
      </c>
      <c r="X261" s="12" t="n">
        <v>496754</v>
      </c>
      <c r="Y261" s="12" t="n">
        <v>160000</v>
      </c>
      <c r="Z261" s="15" t="n">
        <f aca="false">IFERROR(X261/Y261,"")</f>
        <v>3.1047125</v>
      </c>
      <c r="AA261" s="12" t="n">
        <v>0</v>
      </c>
      <c r="AB261" s="14" t="n">
        <f aca="false">W261-0.02*P261</f>
        <v>-1915045.1</v>
      </c>
      <c r="AC261" s="16" t="n">
        <v>69</v>
      </c>
      <c r="AD261" s="13" t="n">
        <f aca="false">IFERROR(AC261/AC260-1,"")</f>
        <v>-0.103896103896104</v>
      </c>
      <c r="AE261" s="17" t="n">
        <v>0.269</v>
      </c>
      <c r="AF261" s="17" t="n">
        <v>0.28</v>
      </c>
      <c r="AG261" s="13" t="n">
        <f aca="false">1-AF261</f>
        <v>0.72</v>
      </c>
      <c r="AH261" s="17" t="n">
        <v>0.754</v>
      </c>
      <c r="AI261" s="12" t="n">
        <v>86000</v>
      </c>
      <c r="AJ261" s="14" t="n">
        <f aca="false">IFERROR(AM261*U261*MIN(1/AE261,5),"")</f>
        <v>67557.3017360449</v>
      </c>
      <c r="AK261" s="18" t="n">
        <f aca="false">IFERROR(AJ261/AI261,"")</f>
        <v>0.785550020186569</v>
      </c>
      <c r="AL261" s="15" t="n">
        <f aca="false">IFERROR(AI261/(AM261*U261/12),"")</f>
        <v>56.7878101726921</v>
      </c>
      <c r="AM261" s="12" t="n">
        <v>27560</v>
      </c>
      <c r="AN261" s="12" t="n">
        <v>594311</v>
      </c>
      <c r="AO261" s="12" t="n">
        <v>2186362</v>
      </c>
      <c r="AP261" s="17" t="n">
        <v>0.351</v>
      </c>
      <c r="AQ261" s="16" t="n">
        <v>86</v>
      </c>
      <c r="AR261" s="16" t="n">
        <v>2</v>
      </c>
      <c r="AS261" s="13" t="n">
        <f aca="false">IFERROR(AR261/AR260-1,"")</f>
        <v>0</v>
      </c>
      <c r="AT261" s="11" t="s">
        <v>170</v>
      </c>
      <c r="AU261" s="14" t="n">
        <f aca="false">IFERROR(P261/AR261,"")</f>
        <v>271952.5</v>
      </c>
      <c r="AV261" s="12" t="n">
        <v>2262815</v>
      </c>
      <c r="AW261" s="12" t="n">
        <v>1014192</v>
      </c>
      <c r="AX261" s="12" t="n">
        <v>637210</v>
      </c>
      <c r="AY261" s="16" t="n">
        <v>30091</v>
      </c>
      <c r="AZ261" s="13" t="n">
        <f aca="false">IFERROR(AY261/AY260-1,"")</f>
        <v>-0.116451830754324</v>
      </c>
      <c r="BA261" s="17" t="n">
        <v>0.795</v>
      </c>
      <c r="BB261" s="11" t="s">
        <v>171</v>
      </c>
      <c r="BC261" s="11" t="s">
        <v>120</v>
      </c>
      <c r="BD261" s="11" t="s">
        <v>101</v>
      </c>
      <c r="BE261" s="12" t="n">
        <v>753856</v>
      </c>
      <c r="BF261" s="13" t="n">
        <f aca="false">IFERROR(P261/BE261-1,"")</f>
        <v>-0.278502790983955</v>
      </c>
      <c r="BG261" s="17" t="n">
        <v>0.245</v>
      </c>
      <c r="BH261" s="17" t="n">
        <v>0.277</v>
      </c>
      <c r="BI261" s="14" t="n">
        <f aca="false">P261*(1+IFERROR(Q261,0))^4</f>
        <v>287328.582425809</v>
      </c>
      <c r="BJ261" s="12" t="n">
        <v>-1668807</v>
      </c>
      <c r="BK261" s="11" t="s">
        <v>139</v>
      </c>
      <c r="BL261" s="11" t="s">
        <v>148</v>
      </c>
      <c r="BM261" s="14" t="n">
        <f aca="false">O261</f>
        <v>15824885</v>
      </c>
      <c r="BN261" s="11" t="s">
        <v>339</v>
      </c>
      <c r="BO261" s="13" t="n">
        <f aca="false">IFERROR(1-L261/M261,"")</f>
        <v>0.106406525392466</v>
      </c>
      <c r="BP261" s="11" t="s">
        <v>142</v>
      </c>
      <c r="BQ261" s="12" t="n">
        <v>3107599</v>
      </c>
      <c r="BR261" s="11" t="s">
        <v>88</v>
      </c>
      <c r="BS261" s="11" t="s">
        <v>89</v>
      </c>
      <c r="BT261" s="19" t="str">
        <f aca="false">IF(OR(Z261&lt;6,AH261&lt;0.9,S261&lt;0.02,AK261&lt;1),"REVIEW",IF(AND(S261&gt;0.25,AH261&gt;1.2),"ACCELERATING","STABLE"))</f>
        <v>REVIEW</v>
      </c>
    </row>
    <row r="262" customFormat="false" ht="15" hidden="false" customHeight="false" outlineLevel="0" collapsed="false">
      <c r="A262" s="3" t="s">
        <v>340</v>
      </c>
      <c r="B262" s="3" t="s">
        <v>73</v>
      </c>
      <c r="C262" s="3" t="s">
        <v>74</v>
      </c>
      <c r="D262" s="3" t="s">
        <v>151</v>
      </c>
      <c r="E262" s="3" t="s">
        <v>105</v>
      </c>
      <c r="F262" s="3" t="s">
        <v>341</v>
      </c>
      <c r="G262" s="3" t="s">
        <v>78</v>
      </c>
      <c r="H262" s="3" t="s">
        <v>79</v>
      </c>
      <c r="I262" s="3" t="s">
        <v>78</v>
      </c>
      <c r="J262" s="4" t="n">
        <v>4056000</v>
      </c>
      <c r="K262" s="5" t="n">
        <f aca="false">IFERROR(J262/M262,"")</f>
        <v>0.156318649554862</v>
      </c>
      <c r="L262" s="4" t="n">
        <v>21891000</v>
      </c>
      <c r="M262" s="6" t="n">
        <f aca="false">L262+J262</f>
        <v>25947000</v>
      </c>
      <c r="N262" s="4" t="n">
        <v>4056000</v>
      </c>
      <c r="O262" s="4" t="n">
        <v>31538093</v>
      </c>
      <c r="P262" s="4" t="n">
        <v>863571</v>
      </c>
      <c r="Q262" s="7"/>
      <c r="R262" s="4" t="n">
        <v>883265</v>
      </c>
      <c r="S262" s="7"/>
      <c r="T262" s="4" t="n">
        <v>571931</v>
      </c>
      <c r="U262" s="5" t="n">
        <f aca="false">IFERROR(T262/P262,"")</f>
        <v>0.662286019331358</v>
      </c>
      <c r="V262" s="6" t="n">
        <f aca="false">T262-AV262</f>
        <v>-1210958</v>
      </c>
      <c r="W262" s="6" t="n">
        <f aca="false">V262-AA262*0.1</f>
        <v>-1210958</v>
      </c>
      <c r="X262" s="4" t="n">
        <v>2372213</v>
      </c>
      <c r="Y262" s="4" t="n">
        <v>93730</v>
      </c>
      <c r="Z262" s="8" t="n">
        <f aca="false">IFERROR(X262/Y262,"")</f>
        <v>25.3090045876454</v>
      </c>
      <c r="AA262" s="4" t="n">
        <v>0</v>
      </c>
      <c r="AB262" s="6" t="n">
        <f aca="false">W262-0.02*P262</f>
        <v>-1228229.42</v>
      </c>
      <c r="AC262" s="9" t="n">
        <v>41</v>
      </c>
      <c r="AD262" s="7"/>
      <c r="AE262" s="7" t="n">
        <v>0.087</v>
      </c>
      <c r="AF262" s="7" t="n">
        <v>0.084</v>
      </c>
      <c r="AG262" s="5" t="n">
        <f aca="false">1-AF262</f>
        <v>0.916</v>
      </c>
      <c r="AH262" s="7" t="n">
        <v>1.05</v>
      </c>
      <c r="AI262" s="4" t="n">
        <v>47276</v>
      </c>
      <c r="AJ262" s="6" t="n">
        <f aca="false">IFERROR(AM262*U262*MIN(1/AE262,5),"")</f>
        <v>125834.343672958</v>
      </c>
      <c r="AK262" s="10" t="n">
        <f aca="false">IFERROR(AJ262/AI262,"")</f>
        <v>2.66169607566118</v>
      </c>
      <c r="AL262" s="8" t="n">
        <f aca="false">IFERROR(AI262/(AM262*U262/12),"")</f>
        <v>22.5420176813747</v>
      </c>
      <c r="AM262" s="4" t="n">
        <v>38000</v>
      </c>
      <c r="AN262" s="4" t="n">
        <v>1140487</v>
      </c>
      <c r="AO262" s="4" t="n">
        <v>1858480</v>
      </c>
      <c r="AP262" s="7" t="n">
        <v>0.353</v>
      </c>
      <c r="AQ262" s="9" t="n">
        <v>80</v>
      </c>
      <c r="AR262" s="9" t="n">
        <v>2</v>
      </c>
      <c r="AS262" s="7"/>
      <c r="AT262" s="3" t="s">
        <v>153</v>
      </c>
      <c r="AU262" s="6" t="n">
        <f aca="false">IFERROR(P262/AR262,"")</f>
        <v>431785.5</v>
      </c>
      <c r="AV262" s="4" t="n">
        <v>1782889</v>
      </c>
      <c r="AW262" s="4" t="n">
        <v>841783</v>
      </c>
      <c r="AX262" s="4" t="n">
        <v>396249</v>
      </c>
      <c r="AY262" s="9" t="n">
        <v>15910</v>
      </c>
      <c r="AZ262" s="7"/>
      <c r="BA262" s="7" t="n">
        <v>0.936</v>
      </c>
      <c r="BB262" s="3" t="s">
        <v>99</v>
      </c>
      <c r="BC262" s="3" t="s">
        <v>108</v>
      </c>
      <c r="BD262" s="3" t="s">
        <v>157</v>
      </c>
      <c r="BE262" s="4" t="n">
        <v>1038402</v>
      </c>
      <c r="BF262" s="5" t="n">
        <f aca="false">IFERROR(P262/BE262-1,"")</f>
        <v>-0.16836543072914</v>
      </c>
      <c r="BG262" s="7" t="n">
        <v>-0.003</v>
      </c>
      <c r="BH262" s="7" t="n">
        <v>0.041</v>
      </c>
      <c r="BI262" s="6" t="n">
        <f aca="false">P262</f>
        <v>863571</v>
      </c>
      <c r="BJ262" s="4" t="n">
        <v>-756806</v>
      </c>
      <c r="BK262" s="3" t="s">
        <v>102</v>
      </c>
      <c r="BL262" s="3" t="s">
        <v>128</v>
      </c>
      <c r="BM262" s="6" t="n">
        <f aca="false">O262</f>
        <v>31538093</v>
      </c>
      <c r="BN262" s="3" t="s">
        <v>342</v>
      </c>
      <c r="BO262" s="5" t="n">
        <f aca="false">IFERROR(1-L262/M262,"")</f>
        <v>0.156318649554862</v>
      </c>
      <c r="BP262" s="3" t="s">
        <v>113</v>
      </c>
      <c r="BQ262" s="4" t="n">
        <v>1756563</v>
      </c>
      <c r="BR262" s="3" t="s">
        <v>88</v>
      </c>
      <c r="BS262" s="3" t="s">
        <v>89</v>
      </c>
      <c r="BT262" s="3" t="s">
        <v>90</v>
      </c>
    </row>
    <row r="263" customFormat="false" ht="15" hidden="false" customHeight="false" outlineLevel="0" collapsed="false">
      <c r="A263" s="11" t="s">
        <v>340</v>
      </c>
      <c r="B263" s="11" t="s">
        <v>91</v>
      </c>
      <c r="C263" s="11" t="s">
        <v>74</v>
      </c>
      <c r="D263" s="11" t="s">
        <v>151</v>
      </c>
      <c r="E263" s="11" t="s">
        <v>105</v>
      </c>
      <c r="F263" s="11" t="s">
        <v>341</v>
      </c>
      <c r="G263" s="11" t="s">
        <v>78</v>
      </c>
      <c r="H263" s="11" t="s">
        <v>79</v>
      </c>
      <c r="I263" s="11" t="s">
        <v>78</v>
      </c>
      <c r="J263" s="12" t="n">
        <v>4056000</v>
      </c>
      <c r="K263" s="13" t="n">
        <f aca="false">IFERROR(J263/M263,"")</f>
        <v>0.156318649554862</v>
      </c>
      <c r="L263" s="12" t="n">
        <v>21891000</v>
      </c>
      <c r="M263" s="14" t="n">
        <f aca="false">L263+J263</f>
        <v>25947000</v>
      </c>
      <c r="N263" s="12" t="n">
        <v>4056000</v>
      </c>
      <c r="O263" s="12" t="n">
        <v>31538093</v>
      </c>
      <c r="P263" s="12" t="n">
        <v>1018439</v>
      </c>
      <c r="Q263" s="13" t="n">
        <f aca="false">IFERROR(P263/P262-1,"")</f>
        <v>0.179334414888874</v>
      </c>
      <c r="R263" s="12" t="n">
        <v>1079735</v>
      </c>
      <c r="S263" s="13" t="n">
        <f aca="false">IFERROR(R263/R262-1,"")</f>
        <v>0.222436075243557</v>
      </c>
      <c r="T263" s="12" t="n">
        <v>677229</v>
      </c>
      <c r="U263" s="13" t="n">
        <f aca="false">IFERROR(T263/P263,"")</f>
        <v>0.664967661293411</v>
      </c>
      <c r="V263" s="14" t="n">
        <f aca="false">T263-AV263</f>
        <v>-1219228</v>
      </c>
      <c r="W263" s="14" t="n">
        <f aca="false">V263-AA263*0.1</f>
        <v>-1219228</v>
      </c>
      <c r="X263" s="12" t="n">
        <v>2135828</v>
      </c>
      <c r="Y263" s="12" t="n">
        <v>96820</v>
      </c>
      <c r="Z263" s="15" t="n">
        <f aca="false">IFERROR(X263/Y263,"")</f>
        <v>22.0597810369758</v>
      </c>
      <c r="AA263" s="12" t="n">
        <v>0</v>
      </c>
      <c r="AB263" s="14" t="n">
        <f aca="false">W263-0.02*P263</f>
        <v>-1239596.78</v>
      </c>
      <c r="AC263" s="16" t="n">
        <v>44</v>
      </c>
      <c r="AD263" s="13" t="n">
        <f aca="false">IFERROR(AC263/AC262-1,"")</f>
        <v>0.0731707317073171</v>
      </c>
      <c r="AE263" s="17" t="n">
        <v>0.085</v>
      </c>
      <c r="AF263" s="17" t="n">
        <v>0.09</v>
      </c>
      <c r="AG263" s="13" t="n">
        <f aca="false">1-AF263</f>
        <v>0.91</v>
      </c>
      <c r="AH263" s="17" t="n">
        <v>1.045</v>
      </c>
      <c r="AI263" s="12" t="n">
        <v>46384</v>
      </c>
      <c r="AJ263" s="14" t="n">
        <f aca="false">IFERROR(AM263*U263*MIN(1/AE263,5),"")</f>
        <v>128870.732758663</v>
      </c>
      <c r="AK263" s="18" t="n">
        <f aca="false">IFERROR(AJ263/AI263,"")</f>
        <v>2.77834453170626</v>
      </c>
      <c r="AL263" s="15" t="n">
        <f aca="false">IFERROR(AI263/(AM263*U263/12),"")</f>
        <v>21.5955938204512</v>
      </c>
      <c r="AM263" s="12" t="n">
        <v>38760</v>
      </c>
      <c r="AN263" s="12" t="n">
        <v>1193266</v>
      </c>
      <c r="AO263" s="12" t="n">
        <v>1813256</v>
      </c>
      <c r="AP263" s="17" t="n">
        <v>0.353</v>
      </c>
      <c r="AQ263" s="16" t="n">
        <v>80</v>
      </c>
      <c r="AR263" s="16" t="n">
        <v>2</v>
      </c>
      <c r="AS263" s="13" t="n">
        <f aca="false">IFERROR(AR263/AR262-1,"")</f>
        <v>0</v>
      </c>
      <c r="AT263" s="11" t="s">
        <v>153</v>
      </c>
      <c r="AU263" s="14" t="n">
        <f aca="false">IFERROR(P263/AR263,"")</f>
        <v>509219.5</v>
      </c>
      <c r="AV263" s="12" t="n">
        <v>1896457</v>
      </c>
      <c r="AW263" s="12" t="n">
        <v>720683</v>
      </c>
      <c r="AX263" s="12" t="n">
        <v>366122</v>
      </c>
      <c r="AY263" s="16" t="n">
        <v>19222</v>
      </c>
      <c r="AZ263" s="13" t="n">
        <f aca="false">IFERROR(AY263/AY262-1,"")</f>
        <v>0.208170961659334</v>
      </c>
      <c r="BA263" s="17" t="n">
        <v>0.921</v>
      </c>
      <c r="BB263" s="11" t="s">
        <v>99</v>
      </c>
      <c r="BC263" s="11" t="s">
        <v>108</v>
      </c>
      <c r="BD263" s="11" t="s">
        <v>157</v>
      </c>
      <c r="BE263" s="12" t="n">
        <v>1114268</v>
      </c>
      <c r="BF263" s="13" t="n">
        <f aca="false">IFERROR(P263/BE263-1,"")</f>
        <v>-0.0860017518227213</v>
      </c>
      <c r="BG263" s="17" t="n">
        <v>0.016</v>
      </c>
      <c r="BH263" s="17" t="n">
        <v>-0.059</v>
      </c>
      <c r="BI263" s="14" t="n">
        <f aca="false">P263*(1+IFERROR(Q263,0))^4</f>
        <v>1970075.68251414</v>
      </c>
      <c r="BJ263" s="12" t="n">
        <v>-944616</v>
      </c>
      <c r="BK263" s="11" t="s">
        <v>102</v>
      </c>
      <c r="BL263" s="11" t="s">
        <v>128</v>
      </c>
      <c r="BM263" s="14" t="n">
        <f aca="false">O263</f>
        <v>31538093</v>
      </c>
      <c r="BN263" s="11" t="s">
        <v>342</v>
      </c>
      <c r="BO263" s="13" t="n">
        <f aca="false">IFERROR(1-L263/M263,"")</f>
        <v>0.156318649554862</v>
      </c>
      <c r="BP263" s="11" t="s">
        <v>113</v>
      </c>
      <c r="BQ263" s="12" t="n">
        <v>1758762</v>
      </c>
      <c r="BR263" s="11" t="s">
        <v>88</v>
      </c>
      <c r="BS263" s="11" t="s">
        <v>89</v>
      </c>
      <c r="BT263" s="19" t="str">
        <f aca="false">IF(OR(Z263&lt;6,AH263&lt;0.9,S263&lt;0.02,AK263&lt;1),"REVIEW",IF(AND(S263&gt;0.25,AH263&gt;1.2),"ACCELERATING","STABLE"))</f>
        <v>STABLE</v>
      </c>
    </row>
    <row r="264" customFormat="false" ht="15" hidden="false" customHeight="false" outlineLevel="0" collapsed="false">
      <c r="A264" s="11" t="s">
        <v>340</v>
      </c>
      <c r="B264" s="11" t="s">
        <v>92</v>
      </c>
      <c r="C264" s="11" t="s">
        <v>74</v>
      </c>
      <c r="D264" s="11" t="s">
        <v>151</v>
      </c>
      <c r="E264" s="11" t="s">
        <v>105</v>
      </c>
      <c r="F264" s="11" t="s">
        <v>341</v>
      </c>
      <c r="G264" s="11" t="s">
        <v>78</v>
      </c>
      <c r="H264" s="11" t="s">
        <v>79</v>
      </c>
      <c r="I264" s="11" t="s">
        <v>78</v>
      </c>
      <c r="J264" s="12" t="n">
        <v>4056000</v>
      </c>
      <c r="K264" s="13" t="n">
        <f aca="false">IFERROR(J264/M264,"")</f>
        <v>0.156318649554862</v>
      </c>
      <c r="L264" s="12" t="n">
        <v>21891000</v>
      </c>
      <c r="M264" s="14" t="n">
        <f aca="false">L264+J264</f>
        <v>25947000</v>
      </c>
      <c r="N264" s="12" t="n">
        <v>4056000</v>
      </c>
      <c r="O264" s="12" t="n">
        <v>31538093</v>
      </c>
      <c r="P264" s="12" t="n">
        <v>1221380</v>
      </c>
      <c r="Q264" s="13" t="n">
        <f aca="false">IFERROR(P264/P263-1,"")</f>
        <v>0.199266720932721</v>
      </c>
      <c r="R264" s="12" t="n">
        <v>1213477</v>
      </c>
      <c r="S264" s="13" t="n">
        <f aca="false">IFERROR(R264/R263-1,"")</f>
        <v>0.123865578127967</v>
      </c>
      <c r="T264" s="12" t="n">
        <v>815453</v>
      </c>
      <c r="U264" s="13" t="n">
        <f aca="false">IFERROR(T264/P264,"")</f>
        <v>0.667648888961666</v>
      </c>
      <c r="V264" s="14" t="n">
        <f aca="false">T264-AV264</f>
        <v>-910766</v>
      </c>
      <c r="W264" s="14" t="n">
        <f aca="false">V264-AA264*0.1</f>
        <v>-910766</v>
      </c>
      <c r="X264" s="12" t="n">
        <v>1882757</v>
      </c>
      <c r="Y264" s="12" t="n">
        <v>99910</v>
      </c>
      <c r="Z264" s="15" t="n">
        <f aca="false">IFERROR(X264/Y264,"")</f>
        <v>18.8445300770694</v>
      </c>
      <c r="AA264" s="12" t="n">
        <v>0</v>
      </c>
      <c r="AB264" s="14" t="n">
        <f aca="false">W264-0.02*P264</f>
        <v>-935193.6</v>
      </c>
      <c r="AC264" s="16" t="n">
        <v>54</v>
      </c>
      <c r="AD264" s="13" t="n">
        <f aca="false">IFERROR(AC264/AC263-1,"")</f>
        <v>0.227272727272727</v>
      </c>
      <c r="AE264" s="17" t="n">
        <v>0.082</v>
      </c>
      <c r="AF264" s="17" t="n">
        <v>0.086</v>
      </c>
      <c r="AG264" s="13" t="n">
        <f aca="false">1-AF264</f>
        <v>0.914</v>
      </c>
      <c r="AH264" s="17" t="n">
        <v>1.04</v>
      </c>
      <c r="AI264" s="12" t="n">
        <v>45492</v>
      </c>
      <c r="AJ264" s="14" t="n">
        <f aca="false">IFERROR(AM264*U264*MIN(1/AE264,5),"")</f>
        <v>131927.420458825</v>
      </c>
      <c r="AK264" s="18" t="n">
        <f aca="false">IFERROR(AJ264/AI264,"")</f>
        <v>2.90001363885574</v>
      </c>
      <c r="AL264" s="15" t="n">
        <f aca="false">IFERROR(AI264/(AM264*U264/12),"")</f>
        <v>20.6895578683121</v>
      </c>
      <c r="AM264" s="12" t="n">
        <v>39520</v>
      </c>
      <c r="AN264" s="12" t="n">
        <v>1675956</v>
      </c>
      <c r="AO264" s="12" t="n">
        <v>3666053</v>
      </c>
      <c r="AP264" s="17" t="n">
        <v>0.353</v>
      </c>
      <c r="AQ264" s="16" t="n">
        <v>80</v>
      </c>
      <c r="AR264" s="16" t="n">
        <v>2</v>
      </c>
      <c r="AS264" s="13" t="n">
        <f aca="false">IFERROR(AR264/AR263-1,"")</f>
        <v>0</v>
      </c>
      <c r="AT264" s="11" t="s">
        <v>153</v>
      </c>
      <c r="AU264" s="14" t="n">
        <f aca="false">IFERROR(P264/AR264,"")</f>
        <v>610690</v>
      </c>
      <c r="AV264" s="12" t="n">
        <v>1726219</v>
      </c>
      <c r="AW264" s="12" t="n">
        <v>818622</v>
      </c>
      <c r="AX264" s="12" t="n">
        <v>473417</v>
      </c>
      <c r="AY264" s="16" t="n">
        <v>21345</v>
      </c>
      <c r="AZ264" s="13" t="n">
        <f aca="false">IFERROR(AY264/AY263-1,"")</f>
        <v>0.110446363541775</v>
      </c>
      <c r="BA264" s="17" t="n">
        <v>0.918</v>
      </c>
      <c r="BB264" s="11" t="s">
        <v>99</v>
      </c>
      <c r="BC264" s="11" t="s">
        <v>108</v>
      </c>
      <c r="BD264" s="11" t="s">
        <v>157</v>
      </c>
      <c r="BE264" s="12" t="n">
        <v>1406458</v>
      </c>
      <c r="BF264" s="13" t="n">
        <f aca="false">IFERROR(P264/BE264-1,"")</f>
        <v>-0.131591558368611</v>
      </c>
      <c r="BG264" s="17" t="n">
        <v>-0.009</v>
      </c>
      <c r="BH264" s="17" t="n">
        <v>-0.066</v>
      </c>
      <c r="BI264" s="14" t="n">
        <f aca="false">P264*(1+IFERROR(Q264,0))^4</f>
        <v>2526468.76704872</v>
      </c>
      <c r="BJ264" s="12" t="n">
        <v>-824378</v>
      </c>
      <c r="BK264" s="11" t="s">
        <v>102</v>
      </c>
      <c r="BL264" s="11" t="s">
        <v>128</v>
      </c>
      <c r="BM264" s="14" t="n">
        <f aca="false">O264</f>
        <v>31538093</v>
      </c>
      <c r="BN264" s="11" t="s">
        <v>342</v>
      </c>
      <c r="BO264" s="13" t="n">
        <f aca="false">IFERROR(1-L264/M264,"")</f>
        <v>0.156318649554862</v>
      </c>
      <c r="BP264" s="11" t="s">
        <v>113</v>
      </c>
      <c r="BQ264" s="12" t="n">
        <v>1950237</v>
      </c>
      <c r="BR264" s="11" t="s">
        <v>88</v>
      </c>
      <c r="BS264" s="11" t="s">
        <v>89</v>
      </c>
      <c r="BT264" s="19" t="str">
        <f aca="false">IF(OR(Z264&lt;6,AH264&lt;0.9,S264&lt;0.02,AK264&lt;1),"REVIEW",IF(AND(S264&gt;0.25,AH264&gt;1.2),"ACCELERATING","STABLE"))</f>
        <v>STABLE</v>
      </c>
    </row>
    <row r="265" customFormat="false" ht="15" hidden="false" customHeight="false" outlineLevel="0" collapsed="false">
      <c r="A265" s="11" t="s">
        <v>340</v>
      </c>
      <c r="B265" s="11" t="s">
        <v>93</v>
      </c>
      <c r="C265" s="11" t="s">
        <v>74</v>
      </c>
      <c r="D265" s="11" t="s">
        <v>151</v>
      </c>
      <c r="E265" s="11" t="s">
        <v>105</v>
      </c>
      <c r="F265" s="11" t="s">
        <v>341</v>
      </c>
      <c r="G265" s="11" t="s">
        <v>78</v>
      </c>
      <c r="H265" s="11" t="s">
        <v>79</v>
      </c>
      <c r="I265" s="11" t="s">
        <v>78</v>
      </c>
      <c r="J265" s="12" t="n">
        <v>4056000</v>
      </c>
      <c r="K265" s="13" t="n">
        <f aca="false">IFERROR(J265/M265,"")</f>
        <v>0.156318649554862</v>
      </c>
      <c r="L265" s="12" t="n">
        <v>21891000</v>
      </c>
      <c r="M265" s="14" t="n">
        <f aca="false">L265+J265</f>
        <v>25947000</v>
      </c>
      <c r="N265" s="12" t="n">
        <v>4056000</v>
      </c>
      <c r="O265" s="12" t="n">
        <v>31538093</v>
      </c>
      <c r="P265" s="12" t="n">
        <v>1364258</v>
      </c>
      <c r="Q265" s="13" t="n">
        <f aca="false">IFERROR(P265/P264-1,"")</f>
        <v>0.116980792218638</v>
      </c>
      <c r="R265" s="12" t="n">
        <v>1549624</v>
      </c>
      <c r="S265" s="13" t="n">
        <f aca="false">IFERROR(R265/R264-1,"")</f>
        <v>0.277011430789376</v>
      </c>
      <c r="T265" s="12" t="n">
        <v>914503</v>
      </c>
      <c r="U265" s="13" t="n">
        <f aca="false">IFERROR(T265/P265,"")</f>
        <v>0.670329952252433</v>
      </c>
      <c r="V265" s="14" t="n">
        <f aca="false">T265-AV265</f>
        <v>-1252379</v>
      </c>
      <c r="W265" s="14" t="n">
        <f aca="false">V265-AA265*0.1</f>
        <v>-1252379</v>
      </c>
      <c r="X265" s="12" t="n">
        <v>1613000</v>
      </c>
      <c r="Y265" s="12" t="n">
        <v>103000</v>
      </c>
      <c r="Z265" s="15" t="n">
        <f aca="false">IFERROR(X265/Y265,"")</f>
        <v>15.6601941747573</v>
      </c>
      <c r="AA265" s="12" t="n">
        <v>0</v>
      </c>
      <c r="AB265" s="14" t="n">
        <f aca="false">W265-0.02*P265</f>
        <v>-1279664.16</v>
      </c>
      <c r="AC265" s="16" t="n">
        <v>57</v>
      </c>
      <c r="AD265" s="13" t="n">
        <f aca="false">IFERROR(AC265/AC264-1,"")</f>
        <v>0.0555555555555556</v>
      </c>
      <c r="AE265" s="17" t="n">
        <v>0.08</v>
      </c>
      <c r="AF265" s="17" t="n">
        <v>0.065</v>
      </c>
      <c r="AG265" s="13" t="n">
        <f aca="false">1-AF265</f>
        <v>0.935</v>
      </c>
      <c r="AH265" s="17" t="n">
        <v>1.035</v>
      </c>
      <c r="AI265" s="12" t="n">
        <v>44600</v>
      </c>
      <c r="AJ265" s="14" t="n">
        <f aca="false">IFERROR(AM265*U265*MIN(1/AE265,5),"")</f>
        <v>135004.45238364</v>
      </c>
      <c r="AK265" s="18" t="n">
        <f aca="false">IFERROR(AJ265/AI265,"")</f>
        <v>3.02700565882601</v>
      </c>
      <c r="AL265" s="15" t="n">
        <f aca="false">IFERROR(AI265/(AM265*U265/12),"")</f>
        <v>19.8215684946127</v>
      </c>
      <c r="AM265" s="12" t="n">
        <v>40280</v>
      </c>
      <c r="AN265" s="12" t="n">
        <v>1731038</v>
      </c>
      <c r="AO265" s="12" t="n">
        <v>5401842</v>
      </c>
      <c r="AP265" s="17" t="n">
        <v>0.353</v>
      </c>
      <c r="AQ265" s="16" t="n">
        <v>80</v>
      </c>
      <c r="AR265" s="16" t="n">
        <v>2</v>
      </c>
      <c r="AS265" s="13" t="n">
        <f aca="false">IFERROR(AR265/AR264-1,"")</f>
        <v>0</v>
      </c>
      <c r="AT265" s="11" t="s">
        <v>153</v>
      </c>
      <c r="AU265" s="14" t="n">
        <f aca="false">IFERROR(P265/AR265,"")</f>
        <v>682129</v>
      </c>
      <c r="AV265" s="12" t="n">
        <v>2166882</v>
      </c>
      <c r="AW265" s="12" t="n">
        <v>728128</v>
      </c>
      <c r="AX265" s="12" t="n">
        <v>695986</v>
      </c>
      <c r="AY265" s="16" t="n">
        <v>24925</v>
      </c>
      <c r="AZ265" s="13" t="n">
        <f aca="false">IFERROR(AY265/AY264-1,"")</f>
        <v>0.167720777699695</v>
      </c>
      <c r="BA265" s="17" t="n">
        <v>0.914</v>
      </c>
      <c r="BB265" s="11" t="s">
        <v>99</v>
      </c>
      <c r="BC265" s="11" t="s">
        <v>108</v>
      </c>
      <c r="BD265" s="11" t="s">
        <v>157</v>
      </c>
      <c r="BE265" s="12" t="n">
        <v>1471738</v>
      </c>
      <c r="BF265" s="13" t="n">
        <f aca="false">IFERROR(P265/BE265-1,"")</f>
        <v>-0.0730293027699224</v>
      </c>
      <c r="BG265" s="17" t="n">
        <v>-0.017</v>
      </c>
      <c r="BH265" s="17" t="n">
        <v>0.04</v>
      </c>
      <c r="BI265" s="14" t="n">
        <f aca="false">P265*(1+IFERROR(Q265,0))^4</f>
        <v>2123632.33346574</v>
      </c>
      <c r="BJ265" s="12" t="n">
        <v>-1137500</v>
      </c>
      <c r="BK265" s="11" t="s">
        <v>102</v>
      </c>
      <c r="BL265" s="11" t="s">
        <v>128</v>
      </c>
      <c r="BM265" s="14" t="n">
        <f aca="false">O265</f>
        <v>31538093</v>
      </c>
      <c r="BN265" s="11" t="s">
        <v>342</v>
      </c>
      <c r="BO265" s="13" t="n">
        <f aca="false">IFERROR(1-L265/M265,"")</f>
        <v>0.156318649554862</v>
      </c>
      <c r="BP265" s="11" t="s">
        <v>113</v>
      </c>
      <c r="BQ265" s="12" t="n">
        <v>2039883</v>
      </c>
      <c r="BR265" s="11" t="s">
        <v>88</v>
      </c>
      <c r="BS265" s="11" t="s">
        <v>89</v>
      </c>
      <c r="BT265" s="19" t="str">
        <f aca="false">IF(OR(Z265&lt;6,AH265&lt;0.9,S265&lt;0.02,AK265&lt;1),"REVIEW",IF(AND(S265&gt;0.25,AH265&gt;1.2),"ACCELERATING","STABLE"))</f>
        <v>STABLE</v>
      </c>
    </row>
    <row r="266" customFormat="false" ht="15" hidden="false" customHeight="false" outlineLevel="0" collapsed="false">
      <c r="A266" s="3" t="s">
        <v>343</v>
      </c>
      <c r="B266" s="3" t="s">
        <v>73</v>
      </c>
      <c r="C266" s="3" t="s">
        <v>74</v>
      </c>
      <c r="D266" s="3" t="s">
        <v>132</v>
      </c>
      <c r="E266" s="3" t="s">
        <v>105</v>
      </c>
      <c r="F266" s="3" t="s">
        <v>344</v>
      </c>
      <c r="G266" s="3" t="s">
        <v>78</v>
      </c>
      <c r="H266" s="3" t="s">
        <v>79</v>
      </c>
      <c r="I266" s="3" t="s">
        <v>78</v>
      </c>
      <c r="J266" s="4" t="n">
        <v>3617000</v>
      </c>
      <c r="K266" s="5" t="n">
        <f aca="false">IFERROR(J266/M266,"")</f>
        <v>0.139179621363706</v>
      </c>
      <c r="L266" s="4" t="n">
        <v>22371000</v>
      </c>
      <c r="M266" s="6" t="n">
        <f aca="false">L266+J266</f>
        <v>25988000</v>
      </c>
      <c r="N266" s="4" t="n">
        <v>6041000</v>
      </c>
      <c r="O266" s="4" t="n">
        <v>48358318</v>
      </c>
      <c r="P266" s="4" t="n">
        <v>423042</v>
      </c>
      <c r="Q266" s="7"/>
      <c r="R266" s="4" t="n">
        <v>479226</v>
      </c>
      <c r="S266" s="7"/>
      <c r="T266" s="4" t="n">
        <v>324458</v>
      </c>
      <c r="U266" s="5" t="n">
        <f aca="false">IFERROR(T266/P266,"")</f>
        <v>0.766964036667754</v>
      </c>
      <c r="V266" s="6" t="n">
        <f aca="false">T266-AV266</f>
        <v>-1806673</v>
      </c>
      <c r="W266" s="6" t="n">
        <f aca="false">V266-AA266*0.1</f>
        <v>-1806673</v>
      </c>
      <c r="X266" s="4" t="n">
        <v>5301699</v>
      </c>
      <c r="Y266" s="4" t="n">
        <v>153790</v>
      </c>
      <c r="Z266" s="8" t="n">
        <f aca="false">IFERROR(X266/Y266,"")</f>
        <v>34.4736263736264</v>
      </c>
      <c r="AA266" s="4" t="n">
        <v>0</v>
      </c>
      <c r="AB266" s="6" t="n">
        <f aca="false">W266-0.02*P266</f>
        <v>-1815133.84</v>
      </c>
      <c r="AC266" s="9" t="n">
        <v>46</v>
      </c>
      <c r="AD266" s="7"/>
      <c r="AE266" s="7" t="n">
        <v>0.119</v>
      </c>
      <c r="AF266" s="7" t="n">
        <v>0.125</v>
      </c>
      <c r="AG266" s="5" t="n">
        <f aca="false">1-AF266</f>
        <v>0.875</v>
      </c>
      <c r="AH266" s="7" t="n">
        <v>1.037</v>
      </c>
      <c r="AI266" s="4" t="n">
        <v>18868</v>
      </c>
      <c r="AJ266" s="6" t="n">
        <f aca="false">IFERROR(AM266*U266*MIN(1/AE266,5),"")</f>
        <v>34513.3816500489</v>
      </c>
      <c r="AK266" s="10" t="n">
        <f aca="false">IFERROR(AJ266/AI266,"")</f>
        <v>1.82920191064495</v>
      </c>
      <c r="AL266" s="8" t="n">
        <f aca="false">IFERROR(AI266/(AM266*U266/12),"")</f>
        <v>32.8011903173909</v>
      </c>
      <c r="AM266" s="4" t="n">
        <v>9000</v>
      </c>
      <c r="AN266" s="4" t="n">
        <v>636821</v>
      </c>
      <c r="AO266" s="4" t="n">
        <v>1304100</v>
      </c>
      <c r="AP266" s="7" t="n">
        <v>0.25</v>
      </c>
      <c r="AQ266" s="9" t="n">
        <v>49</v>
      </c>
      <c r="AR266" s="9" t="n">
        <v>2</v>
      </c>
      <c r="AS266" s="7"/>
      <c r="AT266" s="3" t="s">
        <v>201</v>
      </c>
      <c r="AU266" s="6" t="n">
        <f aca="false">IFERROR(P266/AR266,"")</f>
        <v>211521</v>
      </c>
      <c r="AV266" s="4" t="n">
        <v>2131131</v>
      </c>
      <c r="AW266" s="4" t="n">
        <v>914220</v>
      </c>
      <c r="AX266" s="4" t="n">
        <v>602920</v>
      </c>
      <c r="AY266" s="9" t="n">
        <v>10847</v>
      </c>
      <c r="AZ266" s="7"/>
      <c r="BA266" s="7" t="n">
        <v>0.901</v>
      </c>
      <c r="BB266" s="3" t="s">
        <v>161</v>
      </c>
      <c r="BC266" s="3" t="s">
        <v>100</v>
      </c>
      <c r="BD266" s="3" t="s">
        <v>175</v>
      </c>
      <c r="BE266" s="4" t="n">
        <v>467068</v>
      </c>
      <c r="BF266" s="5" t="n">
        <f aca="false">IFERROR(P266/BE266-1,"")</f>
        <v>-0.0942603646578228</v>
      </c>
      <c r="BG266" s="7" t="n">
        <v>0.055</v>
      </c>
      <c r="BH266" s="7" t="n">
        <v>-0.048</v>
      </c>
      <c r="BI266" s="6" t="n">
        <f aca="false">P266</f>
        <v>423042</v>
      </c>
      <c r="BJ266" s="4" t="n">
        <v>-1296255</v>
      </c>
      <c r="BK266" s="3" t="s">
        <v>127</v>
      </c>
      <c r="BL266" s="3" t="s">
        <v>85</v>
      </c>
      <c r="BM266" s="6" t="n">
        <f aca="false">O266</f>
        <v>48358318</v>
      </c>
      <c r="BN266" s="3" t="s">
        <v>345</v>
      </c>
      <c r="BO266" s="5" t="n">
        <f aca="false">IFERROR(1-L266/M266,"")</f>
        <v>0.139179621363706</v>
      </c>
      <c r="BP266" s="3" t="s">
        <v>142</v>
      </c>
      <c r="BQ266" s="4" t="n">
        <v>2560690</v>
      </c>
      <c r="BR266" s="3" t="s">
        <v>88</v>
      </c>
      <c r="BS266" s="3" t="s">
        <v>89</v>
      </c>
      <c r="BT266" s="3" t="s">
        <v>90</v>
      </c>
    </row>
    <row r="267" customFormat="false" ht="15" hidden="false" customHeight="false" outlineLevel="0" collapsed="false">
      <c r="A267" s="11" t="s">
        <v>343</v>
      </c>
      <c r="B267" s="11" t="s">
        <v>91</v>
      </c>
      <c r="C267" s="11" t="s">
        <v>74</v>
      </c>
      <c r="D267" s="11" t="s">
        <v>132</v>
      </c>
      <c r="E267" s="11" t="s">
        <v>105</v>
      </c>
      <c r="F267" s="11" t="s">
        <v>344</v>
      </c>
      <c r="G267" s="11" t="s">
        <v>78</v>
      </c>
      <c r="H267" s="11" t="s">
        <v>79</v>
      </c>
      <c r="I267" s="11" t="s">
        <v>78</v>
      </c>
      <c r="J267" s="12" t="n">
        <v>3617000</v>
      </c>
      <c r="K267" s="13" t="n">
        <f aca="false">IFERROR(J267/M267,"")</f>
        <v>0.139179621363706</v>
      </c>
      <c r="L267" s="12" t="n">
        <v>22371000</v>
      </c>
      <c r="M267" s="14" t="n">
        <f aca="false">L267+J267</f>
        <v>25988000</v>
      </c>
      <c r="N267" s="12" t="n">
        <v>6041000</v>
      </c>
      <c r="O267" s="12" t="n">
        <v>48358318</v>
      </c>
      <c r="P267" s="12" t="n">
        <v>510122</v>
      </c>
      <c r="Q267" s="13" t="n">
        <f aca="false">IFERROR(P267/P266-1,"")</f>
        <v>0.205842445903716</v>
      </c>
      <c r="R267" s="12" t="n">
        <v>575173</v>
      </c>
      <c r="S267" s="13" t="n">
        <f aca="false">IFERROR(R267/R266-1,"")</f>
        <v>0.200212425870049</v>
      </c>
      <c r="T267" s="12" t="n">
        <v>392829</v>
      </c>
      <c r="U267" s="13" t="n">
        <f aca="false">IFERROR(T267/P267,"")</f>
        <v>0.770068728657066</v>
      </c>
      <c r="V267" s="14" t="n">
        <f aca="false">T267-AV267</f>
        <v>-2060481</v>
      </c>
      <c r="W267" s="14" t="n">
        <f aca="false">V267-AA267*0.1</f>
        <v>-2060481</v>
      </c>
      <c r="X267" s="12" t="n">
        <v>4913844</v>
      </c>
      <c r="Y267" s="12" t="n">
        <v>158860</v>
      </c>
      <c r="Z267" s="15" t="n">
        <f aca="false">IFERROR(X267/Y267,"")</f>
        <v>30.931914893617</v>
      </c>
      <c r="AA267" s="12" t="n">
        <v>0</v>
      </c>
      <c r="AB267" s="14" t="n">
        <f aca="false">W267-0.02*P267</f>
        <v>-2070683.44</v>
      </c>
      <c r="AC267" s="16" t="n">
        <v>54</v>
      </c>
      <c r="AD267" s="13" t="n">
        <f aca="false">IFERROR(AC267/AC266-1,"")</f>
        <v>0.173913043478261</v>
      </c>
      <c r="AE267" s="17" t="n">
        <v>0.116</v>
      </c>
      <c r="AF267" s="17" t="n">
        <v>0.088</v>
      </c>
      <c r="AG267" s="13" t="n">
        <f aca="false">1-AF267</f>
        <v>0.912</v>
      </c>
      <c r="AH267" s="17" t="n">
        <v>1.032</v>
      </c>
      <c r="AI267" s="12" t="n">
        <v>18512</v>
      </c>
      <c r="AJ267" s="14" t="n">
        <f aca="false">IFERROR(AM267*U267*MIN(1/AE267,5),"")</f>
        <v>35346.1546453593</v>
      </c>
      <c r="AK267" s="18" t="n">
        <f aca="false">IFERROR(AJ267/AI267,"")</f>
        <v>1.9093644471348</v>
      </c>
      <c r="AL267" s="15" t="n">
        <f aca="false">IFERROR(AI267/(AM267*U267/12),"")</f>
        <v>31.4240689303901</v>
      </c>
      <c r="AM267" s="12" t="n">
        <v>9180</v>
      </c>
      <c r="AN267" s="12" t="n">
        <v>579240</v>
      </c>
      <c r="AO267" s="12" t="n">
        <v>1684836</v>
      </c>
      <c r="AP267" s="17" t="n">
        <v>0.25</v>
      </c>
      <c r="AQ267" s="16" t="n">
        <v>49</v>
      </c>
      <c r="AR267" s="16" t="n">
        <v>2</v>
      </c>
      <c r="AS267" s="13" t="n">
        <f aca="false">IFERROR(AR267/AR266-1,"")</f>
        <v>0</v>
      </c>
      <c r="AT267" s="11" t="s">
        <v>201</v>
      </c>
      <c r="AU267" s="14" t="n">
        <f aca="false">IFERROR(P267/AR267,"")</f>
        <v>255061</v>
      </c>
      <c r="AV267" s="12" t="n">
        <v>2453310</v>
      </c>
      <c r="AW267" s="12" t="n">
        <v>768084</v>
      </c>
      <c r="AX267" s="12" t="n">
        <v>578328</v>
      </c>
      <c r="AY267" s="16" t="n">
        <v>12504</v>
      </c>
      <c r="AZ267" s="13" t="n">
        <f aca="false">IFERROR(AY267/AY266-1,"")</f>
        <v>0.152761132110261</v>
      </c>
      <c r="BA267" s="17" t="n">
        <v>0.876</v>
      </c>
      <c r="BB267" s="11" t="s">
        <v>161</v>
      </c>
      <c r="BC267" s="11" t="s">
        <v>100</v>
      </c>
      <c r="BD267" s="11" t="s">
        <v>175</v>
      </c>
      <c r="BE267" s="12" t="n">
        <v>561157</v>
      </c>
      <c r="BF267" s="13" t="n">
        <f aca="false">IFERROR(P267/BE267-1,"")</f>
        <v>-0.0909460275822988</v>
      </c>
      <c r="BG267" s="17" t="n">
        <v>0.039</v>
      </c>
      <c r="BH267" s="17" t="n">
        <v>-0.005</v>
      </c>
      <c r="BI267" s="14" t="n">
        <f aca="false">P267*(1+IFERROR(Q267,0))^4</f>
        <v>1078540.16254209</v>
      </c>
      <c r="BJ267" s="12" t="n">
        <v>-954685</v>
      </c>
      <c r="BK267" s="11" t="s">
        <v>127</v>
      </c>
      <c r="BL267" s="11" t="s">
        <v>85</v>
      </c>
      <c r="BM267" s="14" t="n">
        <f aca="false">O267</f>
        <v>48358318</v>
      </c>
      <c r="BN267" s="11" t="s">
        <v>345</v>
      </c>
      <c r="BO267" s="13" t="n">
        <f aca="false">IFERROR(1-L267/M267,"")</f>
        <v>0.139179621363706</v>
      </c>
      <c r="BP267" s="11" t="s">
        <v>142</v>
      </c>
      <c r="BQ267" s="12" t="n">
        <v>2652730</v>
      </c>
      <c r="BR267" s="11" t="s">
        <v>88</v>
      </c>
      <c r="BS267" s="11" t="s">
        <v>89</v>
      </c>
      <c r="BT267" s="19" t="str">
        <f aca="false">IF(OR(Z267&lt;6,AH267&lt;0.9,S267&lt;0.02,AK267&lt;1),"REVIEW",IF(AND(S267&gt;0.25,AH267&gt;1.2),"ACCELERATING","STABLE"))</f>
        <v>STABLE</v>
      </c>
    </row>
    <row r="268" customFormat="false" ht="15" hidden="false" customHeight="false" outlineLevel="0" collapsed="false">
      <c r="A268" s="11" t="s">
        <v>343</v>
      </c>
      <c r="B268" s="11" t="s">
        <v>92</v>
      </c>
      <c r="C268" s="11" t="s">
        <v>74</v>
      </c>
      <c r="D268" s="11" t="s">
        <v>132</v>
      </c>
      <c r="E268" s="11" t="s">
        <v>105</v>
      </c>
      <c r="F268" s="11" t="s">
        <v>344</v>
      </c>
      <c r="G268" s="11" t="s">
        <v>78</v>
      </c>
      <c r="H268" s="11" t="s">
        <v>79</v>
      </c>
      <c r="I268" s="11" t="s">
        <v>78</v>
      </c>
      <c r="J268" s="12" t="n">
        <v>3617000</v>
      </c>
      <c r="K268" s="13" t="n">
        <f aca="false">IFERROR(J268/M268,"")</f>
        <v>0.139179621363706</v>
      </c>
      <c r="L268" s="12" t="n">
        <v>22371000</v>
      </c>
      <c r="M268" s="14" t="n">
        <f aca="false">L268+J268</f>
        <v>25988000</v>
      </c>
      <c r="N268" s="12" t="n">
        <v>6041000</v>
      </c>
      <c r="O268" s="12" t="n">
        <v>48358318</v>
      </c>
      <c r="P268" s="12" t="n">
        <v>620483</v>
      </c>
      <c r="Q268" s="13" t="n">
        <f aca="false">IFERROR(P268/P267-1,"")</f>
        <v>0.216342365159707</v>
      </c>
      <c r="R268" s="12" t="n">
        <v>665162</v>
      </c>
      <c r="S268" s="13" t="n">
        <f aca="false">IFERROR(R268/R267-1,"")</f>
        <v>0.156455535986564</v>
      </c>
      <c r="T268" s="12" t="n">
        <v>479741</v>
      </c>
      <c r="U268" s="13" t="n">
        <f aca="false">IFERROR(T268/P268,"")</f>
        <v>0.773173479370104</v>
      </c>
      <c r="V268" s="14" t="n">
        <f aca="false">T268-AV268</f>
        <v>-1617130</v>
      </c>
      <c r="W268" s="14" t="n">
        <f aca="false">V268-AA268*0.1</f>
        <v>-1617130</v>
      </c>
      <c r="X268" s="12" t="n">
        <v>4498611</v>
      </c>
      <c r="Y268" s="12" t="n">
        <v>163930</v>
      </c>
      <c r="Z268" s="15" t="n">
        <f aca="false">IFERROR(X268/Y268,"")</f>
        <v>27.4422680412371</v>
      </c>
      <c r="AA268" s="12" t="n">
        <v>0</v>
      </c>
      <c r="AB268" s="14" t="n">
        <f aca="false">W268-0.02*P268</f>
        <v>-1629539.66</v>
      </c>
      <c r="AC268" s="16" t="n">
        <v>62</v>
      </c>
      <c r="AD268" s="13" t="n">
        <f aca="false">IFERROR(AC268/AC267-1,"")</f>
        <v>0.148148148148148</v>
      </c>
      <c r="AE268" s="17" t="n">
        <v>0.112</v>
      </c>
      <c r="AF268" s="17" t="n">
        <v>0.12</v>
      </c>
      <c r="AG268" s="13" t="n">
        <f aca="false">1-AF268</f>
        <v>0.88</v>
      </c>
      <c r="AH268" s="17" t="n">
        <v>1.027</v>
      </c>
      <c r="AI268" s="12" t="n">
        <v>18156</v>
      </c>
      <c r="AJ268" s="14" t="n">
        <f aca="false">IFERROR(AM268*U268*MIN(1/AE268,5),"")</f>
        <v>36184.5188345209</v>
      </c>
      <c r="AK268" s="18" t="n">
        <f aca="false">IFERROR(AJ268/AI268,"")</f>
        <v>1.9929785654616</v>
      </c>
      <c r="AL268" s="15" t="n">
        <f aca="false">IFERROR(AI268/(AM268*U268/12),"")</f>
        <v>30.1056925748236</v>
      </c>
      <c r="AM268" s="12" t="n">
        <v>9360</v>
      </c>
      <c r="AN268" s="12" t="n">
        <v>847839</v>
      </c>
      <c r="AO268" s="12" t="n">
        <v>2570712</v>
      </c>
      <c r="AP268" s="17" t="n">
        <v>0.25</v>
      </c>
      <c r="AQ268" s="16" t="n">
        <v>49</v>
      </c>
      <c r="AR268" s="16" t="n">
        <v>2</v>
      </c>
      <c r="AS268" s="13" t="n">
        <f aca="false">IFERROR(AR268/AR267-1,"")</f>
        <v>0</v>
      </c>
      <c r="AT268" s="11" t="s">
        <v>201</v>
      </c>
      <c r="AU268" s="14" t="n">
        <f aca="false">IFERROR(P268/AR268,"")</f>
        <v>310241.5</v>
      </c>
      <c r="AV268" s="12" t="n">
        <v>2096871</v>
      </c>
      <c r="AW268" s="12" t="n">
        <v>667500</v>
      </c>
      <c r="AX268" s="12" t="n">
        <v>586195</v>
      </c>
      <c r="AY268" s="16" t="n">
        <v>13911</v>
      </c>
      <c r="AZ268" s="13" t="n">
        <f aca="false">IFERROR(AY268/AY267-1,"")</f>
        <v>0.112523992322457</v>
      </c>
      <c r="BA268" s="17" t="n">
        <v>0.917</v>
      </c>
      <c r="BB268" s="11" t="s">
        <v>161</v>
      </c>
      <c r="BC268" s="11" t="s">
        <v>100</v>
      </c>
      <c r="BD268" s="11" t="s">
        <v>175</v>
      </c>
      <c r="BE268" s="12" t="n">
        <v>706790</v>
      </c>
      <c r="BF268" s="13" t="n">
        <f aca="false">IFERROR(P268/BE268-1,"")</f>
        <v>-0.122111235303273</v>
      </c>
      <c r="BG268" s="17" t="n">
        <v>0.021</v>
      </c>
      <c r="BH268" s="17" t="n">
        <v>-0.017</v>
      </c>
      <c r="BI268" s="14" t="n">
        <f aca="false">P268*(1+IFERROR(Q268,0))^4</f>
        <v>1358167.14713814</v>
      </c>
      <c r="BJ268" s="12" t="n">
        <v>-1542968</v>
      </c>
      <c r="BK268" s="11" t="s">
        <v>127</v>
      </c>
      <c r="BL268" s="11" t="s">
        <v>85</v>
      </c>
      <c r="BM268" s="14" t="n">
        <f aca="false">O268</f>
        <v>48358318</v>
      </c>
      <c r="BN268" s="11" t="s">
        <v>345</v>
      </c>
      <c r="BO268" s="13" t="n">
        <f aca="false">IFERROR(1-L268/M268,"")</f>
        <v>0.139179621363706</v>
      </c>
      <c r="BP268" s="11" t="s">
        <v>142</v>
      </c>
      <c r="BQ268" s="12" t="n">
        <v>2743381</v>
      </c>
      <c r="BR268" s="11" t="s">
        <v>88</v>
      </c>
      <c r="BS268" s="11" t="s">
        <v>89</v>
      </c>
      <c r="BT268" s="19" t="str">
        <f aca="false">IF(OR(Z268&lt;6,AH268&lt;0.9,S268&lt;0.02,AK268&lt;1),"REVIEW",IF(AND(S268&gt;0.25,AH268&gt;1.2),"ACCELERATING","STABLE"))</f>
        <v>STABLE</v>
      </c>
    </row>
    <row r="269" customFormat="false" ht="15" hidden="false" customHeight="false" outlineLevel="0" collapsed="false">
      <c r="A269" s="11" t="s">
        <v>343</v>
      </c>
      <c r="B269" s="11" t="s">
        <v>93</v>
      </c>
      <c r="C269" s="11" t="s">
        <v>74</v>
      </c>
      <c r="D269" s="11" t="s">
        <v>132</v>
      </c>
      <c r="E269" s="11" t="s">
        <v>105</v>
      </c>
      <c r="F269" s="11" t="s">
        <v>344</v>
      </c>
      <c r="G269" s="11" t="s">
        <v>78</v>
      </c>
      <c r="H269" s="11" t="s">
        <v>79</v>
      </c>
      <c r="I269" s="11" t="s">
        <v>78</v>
      </c>
      <c r="J269" s="12" t="n">
        <v>3617000</v>
      </c>
      <c r="K269" s="13" t="n">
        <f aca="false">IFERROR(J269/M269,"")</f>
        <v>0.139179621363706</v>
      </c>
      <c r="L269" s="12" t="n">
        <v>22371000</v>
      </c>
      <c r="M269" s="14" t="n">
        <f aca="false">L269+J269</f>
        <v>25988000</v>
      </c>
      <c r="N269" s="12" t="n">
        <v>6041000</v>
      </c>
      <c r="O269" s="12" t="n">
        <v>48358318</v>
      </c>
      <c r="P269" s="12" t="n">
        <v>744396</v>
      </c>
      <c r="Q269" s="13" t="n">
        <f aca="false">IFERROR(P269/P268-1,"")</f>
        <v>0.199704101482233</v>
      </c>
      <c r="R269" s="12" t="n">
        <v>798856</v>
      </c>
      <c r="S269" s="13" t="n">
        <f aca="false">IFERROR(R269/R268-1,"")</f>
        <v>0.20099464491357</v>
      </c>
      <c r="T269" s="12" t="n">
        <v>577860</v>
      </c>
      <c r="U269" s="13" t="n">
        <f aca="false">IFERROR(T269/P269,"")</f>
        <v>0.776280366901488</v>
      </c>
      <c r="V269" s="14" t="n">
        <f aca="false">T269-AV269</f>
        <v>-2026016</v>
      </c>
      <c r="W269" s="14" t="n">
        <f aca="false">V269-AA269*0.1</f>
        <v>-2026016</v>
      </c>
      <c r="X269" s="12" t="n">
        <v>4056000</v>
      </c>
      <c r="Y269" s="12" t="n">
        <v>169000</v>
      </c>
      <c r="Z269" s="15" t="n">
        <f aca="false">IFERROR(X269/Y269,"")</f>
        <v>24</v>
      </c>
      <c r="AA269" s="12" t="n">
        <v>0</v>
      </c>
      <c r="AB269" s="14" t="n">
        <f aca="false">W269-0.02*P269</f>
        <v>-2040903.92</v>
      </c>
      <c r="AC269" s="16" t="n">
        <v>69</v>
      </c>
      <c r="AD269" s="13" t="n">
        <f aca="false">IFERROR(AC269/AC268-1,"")</f>
        <v>0.112903225806452</v>
      </c>
      <c r="AE269" s="17" t="n">
        <v>0.109</v>
      </c>
      <c r="AF269" s="17" t="n">
        <v>0.097</v>
      </c>
      <c r="AG269" s="13" t="n">
        <f aca="false">1-AF269</f>
        <v>0.903</v>
      </c>
      <c r="AH269" s="17" t="n">
        <v>1.022</v>
      </c>
      <c r="AI269" s="12" t="n">
        <v>17800</v>
      </c>
      <c r="AJ269" s="14" t="n">
        <f aca="false">IFERROR(AM269*U269*MIN(1/AE269,5),"")</f>
        <v>37028.573501201</v>
      </c>
      <c r="AK269" s="18" t="n">
        <f aca="false">IFERROR(AJ269/AI269,"")</f>
        <v>2.08025693826972</v>
      </c>
      <c r="AL269" s="15" t="n">
        <f aca="false">IFERROR(AI269/(AM269*U269/12),"")</f>
        <v>28.8425909781634</v>
      </c>
      <c r="AM269" s="12" t="n">
        <v>9540</v>
      </c>
      <c r="AN269" s="12" t="n">
        <v>756627</v>
      </c>
      <c r="AO269" s="12" t="n">
        <v>3048007</v>
      </c>
      <c r="AP269" s="17" t="n">
        <v>0.25</v>
      </c>
      <c r="AQ269" s="16" t="n">
        <v>49</v>
      </c>
      <c r="AR269" s="16" t="n">
        <v>2</v>
      </c>
      <c r="AS269" s="13" t="n">
        <f aca="false">IFERROR(AR269/AR268-1,"")</f>
        <v>0</v>
      </c>
      <c r="AT269" s="11" t="s">
        <v>201</v>
      </c>
      <c r="AU269" s="14" t="n">
        <f aca="false">IFERROR(P269/AR269,"")</f>
        <v>372198</v>
      </c>
      <c r="AV269" s="12" t="n">
        <v>2603876</v>
      </c>
      <c r="AW269" s="12" t="n">
        <v>1046380</v>
      </c>
      <c r="AX269" s="12" t="n">
        <v>564510</v>
      </c>
      <c r="AY269" s="16" t="n">
        <v>16577</v>
      </c>
      <c r="AZ269" s="13" t="n">
        <f aca="false">IFERROR(AY269/AY268-1,"")</f>
        <v>0.191646898138164</v>
      </c>
      <c r="BA269" s="17" t="n">
        <v>0.889</v>
      </c>
      <c r="BB269" s="11" t="s">
        <v>161</v>
      </c>
      <c r="BC269" s="11" t="s">
        <v>100</v>
      </c>
      <c r="BD269" s="11" t="s">
        <v>175</v>
      </c>
      <c r="BE269" s="12" t="n">
        <v>832339</v>
      </c>
      <c r="BF269" s="13" t="n">
        <f aca="false">IFERROR(P269/BE269-1,"")</f>
        <v>-0.105657670732718</v>
      </c>
      <c r="BG269" s="17" t="n">
        <v>0.039</v>
      </c>
      <c r="BH269" s="17" t="n">
        <v>-0.064</v>
      </c>
      <c r="BI269" s="14" t="n">
        <f aca="false">P269*(1+IFERROR(Q269,0))^4</f>
        <v>1542057.63229855</v>
      </c>
      <c r="BJ269" s="12" t="n">
        <v>-1263236</v>
      </c>
      <c r="BK269" s="11" t="s">
        <v>127</v>
      </c>
      <c r="BL269" s="11" t="s">
        <v>85</v>
      </c>
      <c r="BM269" s="14" t="n">
        <f aca="false">O269</f>
        <v>48358318</v>
      </c>
      <c r="BN269" s="11" t="s">
        <v>345</v>
      </c>
      <c r="BO269" s="13" t="n">
        <f aca="false">IFERROR(1-L269/M269,"")</f>
        <v>0.139179621363706</v>
      </c>
      <c r="BP269" s="11" t="s">
        <v>142</v>
      </c>
      <c r="BQ269" s="12" t="n">
        <v>3363896</v>
      </c>
      <c r="BR269" s="11" t="s">
        <v>88</v>
      </c>
      <c r="BS269" s="11" t="s">
        <v>89</v>
      </c>
      <c r="BT269" s="19" t="str">
        <f aca="false">IF(OR(Z269&lt;6,AH269&lt;0.9,S269&lt;0.02,AK269&lt;1),"REVIEW",IF(AND(S269&gt;0.25,AH269&gt;1.2),"ACCELERATING","STABLE"))</f>
        <v>STABLE</v>
      </c>
    </row>
    <row r="270" customFormat="false" ht="15" hidden="false" customHeight="false" outlineLevel="0" collapsed="false">
      <c r="A270" s="3" t="s">
        <v>346</v>
      </c>
      <c r="B270" s="3" t="s">
        <v>73</v>
      </c>
      <c r="C270" s="3" t="s">
        <v>74</v>
      </c>
      <c r="D270" s="3" t="s">
        <v>210</v>
      </c>
      <c r="E270" s="3" t="s">
        <v>105</v>
      </c>
      <c r="F270" s="3" t="s">
        <v>347</v>
      </c>
      <c r="G270" s="3" t="s">
        <v>78</v>
      </c>
      <c r="H270" s="3" t="s">
        <v>79</v>
      </c>
      <c r="I270" s="3" t="s">
        <v>78</v>
      </c>
      <c r="J270" s="4" t="n">
        <v>4159000</v>
      </c>
      <c r="K270" s="5" t="n">
        <f aca="false">IFERROR(J270/M270,"")</f>
        <v>0.160746724384494</v>
      </c>
      <c r="L270" s="4" t="n">
        <v>21714000</v>
      </c>
      <c r="M270" s="6" t="n">
        <f aca="false">L270+J270</f>
        <v>25873000</v>
      </c>
      <c r="N270" s="4" t="n">
        <v>4159000</v>
      </c>
      <c r="O270" s="4" t="n">
        <v>53069447</v>
      </c>
      <c r="P270" s="4" t="n">
        <v>1072015</v>
      </c>
      <c r="Q270" s="7"/>
      <c r="R270" s="4" t="n">
        <v>1077341</v>
      </c>
      <c r="S270" s="7"/>
      <c r="T270" s="4" t="n">
        <v>622055</v>
      </c>
      <c r="U270" s="5" t="n">
        <f aca="false">IFERROR(T270/P270,"")</f>
        <v>0.580267067158575</v>
      </c>
      <c r="V270" s="6" t="n">
        <f aca="false">T270-AV270</f>
        <v>-1379194</v>
      </c>
      <c r="W270" s="6" t="n">
        <f aca="false">V270-AA270*0.1</f>
        <v>-1379194</v>
      </c>
      <c r="X270" s="4" t="n">
        <v>4208134</v>
      </c>
      <c r="Y270" s="4" t="n">
        <v>140140</v>
      </c>
      <c r="Z270" s="8" t="n">
        <f aca="false">IFERROR(X270/Y270,"")</f>
        <v>30.0280719280719</v>
      </c>
      <c r="AA270" s="4" t="n">
        <v>0</v>
      </c>
      <c r="AB270" s="6" t="n">
        <f aca="false">W270-0.02*P270</f>
        <v>-1400634.3</v>
      </c>
      <c r="AC270" s="9" t="n">
        <v>49</v>
      </c>
      <c r="AD270" s="7"/>
      <c r="AE270" s="7" t="n">
        <v>0.085</v>
      </c>
      <c r="AF270" s="7" t="n">
        <v>0.067</v>
      </c>
      <c r="AG270" s="5" t="n">
        <f aca="false">1-AF270</f>
        <v>0.933</v>
      </c>
      <c r="AH270" s="7" t="n">
        <v>1.194</v>
      </c>
      <c r="AI270" s="4" t="n">
        <v>48548</v>
      </c>
      <c r="AJ270" s="6" t="n">
        <f aca="false">IFERROR(AM270*U270*MIN(1/AE270,5),"")</f>
        <v>145066.766789644</v>
      </c>
      <c r="AK270" s="10" t="n">
        <f aca="false">IFERROR(AJ270/AI270,"")</f>
        <v>2.98811005169407</v>
      </c>
      <c r="AL270" s="8" t="n">
        <f aca="false">IFERROR(AI270/(AM270*U270/12),"")</f>
        <v>20.0795817295898</v>
      </c>
      <c r="AM270" s="4" t="n">
        <v>50000</v>
      </c>
      <c r="AN270" s="4" t="n">
        <v>1337742</v>
      </c>
      <c r="AO270" s="4" t="n">
        <v>1688579</v>
      </c>
      <c r="AP270" s="7" t="n">
        <v>0.273</v>
      </c>
      <c r="AQ270" s="9" t="n">
        <v>28</v>
      </c>
      <c r="AR270" s="9" t="n">
        <v>3</v>
      </c>
      <c r="AS270" s="7"/>
      <c r="AT270" s="3" t="s">
        <v>80</v>
      </c>
      <c r="AU270" s="6" t="n">
        <f aca="false">IFERROR(P270/AR270,"")</f>
        <v>357338.333333333</v>
      </c>
      <c r="AV270" s="4" t="n">
        <v>2001249</v>
      </c>
      <c r="AW270" s="4" t="n">
        <v>658434</v>
      </c>
      <c r="AX270" s="4" t="n">
        <v>655198</v>
      </c>
      <c r="AY270" s="9" t="n">
        <v>21733</v>
      </c>
      <c r="AZ270" s="7"/>
      <c r="BA270" s="7" t="n">
        <v>0.935</v>
      </c>
      <c r="BB270" s="3" t="s">
        <v>81</v>
      </c>
      <c r="BC270" s="3" t="s">
        <v>82</v>
      </c>
      <c r="BD270" s="3" t="s">
        <v>83</v>
      </c>
      <c r="BE270" s="4" t="n">
        <v>1252623</v>
      </c>
      <c r="BF270" s="5" t="n">
        <f aca="false">IFERROR(P270/BE270-1,"")</f>
        <v>-0.144183844620448</v>
      </c>
      <c r="BG270" s="7" t="n">
        <v>-0.048</v>
      </c>
      <c r="BH270" s="7" t="n">
        <v>-0.072</v>
      </c>
      <c r="BI270" s="6" t="n">
        <f aca="false">P270</f>
        <v>1072015</v>
      </c>
      <c r="BJ270" s="4" t="n">
        <v>-989024</v>
      </c>
      <c r="BK270" s="3" t="s">
        <v>192</v>
      </c>
      <c r="BL270" s="3" t="s">
        <v>111</v>
      </c>
      <c r="BM270" s="6" t="n">
        <f aca="false">O270</f>
        <v>53069447</v>
      </c>
      <c r="BN270" s="3" t="s">
        <v>348</v>
      </c>
      <c r="BO270" s="5" t="n">
        <f aca="false">IFERROR(1-L270/M270,"")</f>
        <v>0.160746724384493</v>
      </c>
      <c r="BP270" s="3" t="s">
        <v>113</v>
      </c>
      <c r="BQ270" s="4" t="n">
        <v>2418665</v>
      </c>
      <c r="BR270" s="3" t="s">
        <v>88</v>
      </c>
      <c r="BS270" s="3" t="s">
        <v>89</v>
      </c>
      <c r="BT270" s="3" t="s">
        <v>90</v>
      </c>
    </row>
    <row r="271" customFormat="false" ht="15" hidden="false" customHeight="false" outlineLevel="0" collapsed="false">
      <c r="A271" s="11" t="s">
        <v>346</v>
      </c>
      <c r="B271" s="11" t="s">
        <v>91</v>
      </c>
      <c r="C271" s="11" t="s">
        <v>74</v>
      </c>
      <c r="D271" s="11" t="s">
        <v>210</v>
      </c>
      <c r="E271" s="11" t="s">
        <v>105</v>
      </c>
      <c r="F271" s="11" t="s">
        <v>347</v>
      </c>
      <c r="G271" s="11" t="s">
        <v>78</v>
      </c>
      <c r="H271" s="11" t="s">
        <v>79</v>
      </c>
      <c r="I271" s="11" t="s">
        <v>78</v>
      </c>
      <c r="J271" s="12" t="n">
        <v>4159000</v>
      </c>
      <c r="K271" s="13" t="n">
        <f aca="false">IFERROR(J271/M271,"")</f>
        <v>0.160746724384494</v>
      </c>
      <c r="L271" s="12" t="n">
        <v>21714000</v>
      </c>
      <c r="M271" s="14" t="n">
        <f aca="false">L271+J271</f>
        <v>25873000</v>
      </c>
      <c r="N271" s="12" t="n">
        <v>4159000</v>
      </c>
      <c r="O271" s="12" t="n">
        <v>53069447</v>
      </c>
      <c r="P271" s="12" t="n">
        <v>1188003</v>
      </c>
      <c r="Q271" s="13" t="n">
        <f aca="false">IFERROR(P271/P270-1,"")</f>
        <v>0.108196247254003</v>
      </c>
      <c r="R271" s="12" t="n">
        <v>1239708</v>
      </c>
      <c r="S271" s="13" t="n">
        <f aca="false">IFERROR(R271/R270-1,"")</f>
        <v>0.150710870560018</v>
      </c>
      <c r="T271" s="12" t="n">
        <v>692150</v>
      </c>
      <c r="U271" s="13" t="n">
        <f aca="false">IFERROR(T271/P271,"")</f>
        <v>0.582616373864376</v>
      </c>
      <c r="V271" s="14" t="n">
        <f aca="false">T271-AV271</f>
        <v>-1725793</v>
      </c>
      <c r="W271" s="14" t="n">
        <f aca="false">V271-AA271*0.1</f>
        <v>-1725793</v>
      </c>
      <c r="X271" s="12" t="n">
        <v>3854704</v>
      </c>
      <c r="Y271" s="12" t="n">
        <v>144760</v>
      </c>
      <c r="Z271" s="15" t="n">
        <f aca="false">IFERROR(X271/Y271,"")</f>
        <v>26.6282398452611</v>
      </c>
      <c r="AA271" s="12" t="n">
        <v>0</v>
      </c>
      <c r="AB271" s="14" t="n">
        <f aca="false">W271-0.02*P271</f>
        <v>-1749553.06</v>
      </c>
      <c r="AC271" s="16" t="n">
        <v>55</v>
      </c>
      <c r="AD271" s="13" t="n">
        <f aca="false">IFERROR(AC271/AC270-1,"")</f>
        <v>0.122448979591837</v>
      </c>
      <c r="AE271" s="17" t="n">
        <v>0.083</v>
      </c>
      <c r="AF271" s="17" t="n">
        <v>0.087</v>
      </c>
      <c r="AG271" s="13" t="n">
        <f aca="false">1-AF271</f>
        <v>0.913</v>
      </c>
      <c r="AH271" s="17" t="n">
        <v>1.189</v>
      </c>
      <c r="AI271" s="12" t="n">
        <v>47632</v>
      </c>
      <c r="AJ271" s="14" t="n">
        <f aca="false">IFERROR(AM271*U271*MIN(1/AE271,5),"")</f>
        <v>148567.175335416</v>
      </c>
      <c r="AK271" s="18" t="n">
        <f aca="false">IFERROR(AJ271/AI271,"")</f>
        <v>3.11906229709892</v>
      </c>
      <c r="AL271" s="15" t="n">
        <f aca="false">IFERROR(AI271/(AM271*U271/12),"")</f>
        <v>19.2365506953185</v>
      </c>
      <c r="AM271" s="12" t="n">
        <v>51000</v>
      </c>
      <c r="AN271" s="12" t="n">
        <v>1641328</v>
      </c>
      <c r="AO271" s="12" t="n">
        <v>2987029</v>
      </c>
      <c r="AP271" s="17" t="n">
        <v>0.273</v>
      </c>
      <c r="AQ271" s="16" t="n">
        <v>28</v>
      </c>
      <c r="AR271" s="16" t="n">
        <v>3</v>
      </c>
      <c r="AS271" s="13" t="n">
        <f aca="false">IFERROR(AR271/AR270-1,"")</f>
        <v>0</v>
      </c>
      <c r="AT271" s="11" t="s">
        <v>80</v>
      </c>
      <c r="AU271" s="14" t="n">
        <f aca="false">IFERROR(P271/AR271,"")</f>
        <v>396001</v>
      </c>
      <c r="AV271" s="12" t="n">
        <v>2417943</v>
      </c>
      <c r="AW271" s="12" t="n">
        <v>1105564</v>
      </c>
      <c r="AX271" s="12" t="n">
        <v>644873</v>
      </c>
      <c r="AY271" s="16" t="n">
        <v>25419</v>
      </c>
      <c r="AZ271" s="13" t="n">
        <f aca="false">IFERROR(AY271/AY270-1,"")</f>
        <v>0.169603828279575</v>
      </c>
      <c r="BA271" s="17" t="n">
        <v>0.938</v>
      </c>
      <c r="BB271" s="11" t="s">
        <v>81</v>
      </c>
      <c r="BC271" s="11" t="s">
        <v>82</v>
      </c>
      <c r="BD271" s="11" t="s">
        <v>83</v>
      </c>
      <c r="BE271" s="12" t="n">
        <v>1343089</v>
      </c>
      <c r="BF271" s="13" t="n">
        <f aca="false">IFERROR(P271/BE271-1,"")</f>
        <v>-0.115469637529605</v>
      </c>
      <c r="BG271" s="17" t="n">
        <v>-0.007</v>
      </c>
      <c r="BH271" s="17" t="n">
        <v>-0.013</v>
      </c>
      <c r="BI271" s="14" t="n">
        <f aca="false">P271*(1+IFERROR(Q271,0))^4</f>
        <v>1791778.15704382</v>
      </c>
      <c r="BJ271" s="12" t="n">
        <v>-1315279</v>
      </c>
      <c r="BK271" s="11" t="s">
        <v>192</v>
      </c>
      <c r="BL271" s="11" t="s">
        <v>111</v>
      </c>
      <c r="BM271" s="14" t="n">
        <f aca="false">O271</f>
        <v>53069447</v>
      </c>
      <c r="BN271" s="11" t="s">
        <v>348</v>
      </c>
      <c r="BO271" s="13" t="n">
        <f aca="false">IFERROR(1-L271/M271,"")</f>
        <v>0.160746724384493</v>
      </c>
      <c r="BP271" s="11" t="s">
        <v>113</v>
      </c>
      <c r="BQ271" s="12" t="n">
        <v>1861690</v>
      </c>
      <c r="BR271" s="11" t="s">
        <v>88</v>
      </c>
      <c r="BS271" s="11" t="s">
        <v>89</v>
      </c>
      <c r="BT271" s="19" t="str">
        <f aca="false">IF(OR(Z271&lt;6,AH271&lt;0.9,S271&lt;0.02,AK271&lt;1),"REVIEW",IF(AND(S271&gt;0.25,AH271&gt;1.2),"ACCELERATING","STABLE"))</f>
        <v>STABLE</v>
      </c>
    </row>
    <row r="272" customFormat="false" ht="15" hidden="false" customHeight="false" outlineLevel="0" collapsed="false">
      <c r="A272" s="11" t="s">
        <v>346</v>
      </c>
      <c r="B272" s="11" t="s">
        <v>92</v>
      </c>
      <c r="C272" s="11" t="s">
        <v>74</v>
      </c>
      <c r="D272" s="11" t="s">
        <v>210</v>
      </c>
      <c r="E272" s="11" t="s">
        <v>105</v>
      </c>
      <c r="F272" s="11" t="s">
        <v>347</v>
      </c>
      <c r="G272" s="11" t="s">
        <v>78</v>
      </c>
      <c r="H272" s="11" t="s">
        <v>79</v>
      </c>
      <c r="I272" s="11" t="s">
        <v>78</v>
      </c>
      <c r="J272" s="12" t="n">
        <v>4159000</v>
      </c>
      <c r="K272" s="13" t="n">
        <f aca="false">IFERROR(J272/M272,"")</f>
        <v>0.160746724384494</v>
      </c>
      <c r="L272" s="12" t="n">
        <v>21714000</v>
      </c>
      <c r="M272" s="14" t="n">
        <f aca="false">L272+J272</f>
        <v>25873000</v>
      </c>
      <c r="N272" s="12" t="n">
        <v>4159000</v>
      </c>
      <c r="O272" s="12" t="n">
        <v>53069447</v>
      </c>
      <c r="P272" s="12" t="n">
        <v>1301205</v>
      </c>
      <c r="Q272" s="13" t="n">
        <f aca="false">IFERROR(P272/P271-1,"")</f>
        <v>0.0952876381625298</v>
      </c>
      <c r="R272" s="12" t="n">
        <v>1457272</v>
      </c>
      <c r="S272" s="13" t="n">
        <f aca="false">IFERROR(R272/R271-1,"")</f>
        <v>0.175496165226005</v>
      </c>
      <c r="T272" s="12" t="n">
        <v>761161</v>
      </c>
      <c r="U272" s="13" t="n">
        <f aca="false">IFERROR(T272/P272,"")</f>
        <v>0.584966242828763</v>
      </c>
      <c r="V272" s="14" t="n">
        <f aca="false">T272-AV272</f>
        <v>-1617236</v>
      </c>
      <c r="W272" s="14" t="n">
        <f aca="false">V272-AA272*0.1</f>
        <v>-1617236</v>
      </c>
      <c r="X272" s="12" t="n">
        <v>3476326</v>
      </c>
      <c r="Y272" s="12" t="n">
        <v>149380</v>
      </c>
      <c r="Z272" s="15" t="n">
        <f aca="false">IFERROR(X272/Y272,"")</f>
        <v>23.2716963448922</v>
      </c>
      <c r="AA272" s="12" t="n">
        <v>0</v>
      </c>
      <c r="AB272" s="14" t="n">
        <f aca="false">W272-0.02*P272</f>
        <v>-1643260.1</v>
      </c>
      <c r="AC272" s="16" t="n">
        <v>59</v>
      </c>
      <c r="AD272" s="13" t="n">
        <f aca="false">IFERROR(AC272/AC271-1,"")</f>
        <v>0.0727272727272728</v>
      </c>
      <c r="AE272" s="17" t="n">
        <v>0.08</v>
      </c>
      <c r="AF272" s="17" t="n">
        <v>0.058</v>
      </c>
      <c r="AG272" s="13" t="n">
        <f aca="false">1-AF272</f>
        <v>0.942</v>
      </c>
      <c r="AH272" s="17" t="n">
        <v>1.184</v>
      </c>
      <c r="AI272" s="12" t="n">
        <v>46716</v>
      </c>
      <c r="AJ272" s="14" t="n">
        <f aca="false">IFERROR(AM272*U272*MIN(1/AE272,5),"")</f>
        <v>152091.223135478</v>
      </c>
      <c r="AK272" s="18" t="n">
        <f aca="false">IFERROR(AJ272/AI272,"")</f>
        <v>3.25565594518962</v>
      </c>
      <c r="AL272" s="15" t="n">
        <f aca="false">IFERROR(AI272/(AM272*U272/12),"")</f>
        <v>18.4294658311953</v>
      </c>
      <c r="AM272" s="12" t="n">
        <v>52000</v>
      </c>
      <c r="AN272" s="12" t="n">
        <v>1916793</v>
      </c>
      <c r="AO272" s="12" t="n">
        <v>5127330</v>
      </c>
      <c r="AP272" s="17" t="n">
        <v>0.273</v>
      </c>
      <c r="AQ272" s="16" t="n">
        <v>28</v>
      </c>
      <c r="AR272" s="16" t="n">
        <v>4</v>
      </c>
      <c r="AS272" s="13" t="n">
        <f aca="false">IFERROR(AR272/AR271-1,"")</f>
        <v>0.333333333333333</v>
      </c>
      <c r="AT272" s="11" t="s">
        <v>80</v>
      </c>
      <c r="AU272" s="14" t="n">
        <f aca="false">IFERROR(P272/AR272,"")</f>
        <v>325301.25</v>
      </c>
      <c r="AV272" s="12" t="n">
        <v>2378397</v>
      </c>
      <c r="AW272" s="12" t="n">
        <v>1156780</v>
      </c>
      <c r="AX272" s="12" t="n">
        <v>653020</v>
      </c>
      <c r="AY272" s="16" t="n">
        <v>29250</v>
      </c>
      <c r="AZ272" s="13" t="n">
        <f aca="false">IFERROR(AY272/AY271-1,"")</f>
        <v>0.150714032810103</v>
      </c>
      <c r="BA272" s="17" t="n">
        <v>0.919</v>
      </c>
      <c r="BB272" s="11" t="s">
        <v>81</v>
      </c>
      <c r="BC272" s="11" t="s">
        <v>82</v>
      </c>
      <c r="BD272" s="11" t="s">
        <v>83</v>
      </c>
      <c r="BE272" s="12" t="n">
        <v>1623360</v>
      </c>
      <c r="BF272" s="13" t="n">
        <f aca="false">IFERROR(P272/BE272-1,"")</f>
        <v>-0.198449512123004</v>
      </c>
      <c r="BG272" s="17" t="n">
        <v>0.055</v>
      </c>
      <c r="BH272" s="17" t="n">
        <v>-0.008</v>
      </c>
      <c r="BI272" s="14" t="n">
        <f aca="false">P272*(1+IFERROR(Q272,0))^4</f>
        <v>1872657.98932885</v>
      </c>
      <c r="BJ272" s="12" t="n">
        <v>-1625358</v>
      </c>
      <c r="BK272" s="11" t="s">
        <v>192</v>
      </c>
      <c r="BL272" s="11" t="s">
        <v>111</v>
      </c>
      <c r="BM272" s="14" t="n">
        <f aca="false">O272</f>
        <v>53069447</v>
      </c>
      <c r="BN272" s="11" t="s">
        <v>348</v>
      </c>
      <c r="BO272" s="13" t="n">
        <f aca="false">IFERROR(1-L272/M272,"")</f>
        <v>0.160746724384493</v>
      </c>
      <c r="BP272" s="11" t="s">
        <v>113</v>
      </c>
      <c r="BQ272" s="12" t="n">
        <v>2912139</v>
      </c>
      <c r="BR272" s="11" t="s">
        <v>88</v>
      </c>
      <c r="BS272" s="11" t="s">
        <v>89</v>
      </c>
      <c r="BT272" s="19" t="str">
        <f aca="false">IF(OR(Z272&lt;6,AH272&lt;0.9,S272&lt;0.02,AK272&lt;1),"REVIEW",IF(AND(S272&gt;0.25,AH272&gt;1.2),"ACCELERATING","STABLE"))</f>
        <v>STABLE</v>
      </c>
    </row>
    <row r="273" customFormat="false" ht="15" hidden="false" customHeight="false" outlineLevel="0" collapsed="false">
      <c r="A273" s="11" t="s">
        <v>346</v>
      </c>
      <c r="B273" s="11" t="s">
        <v>93</v>
      </c>
      <c r="C273" s="11" t="s">
        <v>74</v>
      </c>
      <c r="D273" s="11" t="s">
        <v>210</v>
      </c>
      <c r="E273" s="11" t="s">
        <v>105</v>
      </c>
      <c r="F273" s="11" t="s">
        <v>347</v>
      </c>
      <c r="G273" s="11" t="s">
        <v>78</v>
      </c>
      <c r="H273" s="11" t="s">
        <v>79</v>
      </c>
      <c r="I273" s="11" t="s">
        <v>78</v>
      </c>
      <c r="J273" s="12" t="n">
        <v>4159000</v>
      </c>
      <c r="K273" s="13" t="n">
        <f aca="false">IFERROR(J273/M273,"")</f>
        <v>0.160746724384494</v>
      </c>
      <c r="L273" s="12" t="n">
        <v>21714000</v>
      </c>
      <c r="M273" s="14" t="n">
        <f aca="false">L273+J273</f>
        <v>25873000</v>
      </c>
      <c r="N273" s="12" t="n">
        <v>4159000</v>
      </c>
      <c r="O273" s="12" t="n">
        <v>53069447</v>
      </c>
      <c r="P273" s="12" t="n">
        <v>1503117</v>
      </c>
      <c r="Q273" s="13" t="n">
        <f aca="false">IFERROR(P273/P272-1,"")</f>
        <v>0.155173089559293</v>
      </c>
      <c r="R273" s="12" t="n">
        <v>1672780</v>
      </c>
      <c r="S273" s="13" t="n">
        <f aca="false">IFERROR(R273/R272-1,"")</f>
        <v>0.147884540428966</v>
      </c>
      <c r="T273" s="12" t="n">
        <v>882804</v>
      </c>
      <c r="U273" s="13" t="n">
        <f aca="false">IFERROR(T273/P273,"")</f>
        <v>0.587315558269915</v>
      </c>
      <c r="V273" s="14" t="n">
        <f aca="false">T273-AV273</f>
        <v>-1804945</v>
      </c>
      <c r="W273" s="14" t="n">
        <f aca="false">V273-AA273*0.1</f>
        <v>-1804945</v>
      </c>
      <c r="X273" s="12" t="n">
        <v>3073000</v>
      </c>
      <c r="Y273" s="12" t="n">
        <v>154000</v>
      </c>
      <c r="Z273" s="15" t="n">
        <f aca="false">IFERROR(X273/Y273,"")</f>
        <v>19.9545454545455</v>
      </c>
      <c r="AA273" s="12" t="n">
        <v>0</v>
      </c>
      <c r="AB273" s="14" t="n">
        <f aca="false">W273-0.02*P273</f>
        <v>-1835007.34</v>
      </c>
      <c r="AC273" s="16" t="n">
        <v>64</v>
      </c>
      <c r="AD273" s="13" t="n">
        <f aca="false">IFERROR(AC273/AC272-1,"")</f>
        <v>0.0847457627118644</v>
      </c>
      <c r="AE273" s="17" t="n">
        <v>0.078</v>
      </c>
      <c r="AF273" s="17" t="n">
        <v>0.047</v>
      </c>
      <c r="AG273" s="13" t="n">
        <f aca="false">1-AF273</f>
        <v>0.953</v>
      </c>
      <c r="AH273" s="17" t="n">
        <v>1.179</v>
      </c>
      <c r="AI273" s="12" t="n">
        <v>45800</v>
      </c>
      <c r="AJ273" s="14" t="n">
        <f aca="false">IFERROR(AM273*U273*MIN(1/AE273,5),"")</f>
        <v>155638.622941528</v>
      </c>
      <c r="AK273" s="18" t="n">
        <f aca="false">IFERROR(AJ273/AI273,"")</f>
        <v>3.3982232083303</v>
      </c>
      <c r="AL273" s="15" t="n">
        <f aca="false">IFERROR(AI273/(AM273*U273/12),"")</f>
        <v>17.6562857474806</v>
      </c>
      <c r="AM273" s="12" t="n">
        <v>53000</v>
      </c>
      <c r="AN273" s="12" t="n">
        <v>2236457</v>
      </c>
      <c r="AO273" s="12" t="n">
        <v>4663791</v>
      </c>
      <c r="AP273" s="17" t="n">
        <v>0.273</v>
      </c>
      <c r="AQ273" s="16" t="n">
        <v>28</v>
      </c>
      <c r="AR273" s="16" t="n">
        <v>4</v>
      </c>
      <c r="AS273" s="13" t="n">
        <f aca="false">IFERROR(AR273/AR272-1,"")</f>
        <v>0</v>
      </c>
      <c r="AT273" s="11" t="s">
        <v>80</v>
      </c>
      <c r="AU273" s="14" t="n">
        <f aca="false">IFERROR(P273/AR273,"")</f>
        <v>375779.25</v>
      </c>
      <c r="AV273" s="12" t="n">
        <v>2687749</v>
      </c>
      <c r="AW273" s="12" t="n">
        <v>834901</v>
      </c>
      <c r="AX273" s="12" t="n">
        <v>861961</v>
      </c>
      <c r="AY273" s="16" t="n">
        <v>31267</v>
      </c>
      <c r="AZ273" s="13" t="n">
        <f aca="false">IFERROR(AY273/AY272-1,"")</f>
        <v>0.068957264957265</v>
      </c>
      <c r="BA273" s="17" t="n">
        <v>0.943</v>
      </c>
      <c r="BB273" s="11" t="s">
        <v>81</v>
      </c>
      <c r="BC273" s="11" t="s">
        <v>82</v>
      </c>
      <c r="BD273" s="11" t="s">
        <v>83</v>
      </c>
      <c r="BE273" s="12" t="n">
        <v>1794386</v>
      </c>
      <c r="BF273" s="13" t="n">
        <f aca="false">IFERROR(P273/BE273-1,"")</f>
        <v>-0.162322376567806</v>
      </c>
      <c r="BG273" s="17" t="n">
        <v>0.047</v>
      </c>
      <c r="BH273" s="17" t="n">
        <v>-0.007</v>
      </c>
      <c r="BI273" s="14" t="n">
        <f aca="false">P273*(1+IFERROR(Q273,0))^4</f>
        <v>2676584.99774288</v>
      </c>
      <c r="BJ273" s="12" t="n">
        <v>-1614669</v>
      </c>
      <c r="BK273" s="11" t="s">
        <v>192</v>
      </c>
      <c r="BL273" s="11" t="s">
        <v>111</v>
      </c>
      <c r="BM273" s="14" t="n">
        <f aca="false">O273</f>
        <v>53069447</v>
      </c>
      <c r="BN273" s="11" t="s">
        <v>348</v>
      </c>
      <c r="BO273" s="13" t="n">
        <f aca="false">IFERROR(1-L273/M273,"")</f>
        <v>0.160746724384493</v>
      </c>
      <c r="BP273" s="11" t="s">
        <v>113</v>
      </c>
      <c r="BQ273" s="12" t="n">
        <v>2392420</v>
      </c>
      <c r="BR273" s="11" t="s">
        <v>88</v>
      </c>
      <c r="BS273" s="11" t="s">
        <v>89</v>
      </c>
      <c r="BT273" s="19" t="str">
        <f aca="false">IF(OR(Z273&lt;6,AH273&lt;0.9,S273&lt;0.02,AK273&lt;1),"REVIEW",IF(AND(S273&gt;0.25,AH273&gt;1.2),"ACCELERATING","STABLE"))</f>
        <v>STABLE</v>
      </c>
    </row>
    <row r="274" customFormat="false" ht="15" hidden="false" customHeight="false" outlineLevel="0" collapsed="false">
      <c r="A274" s="3" t="s">
        <v>349</v>
      </c>
      <c r="B274" s="3" t="s">
        <v>73</v>
      </c>
      <c r="C274" s="3" t="s">
        <v>74</v>
      </c>
      <c r="D274" s="3" t="s">
        <v>75</v>
      </c>
      <c r="E274" s="3" t="s">
        <v>105</v>
      </c>
      <c r="F274" s="3" t="s">
        <v>350</v>
      </c>
      <c r="G274" s="3" t="s">
        <v>78</v>
      </c>
      <c r="H274" s="3" t="s">
        <v>79</v>
      </c>
      <c r="I274" s="3" t="s">
        <v>78</v>
      </c>
      <c r="J274" s="4" t="n">
        <v>4806000</v>
      </c>
      <c r="K274" s="5" t="n">
        <f aca="false">IFERROR(J274/M274,"")</f>
        <v>0.179174588972151</v>
      </c>
      <c r="L274" s="4" t="n">
        <v>22017000</v>
      </c>
      <c r="M274" s="6" t="n">
        <f aca="false">L274+J274</f>
        <v>26823000</v>
      </c>
      <c r="N274" s="4" t="n">
        <v>4806000</v>
      </c>
      <c r="O274" s="4" t="n">
        <v>16690065</v>
      </c>
      <c r="P274" s="4" t="n">
        <v>741527</v>
      </c>
      <c r="Q274" s="7"/>
      <c r="R274" s="4" t="n">
        <v>776315</v>
      </c>
      <c r="S274" s="7"/>
      <c r="T274" s="4" t="n">
        <v>511684</v>
      </c>
      <c r="U274" s="5" t="n">
        <f aca="false">IFERROR(T274/P274,"")</f>
        <v>0.690040956027225</v>
      </c>
      <c r="V274" s="6" t="n">
        <f aca="false">T274-AV274</f>
        <v>-863288</v>
      </c>
      <c r="W274" s="6" t="n">
        <f aca="false">V274-AA274*0.1</f>
        <v>-1004888</v>
      </c>
      <c r="X274" s="4" t="n">
        <v>1039764</v>
      </c>
      <c r="Y274" s="4" t="n">
        <v>66420</v>
      </c>
      <c r="Z274" s="8" t="n">
        <f aca="false">IFERROR(X274/Y274,"")</f>
        <v>15.6543812104788</v>
      </c>
      <c r="AA274" s="4" t="n">
        <v>1416000</v>
      </c>
      <c r="AB274" s="6" t="n">
        <f aca="false">W274-0.02*P274</f>
        <v>-1019718.54</v>
      </c>
      <c r="AC274" s="9" t="n">
        <v>20</v>
      </c>
      <c r="AD274" s="7"/>
      <c r="AE274" s="7" t="n">
        <v>0.219</v>
      </c>
      <c r="AF274" s="7" t="n">
        <v>0.157</v>
      </c>
      <c r="AG274" s="5" t="n">
        <f aca="false">1-AF274</f>
        <v>0.843</v>
      </c>
      <c r="AH274" s="7" t="n">
        <v>0.854</v>
      </c>
      <c r="AI274" s="4" t="n">
        <v>48716</v>
      </c>
      <c r="AJ274" s="6" t="n">
        <f aca="false">IFERROR(AM274*U274*MIN(1/AE274,5),"")</f>
        <v>85073.5425239044</v>
      </c>
      <c r="AK274" s="10" t="n">
        <f aca="false">IFERROR(AJ274/AI274,"")</f>
        <v>1.74631625182495</v>
      </c>
      <c r="AL274" s="8" t="n">
        <f aca="false">IFERROR(AI274/(AM274*U274/12),"")</f>
        <v>31.3772035796399</v>
      </c>
      <c r="AM274" s="4" t="n">
        <v>27000</v>
      </c>
      <c r="AN274" s="4" t="n">
        <v>851467</v>
      </c>
      <c r="AO274" s="4" t="n">
        <v>2335357</v>
      </c>
      <c r="AP274" s="7" t="n">
        <v>0.393</v>
      </c>
      <c r="AQ274" s="9" t="n">
        <v>74</v>
      </c>
      <c r="AR274" s="9" t="n">
        <v>8</v>
      </c>
      <c r="AS274" s="7"/>
      <c r="AT274" s="3" t="s">
        <v>170</v>
      </c>
      <c r="AU274" s="6" t="n">
        <f aca="false">IFERROR(P274/AR274,"")</f>
        <v>92690.875</v>
      </c>
      <c r="AV274" s="4" t="n">
        <v>1374972</v>
      </c>
      <c r="AW274" s="4" t="n">
        <v>436707</v>
      </c>
      <c r="AX274" s="4" t="n">
        <v>288551</v>
      </c>
      <c r="AY274" s="9" t="n">
        <v>38813</v>
      </c>
      <c r="AZ274" s="7"/>
      <c r="BA274" s="7" t="n">
        <v>0.814</v>
      </c>
      <c r="BB274" s="3" t="s">
        <v>171</v>
      </c>
      <c r="BC274" s="3" t="s">
        <v>120</v>
      </c>
      <c r="BD274" s="3" t="s">
        <v>83</v>
      </c>
      <c r="BE274" s="4" t="n">
        <v>1175351</v>
      </c>
      <c r="BF274" s="5" t="n">
        <f aca="false">IFERROR(P274/BE274-1,"")</f>
        <v>-0.369101655590543</v>
      </c>
      <c r="BG274" s="7" t="n">
        <v>0.293</v>
      </c>
      <c r="BH274" s="7" t="n">
        <v>0.168</v>
      </c>
      <c r="BI274" s="6" t="n">
        <f aca="false">P274</f>
        <v>741527</v>
      </c>
      <c r="BJ274" s="4" t="n">
        <v>-723822</v>
      </c>
      <c r="BK274" s="3" t="s">
        <v>121</v>
      </c>
      <c r="BL274" s="3" t="s">
        <v>140</v>
      </c>
      <c r="BM274" s="6" t="n">
        <f aca="false">O274</f>
        <v>16690065</v>
      </c>
      <c r="BN274" s="3" t="s">
        <v>351</v>
      </c>
      <c r="BO274" s="5" t="n">
        <f aca="false">IFERROR(1-L274/M274,"")</f>
        <v>0.179174588972151</v>
      </c>
      <c r="BP274" s="3" t="s">
        <v>198</v>
      </c>
      <c r="BQ274" s="4" t="n">
        <v>979134</v>
      </c>
      <c r="BR274" s="3" t="s">
        <v>88</v>
      </c>
      <c r="BS274" s="3" t="s">
        <v>89</v>
      </c>
      <c r="BT274" s="3" t="s">
        <v>90</v>
      </c>
    </row>
    <row r="275" customFormat="false" ht="15" hidden="false" customHeight="false" outlineLevel="0" collapsed="false">
      <c r="A275" s="11" t="s">
        <v>349</v>
      </c>
      <c r="B275" s="11" t="s">
        <v>91</v>
      </c>
      <c r="C275" s="11" t="s">
        <v>74</v>
      </c>
      <c r="D275" s="11" t="s">
        <v>75</v>
      </c>
      <c r="E275" s="11" t="s">
        <v>105</v>
      </c>
      <c r="F275" s="11" t="s">
        <v>350</v>
      </c>
      <c r="G275" s="11" t="s">
        <v>78</v>
      </c>
      <c r="H275" s="11" t="s">
        <v>79</v>
      </c>
      <c r="I275" s="11" t="s">
        <v>78</v>
      </c>
      <c r="J275" s="12" t="n">
        <v>4806000</v>
      </c>
      <c r="K275" s="13" t="n">
        <f aca="false">IFERROR(J275/M275,"")</f>
        <v>0.179174588972151</v>
      </c>
      <c r="L275" s="12" t="n">
        <v>22017000</v>
      </c>
      <c r="M275" s="14" t="n">
        <f aca="false">L275+J275</f>
        <v>26823000</v>
      </c>
      <c r="N275" s="12" t="n">
        <v>4806000</v>
      </c>
      <c r="O275" s="12" t="n">
        <v>16690065</v>
      </c>
      <c r="P275" s="12" t="n">
        <v>703949</v>
      </c>
      <c r="Q275" s="13" t="n">
        <f aca="false">IFERROR(P275/P274-1,"")</f>
        <v>-0.0506765094190771</v>
      </c>
      <c r="R275" s="12" t="n">
        <v>733582</v>
      </c>
      <c r="S275" s="13" t="n">
        <f aca="false">IFERROR(R275/R274-1,"")</f>
        <v>-0.0550459542840213</v>
      </c>
      <c r="T275" s="12" t="n">
        <v>476589</v>
      </c>
      <c r="U275" s="13" t="n">
        <f aca="false">IFERROR(T275/P275,"")</f>
        <v>0.677022056995606</v>
      </c>
      <c r="V275" s="14" t="n">
        <f aca="false">T275-AV275</f>
        <v>-904341</v>
      </c>
      <c r="W275" s="14" t="n">
        <f aca="false">V275-AA275*0.1</f>
        <v>-1045941</v>
      </c>
      <c r="X275" s="12" t="n">
        <v>852654</v>
      </c>
      <c r="Y275" s="12" t="n">
        <v>71280</v>
      </c>
      <c r="Z275" s="15" t="n">
        <f aca="false">IFERROR(X275/Y275,"")</f>
        <v>11.962037037037</v>
      </c>
      <c r="AA275" s="12" t="n">
        <v>1416000</v>
      </c>
      <c r="AB275" s="14" t="n">
        <f aca="false">W275-0.02*P275</f>
        <v>-1060019.98</v>
      </c>
      <c r="AC275" s="16" t="n">
        <v>20</v>
      </c>
      <c r="AD275" s="13" t="n">
        <f aca="false">IFERROR(AC275/AC274-1,"")</f>
        <v>0</v>
      </c>
      <c r="AE275" s="17" t="n">
        <v>0.26</v>
      </c>
      <c r="AF275" s="17" t="n">
        <v>0.169</v>
      </c>
      <c r="AG275" s="13" t="n">
        <f aca="false">1-AF275</f>
        <v>0.831</v>
      </c>
      <c r="AH275" s="17" t="n">
        <v>0.814</v>
      </c>
      <c r="AI275" s="12" t="n">
        <v>53844</v>
      </c>
      <c r="AJ275" s="14" t="n">
        <f aca="false">IFERROR(AM275*U275*MIN(1/AE275,5),"")</f>
        <v>71712.2594217654</v>
      </c>
      <c r="AK275" s="18" t="n">
        <f aca="false">IFERROR(AJ275/AI275,"")</f>
        <v>1.33185237764218</v>
      </c>
      <c r="AL275" s="15" t="n">
        <f aca="false">IFERROR(AI275/(AM275*U275/12),"")</f>
        <v>34.6538752557201</v>
      </c>
      <c r="AM275" s="12" t="n">
        <v>27540</v>
      </c>
      <c r="AN275" s="12" t="n">
        <v>710898</v>
      </c>
      <c r="AO275" s="12" t="n">
        <v>2034693</v>
      </c>
      <c r="AP275" s="17" t="n">
        <v>0.393</v>
      </c>
      <c r="AQ275" s="16" t="n">
        <v>74</v>
      </c>
      <c r="AR275" s="16" t="n">
        <v>7</v>
      </c>
      <c r="AS275" s="13" t="n">
        <f aca="false">IFERROR(AR275/AR274-1,"")</f>
        <v>-0.125</v>
      </c>
      <c r="AT275" s="11" t="s">
        <v>170</v>
      </c>
      <c r="AU275" s="14" t="n">
        <f aca="false">IFERROR(P275/AR275,"")</f>
        <v>100564.142857143</v>
      </c>
      <c r="AV275" s="12" t="n">
        <v>1380930</v>
      </c>
      <c r="AW275" s="12" t="n">
        <v>616882</v>
      </c>
      <c r="AX275" s="12" t="n">
        <v>464351</v>
      </c>
      <c r="AY275" s="16" t="n">
        <v>36819</v>
      </c>
      <c r="AZ275" s="13" t="n">
        <f aca="false">IFERROR(AY275/AY274-1,"")</f>
        <v>-0.0513745394584289</v>
      </c>
      <c r="BA275" s="17" t="n">
        <v>0.723</v>
      </c>
      <c r="BB275" s="11" t="s">
        <v>171</v>
      </c>
      <c r="BC275" s="11" t="s">
        <v>120</v>
      </c>
      <c r="BD275" s="11" t="s">
        <v>83</v>
      </c>
      <c r="BE275" s="12" t="n">
        <v>1104442</v>
      </c>
      <c r="BF275" s="13" t="n">
        <f aca="false">IFERROR(P275/BE275-1,"")</f>
        <v>-0.362620219078956</v>
      </c>
      <c r="BG275" s="17" t="n">
        <v>0.301</v>
      </c>
      <c r="BH275" s="17" t="n">
        <v>0.164</v>
      </c>
      <c r="BI275" s="14" t="n">
        <f aca="false">P275*(1+IFERROR(Q275,0))^4</f>
        <v>571739.379550393</v>
      </c>
      <c r="BJ275" s="12" t="n">
        <v>-764036</v>
      </c>
      <c r="BK275" s="11" t="s">
        <v>121</v>
      </c>
      <c r="BL275" s="11" t="s">
        <v>140</v>
      </c>
      <c r="BM275" s="14" t="n">
        <f aca="false">O275</f>
        <v>16690065</v>
      </c>
      <c r="BN275" s="11" t="s">
        <v>351</v>
      </c>
      <c r="BO275" s="13" t="n">
        <f aca="false">IFERROR(1-L275/M275,"")</f>
        <v>0.179174588972151</v>
      </c>
      <c r="BP275" s="11" t="s">
        <v>198</v>
      </c>
      <c r="BQ275" s="12" t="n">
        <v>931359</v>
      </c>
      <c r="BR275" s="11" t="s">
        <v>88</v>
      </c>
      <c r="BS275" s="11" t="s">
        <v>89</v>
      </c>
      <c r="BT275" s="19" t="str">
        <f aca="false">IF(OR(Z275&lt;6,AH275&lt;0.9,S275&lt;0.02,AK275&lt;1),"REVIEW",IF(AND(S275&gt;0.25,AH275&gt;1.2),"ACCELERATING","STABLE"))</f>
        <v>REVIEW</v>
      </c>
    </row>
    <row r="276" customFormat="false" ht="15" hidden="false" customHeight="false" outlineLevel="0" collapsed="false">
      <c r="A276" s="11" t="s">
        <v>349</v>
      </c>
      <c r="B276" s="11" t="s">
        <v>92</v>
      </c>
      <c r="C276" s="11" t="s">
        <v>74</v>
      </c>
      <c r="D276" s="11" t="s">
        <v>75</v>
      </c>
      <c r="E276" s="11" t="s">
        <v>105</v>
      </c>
      <c r="F276" s="11" t="s">
        <v>350</v>
      </c>
      <c r="G276" s="11" t="s">
        <v>78</v>
      </c>
      <c r="H276" s="11" t="s">
        <v>79</v>
      </c>
      <c r="I276" s="11" t="s">
        <v>78</v>
      </c>
      <c r="J276" s="12" t="n">
        <v>4806000</v>
      </c>
      <c r="K276" s="13" t="n">
        <f aca="false">IFERROR(J276/M276,"")</f>
        <v>0.179174588972151</v>
      </c>
      <c r="L276" s="12" t="n">
        <v>22017000</v>
      </c>
      <c r="M276" s="14" t="n">
        <f aca="false">L276+J276</f>
        <v>26823000</v>
      </c>
      <c r="N276" s="12" t="n">
        <v>4806000</v>
      </c>
      <c r="O276" s="12" t="n">
        <v>16690065</v>
      </c>
      <c r="P276" s="12" t="n">
        <v>669571</v>
      </c>
      <c r="Q276" s="13" t="n">
        <f aca="false">IFERROR(P276/P275-1,"")</f>
        <v>-0.048835924193372</v>
      </c>
      <c r="R276" s="12" t="n">
        <v>701822</v>
      </c>
      <c r="S276" s="13" t="n">
        <f aca="false">IFERROR(R276/R275-1,"")</f>
        <v>-0.0432944101681885</v>
      </c>
      <c r="T276" s="12" t="n">
        <v>444596</v>
      </c>
      <c r="U276" s="13" t="n">
        <f aca="false">IFERROR(T276/P276,"")</f>
        <v>0.664001278430518</v>
      </c>
      <c r="V276" s="14" t="n">
        <f aca="false">T276-AV276</f>
        <v>-737662</v>
      </c>
      <c r="W276" s="14" t="n">
        <f aca="false">V276-AA276*0.1</f>
        <v>-879262</v>
      </c>
      <c r="X276" s="12" t="n">
        <v>633468</v>
      </c>
      <c r="Y276" s="12" t="n">
        <v>76140</v>
      </c>
      <c r="Z276" s="15" t="n">
        <f aca="false">IFERROR(X276/Y276,"")</f>
        <v>8.31977935382191</v>
      </c>
      <c r="AA276" s="12" t="n">
        <v>1416000</v>
      </c>
      <c r="AB276" s="14" t="n">
        <f aca="false">W276-0.02*P276</f>
        <v>-892653.42</v>
      </c>
      <c r="AC276" s="16" t="n">
        <v>18</v>
      </c>
      <c r="AD276" s="13" t="n">
        <f aca="false">IFERROR(AC276/AC275-1,"")</f>
        <v>-0.1</v>
      </c>
      <c r="AE276" s="17" t="n">
        <v>0.301</v>
      </c>
      <c r="AF276" s="17" t="n">
        <v>0.235</v>
      </c>
      <c r="AG276" s="13" t="n">
        <f aca="false">1-AF276</f>
        <v>0.765</v>
      </c>
      <c r="AH276" s="17" t="n">
        <v>0.774</v>
      </c>
      <c r="AI276" s="12" t="n">
        <v>58972</v>
      </c>
      <c r="AJ276" s="14" t="n">
        <f aca="false">IFERROR(AM276*U276*MIN(1/AE276,5),"")</f>
        <v>61944.039529332</v>
      </c>
      <c r="AK276" s="18" t="n">
        <f aca="false">IFERROR(AJ276/AI276,"")</f>
        <v>1.05039746878742</v>
      </c>
      <c r="AL276" s="15" t="n">
        <f aca="false">IFERROR(AI276/(AM276*U276/12),"")</f>
        <v>37.9543085538601</v>
      </c>
      <c r="AM276" s="12" t="n">
        <v>28080</v>
      </c>
      <c r="AN276" s="12" t="n">
        <v>877991</v>
      </c>
      <c r="AO276" s="12" t="n">
        <v>2558768</v>
      </c>
      <c r="AP276" s="17" t="n">
        <v>0.393</v>
      </c>
      <c r="AQ276" s="16" t="n">
        <v>74</v>
      </c>
      <c r="AR276" s="16" t="n">
        <v>7</v>
      </c>
      <c r="AS276" s="13" t="n">
        <f aca="false">IFERROR(AR276/AR275-1,"")</f>
        <v>0</v>
      </c>
      <c r="AT276" s="11" t="s">
        <v>170</v>
      </c>
      <c r="AU276" s="14" t="n">
        <f aca="false">IFERROR(P276/AR276,"")</f>
        <v>95653</v>
      </c>
      <c r="AV276" s="12" t="n">
        <v>1182258</v>
      </c>
      <c r="AW276" s="12" t="n">
        <v>512951</v>
      </c>
      <c r="AX276" s="12" t="n">
        <v>315671</v>
      </c>
      <c r="AY276" s="16" t="n">
        <v>35370</v>
      </c>
      <c r="AZ276" s="13" t="n">
        <f aca="false">IFERROR(AY276/AY275-1,"")</f>
        <v>-0.0393546810070887</v>
      </c>
      <c r="BA276" s="17" t="n">
        <v>0.703</v>
      </c>
      <c r="BB276" s="11" t="s">
        <v>171</v>
      </c>
      <c r="BC276" s="11" t="s">
        <v>120</v>
      </c>
      <c r="BD276" s="11" t="s">
        <v>83</v>
      </c>
      <c r="BE276" s="12" t="n">
        <v>1110730</v>
      </c>
      <c r="BF276" s="13" t="n">
        <f aca="false">IFERROR(P276/BE276-1,"")</f>
        <v>-0.397179332511051</v>
      </c>
      <c r="BG276" s="17" t="n">
        <v>0.181</v>
      </c>
      <c r="BH276" s="17" t="n">
        <v>0.177</v>
      </c>
      <c r="BI276" s="14" t="n">
        <f aca="false">P276*(1+IFERROR(Q276,0))^4</f>
        <v>548047.741449213</v>
      </c>
      <c r="BJ276" s="12" t="n">
        <v>-857520</v>
      </c>
      <c r="BK276" s="11" t="s">
        <v>121</v>
      </c>
      <c r="BL276" s="11" t="s">
        <v>140</v>
      </c>
      <c r="BM276" s="14" t="n">
        <f aca="false">O276</f>
        <v>16690065</v>
      </c>
      <c r="BN276" s="11" t="s">
        <v>351</v>
      </c>
      <c r="BO276" s="13" t="n">
        <f aca="false">IFERROR(1-L276/M276,"")</f>
        <v>0.179174588972151</v>
      </c>
      <c r="BP276" s="11" t="s">
        <v>198</v>
      </c>
      <c r="BQ276" s="12" t="n">
        <v>1012973</v>
      </c>
      <c r="BR276" s="11" t="s">
        <v>88</v>
      </c>
      <c r="BS276" s="11" t="s">
        <v>89</v>
      </c>
      <c r="BT276" s="19" t="str">
        <f aca="false">IF(OR(Z276&lt;6,AH276&lt;0.9,S276&lt;0.02,AK276&lt;1),"REVIEW",IF(AND(S276&gt;0.25,AH276&gt;1.2),"ACCELERATING","STABLE"))</f>
        <v>REVIEW</v>
      </c>
    </row>
    <row r="277" customFormat="false" ht="15" hidden="false" customHeight="false" outlineLevel="0" collapsed="false">
      <c r="A277" s="11" t="s">
        <v>349</v>
      </c>
      <c r="B277" s="11" t="s">
        <v>93</v>
      </c>
      <c r="C277" s="11" t="s">
        <v>74</v>
      </c>
      <c r="D277" s="11" t="s">
        <v>75</v>
      </c>
      <c r="E277" s="11" t="s">
        <v>105</v>
      </c>
      <c r="F277" s="11" t="s">
        <v>350</v>
      </c>
      <c r="G277" s="11" t="s">
        <v>78</v>
      </c>
      <c r="H277" s="11" t="s">
        <v>79</v>
      </c>
      <c r="I277" s="11" t="s">
        <v>78</v>
      </c>
      <c r="J277" s="12" t="n">
        <v>4806000</v>
      </c>
      <c r="K277" s="13" t="n">
        <f aca="false">IFERROR(J277/M277,"")</f>
        <v>0.179174588972151</v>
      </c>
      <c r="L277" s="12" t="n">
        <v>22017000</v>
      </c>
      <c r="M277" s="14" t="n">
        <f aca="false">L277+J277</f>
        <v>26823000</v>
      </c>
      <c r="N277" s="12" t="n">
        <v>4806000</v>
      </c>
      <c r="O277" s="12" t="n">
        <v>16690065</v>
      </c>
      <c r="P277" s="12" t="n">
        <v>623165</v>
      </c>
      <c r="Q277" s="13" t="n">
        <f aca="false">IFERROR(P277/P276-1,"")</f>
        <v>-0.069307063776657</v>
      </c>
      <c r="R277" s="12" t="n">
        <v>655466</v>
      </c>
      <c r="S277" s="13" t="n">
        <f aca="false">IFERROR(R277/R276-1,"")</f>
        <v>-0.0660509359923172</v>
      </c>
      <c r="T277" s="12" t="n">
        <v>405669</v>
      </c>
      <c r="U277" s="13" t="n">
        <f aca="false">IFERROR(T277/P277,"")</f>
        <v>0.650981682218995</v>
      </c>
      <c r="V277" s="14" t="n">
        <f aca="false">T277-AV277</f>
        <v>-829524</v>
      </c>
      <c r="W277" s="14" t="n">
        <f aca="false">V277-AA277*0.1</f>
        <v>-971124</v>
      </c>
      <c r="X277" s="12" t="n">
        <v>382206</v>
      </c>
      <c r="Y277" s="12" t="n">
        <v>81000</v>
      </c>
      <c r="Z277" s="15" t="n">
        <f aca="false">IFERROR(X277/Y277,"")</f>
        <v>4.71859259259259</v>
      </c>
      <c r="AA277" s="12" t="n">
        <v>1416000</v>
      </c>
      <c r="AB277" s="14" t="n">
        <f aca="false">W277-0.02*P277</f>
        <v>-983587.3</v>
      </c>
      <c r="AC277" s="16" t="n">
        <v>18</v>
      </c>
      <c r="AD277" s="13" t="n">
        <f aca="false">IFERROR(AC277/AC276-1,"")</f>
        <v>0</v>
      </c>
      <c r="AE277" s="17" t="n">
        <v>0.342</v>
      </c>
      <c r="AF277" s="17" t="n">
        <v>0.301</v>
      </c>
      <c r="AG277" s="13" t="n">
        <f aca="false">1-AF277</f>
        <v>0.699</v>
      </c>
      <c r="AH277" s="17" t="n">
        <v>0.734</v>
      </c>
      <c r="AI277" s="12" t="n">
        <v>64100</v>
      </c>
      <c r="AJ277" s="14" t="n">
        <f aca="false">IFERROR(AM277*U277*MIN(1/AE277,5),"")</f>
        <v>54476.8881435896</v>
      </c>
      <c r="AK277" s="18" t="n">
        <f aca="false">IFERROR(AJ277/AI277,"")</f>
        <v>0.849873449977996</v>
      </c>
      <c r="AL277" s="15" t="n">
        <f aca="false">IFERROR(AI277/(AM277*U277/12),"")</f>
        <v>41.2858164932133</v>
      </c>
      <c r="AM277" s="12" t="n">
        <v>28620</v>
      </c>
      <c r="AN277" s="12" t="n">
        <v>679296</v>
      </c>
      <c r="AO277" s="12" t="n">
        <v>1556464</v>
      </c>
      <c r="AP277" s="17" t="n">
        <v>0.393</v>
      </c>
      <c r="AQ277" s="16" t="n">
        <v>74</v>
      </c>
      <c r="AR277" s="16" t="n">
        <v>6</v>
      </c>
      <c r="AS277" s="13" t="n">
        <f aca="false">IFERROR(AR277/AR276-1,"")</f>
        <v>-0.142857142857143</v>
      </c>
      <c r="AT277" s="11" t="s">
        <v>170</v>
      </c>
      <c r="AU277" s="14" t="n">
        <f aca="false">IFERROR(P277/AR277,"")</f>
        <v>103860.833333333</v>
      </c>
      <c r="AV277" s="12" t="n">
        <v>1235193</v>
      </c>
      <c r="AW277" s="12" t="n">
        <v>424832</v>
      </c>
      <c r="AX277" s="12" t="n">
        <v>309709</v>
      </c>
      <c r="AY277" s="16" t="n">
        <v>33786</v>
      </c>
      <c r="AZ277" s="13" t="n">
        <f aca="false">IFERROR(AY277/AY276-1,"")</f>
        <v>-0.0447837150127226</v>
      </c>
      <c r="BA277" s="17" t="n">
        <v>0.717</v>
      </c>
      <c r="BB277" s="11" t="s">
        <v>171</v>
      </c>
      <c r="BC277" s="11" t="s">
        <v>120</v>
      </c>
      <c r="BD277" s="11" t="s">
        <v>83</v>
      </c>
      <c r="BE277" s="12" t="n">
        <v>872850</v>
      </c>
      <c r="BF277" s="13" t="n">
        <f aca="false">IFERROR(P277/BE277-1,"")</f>
        <v>-0.286057169043937</v>
      </c>
      <c r="BG277" s="17" t="n">
        <v>0.122</v>
      </c>
      <c r="BH277" s="17" t="n">
        <v>0.37</v>
      </c>
      <c r="BI277" s="14" t="n">
        <f aca="false">P277*(1+IFERROR(Q277,0))^4</f>
        <v>467550.713524294</v>
      </c>
      <c r="BJ277" s="12" t="n">
        <v>-783128</v>
      </c>
      <c r="BK277" s="11" t="s">
        <v>121</v>
      </c>
      <c r="BL277" s="11" t="s">
        <v>140</v>
      </c>
      <c r="BM277" s="14" t="n">
        <f aca="false">O277</f>
        <v>16690065</v>
      </c>
      <c r="BN277" s="11" t="s">
        <v>351</v>
      </c>
      <c r="BO277" s="13" t="n">
        <f aca="false">IFERROR(1-L277/M277,"")</f>
        <v>0.179174588972151</v>
      </c>
      <c r="BP277" s="11" t="s">
        <v>198</v>
      </c>
      <c r="BQ277" s="12" t="n">
        <v>1340253</v>
      </c>
      <c r="BR277" s="11" t="s">
        <v>88</v>
      </c>
      <c r="BS277" s="11" t="s">
        <v>89</v>
      </c>
      <c r="BT277" s="19" t="str">
        <f aca="false">IF(OR(Z277&lt;6,AH277&lt;0.9,S277&lt;0.02,AK277&lt;1),"REVIEW",IF(AND(S277&gt;0.25,AH277&gt;1.2),"ACCELERATING","STABLE"))</f>
        <v>REVIEW</v>
      </c>
    </row>
    <row r="278" customFormat="false" ht="15" hidden="false" customHeight="false" outlineLevel="0" collapsed="false">
      <c r="A278" s="3" t="s">
        <v>352</v>
      </c>
      <c r="B278" s="3" t="s">
        <v>73</v>
      </c>
      <c r="C278" s="3" t="s">
        <v>74</v>
      </c>
      <c r="D278" s="3" t="s">
        <v>132</v>
      </c>
      <c r="E278" s="3" t="s">
        <v>105</v>
      </c>
      <c r="F278" s="3" t="s">
        <v>353</v>
      </c>
      <c r="G278" s="3" t="s">
        <v>78</v>
      </c>
      <c r="H278" s="3" t="s">
        <v>79</v>
      </c>
      <c r="I278" s="3" t="s">
        <v>78</v>
      </c>
      <c r="J278" s="4" t="n">
        <v>4831000</v>
      </c>
      <c r="K278" s="5" t="n">
        <f aca="false">IFERROR(J278/M278,"")</f>
        <v>0.152734745494783</v>
      </c>
      <c r="L278" s="4" t="n">
        <v>26799000</v>
      </c>
      <c r="M278" s="6" t="n">
        <f aca="false">L278+J278</f>
        <v>31630000</v>
      </c>
      <c r="N278" s="4" t="n">
        <v>4831000</v>
      </c>
      <c r="O278" s="4" t="n">
        <v>32897350</v>
      </c>
      <c r="P278" s="4" t="n">
        <v>977646</v>
      </c>
      <c r="Q278" s="7"/>
      <c r="R278" s="4" t="n">
        <v>1218395</v>
      </c>
      <c r="S278" s="7"/>
      <c r="T278" s="4" t="n">
        <v>563238</v>
      </c>
      <c r="U278" s="5" t="n">
        <f aca="false">IFERROR(T278/P278,"")</f>
        <v>0.576116508429432</v>
      </c>
      <c r="V278" s="6" t="n">
        <f aca="false">T278-AV278</f>
        <v>-1547030</v>
      </c>
      <c r="W278" s="6" t="n">
        <f aca="false">V278-AA278*0.1</f>
        <v>-1547030</v>
      </c>
      <c r="X278" s="4" t="n">
        <v>4360038</v>
      </c>
      <c r="Y278" s="4" t="n">
        <v>161980</v>
      </c>
      <c r="Z278" s="8" t="n">
        <f aca="false">IFERROR(X278/Y278,"")</f>
        <v>26.9171379182615</v>
      </c>
      <c r="AA278" s="4" t="n">
        <v>0</v>
      </c>
      <c r="AB278" s="6" t="n">
        <f aca="false">W278-0.02*P278</f>
        <v>-1566582.92</v>
      </c>
      <c r="AC278" s="9" t="n">
        <v>30</v>
      </c>
      <c r="AD278" s="7"/>
      <c r="AE278" s="7" t="n">
        <v>0.073</v>
      </c>
      <c r="AF278" s="7" t="n">
        <v>0.062</v>
      </c>
      <c r="AG278" s="5" t="n">
        <f aca="false">1-AF278</f>
        <v>0.938</v>
      </c>
      <c r="AH278" s="7" t="n">
        <v>1.093</v>
      </c>
      <c r="AI278" s="4" t="n">
        <v>59254</v>
      </c>
      <c r="AJ278" s="6" t="n">
        <f aca="false">IFERROR(AM278*U278*MIN(1/AE278,5),"")</f>
        <v>167073.787444535</v>
      </c>
      <c r="AK278" s="10" t="n">
        <f aca="false">IFERROR(AJ278/AI278,"")</f>
        <v>2.81962040443742</v>
      </c>
      <c r="AL278" s="8" t="n">
        <f aca="false">IFERROR(AI278/(AM278*U278/12),"")</f>
        <v>21.2794601378164</v>
      </c>
      <c r="AM278" s="4" t="n">
        <v>58000</v>
      </c>
      <c r="AN278" s="4" t="n">
        <v>1428177</v>
      </c>
      <c r="AO278" s="4" t="n">
        <v>2213952</v>
      </c>
      <c r="AP278" s="7" t="n">
        <v>0.216</v>
      </c>
      <c r="AQ278" s="9" t="n">
        <v>55</v>
      </c>
      <c r="AR278" s="9" t="n">
        <v>8</v>
      </c>
      <c r="AS278" s="7"/>
      <c r="AT278" s="3" t="s">
        <v>201</v>
      </c>
      <c r="AU278" s="6" t="n">
        <f aca="false">IFERROR(P278/AR278,"")</f>
        <v>122205.75</v>
      </c>
      <c r="AV278" s="4" t="n">
        <v>2110268</v>
      </c>
      <c r="AW278" s="4" t="n">
        <v>754938</v>
      </c>
      <c r="AX278" s="4" t="n">
        <v>496045</v>
      </c>
      <c r="AY278" s="9" t="n">
        <v>25476</v>
      </c>
      <c r="AZ278" s="7"/>
      <c r="BA278" s="7" t="n">
        <v>0.93</v>
      </c>
      <c r="BB278" s="3" t="s">
        <v>107</v>
      </c>
      <c r="BC278" s="3" t="s">
        <v>108</v>
      </c>
      <c r="BD278" s="3" t="s">
        <v>101</v>
      </c>
      <c r="BE278" s="4" t="n">
        <v>1198207</v>
      </c>
      <c r="BF278" s="5" t="n">
        <f aca="false">IFERROR(P278/BE278-1,"")</f>
        <v>-0.184075873367457</v>
      </c>
      <c r="BG278" s="7" t="n">
        <v>0.01</v>
      </c>
      <c r="BH278" s="7" t="n">
        <v>-0.014</v>
      </c>
      <c r="BI278" s="6" t="n">
        <f aca="false">P278</f>
        <v>977646</v>
      </c>
      <c r="BJ278" s="4" t="n">
        <v>-1903207</v>
      </c>
      <c r="BK278" s="3" t="s">
        <v>102</v>
      </c>
      <c r="BL278" s="3" t="s">
        <v>162</v>
      </c>
      <c r="BM278" s="6" t="n">
        <f aca="false">O278</f>
        <v>32897350</v>
      </c>
      <c r="BN278" s="3" t="s">
        <v>354</v>
      </c>
      <c r="BO278" s="5" t="n">
        <f aca="false">IFERROR(1-L278/M278,"")</f>
        <v>0.152734745494783</v>
      </c>
      <c r="BP278" s="3" t="s">
        <v>142</v>
      </c>
      <c r="BQ278" s="4" t="n">
        <v>2933878</v>
      </c>
      <c r="BR278" s="3" t="s">
        <v>88</v>
      </c>
      <c r="BS278" s="3" t="s">
        <v>89</v>
      </c>
      <c r="BT278" s="3" t="s">
        <v>90</v>
      </c>
    </row>
    <row r="279" customFormat="false" ht="15" hidden="false" customHeight="false" outlineLevel="0" collapsed="false">
      <c r="A279" s="11" t="s">
        <v>352</v>
      </c>
      <c r="B279" s="11" t="s">
        <v>91</v>
      </c>
      <c r="C279" s="11" t="s">
        <v>74</v>
      </c>
      <c r="D279" s="11" t="s">
        <v>132</v>
      </c>
      <c r="E279" s="11" t="s">
        <v>105</v>
      </c>
      <c r="F279" s="11" t="s">
        <v>353</v>
      </c>
      <c r="G279" s="11" t="s">
        <v>78</v>
      </c>
      <c r="H279" s="11" t="s">
        <v>79</v>
      </c>
      <c r="I279" s="11" t="s">
        <v>78</v>
      </c>
      <c r="J279" s="12" t="n">
        <v>4831000</v>
      </c>
      <c r="K279" s="13" t="n">
        <f aca="false">IFERROR(J279/M279,"")</f>
        <v>0.152734745494783</v>
      </c>
      <c r="L279" s="12" t="n">
        <v>26799000</v>
      </c>
      <c r="M279" s="14" t="n">
        <f aca="false">L279+J279</f>
        <v>31630000</v>
      </c>
      <c r="N279" s="12" t="n">
        <v>4831000</v>
      </c>
      <c r="O279" s="12" t="n">
        <v>32897350</v>
      </c>
      <c r="P279" s="12" t="n">
        <v>1185462</v>
      </c>
      <c r="Q279" s="13" t="n">
        <f aca="false">IFERROR(P279/P278-1,"")</f>
        <v>0.212567739243039</v>
      </c>
      <c r="R279" s="12" t="n">
        <v>1354481</v>
      </c>
      <c r="S279" s="13" t="n">
        <f aca="false">IFERROR(R279/R278-1,"")</f>
        <v>0.111692841812384</v>
      </c>
      <c r="T279" s="12" t="n">
        <v>685729</v>
      </c>
      <c r="U279" s="13" t="n">
        <f aca="false">IFERROR(T279/P279,"")</f>
        <v>0.578448739816207</v>
      </c>
      <c r="V279" s="14" t="n">
        <f aca="false">T279-AV279</f>
        <v>-1770283</v>
      </c>
      <c r="W279" s="14" t="n">
        <f aca="false">V279-AA279*0.1</f>
        <v>-1770283</v>
      </c>
      <c r="X279" s="12" t="n">
        <v>3951528</v>
      </c>
      <c r="Y279" s="12" t="n">
        <v>167320</v>
      </c>
      <c r="Z279" s="15" t="n">
        <f aca="false">IFERROR(X279/Y279,"")</f>
        <v>23.6165909634234</v>
      </c>
      <c r="AA279" s="12" t="n">
        <v>0</v>
      </c>
      <c r="AB279" s="14" t="n">
        <f aca="false">W279-0.02*P279</f>
        <v>-1793992.24</v>
      </c>
      <c r="AC279" s="16" t="n">
        <v>34</v>
      </c>
      <c r="AD279" s="13" t="n">
        <f aca="false">IFERROR(AC279/AC278-1,"")</f>
        <v>0.133333333333333</v>
      </c>
      <c r="AE279" s="17" t="n">
        <v>0.071</v>
      </c>
      <c r="AF279" s="17" t="n">
        <v>0.062</v>
      </c>
      <c r="AG279" s="13" t="n">
        <f aca="false">1-AF279</f>
        <v>0.938</v>
      </c>
      <c r="AH279" s="17" t="n">
        <v>1.088</v>
      </c>
      <c r="AI279" s="12" t="n">
        <v>58136</v>
      </c>
      <c r="AJ279" s="14" t="n">
        <f aca="false">IFERROR(AM279*U279*MIN(1/AE279,5),"")</f>
        <v>171105.137237634</v>
      </c>
      <c r="AK279" s="18" t="n">
        <f aca="false">IFERROR(AJ279/AI279,"")</f>
        <v>2.94318730627553</v>
      </c>
      <c r="AL279" s="15" t="n">
        <f aca="false">IFERROR(AI279/(AM279*U279/12),"")</f>
        <v>20.3860623726077</v>
      </c>
      <c r="AM279" s="12" t="n">
        <v>59160</v>
      </c>
      <c r="AN279" s="12" t="n">
        <v>1842690</v>
      </c>
      <c r="AO279" s="12" t="n">
        <v>3379651</v>
      </c>
      <c r="AP279" s="17" t="n">
        <v>0.216</v>
      </c>
      <c r="AQ279" s="16" t="n">
        <v>55</v>
      </c>
      <c r="AR279" s="16" t="n">
        <v>9</v>
      </c>
      <c r="AS279" s="13" t="n">
        <f aca="false">IFERROR(AR279/AR278-1,"")</f>
        <v>0.125</v>
      </c>
      <c r="AT279" s="11" t="s">
        <v>201</v>
      </c>
      <c r="AU279" s="14" t="n">
        <f aca="false">IFERROR(P279/AR279,"")</f>
        <v>131718</v>
      </c>
      <c r="AV279" s="12" t="n">
        <v>2456012</v>
      </c>
      <c r="AW279" s="12" t="n">
        <v>905696</v>
      </c>
      <c r="AX279" s="12" t="n">
        <v>778559</v>
      </c>
      <c r="AY279" s="16" t="n">
        <v>27482</v>
      </c>
      <c r="AZ279" s="13" t="n">
        <f aca="false">IFERROR(AY279/AY278-1,"")</f>
        <v>0.0787407756319674</v>
      </c>
      <c r="BA279" s="17" t="n">
        <v>0.941</v>
      </c>
      <c r="BB279" s="11" t="s">
        <v>107</v>
      </c>
      <c r="BC279" s="11" t="s">
        <v>108</v>
      </c>
      <c r="BD279" s="11" t="s">
        <v>101</v>
      </c>
      <c r="BE279" s="12" t="n">
        <v>1139742</v>
      </c>
      <c r="BF279" s="13" t="n">
        <f aca="false">IFERROR(P279/BE279-1,"")</f>
        <v>0.0401143416667982</v>
      </c>
      <c r="BG279" s="17" t="n">
        <v>-0.043</v>
      </c>
      <c r="BH279" s="17" t="n">
        <v>-0.07</v>
      </c>
      <c r="BI279" s="14" t="n">
        <f aca="false">P279*(1+IFERROR(Q279,0))^4</f>
        <v>2562782.06042397</v>
      </c>
      <c r="BJ279" s="12" t="n">
        <v>-1957626</v>
      </c>
      <c r="BK279" s="11" t="s">
        <v>102</v>
      </c>
      <c r="BL279" s="11" t="s">
        <v>162</v>
      </c>
      <c r="BM279" s="14" t="n">
        <f aca="false">O279</f>
        <v>32897350</v>
      </c>
      <c r="BN279" s="11" t="s">
        <v>354</v>
      </c>
      <c r="BO279" s="13" t="n">
        <f aca="false">IFERROR(1-L279/M279,"")</f>
        <v>0.152734745494783</v>
      </c>
      <c r="BP279" s="11" t="s">
        <v>142</v>
      </c>
      <c r="BQ279" s="12" t="n">
        <v>2808312</v>
      </c>
      <c r="BR279" s="11" t="s">
        <v>88</v>
      </c>
      <c r="BS279" s="11" t="s">
        <v>89</v>
      </c>
      <c r="BT279" s="19" t="str">
        <f aca="false">IF(OR(Z279&lt;6,AH279&lt;0.9,S279&lt;0.02,AK279&lt;1),"REVIEW",IF(AND(S279&gt;0.25,AH279&gt;1.2),"ACCELERATING","STABLE"))</f>
        <v>STABLE</v>
      </c>
    </row>
    <row r="280" customFormat="false" ht="15" hidden="false" customHeight="false" outlineLevel="0" collapsed="false">
      <c r="A280" s="11" t="s">
        <v>352</v>
      </c>
      <c r="B280" s="11" t="s">
        <v>92</v>
      </c>
      <c r="C280" s="11" t="s">
        <v>74</v>
      </c>
      <c r="D280" s="11" t="s">
        <v>132</v>
      </c>
      <c r="E280" s="11" t="s">
        <v>105</v>
      </c>
      <c r="F280" s="11" t="s">
        <v>353</v>
      </c>
      <c r="G280" s="11" t="s">
        <v>78</v>
      </c>
      <c r="H280" s="11" t="s">
        <v>79</v>
      </c>
      <c r="I280" s="11" t="s">
        <v>78</v>
      </c>
      <c r="J280" s="12" t="n">
        <v>4831000</v>
      </c>
      <c r="K280" s="13" t="n">
        <f aca="false">IFERROR(J280/M280,"")</f>
        <v>0.152734745494783</v>
      </c>
      <c r="L280" s="12" t="n">
        <v>26799000</v>
      </c>
      <c r="M280" s="14" t="n">
        <f aca="false">L280+J280</f>
        <v>31630000</v>
      </c>
      <c r="N280" s="12" t="n">
        <v>4831000</v>
      </c>
      <c r="O280" s="12" t="n">
        <v>32897350</v>
      </c>
      <c r="P280" s="12" t="n">
        <v>1206786</v>
      </c>
      <c r="Q280" s="13" t="n">
        <f aca="false">IFERROR(P280/P279-1,"")</f>
        <v>0.0179879236955718</v>
      </c>
      <c r="R280" s="12" t="n">
        <v>1526952</v>
      </c>
      <c r="S280" s="13" t="n">
        <f aca="false">IFERROR(R280/R279-1,"")</f>
        <v>0.127333642923009</v>
      </c>
      <c r="T280" s="12" t="n">
        <v>700878</v>
      </c>
      <c r="U280" s="13" t="n">
        <f aca="false">IFERROR(T280/P280,"")</f>
        <v>0.580780685225052</v>
      </c>
      <c r="V280" s="14" t="n">
        <f aca="false">T280-AV280</f>
        <v>-1688897</v>
      </c>
      <c r="W280" s="14" t="n">
        <f aca="false">V280-AA280*0.1</f>
        <v>-1688897</v>
      </c>
      <c r="X280" s="12" t="n">
        <v>3514182</v>
      </c>
      <c r="Y280" s="12" t="n">
        <v>172660</v>
      </c>
      <c r="Z280" s="15" t="n">
        <f aca="false">IFERROR(X280/Y280,"")</f>
        <v>20.3531912429051</v>
      </c>
      <c r="AA280" s="12" t="n">
        <v>0</v>
      </c>
      <c r="AB280" s="14" t="n">
        <f aca="false">W280-0.02*P280</f>
        <v>-1713032.72</v>
      </c>
      <c r="AC280" s="16" t="n">
        <v>37</v>
      </c>
      <c r="AD280" s="13" t="n">
        <f aca="false">IFERROR(AC280/AC279-1,"")</f>
        <v>0.088235294117647</v>
      </c>
      <c r="AE280" s="17" t="n">
        <v>0.069</v>
      </c>
      <c r="AF280" s="17" t="n">
        <v>0.066</v>
      </c>
      <c r="AG280" s="13" t="n">
        <f aca="false">1-AF280</f>
        <v>0.934</v>
      </c>
      <c r="AH280" s="17" t="n">
        <v>1.083</v>
      </c>
      <c r="AI280" s="12" t="n">
        <v>57018</v>
      </c>
      <c r="AJ280" s="14" t="n">
        <f aca="false">IFERROR(AM280*U280*MIN(1/AE280,5),"")</f>
        <v>175163.454663876</v>
      </c>
      <c r="AK280" s="18" t="n">
        <f aca="false">IFERROR(AJ280/AI280,"")</f>
        <v>3.07207293598295</v>
      </c>
      <c r="AL280" s="15" t="n">
        <f aca="false">IFERROR(AI280/(AM280*U280/12),"")</f>
        <v>19.5307862965181</v>
      </c>
      <c r="AM280" s="12" t="n">
        <v>60320</v>
      </c>
      <c r="AN280" s="12" t="n">
        <v>1704016</v>
      </c>
      <c r="AO280" s="12" t="n">
        <v>5254857</v>
      </c>
      <c r="AP280" s="17" t="n">
        <v>0.216</v>
      </c>
      <c r="AQ280" s="16" t="n">
        <v>55</v>
      </c>
      <c r="AR280" s="16" t="n">
        <v>9</v>
      </c>
      <c r="AS280" s="13" t="n">
        <f aca="false">IFERROR(AR280/AR279-1,"")</f>
        <v>0</v>
      </c>
      <c r="AT280" s="11" t="s">
        <v>201</v>
      </c>
      <c r="AU280" s="14" t="n">
        <f aca="false">IFERROR(P280/AR280,"")</f>
        <v>134087.333333333</v>
      </c>
      <c r="AV280" s="12" t="n">
        <v>2389775</v>
      </c>
      <c r="AW280" s="12" t="n">
        <v>984637</v>
      </c>
      <c r="AX280" s="12" t="n">
        <v>672123</v>
      </c>
      <c r="AY280" s="16" t="n">
        <v>31272</v>
      </c>
      <c r="AZ280" s="13" t="n">
        <f aca="false">IFERROR(AY280/AY279-1,"")</f>
        <v>0.137908449166727</v>
      </c>
      <c r="BA280" s="17" t="n">
        <v>0.934</v>
      </c>
      <c r="BB280" s="11" t="s">
        <v>107</v>
      </c>
      <c r="BC280" s="11" t="s">
        <v>108</v>
      </c>
      <c r="BD280" s="11" t="s">
        <v>101</v>
      </c>
      <c r="BE280" s="12" t="n">
        <v>1141365</v>
      </c>
      <c r="BF280" s="13" t="n">
        <f aca="false">IFERROR(P280/BE280-1,"")</f>
        <v>0.0573182110893535</v>
      </c>
      <c r="BG280" s="17" t="n">
        <v>-0.006</v>
      </c>
      <c r="BH280" s="17" t="n">
        <v>-0.005</v>
      </c>
      <c r="BI280" s="14" t="n">
        <f aca="false">P280*(1+IFERROR(Q280,0))^4</f>
        <v>1295987.36472416</v>
      </c>
      <c r="BJ280" s="12" t="n">
        <v>-1236091</v>
      </c>
      <c r="BK280" s="11" t="s">
        <v>102</v>
      </c>
      <c r="BL280" s="11" t="s">
        <v>162</v>
      </c>
      <c r="BM280" s="14" t="n">
        <f aca="false">O280</f>
        <v>32897350</v>
      </c>
      <c r="BN280" s="11" t="s">
        <v>354</v>
      </c>
      <c r="BO280" s="13" t="n">
        <f aca="false">IFERROR(1-L280/M280,"")</f>
        <v>0.152734745494783</v>
      </c>
      <c r="BP280" s="11" t="s">
        <v>142</v>
      </c>
      <c r="BQ280" s="12" t="n">
        <v>2724447</v>
      </c>
      <c r="BR280" s="11" t="s">
        <v>88</v>
      </c>
      <c r="BS280" s="11" t="s">
        <v>89</v>
      </c>
      <c r="BT280" s="19" t="str">
        <f aca="false">IF(OR(Z280&lt;6,AH280&lt;0.9,S280&lt;0.02,AK280&lt;1),"REVIEW",IF(AND(S280&gt;0.25,AH280&gt;1.2),"ACCELERATING","STABLE"))</f>
        <v>STABLE</v>
      </c>
    </row>
    <row r="281" customFormat="false" ht="15" hidden="false" customHeight="false" outlineLevel="0" collapsed="false">
      <c r="A281" s="11" t="s">
        <v>352</v>
      </c>
      <c r="B281" s="11" t="s">
        <v>93</v>
      </c>
      <c r="C281" s="11" t="s">
        <v>74</v>
      </c>
      <c r="D281" s="11" t="s">
        <v>132</v>
      </c>
      <c r="E281" s="11" t="s">
        <v>105</v>
      </c>
      <c r="F281" s="11" t="s">
        <v>353</v>
      </c>
      <c r="G281" s="11" t="s">
        <v>78</v>
      </c>
      <c r="H281" s="11" t="s">
        <v>79</v>
      </c>
      <c r="I281" s="11" t="s">
        <v>78</v>
      </c>
      <c r="J281" s="12" t="n">
        <v>4831000</v>
      </c>
      <c r="K281" s="13" t="n">
        <f aca="false">IFERROR(J281/M281,"")</f>
        <v>0.152734745494783</v>
      </c>
      <c r="L281" s="12" t="n">
        <v>26799000</v>
      </c>
      <c r="M281" s="14" t="n">
        <f aca="false">L281+J281</f>
        <v>31630000</v>
      </c>
      <c r="N281" s="12" t="n">
        <v>4831000</v>
      </c>
      <c r="O281" s="12" t="n">
        <v>32897350</v>
      </c>
      <c r="P281" s="12" t="n">
        <v>1360753</v>
      </c>
      <c r="Q281" s="13" t="n">
        <f aca="false">IFERROR(P281/P280-1,"")</f>
        <v>0.127584343868756</v>
      </c>
      <c r="R281" s="12" t="n">
        <v>1696093</v>
      </c>
      <c r="S281" s="13" t="n">
        <f aca="false">IFERROR(R281/R280-1,"")</f>
        <v>0.110770345105806</v>
      </c>
      <c r="T281" s="12" t="n">
        <v>793473</v>
      </c>
      <c r="U281" s="13" t="n">
        <f aca="false">IFERROR(T281/P281,"")</f>
        <v>0.583113173367981</v>
      </c>
      <c r="V281" s="14" t="n">
        <f aca="false">T281-AV281</f>
        <v>-1711330</v>
      </c>
      <c r="W281" s="14" t="n">
        <f aca="false">V281-AA281*0.1</f>
        <v>-1711330</v>
      </c>
      <c r="X281" s="12" t="n">
        <v>3048000</v>
      </c>
      <c r="Y281" s="12" t="n">
        <v>178000</v>
      </c>
      <c r="Z281" s="15" t="n">
        <f aca="false">IFERROR(X281/Y281,"")</f>
        <v>17.123595505618</v>
      </c>
      <c r="AA281" s="12" t="n">
        <v>0</v>
      </c>
      <c r="AB281" s="14" t="n">
        <f aca="false">W281-0.02*P281</f>
        <v>-1738545.06</v>
      </c>
      <c r="AC281" s="16" t="n">
        <v>40</v>
      </c>
      <c r="AD281" s="13" t="n">
        <f aca="false">IFERROR(AC281/AC280-1,"")</f>
        <v>0.0810810810810811</v>
      </c>
      <c r="AE281" s="17" t="n">
        <v>0.067</v>
      </c>
      <c r="AF281" s="17" t="n">
        <v>0.058</v>
      </c>
      <c r="AG281" s="13" t="n">
        <f aca="false">1-AF281</f>
        <v>0.942</v>
      </c>
      <c r="AH281" s="17" t="n">
        <v>1.078</v>
      </c>
      <c r="AI281" s="12" t="n">
        <v>55900</v>
      </c>
      <c r="AJ281" s="14" t="n">
        <f aca="false">IFERROR(AM281*U281*MIN(1/AE281,5),"")</f>
        <v>179248.989493317</v>
      </c>
      <c r="AK281" s="18" t="n">
        <f aca="false">IFERROR(AJ281/AI281,"")</f>
        <v>3.20660088539029</v>
      </c>
      <c r="AL281" s="15" t="n">
        <f aca="false">IFERROR(AI281/(AM281*U281/12),"")</f>
        <v>18.7114025550757</v>
      </c>
      <c r="AM281" s="12" t="n">
        <v>61480</v>
      </c>
      <c r="AN281" s="12" t="n">
        <v>1689037</v>
      </c>
      <c r="AO281" s="12" t="n">
        <v>6391989</v>
      </c>
      <c r="AP281" s="17" t="n">
        <v>0.216</v>
      </c>
      <c r="AQ281" s="16" t="n">
        <v>55</v>
      </c>
      <c r="AR281" s="16" t="n">
        <v>10</v>
      </c>
      <c r="AS281" s="13" t="n">
        <f aca="false">IFERROR(AR281/AR280-1,"")</f>
        <v>0.111111111111111</v>
      </c>
      <c r="AT281" s="11" t="s">
        <v>201</v>
      </c>
      <c r="AU281" s="14" t="n">
        <f aca="false">IFERROR(P281/AR281,"")</f>
        <v>136075.3</v>
      </c>
      <c r="AV281" s="12" t="n">
        <v>2504803</v>
      </c>
      <c r="AW281" s="12" t="n">
        <v>972379</v>
      </c>
      <c r="AX281" s="12" t="n">
        <v>513680</v>
      </c>
      <c r="AY281" s="16" t="n">
        <v>35363</v>
      </c>
      <c r="AZ281" s="13" t="n">
        <f aca="false">IFERROR(AY281/AY280-1,"")</f>
        <v>0.130819902788437</v>
      </c>
      <c r="BA281" s="17" t="n">
        <v>0.932</v>
      </c>
      <c r="BB281" s="11" t="s">
        <v>107</v>
      </c>
      <c r="BC281" s="11" t="s">
        <v>108</v>
      </c>
      <c r="BD281" s="11" t="s">
        <v>101</v>
      </c>
      <c r="BE281" s="12" t="n">
        <v>1398423</v>
      </c>
      <c r="BF281" s="13" t="n">
        <f aca="false">IFERROR(P281/BE281-1,"")</f>
        <v>-0.0269374860110282</v>
      </c>
      <c r="BG281" s="17" t="n">
        <v>-0.006</v>
      </c>
      <c r="BH281" s="17" t="n">
        <v>-0.003</v>
      </c>
      <c r="BI281" s="14" t="n">
        <f aca="false">P281*(1+IFERROR(Q281,0))^4</f>
        <v>2199760.75286246</v>
      </c>
      <c r="BJ281" s="12" t="n">
        <v>-2105041</v>
      </c>
      <c r="BK281" s="11" t="s">
        <v>102</v>
      </c>
      <c r="BL281" s="11" t="s">
        <v>162</v>
      </c>
      <c r="BM281" s="14" t="n">
        <f aca="false">O281</f>
        <v>32897350</v>
      </c>
      <c r="BN281" s="11" t="s">
        <v>354</v>
      </c>
      <c r="BO281" s="13" t="n">
        <f aca="false">IFERROR(1-L281/M281,"")</f>
        <v>0.152734745494783</v>
      </c>
      <c r="BP281" s="11" t="s">
        <v>142</v>
      </c>
      <c r="BQ281" s="12" t="n">
        <v>3285062</v>
      </c>
      <c r="BR281" s="11" t="s">
        <v>88</v>
      </c>
      <c r="BS281" s="11" t="s">
        <v>89</v>
      </c>
      <c r="BT281" s="19" t="str">
        <f aca="false">IF(OR(Z281&lt;6,AH281&lt;0.9,S281&lt;0.02,AK281&lt;1),"REVIEW",IF(AND(S281&gt;0.25,AH281&gt;1.2),"ACCELERATING","STABLE"))</f>
        <v>STABLE</v>
      </c>
    </row>
    <row r="282" customFormat="false" ht="15" hidden="false" customHeight="false" outlineLevel="0" collapsed="false">
      <c r="A282" s="3" t="s">
        <v>355</v>
      </c>
      <c r="B282" s="3" t="s">
        <v>73</v>
      </c>
      <c r="C282" s="3" t="s">
        <v>74</v>
      </c>
      <c r="D282" s="3" t="s">
        <v>115</v>
      </c>
      <c r="E282" s="3" t="s">
        <v>187</v>
      </c>
      <c r="F282" s="3" t="s">
        <v>356</v>
      </c>
      <c r="G282" s="3" t="s">
        <v>78</v>
      </c>
      <c r="H282" s="3" t="s">
        <v>79</v>
      </c>
      <c r="I282" s="3" t="s">
        <v>78</v>
      </c>
      <c r="J282" s="4" t="n">
        <v>2286000</v>
      </c>
      <c r="K282" s="5" t="n">
        <f aca="false">IFERROR(J282/M282,"")</f>
        <v>0.157774863689696</v>
      </c>
      <c r="L282" s="4" t="n">
        <v>12203000</v>
      </c>
      <c r="M282" s="6" t="n">
        <f aca="false">L282+J282</f>
        <v>14489000</v>
      </c>
      <c r="N282" s="4" t="n">
        <v>2357000</v>
      </c>
      <c r="O282" s="4" t="n">
        <v>25945770</v>
      </c>
      <c r="P282" s="4" t="n">
        <v>170047</v>
      </c>
      <c r="Q282" s="7"/>
      <c r="R282" s="4" t="n">
        <v>200152</v>
      </c>
      <c r="S282" s="7"/>
      <c r="T282" s="4" t="n">
        <v>125091</v>
      </c>
      <c r="U282" s="5" t="n">
        <f aca="false">IFERROR(T282/P282,"")</f>
        <v>0.735626032802696</v>
      </c>
      <c r="V282" s="6" t="n">
        <f aca="false">T282-AV282</f>
        <v>-2049484</v>
      </c>
      <c r="W282" s="6" t="n">
        <f aca="false">V282-AA282*0.1</f>
        <v>-2049484</v>
      </c>
      <c r="X282" s="4" t="n">
        <v>4747072</v>
      </c>
      <c r="Y282" s="4" t="n">
        <v>211120</v>
      </c>
      <c r="Z282" s="8" t="n">
        <f aca="false">IFERROR(X282/Y282,"")</f>
        <v>22.4851837817355</v>
      </c>
      <c r="AA282" s="4" t="n">
        <v>0</v>
      </c>
      <c r="AB282" s="6" t="n">
        <f aca="false">W282-0.02*P282</f>
        <v>-2052884.94</v>
      </c>
      <c r="AC282" s="9" t="n">
        <v>18</v>
      </c>
      <c r="AD282" s="7"/>
      <c r="AE282" s="7" t="n">
        <v>0.066</v>
      </c>
      <c r="AF282" s="7" t="n">
        <v>0.057</v>
      </c>
      <c r="AG282" s="5" t="n">
        <f aca="false">1-AF282</f>
        <v>0.943</v>
      </c>
      <c r="AH282" s="7" t="n">
        <v>1.059</v>
      </c>
      <c r="AI282" s="4" t="n">
        <v>15794</v>
      </c>
      <c r="AJ282" s="6" t="n">
        <f aca="false">IFERROR(AM282*U282*MIN(1/AE282,5),"")</f>
        <v>44137.5619681617</v>
      </c>
      <c r="AK282" s="10" t="n">
        <f aca="false">IFERROR(AJ282/AI282,"")</f>
        <v>2.79457781234404</v>
      </c>
      <c r="AL282" s="8" t="n">
        <f aca="false">IFERROR(AI282/(AM282*U282/12),"")</f>
        <v>21.470148276055</v>
      </c>
      <c r="AM282" s="4" t="n">
        <v>12000</v>
      </c>
      <c r="AN282" s="4" t="n">
        <v>196188</v>
      </c>
      <c r="AO282" s="4" t="n">
        <v>561703</v>
      </c>
      <c r="AP282" s="7" t="n">
        <v>0.364</v>
      </c>
      <c r="AQ282" s="9" t="n">
        <v>22</v>
      </c>
      <c r="AR282" s="9" t="n">
        <v>8</v>
      </c>
      <c r="AS282" s="7"/>
      <c r="AT282" s="3" t="s">
        <v>218</v>
      </c>
      <c r="AU282" s="6" t="n">
        <f aca="false">IFERROR(P282/AR282,"")</f>
        <v>21255.875</v>
      </c>
      <c r="AV282" s="4" t="n">
        <v>2174575</v>
      </c>
      <c r="AW282" s="4" t="n">
        <v>897150</v>
      </c>
      <c r="AX282" s="4" t="n">
        <v>554515</v>
      </c>
      <c r="AY282" s="9" t="n">
        <v>15467</v>
      </c>
      <c r="AZ282" s="7"/>
      <c r="BA282" s="7" t="n">
        <v>0.927</v>
      </c>
      <c r="BB282" s="3" t="s">
        <v>161</v>
      </c>
      <c r="BC282" s="3" t="s">
        <v>82</v>
      </c>
      <c r="BD282" s="3" t="s">
        <v>101</v>
      </c>
      <c r="BE282" s="4" t="n">
        <v>154587</v>
      </c>
      <c r="BF282" s="5" t="n">
        <f aca="false">IFERROR(P282/BE282-1,"")</f>
        <v>0.100008409504033</v>
      </c>
      <c r="BG282" s="7" t="n">
        <v>0.013</v>
      </c>
      <c r="BH282" s="7" t="n">
        <v>-0.061</v>
      </c>
      <c r="BI282" s="6" t="n">
        <f aca="false">P282</f>
        <v>170047</v>
      </c>
      <c r="BJ282" s="4" t="n">
        <v>-2255646</v>
      </c>
      <c r="BK282" s="3" t="s">
        <v>102</v>
      </c>
      <c r="BL282" s="3" t="s">
        <v>128</v>
      </c>
      <c r="BM282" s="6" t="n">
        <f aca="false">O282</f>
        <v>25945770</v>
      </c>
      <c r="BN282" s="3" t="s">
        <v>357</v>
      </c>
      <c r="BO282" s="5" t="n">
        <f aca="false">IFERROR(1-L282/M282,"")</f>
        <v>0.157774863689696</v>
      </c>
      <c r="BP282" s="3" t="s">
        <v>130</v>
      </c>
      <c r="BQ282" s="4" t="n">
        <v>3499764</v>
      </c>
      <c r="BR282" s="3" t="s">
        <v>88</v>
      </c>
      <c r="BS282" s="3" t="s">
        <v>89</v>
      </c>
      <c r="BT282" s="3" t="s">
        <v>90</v>
      </c>
    </row>
    <row r="283" customFormat="false" ht="15" hidden="false" customHeight="false" outlineLevel="0" collapsed="false">
      <c r="A283" s="11" t="s">
        <v>355</v>
      </c>
      <c r="B283" s="11" t="s">
        <v>91</v>
      </c>
      <c r="C283" s="11" t="s">
        <v>74</v>
      </c>
      <c r="D283" s="11" t="s">
        <v>115</v>
      </c>
      <c r="E283" s="11" t="s">
        <v>187</v>
      </c>
      <c r="F283" s="11" t="s">
        <v>356</v>
      </c>
      <c r="G283" s="11" t="s">
        <v>78</v>
      </c>
      <c r="H283" s="11" t="s">
        <v>79</v>
      </c>
      <c r="I283" s="11" t="s">
        <v>78</v>
      </c>
      <c r="J283" s="12" t="n">
        <v>2286000</v>
      </c>
      <c r="K283" s="13" t="n">
        <f aca="false">IFERROR(J283/M283,"")</f>
        <v>0.157774863689696</v>
      </c>
      <c r="L283" s="12" t="n">
        <v>12203000</v>
      </c>
      <c r="M283" s="14" t="n">
        <f aca="false">L283+J283</f>
        <v>14489000</v>
      </c>
      <c r="N283" s="12" t="n">
        <v>2357000</v>
      </c>
      <c r="O283" s="12" t="n">
        <v>25945770</v>
      </c>
      <c r="P283" s="12" t="n">
        <v>213150</v>
      </c>
      <c r="Q283" s="13" t="n">
        <f aca="false">IFERROR(P283/P282-1,"")</f>
        <v>0.253476979893794</v>
      </c>
      <c r="R283" s="12" t="n">
        <v>256957</v>
      </c>
      <c r="S283" s="13" t="n">
        <f aca="false">IFERROR(R283/R282-1,"")</f>
        <v>0.283809304928255</v>
      </c>
      <c r="T283" s="12" t="n">
        <v>157434</v>
      </c>
      <c r="U283" s="13" t="n">
        <f aca="false">IFERROR(T283/P283,"")</f>
        <v>0.738606615059817</v>
      </c>
      <c r="V283" s="14" t="n">
        <f aca="false">T283-AV283</f>
        <v>-2222879</v>
      </c>
      <c r="W283" s="14" t="n">
        <f aca="false">V283-AA283*0.1</f>
        <v>-2222879</v>
      </c>
      <c r="X283" s="12" t="n">
        <v>4214632</v>
      </c>
      <c r="Y283" s="12" t="n">
        <v>218080</v>
      </c>
      <c r="Z283" s="15" t="n">
        <f aca="false">IFERROR(X283/Y283,"")</f>
        <v>19.3260821716801</v>
      </c>
      <c r="AA283" s="12" t="n">
        <v>0</v>
      </c>
      <c r="AB283" s="14" t="n">
        <f aca="false">W283-0.02*P283</f>
        <v>-2227142</v>
      </c>
      <c r="AC283" s="16" t="n">
        <v>22</v>
      </c>
      <c r="AD283" s="13" t="n">
        <f aca="false">IFERROR(AC283/AC282-1,"")</f>
        <v>0.222222222222222</v>
      </c>
      <c r="AE283" s="17" t="n">
        <v>0.065</v>
      </c>
      <c r="AF283" s="17" t="n">
        <v>0.068</v>
      </c>
      <c r="AG283" s="13" t="n">
        <f aca="false">1-AF283</f>
        <v>0.932</v>
      </c>
      <c r="AH283" s="17" t="n">
        <v>1.054</v>
      </c>
      <c r="AI283" s="12" t="n">
        <v>15496</v>
      </c>
      <c r="AJ283" s="14" t="n">
        <f aca="false">IFERROR(AM283*U283*MIN(1/AE283,5),"")</f>
        <v>45202.7248416608</v>
      </c>
      <c r="AK283" s="18" t="n">
        <f aca="false">IFERROR(AJ283/AI283,"")</f>
        <v>2.91705761755684</v>
      </c>
      <c r="AL283" s="15" t="n">
        <f aca="false">IFERROR(AI283/(AM283*U283/12),"")</f>
        <v>20.5686715404177</v>
      </c>
      <c r="AM283" s="12" t="n">
        <v>12240</v>
      </c>
      <c r="AN283" s="12" t="n">
        <v>303041</v>
      </c>
      <c r="AO283" s="12" t="n">
        <v>514001</v>
      </c>
      <c r="AP283" s="17" t="n">
        <v>0.364</v>
      </c>
      <c r="AQ283" s="16" t="n">
        <v>22</v>
      </c>
      <c r="AR283" s="16" t="n">
        <v>9</v>
      </c>
      <c r="AS283" s="13" t="n">
        <f aca="false">IFERROR(AR283/AR282-1,"")</f>
        <v>0.125</v>
      </c>
      <c r="AT283" s="11" t="s">
        <v>218</v>
      </c>
      <c r="AU283" s="14" t="n">
        <f aca="false">IFERROR(P283/AR283,"")</f>
        <v>23683.3333333333</v>
      </c>
      <c r="AV283" s="12" t="n">
        <v>2380313</v>
      </c>
      <c r="AW283" s="12" t="n">
        <v>1110568</v>
      </c>
      <c r="AX283" s="12" t="n">
        <v>496127</v>
      </c>
      <c r="AY283" s="16" t="n">
        <v>17847</v>
      </c>
      <c r="AZ283" s="13" t="n">
        <f aca="false">IFERROR(AY283/AY282-1,"")</f>
        <v>0.153875994051852</v>
      </c>
      <c r="BA283" s="17" t="n">
        <v>0.952</v>
      </c>
      <c r="BB283" s="11" t="s">
        <v>161</v>
      </c>
      <c r="BC283" s="11" t="s">
        <v>82</v>
      </c>
      <c r="BD283" s="11" t="s">
        <v>101</v>
      </c>
      <c r="BE283" s="12" t="n">
        <v>224723</v>
      </c>
      <c r="BF283" s="13" t="n">
        <f aca="false">IFERROR(P283/BE283-1,"")</f>
        <v>-0.0514989564931049</v>
      </c>
      <c r="BG283" s="17" t="n">
        <v>0.032</v>
      </c>
      <c r="BH283" s="17" t="n">
        <v>-0.03</v>
      </c>
      <c r="BI283" s="14" t="n">
        <f aca="false">P283*(1+IFERROR(Q283,0))^4</f>
        <v>526199.931457044</v>
      </c>
      <c r="BJ283" s="12" t="n">
        <v>-1393472</v>
      </c>
      <c r="BK283" s="11" t="s">
        <v>102</v>
      </c>
      <c r="BL283" s="11" t="s">
        <v>128</v>
      </c>
      <c r="BM283" s="14" t="n">
        <f aca="false">O283</f>
        <v>25945770</v>
      </c>
      <c r="BN283" s="11" t="s">
        <v>357</v>
      </c>
      <c r="BO283" s="13" t="n">
        <f aca="false">IFERROR(1-L283/M283,"")</f>
        <v>0.157774863689696</v>
      </c>
      <c r="BP283" s="11" t="s">
        <v>130</v>
      </c>
      <c r="BQ283" s="12" t="n">
        <v>3744947</v>
      </c>
      <c r="BR283" s="11" t="s">
        <v>88</v>
      </c>
      <c r="BS283" s="11" t="s">
        <v>89</v>
      </c>
      <c r="BT283" s="19" t="str">
        <f aca="false">IF(OR(Z283&lt;6,AH283&lt;0.9,S283&lt;0.02,AK283&lt;1),"REVIEW",IF(AND(S283&gt;0.25,AH283&gt;1.2),"ACCELERATING","STABLE"))</f>
        <v>STABLE</v>
      </c>
    </row>
    <row r="284" customFormat="false" ht="15" hidden="false" customHeight="false" outlineLevel="0" collapsed="false">
      <c r="A284" s="11" t="s">
        <v>355</v>
      </c>
      <c r="B284" s="11" t="s">
        <v>92</v>
      </c>
      <c r="C284" s="11" t="s">
        <v>74</v>
      </c>
      <c r="D284" s="11" t="s">
        <v>115</v>
      </c>
      <c r="E284" s="11" t="s">
        <v>187</v>
      </c>
      <c r="F284" s="11" t="s">
        <v>356</v>
      </c>
      <c r="G284" s="11" t="s">
        <v>78</v>
      </c>
      <c r="H284" s="11" t="s">
        <v>79</v>
      </c>
      <c r="I284" s="11" t="s">
        <v>78</v>
      </c>
      <c r="J284" s="12" t="n">
        <v>2286000</v>
      </c>
      <c r="K284" s="13" t="n">
        <f aca="false">IFERROR(J284/M284,"")</f>
        <v>0.157774863689696</v>
      </c>
      <c r="L284" s="12" t="n">
        <v>12203000</v>
      </c>
      <c r="M284" s="14" t="n">
        <f aca="false">L284+J284</f>
        <v>14489000</v>
      </c>
      <c r="N284" s="12" t="n">
        <v>2357000</v>
      </c>
      <c r="O284" s="12" t="n">
        <v>25945770</v>
      </c>
      <c r="P284" s="12" t="n">
        <v>243208</v>
      </c>
      <c r="Q284" s="13" t="n">
        <f aca="false">IFERROR(P284/P283-1,"")</f>
        <v>0.141018062397373</v>
      </c>
      <c r="R284" s="12" t="n">
        <v>308712</v>
      </c>
      <c r="S284" s="13" t="n">
        <f aca="false">IFERROR(R284/R283-1,"")</f>
        <v>0.201415022746997</v>
      </c>
      <c r="T284" s="12" t="n">
        <v>180359</v>
      </c>
      <c r="U284" s="13" t="n">
        <f aca="false">IFERROR(T284/P284,"")</f>
        <v>0.741583336074471</v>
      </c>
      <c r="V284" s="14" t="n">
        <f aca="false">T284-AV284</f>
        <v>-2427838</v>
      </c>
      <c r="W284" s="14" t="n">
        <f aca="false">V284-AA284*0.1</f>
        <v>-2427838</v>
      </c>
      <c r="X284" s="12" t="n">
        <v>3644608</v>
      </c>
      <c r="Y284" s="12" t="n">
        <v>225040</v>
      </c>
      <c r="Z284" s="15" t="n">
        <f aca="false">IFERROR(X284/Y284,"")</f>
        <v>16.1953785993601</v>
      </c>
      <c r="AA284" s="12" t="n">
        <v>0</v>
      </c>
      <c r="AB284" s="14" t="n">
        <f aca="false">W284-0.02*P284</f>
        <v>-2432702.16</v>
      </c>
      <c r="AC284" s="16" t="n">
        <v>24</v>
      </c>
      <c r="AD284" s="13" t="n">
        <f aca="false">IFERROR(AC284/AC283-1,"")</f>
        <v>0.0909090909090908</v>
      </c>
      <c r="AE284" s="17" t="n">
        <v>0.063</v>
      </c>
      <c r="AF284" s="17" t="n">
        <v>0.061</v>
      </c>
      <c r="AG284" s="13" t="n">
        <f aca="false">1-AF284</f>
        <v>0.939</v>
      </c>
      <c r="AH284" s="17" t="n">
        <v>1.049</v>
      </c>
      <c r="AI284" s="12" t="n">
        <v>15198</v>
      </c>
      <c r="AJ284" s="14" t="n">
        <f aca="false">IFERROR(AM284*U284*MIN(1/AE284,5),"")</f>
        <v>46274.800171047</v>
      </c>
      <c r="AK284" s="18" t="n">
        <f aca="false">IFERROR(AJ284/AI284,"")</f>
        <v>3.04479537906613</v>
      </c>
      <c r="AL284" s="15" t="n">
        <f aca="false">IFERROR(AI284/(AM284*U284/12),"")</f>
        <v>19.7057577046122</v>
      </c>
      <c r="AM284" s="12" t="n">
        <v>12480</v>
      </c>
      <c r="AN284" s="12" t="n">
        <v>339998</v>
      </c>
      <c r="AO284" s="12" t="n">
        <v>627400</v>
      </c>
      <c r="AP284" s="17" t="n">
        <v>0.364</v>
      </c>
      <c r="AQ284" s="16" t="n">
        <v>22</v>
      </c>
      <c r="AR284" s="16" t="n">
        <v>9</v>
      </c>
      <c r="AS284" s="13" t="n">
        <f aca="false">IFERROR(AR284/AR283-1,"")</f>
        <v>0</v>
      </c>
      <c r="AT284" s="11" t="s">
        <v>218</v>
      </c>
      <c r="AU284" s="14" t="n">
        <f aca="false">IFERROR(P284/AR284,"")</f>
        <v>27023.1111111111</v>
      </c>
      <c r="AV284" s="12" t="n">
        <v>2608197</v>
      </c>
      <c r="AW284" s="12" t="n">
        <v>849043</v>
      </c>
      <c r="AX284" s="12" t="n">
        <v>477345</v>
      </c>
      <c r="AY284" s="16" t="n">
        <v>19557</v>
      </c>
      <c r="AZ284" s="13" t="n">
        <f aca="false">IFERROR(AY284/AY283-1,"")</f>
        <v>0.0958144225920323</v>
      </c>
      <c r="BA284" s="17" t="n">
        <v>0.952</v>
      </c>
      <c r="BB284" s="11" t="s">
        <v>161</v>
      </c>
      <c r="BC284" s="11" t="s">
        <v>82</v>
      </c>
      <c r="BD284" s="11" t="s">
        <v>101</v>
      </c>
      <c r="BE284" s="12" t="n">
        <v>300604</v>
      </c>
      <c r="BF284" s="13" t="n">
        <f aca="false">IFERROR(P284/BE284-1,"")</f>
        <v>-0.190935583026174</v>
      </c>
      <c r="BG284" s="17" t="n">
        <v>0.064</v>
      </c>
      <c r="BH284" s="17" t="n">
        <v>-0.038</v>
      </c>
      <c r="BI284" s="14" t="n">
        <f aca="false">P284*(1+IFERROR(Q284,0))^4</f>
        <v>412237.915956587</v>
      </c>
      <c r="BJ284" s="12" t="n">
        <v>-2583917</v>
      </c>
      <c r="BK284" s="11" t="s">
        <v>102</v>
      </c>
      <c r="BL284" s="11" t="s">
        <v>128</v>
      </c>
      <c r="BM284" s="14" t="n">
        <f aca="false">O284</f>
        <v>25945770</v>
      </c>
      <c r="BN284" s="11" t="s">
        <v>357</v>
      </c>
      <c r="BO284" s="13" t="n">
        <f aca="false">IFERROR(1-L284/M284,"")</f>
        <v>0.157774863689696</v>
      </c>
      <c r="BP284" s="11" t="s">
        <v>130</v>
      </c>
      <c r="BQ284" s="12" t="n">
        <v>3590975</v>
      </c>
      <c r="BR284" s="11" t="s">
        <v>88</v>
      </c>
      <c r="BS284" s="11" t="s">
        <v>89</v>
      </c>
      <c r="BT284" s="19" t="str">
        <f aca="false">IF(OR(Z284&lt;6,AH284&lt;0.9,S284&lt;0.02,AK284&lt;1),"REVIEW",IF(AND(S284&gt;0.25,AH284&gt;1.2),"ACCELERATING","STABLE"))</f>
        <v>STABLE</v>
      </c>
    </row>
    <row r="285" customFormat="false" ht="15" hidden="false" customHeight="false" outlineLevel="0" collapsed="false">
      <c r="A285" s="11" t="s">
        <v>355</v>
      </c>
      <c r="B285" s="11" t="s">
        <v>93</v>
      </c>
      <c r="C285" s="11" t="s">
        <v>74</v>
      </c>
      <c r="D285" s="11" t="s">
        <v>115</v>
      </c>
      <c r="E285" s="11" t="s">
        <v>187</v>
      </c>
      <c r="F285" s="11" t="s">
        <v>356</v>
      </c>
      <c r="G285" s="11" t="s">
        <v>78</v>
      </c>
      <c r="H285" s="11" t="s">
        <v>79</v>
      </c>
      <c r="I285" s="11" t="s">
        <v>78</v>
      </c>
      <c r="J285" s="12" t="n">
        <v>2286000</v>
      </c>
      <c r="K285" s="13" t="n">
        <f aca="false">IFERROR(J285/M285,"")</f>
        <v>0.157774863689696</v>
      </c>
      <c r="L285" s="12" t="n">
        <v>12203000</v>
      </c>
      <c r="M285" s="14" t="n">
        <f aca="false">L285+J285</f>
        <v>14489000</v>
      </c>
      <c r="N285" s="12" t="n">
        <v>2357000</v>
      </c>
      <c r="O285" s="12" t="n">
        <v>25945770</v>
      </c>
      <c r="P285" s="12" t="n">
        <v>282044</v>
      </c>
      <c r="Q285" s="13" t="n">
        <f aca="false">IFERROR(P285/P284-1,"")</f>
        <v>0.159682247294497</v>
      </c>
      <c r="R285" s="12" t="n">
        <v>365645</v>
      </c>
      <c r="S285" s="13" t="n">
        <f aca="false">IFERROR(R285/R284-1,"")</f>
        <v>0.184421078545699</v>
      </c>
      <c r="T285" s="12" t="n">
        <v>209999</v>
      </c>
      <c r="U285" s="13" t="n">
        <f aca="false">IFERROR(T285/P285,"")</f>
        <v>0.744561132305598</v>
      </c>
      <c r="V285" s="14" t="n">
        <f aca="false">T285-AV285</f>
        <v>-2695935</v>
      </c>
      <c r="W285" s="14" t="n">
        <f aca="false">V285-AA285*0.1</f>
        <v>-2695935</v>
      </c>
      <c r="X285" s="12" t="n">
        <v>3037000</v>
      </c>
      <c r="Y285" s="12" t="n">
        <v>232000</v>
      </c>
      <c r="Z285" s="15" t="n">
        <f aca="false">IFERROR(X285/Y285,"")</f>
        <v>13.0905172413793</v>
      </c>
      <c r="AA285" s="12" t="n">
        <v>0</v>
      </c>
      <c r="AB285" s="14" t="n">
        <f aca="false">W285-0.02*P285</f>
        <v>-2701575.88</v>
      </c>
      <c r="AC285" s="16" t="n">
        <v>28</v>
      </c>
      <c r="AD285" s="13" t="n">
        <f aca="false">IFERROR(AC285/AC284-1,"")</f>
        <v>0.166666666666667</v>
      </c>
      <c r="AE285" s="17" t="n">
        <v>0.061</v>
      </c>
      <c r="AF285" s="17" t="n">
        <v>0.052</v>
      </c>
      <c r="AG285" s="13" t="n">
        <f aca="false">1-AF285</f>
        <v>0.948</v>
      </c>
      <c r="AH285" s="17" t="n">
        <v>1.044</v>
      </c>
      <c r="AI285" s="12" t="n">
        <v>14900</v>
      </c>
      <c r="AJ285" s="14" t="n">
        <f aca="false">IFERROR(AM285*U285*MIN(1/AE285,5),"")</f>
        <v>47354.088014636</v>
      </c>
      <c r="AK285" s="18" t="n">
        <f aca="false">IFERROR(AJ285/AI285,"")</f>
        <v>3.17812671239168</v>
      </c>
      <c r="AL285" s="15" t="n">
        <f aca="false">IFERROR(AI285/(AM285*U285/12),"")</f>
        <v>18.8790458750612</v>
      </c>
      <c r="AM285" s="12" t="n">
        <v>12720</v>
      </c>
      <c r="AN285" s="12" t="n">
        <v>336531</v>
      </c>
      <c r="AO285" s="12" t="n">
        <v>1138234</v>
      </c>
      <c r="AP285" s="17" t="n">
        <v>0.364</v>
      </c>
      <c r="AQ285" s="16" t="n">
        <v>22</v>
      </c>
      <c r="AR285" s="16" t="n">
        <v>10</v>
      </c>
      <c r="AS285" s="13" t="n">
        <f aca="false">IFERROR(AR285/AR284-1,"")</f>
        <v>0.111111111111111</v>
      </c>
      <c r="AT285" s="11" t="s">
        <v>218</v>
      </c>
      <c r="AU285" s="14" t="n">
        <f aca="false">IFERROR(P285/AR285,"")</f>
        <v>28204.4</v>
      </c>
      <c r="AV285" s="12" t="n">
        <v>2905934</v>
      </c>
      <c r="AW285" s="12" t="n">
        <v>881794</v>
      </c>
      <c r="AX285" s="12" t="n">
        <v>797236</v>
      </c>
      <c r="AY285" s="16" t="n">
        <v>23176</v>
      </c>
      <c r="AZ285" s="13" t="n">
        <f aca="false">IFERROR(AY285/AY284-1,"")</f>
        <v>0.185048831620392</v>
      </c>
      <c r="BA285" s="17" t="n">
        <v>0.945</v>
      </c>
      <c r="BB285" s="11" t="s">
        <v>161</v>
      </c>
      <c r="BC285" s="11" t="s">
        <v>82</v>
      </c>
      <c r="BD285" s="11" t="s">
        <v>101</v>
      </c>
      <c r="BE285" s="12" t="n">
        <v>336366</v>
      </c>
      <c r="BF285" s="13" t="n">
        <f aca="false">IFERROR(P285/BE285-1,"")</f>
        <v>-0.161496702996141</v>
      </c>
      <c r="BG285" s="17" t="n">
        <v>0.03</v>
      </c>
      <c r="BH285" s="17" t="n">
        <v>-0.006</v>
      </c>
      <c r="BI285" s="14" t="n">
        <f aca="false">P285*(1+IFERROR(Q285,0))^4</f>
        <v>510120.646000413</v>
      </c>
      <c r="BJ285" s="12" t="n">
        <v>-2646747</v>
      </c>
      <c r="BK285" s="11" t="s">
        <v>102</v>
      </c>
      <c r="BL285" s="11" t="s">
        <v>128</v>
      </c>
      <c r="BM285" s="14" t="n">
        <f aca="false">O285</f>
        <v>25945770</v>
      </c>
      <c r="BN285" s="11" t="s">
        <v>357</v>
      </c>
      <c r="BO285" s="13" t="n">
        <f aca="false">IFERROR(1-L285/M285,"")</f>
        <v>0.157774863689696</v>
      </c>
      <c r="BP285" s="11" t="s">
        <v>130</v>
      </c>
      <c r="BQ285" s="12" t="n">
        <v>4069708</v>
      </c>
      <c r="BR285" s="11" t="s">
        <v>88</v>
      </c>
      <c r="BS285" s="11" t="s">
        <v>89</v>
      </c>
      <c r="BT285" s="19" t="str">
        <f aca="false">IF(OR(Z285&lt;6,AH285&lt;0.9,S285&lt;0.02,AK285&lt;1),"REVIEW",IF(AND(S285&gt;0.25,AH285&gt;1.2),"ACCELERATING","STABLE"))</f>
        <v>STABLE</v>
      </c>
    </row>
    <row r="286" customFormat="false" ht="15" hidden="false" customHeight="false" outlineLevel="0" collapsed="false">
      <c r="A286" s="3" t="s">
        <v>358</v>
      </c>
      <c r="B286" s="3" t="s">
        <v>73</v>
      </c>
      <c r="C286" s="3" t="s">
        <v>74</v>
      </c>
      <c r="D286" s="3" t="s">
        <v>132</v>
      </c>
      <c r="E286" s="3" t="s">
        <v>105</v>
      </c>
      <c r="F286" s="3" t="s">
        <v>359</v>
      </c>
      <c r="G286" s="3" t="s">
        <v>78</v>
      </c>
      <c r="H286" s="3" t="s">
        <v>79</v>
      </c>
      <c r="I286" s="3" t="s">
        <v>78</v>
      </c>
      <c r="J286" s="4" t="n">
        <v>4640000</v>
      </c>
      <c r="K286" s="5" t="n">
        <f aca="false">IFERROR(J286/M286,"")</f>
        <v>0.199750312109863</v>
      </c>
      <c r="L286" s="4" t="n">
        <v>18589000</v>
      </c>
      <c r="M286" s="6" t="n">
        <f aca="false">L286+J286</f>
        <v>23229000</v>
      </c>
      <c r="N286" s="4" t="n">
        <v>4640000</v>
      </c>
      <c r="O286" s="4" t="n">
        <v>24139647</v>
      </c>
      <c r="P286" s="4" t="n">
        <v>97639</v>
      </c>
      <c r="Q286" s="7"/>
      <c r="R286" s="4" t="n">
        <v>100224</v>
      </c>
      <c r="S286" s="7"/>
      <c r="T286" s="4" t="n">
        <v>80669</v>
      </c>
      <c r="U286" s="5" t="n">
        <f aca="false">IFERROR(T286/P286,"")</f>
        <v>0.826196499349645</v>
      </c>
      <c r="V286" s="6" t="n">
        <f aca="false">T286-AV286</f>
        <v>-1918777</v>
      </c>
      <c r="W286" s="6" t="n">
        <f aca="false">V286-AA286*0.1</f>
        <v>-1986177</v>
      </c>
      <c r="X286" s="4" t="n">
        <v>726542</v>
      </c>
      <c r="Y286" s="4" t="n">
        <v>181090</v>
      </c>
      <c r="Z286" s="8" t="n">
        <f aca="false">IFERROR(X286/Y286,"")</f>
        <v>4.01204925727539</v>
      </c>
      <c r="AA286" s="4" t="n">
        <v>674000</v>
      </c>
      <c r="AB286" s="6" t="n">
        <f aca="false">W286-0.02*P286</f>
        <v>-1988129.78</v>
      </c>
      <c r="AC286" s="9" t="n">
        <v>26</v>
      </c>
      <c r="AD286" s="7"/>
      <c r="AE286" s="7" t="n">
        <v>0.039</v>
      </c>
      <c r="AF286" s="7" t="n">
        <v>0.038</v>
      </c>
      <c r="AG286" s="5" t="n">
        <f aca="false">1-AF286</f>
        <v>0.962</v>
      </c>
      <c r="AH286" s="7" t="n">
        <v>1.189</v>
      </c>
      <c r="AI286" s="4" t="n">
        <v>37524</v>
      </c>
      <c r="AJ286" s="6" t="n">
        <f aca="false">IFERROR(AM286*U286*MIN(1/AE286,5),"")</f>
        <v>169370.282366677</v>
      </c>
      <c r="AK286" s="10" t="n">
        <f aca="false">IFERROR(AJ286/AI286,"")</f>
        <v>4.51365212575091</v>
      </c>
      <c r="AL286" s="8" t="n">
        <f aca="false">IFERROR(AI286/(AM286*U286/12),"")</f>
        <v>13.2930049388815</v>
      </c>
      <c r="AM286" s="4" t="n">
        <v>41000</v>
      </c>
      <c r="AN286" s="4" t="n">
        <v>110866</v>
      </c>
      <c r="AO286" s="4" t="n">
        <v>330094</v>
      </c>
      <c r="AP286" s="7" t="n">
        <v>0.207</v>
      </c>
      <c r="AQ286" s="9" t="n">
        <v>89</v>
      </c>
      <c r="AR286" s="9" t="n">
        <v>3</v>
      </c>
      <c r="AS286" s="7"/>
      <c r="AT286" s="3" t="s">
        <v>80</v>
      </c>
      <c r="AU286" s="6" t="n">
        <f aca="false">IFERROR(P286/AR286,"")</f>
        <v>32546.3333333333</v>
      </c>
      <c r="AV286" s="4" t="n">
        <v>1999446</v>
      </c>
      <c r="AW286" s="4" t="n">
        <v>658893</v>
      </c>
      <c r="AX286" s="4" t="n">
        <v>466241</v>
      </c>
      <c r="AY286" s="9" t="n">
        <v>8043</v>
      </c>
      <c r="AZ286" s="7"/>
      <c r="BA286" s="7" t="n">
        <v>0.963</v>
      </c>
      <c r="BB286" s="3" t="s">
        <v>99</v>
      </c>
      <c r="BC286" s="3" t="s">
        <v>126</v>
      </c>
      <c r="BD286" s="3" t="s">
        <v>175</v>
      </c>
      <c r="BE286" s="4" t="n">
        <v>94333</v>
      </c>
      <c r="BF286" s="5" t="n">
        <f aca="false">IFERROR(P286/BE286-1,"")</f>
        <v>0.0350460602334284</v>
      </c>
      <c r="BG286" s="7" t="n">
        <v>0.001</v>
      </c>
      <c r="BH286" s="7" t="n">
        <v>-0.019</v>
      </c>
      <c r="BI286" s="6" t="n">
        <f aca="false">P286</f>
        <v>97639</v>
      </c>
      <c r="BJ286" s="4" t="n">
        <v>-2085650</v>
      </c>
      <c r="BK286" s="3" t="s">
        <v>192</v>
      </c>
      <c r="BL286" s="3" t="s">
        <v>162</v>
      </c>
      <c r="BM286" s="6" t="n">
        <f aca="false">O286</f>
        <v>24139647</v>
      </c>
      <c r="BN286" s="3" t="s">
        <v>360</v>
      </c>
      <c r="BO286" s="5" t="n">
        <f aca="false">IFERROR(1-L286/M286,"")</f>
        <v>0.199750312109863</v>
      </c>
      <c r="BP286" s="3" t="s">
        <v>142</v>
      </c>
      <c r="BQ286" s="4" t="n">
        <v>3616573</v>
      </c>
      <c r="BR286" s="3" t="s">
        <v>88</v>
      </c>
      <c r="BS286" s="3" t="s">
        <v>89</v>
      </c>
      <c r="BT286" s="3" t="s">
        <v>90</v>
      </c>
    </row>
    <row r="287" customFormat="false" ht="15" hidden="false" customHeight="false" outlineLevel="0" collapsed="false">
      <c r="A287" s="11" t="s">
        <v>358</v>
      </c>
      <c r="B287" s="11" t="s">
        <v>91</v>
      </c>
      <c r="C287" s="11" t="s">
        <v>74</v>
      </c>
      <c r="D287" s="11" t="s">
        <v>132</v>
      </c>
      <c r="E287" s="11" t="s">
        <v>105</v>
      </c>
      <c r="F287" s="11" t="s">
        <v>359</v>
      </c>
      <c r="G287" s="11" t="s">
        <v>78</v>
      </c>
      <c r="H287" s="11" t="s">
        <v>79</v>
      </c>
      <c r="I287" s="11" t="s">
        <v>78</v>
      </c>
      <c r="J287" s="12" t="n">
        <v>4640000</v>
      </c>
      <c r="K287" s="13" t="n">
        <f aca="false">IFERROR(J287/M287,"")</f>
        <v>0.199750312109863</v>
      </c>
      <c r="L287" s="12" t="n">
        <v>18589000</v>
      </c>
      <c r="M287" s="14" t="n">
        <f aca="false">L287+J287</f>
        <v>23229000</v>
      </c>
      <c r="N287" s="12" t="n">
        <v>4640000</v>
      </c>
      <c r="O287" s="12" t="n">
        <v>24139647</v>
      </c>
      <c r="P287" s="12" t="n">
        <v>121591</v>
      </c>
      <c r="Q287" s="13" t="n">
        <f aca="false">IFERROR(P287/P286-1,"")</f>
        <v>0.24531181187845</v>
      </c>
      <c r="R287" s="12" t="n">
        <v>129195</v>
      </c>
      <c r="S287" s="13" t="n">
        <f aca="false">IFERROR(R287/R286-1,"")</f>
        <v>0.2890625</v>
      </c>
      <c r="T287" s="12" t="n">
        <v>100865</v>
      </c>
      <c r="U287" s="13" t="n">
        <f aca="false">IFERROR(T287/P287,"")</f>
        <v>0.829543305014351</v>
      </c>
      <c r="V287" s="14" t="n">
        <f aca="false">T287-AV287</f>
        <v>-2371822</v>
      </c>
      <c r="W287" s="14" t="n">
        <f aca="false">V287-AA287*0.1</f>
        <v>-2439222</v>
      </c>
      <c r="X287" s="12" t="n">
        <v>934126</v>
      </c>
      <c r="Y287" s="12" t="n">
        <v>187060</v>
      </c>
      <c r="Z287" s="15" t="n">
        <f aca="false">IFERROR(X287/Y287,"")</f>
        <v>4.99372393884315</v>
      </c>
      <c r="AA287" s="12" t="n">
        <v>674000</v>
      </c>
      <c r="AB287" s="14" t="n">
        <f aca="false">W287-0.02*P287</f>
        <v>-2441653.82</v>
      </c>
      <c r="AC287" s="16" t="n">
        <v>34</v>
      </c>
      <c r="AD287" s="13" t="n">
        <f aca="false">IFERROR(AC287/AC286-1,"")</f>
        <v>0.307692307692308</v>
      </c>
      <c r="AE287" s="17" t="n">
        <v>0.038</v>
      </c>
      <c r="AF287" s="17" t="n">
        <v>0.034</v>
      </c>
      <c r="AG287" s="13" t="n">
        <f aca="false">1-AF287</f>
        <v>0.966</v>
      </c>
      <c r="AH287" s="17" t="n">
        <v>1.219</v>
      </c>
      <c r="AI287" s="12" t="n">
        <v>36816</v>
      </c>
      <c r="AJ287" s="14" t="n">
        <f aca="false">IFERROR(AM287*U287*MIN(1/AE287,5),"")</f>
        <v>173457.505078501</v>
      </c>
      <c r="AK287" s="18" t="n">
        <f aca="false">IFERROR(AJ287/AI287,"")</f>
        <v>4.71147069422264</v>
      </c>
      <c r="AL287" s="15" t="n">
        <f aca="false">IFERROR(AI287/(AM287*U287/12),"")</f>
        <v>12.7348770466882</v>
      </c>
      <c r="AM287" s="12" t="n">
        <v>41820</v>
      </c>
      <c r="AN287" s="12" t="n">
        <v>151341</v>
      </c>
      <c r="AO287" s="12" t="n">
        <v>361484</v>
      </c>
      <c r="AP287" s="17" t="n">
        <v>0.207</v>
      </c>
      <c r="AQ287" s="16" t="n">
        <v>89</v>
      </c>
      <c r="AR287" s="16" t="n">
        <v>4</v>
      </c>
      <c r="AS287" s="13" t="n">
        <f aca="false">IFERROR(AR287/AR286-1,"")</f>
        <v>0.333333333333333</v>
      </c>
      <c r="AT287" s="11" t="s">
        <v>80</v>
      </c>
      <c r="AU287" s="14" t="n">
        <f aca="false">IFERROR(P287/AR287,"")</f>
        <v>30397.75</v>
      </c>
      <c r="AV287" s="12" t="n">
        <v>2472687</v>
      </c>
      <c r="AW287" s="12" t="n">
        <v>793557</v>
      </c>
      <c r="AX287" s="12" t="n">
        <v>542183</v>
      </c>
      <c r="AY287" s="16" t="n">
        <v>11337</v>
      </c>
      <c r="AZ287" s="13" t="n">
        <f aca="false">IFERROR(AY287/AY286-1,"")</f>
        <v>0.409548675867214</v>
      </c>
      <c r="BA287" s="17" t="n">
        <v>0.969</v>
      </c>
      <c r="BB287" s="11" t="s">
        <v>99</v>
      </c>
      <c r="BC287" s="11" t="s">
        <v>126</v>
      </c>
      <c r="BD287" s="11" t="s">
        <v>175</v>
      </c>
      <c r="BE287" s="12" t="n">
        <v>150490</v>
      </c>
      <c r="BF287" s="13" t="n">
        <f aca="false">IFERROR(P287/BE287-1,"")</f>
        <v>-0.192032693202206</v>
      </c>
      <c r="BG287" s="17" t="n">
        <v>0.024</v>
      </c>
      <c r="BH287" s="17" t="n">
        <v>0.075</v>
      </c>
      <c r="BI287" s="14" t="n">
        <f aca="false">P287*(1+IFERROR(Q287,0))^4</f>
        <v>292424.570008704</v>
      </c>
      <c r="BJ287" s="12" t="n">
        <v>-1878706</v>
      </c>
      <c r="BK287" s="11" t="s">
        <v>192</v>
      </c>
      <c r="BL287" s="11" t="s">
        <v>162</v>
      </c>
      <c r="BM287" s="14" t="n">
        <f aca="false">O287</f>
        <v>24139647</v>
      </c>
      <c r="BN287" s="11" t="s">
        <v>360</v>
      </c>
      <c r="BO287" s="13" t="n">
        <f aca="false">IFERROR(1-L287/M287,"")</f>
        <v>0.199750312109863</v>
      </c>
      <c r="BP287" s="11" t="s">
        <v>142</v>
      </c>
      <c r="BQ287" s="12" t="n">
        <v>2659227</v>
      </c>
      <c r="BR287" s="11" t="s">
        <v>88</v>
      </c>
      <c r="BS287" s="11" t="s">
        <v>89</v>
      </c>
      <c r="BT287" s="19" t="str">
        <f aca="false">IF(OR(Z287&lt;6,AH287&lt;0.9,S287&lt;0.02,AK287&lt;1),"REVIEW",IF(AND(S287&gt;0.25,AH287&gt;1.2),"ACCELERATING","STABLE"))</f>
        <v>REVIEW</v>
      </c>
    </row>
    <row r="288" customFormat="false" ht="15" hidden="false" customHeight="false" outlineLevel="0" collapsed="false">
      <c r="A288" s="11" t="s">
        <v>358</v>
      </c>
      <c r="B288" s="11" t="s">
        <v>92</v>
      </c>
      <c r="C288" s="11" t="s">
        <v>74</v>
      </c>
      <c r="D288" s="11" t="s">
        <v>132</v>
      </c>
      <c r="E288" s="11" t="s">
        <v>105</v>
      </c>
      <c r="F288" s="11" t="s">
        <v>359</v>
      </c>
      <c r="G288" s="11" t="s">
        <v>78</v>
      </c>
      <c r="H288" s="11" t="s">
        <v>79</v>
      </c>
      <c r="I288" s="11" t="s">
        <v>78</v>
      </c>
      <c r="J288" s="12" t="n">
        <v>4640000</v>
      </c>
      <c r="K288" s="13" t="n">
        <f aca="false">IFERROR(J288/M288,"")</f>
        <v>0.199750312109863</v>
      </c>
      <c r="L288" s="12" t="n">
        <v>18589000</v>
      </c>
      <c r="M288" s="14" t="n">
        <f aca="false">L288+J288</f>
        <v>23229000</v>
      </c>
      <c r="N288" s="12" t="n">
        <v>4640000</v>
      </c>
      <c r="O288" s="12" t="n">
        <v>24139647</v>
      </c>
      <c r="P288" s="12" t="n">
        <v>171636</v>
      </c>
      <c r="Q288" s="13" t="n">
        <f aca="false">IFERROR(P288/P287-1,"")</f>
        <v>0.411584739002064</v>
      </c>
      <c r="R288" s="12" t="n">
        <v>179200</v>
      </c>
      <c r="S288" s="13" t="n">
        <f aca="false">IFERROR(R288/R287-1,"")</f>
        <v>0.387050582452881</v>
      </c>
      <c r="T288" s="12" t="n">
        <v>142954</v>
      </c>
      <c r="U288" s="13" t="n">
        <f aca="false">IFERROR(T288/P288,"")</f>
        <v>0.832890535785034</v>
      </c>
      <c r="V288" s="14" t="n">
        <f aca="false">T288-AV288</f>
        <v>-2471999</v>
      </c>
      <c r="W288" s="14" t="n">
        <f aca="false">V288-AA288*0.1</f>
        <v>-2539399</v>
      </c>
      <c r="X288" s="12" t="n">
        <v>1141709</v>
      </c>
      <c r="Y288" s="12" t="n">
        <v>193030</v>
      </c>
      <c r="Z288" s="15" t="n">
        <f aca="false">IFERROR(X288/Y288,"")</f>
        <v>5.91467129461742</v>
      </c>
      <c r="AA288" s="12" t="n">
        <v>674000</v>
      </c>
      <c r="AB288" s="14" t="n">
        <f aca="false">W288-0.02*P288</f>
        <v>-2542831.72</v>
      </c>
      <c r="AC288" s="16" t="n">
        <v>44</v>
      </c>
      <c r="AD288" s="13" t="n">
        <f aca="false">IFERROR(AC288/AC287-1,"")</f>
        <v>0.294117647058824</v>
      </c>
      <c r="AE288" s="17" t="n">
        <v>0.037</v>
      </c>
      <c r="AF288" s="17" t="n">
        <v>0.023</v>
      </c>
      <c r="AG288" s="13" t="n">
        <f aca="false">1-AF288</f>
        <v>0.977</v>
      </c>
      <c r="AH288" s="17" t="n">
        <v>1.249</v>
      </c>
      <c r="AI288" s="12" t="n">
        <v>36108</v>
      </c>
      <c r="AJ288" s="14" t="n">
        <f aca="false">IFERROR(AM288*U288*MIN(1/AE288,5),"")</f>
        <v>177572.262229369</v>
      </c>
      <c r="AK288" s="18" t="n">
        <f aca="false">IFERROR(AJ288/AI288,"")</f>
        <v>4.91780941147029</v>
      </c>
      <c r="AL288" s="15" t="n">
        <f aca="false">IFERROR(AI288/(AM288*U288/12),"")</f>
        <v>12.2005541451151</v>
      </c>
      <c r="AM288" s="12" t="n">
        <v>42640</v>
      </c>
      <c r="AN288" s="12" t="n">
        <v>258790</v>
      </c>
      <c r="AO288" s="12" t="n">
        <v>380503</v>
      </c>
      <c r="AP288" s="17" t="n">
        <v>0.207</v>
      </c>
      <c r="AQ288" s="16" t="n">
        <v>89</v>
      </c>
      <c r="AR288" s="16" t="n">
        <v>4</v>
      </c>
      <c r="AS288" s="13" t="n">
        <f aca="false">IFERROR(AR288/AR287-1,"")</f>
        <v>0</v>
      </c>
      <c r="AT288" s="11" t="s">
        <v>80</v>
      </c>
      <c r="AU288" s="14" t="n">
        <f aca="false">IFERROR(P288/AR288,"")</f>
        <v>42909</v>
      </c>
      <c r="AV288" s="12" t="n">
        <v>2614953</v>
      </c>
      <c r="AW288" s="12" t="n">
        <v>1154396</v>
      </c>
      <c r="AX288" s="12" t="n">
        <v>828380</v>
      </c>
      <c r="AY288" s="16" t="n">
        <v>14195</v>
      </c>
      <c r="AZ288" s="13" t="n">
        <f aca="false">IFERROR(AY288/AY287-1,"")</f>
        <v>0.252094910470142</v>
      </c>
      <c r="BA288" s="17" t="n">
        <v>0.972</v>
      </c>
      <c r="BB288" s="11" t="s">
        <v>99</v>
      </c>
      <c r="BC288" s="11" t="s">
        <v>126</v>
      </c>
      <c r="BD288" s="11" t="s">
        <v>175</v>
      </c>
      <c r="BE288" s="12" t="n">
        <v>170825</v>
      </c>
      <c r="BF288" s="13" t="n">
        <f aca="false">IFERROR(P288/BE288-1,"")</f>
        <v>0.00474754866091032</v>
      </c>
      <c r="BG288" s="17" t="n">
        <v>-0.055</v>
      </c>
      <c r="BH288" s="17" t="n">
        <v>-0.009</v>
      </c>
      <c r="BI288" s="14" t="n">
        <f aca="false">P288*(1+IFERROR(Q288,0))^4</f>
        <v>681453.462381316</v>
      </c>
      <c r="BJ288" s="12" t="n">
        <v>-1658210</v>
      </c>
      <c r="BK288" s="11" t="s">
        <v>192</v>
      </c>
      <c r="BL288" s="11" t="s">
        <v>162</v>
      </c>
      <c r="BM288" s="14" t="n">
        <f aca="false">O288</f>
        <v>24139647</v>
      </c>
      <c r="BN288" s="11" t="s">
        <v>360</v>
      </c>
      <c r="BO288" s="13" t="n">
        <f aca="false">IFERROR(1-L288/M288,"")</f>
        <v>0.199750312109863</v>
      </c>
      <c r="BP288" s="11" t="s">
        <v>142</v>
      </c>
      <c r="BQ288" s="12" t="n">
        <v>2885870</v>
      </c>
      <c r="BR288" s="11" t="s">
        <v>88</v>
      </c>
      <c r="BS288" s="11" t="s">
        <v>89</v>
      </c>
      <c r="BT288" s="19" t="str">
        <f aca="false">IF(OR(Z288&lt;6,AH288&lt;0.9,S288&lt;0.02,AK288&lt;1),"REVIEW",IF(AND(S288&gt;0.25,AH288&gt;1.2),"ACCELERATING","STABLE"))</f>
        <v>REVIEW</v>
      </c>
    </row>
    <row r="289" customFormat="false" ht="15" hidden="false" customHeight="false" outlineLevel="0" collapsed="false">
      <c r="A289" s="11" t="s">
        <v>358</v>
      </c>
      <c r="B289" s="11" t="s">
        <v>93</v>
      </c>
      <c r="C289" s="11" t="s">
        <v>74</v>
      </c>
      <c r="D289" s="11" t="s">
        <v>132</v>
      </c>
      <c r="E289" s="11" t="s">
        <v>105</v>
      </c>
      <c r="F289" s="11" t="s">
        <v>359</v>
      </c>
      <c r="G289" s="11" t="s">
        <v>78</v>
      </c>
      <c r="H289" s="11" t="s">
        <v>79</v>
      </c>
      <c r="I289" s="11" t="s">
        <v>78</v>
      </c>
      <c r="J289" s="12" t="n">
        <v>4640000</v>
      </c>
      <c r="K289" s="13" t="n">
        <f aca="false">IFERROR(J289/M289,"")</f>
        <v>0.199750312109863</v>
      </c>
      <c r="L289" s="12" t="n">
        <v>18589000</v>
      </c>
      <c r="M289" s="14" t="n">
        <f aca="false">L289+J289</f>
        <v>23229000</v>
      </c>
      <c r="N289" s="12" t="n">
        <v>4640000</v>
      </c>
      <c r="O289" s="12" t="n">
        <v>24139647</v>
      </c>
      <c r="P289" s="12" t="n">
        <v>231265</v>
      </c>
      <c r="Q289" s="13" t="n">
        <f aca="false">IFERROR(P289/P288-1,"")</f>
        <v>0.347415460625976</v>
      </c>
      <c r="R289" s="12" t="n">
        <v>255674</v>
      </c>
      <c r="S289" s="13" t="n">
        <f aca="false">IFERROR(R289/R288-1,"")</f>
        <v>0.426752232142857</v>
      </c>
      <c r="T289" s="12" t="n">
        <v>193392</v>
      </c>
      <c r="U289" s="13" t="n">
        <f aca="false">IFERROR(T289/P289,"")</f>
        <v>0.836235487427843</v>
      </c>
      <c r="V289" s="14" t="n">
        <f aca="false">T289-AV289</f>
        <v>-2443572</v>
      </c>
      <c r="W289" s="14" t="n">
        <f aca="false">V289-AA289*0.1</f>
        <v>-2510972</v>
      </c>
      <c r="X289" s="12" t="n">
        <v>2075836</v>
      </c>
      <c r="Y289" s="12" t="n">
        <v>199000</v>
      </c>
      <c r="Z289" s="15" t="n">
        <f aca="false">IFERROR(X289/Y289,"")</f>
        <v>10.4313366834171</v>
      </c>
      <c r="AA289" s="12" t="n">
        <v>674000</v>
      </c>
      <c r="AB289" s="14" t="n">
        <f aca="false">W289-0.02*P289</f>
        <v>-2515597.3</v>
      </c>
      <c r="AC289" s="16" t="n">
        <v>55</v>
      </c>
      <c r="AD289" s="13" t="n">
        <f aca="false">IFERROR(AC289/AC288-1,"")</f>
        <v>0.25</v>
      </c>
      <c r="AE289" s="17" t="n">
        <v>0.036</v>
      </c>
      <c r="AF289" s="17" t="n">
        <v>0.04</v>
      </c>
      <c r="AG289" s="13" t="n">
        <f aca="false">1-AF289</f>
        <v>0.96</v>
      </c>
      <c r="AH289" s="17" t="n">
        <v>1.279</v>
      </c>
      <c r="AI289" s="12" t="n">
        <v>35400</v>
      </c>
      <c r="AJ289" s="14" t="n">
        <f aca="false">IFERROR(AM289*U289*MIN(1/AE289,5),"")</f>
        <v>181713.97141807</v>
      </c>
      <c r="AK289" s="18" t="n">
        <f aca="false">IFERROR(AJ289/AI289,"")</f>
        <v>5.13316303440876</v>
      </c>
      <c r="AL289" s="15" t="n">
        <f aca="false">IFERROR(AI289/(AM289*U289/12),"")</f>
        <v>11.6886994622626</v>
      </c>
      <c r="AM289" s="12" t="n">
        <v>43460</v>
      </c>
      <c r="AN289" s="12" t="n">
        <v>248302</v>
      </c>
      <c r="AO289" s="12" t="n">
        <v>490734</v>
      </c>
      <c r="AP289" s="17" t="n">
        <v>0.207</v>
      </c>
      <c r="AQ289" s="16" t="n">
        <v>89</v>
      </c>
      <c r="AR289" s="16" t="n">
        <v>5</v>
      </c>
      <c r="AS289" s="13" t="n">
        <f aca="false">IFERROR(AR289/AR288-1,"")</f>
        <v>0.25</v>
      </c>
      <c r="AT289" s="11" t="s">
        <v>80</v>
      </c>
      <c r="AU289" s="14" t="n">
        <f aca="false">IFERROR(P289/AR289,"")</f>
        <v>46253</v>
      </c>
      <c r="AV289" s="12" t="n">
        <v>2636964</v>
      </c>
      <c r="AW289" s="12" t="n">
        <v>870981</v>
      </c>
      <c r="AX289" s="12" t="n">
        <v>569057</v>
      </c>
      <c r="AY289" s="16" t="n">
        <v>19408</v>
      </c>
      <c r="AZ289" s="13" t="n">
        <f aca="false">IFERROR(AY289/AY288-1,"")</f>
        <v>0.367241986615005</v>
      </c>
      <c r="BA289" s="17" t="n">
        <v>0.971</v>
      </c>
      <c r="BB289" s="11" t="s">
        <v>99</v>
      </c>
      <c r="BC289" s="11" t="s">
        <v>126</v>
      </c>
      <c r="BD289" s="11" t="s">
        <v>175</v>
      </c>
      <c r="BE289" s="12" t="n">
        <v>262659</v>
      </c>
      <c r="BF289" s="13" t="n">
        <f aca="false">IFERROR(P289/BE289-1,"")</f>
        <v>-0.119523793207162</v>
      </c>
      <c r="BG289" s="17" t="n">
        <v>0.028</v>
      </c>
      <c r="BH289" s="17" t="n">
        <v>-0.08</v>
      </c>
      <c r="BI289" s="14" t="n">
        <f aca="false">P289*(1+IFERROR(Q289,0))^4</f>
        <v>762282.616504366</v>
      </c>
      <c r="BJ289" s="12" t="n">
        <v>-2098557</v>
      </c>
      <c r="BK289" s="11" t="s">
        <v>192</v>
      </c>
      <c r="BL289" s="11" t="s">
        <v>162</v>
      </c>
      <c r="BM289" s="14" t="n">
        <f aca="false">O289</f>
        <v>24139647</v>
      </c>
      <c r="BN289" s="11" t="s">
        <v>360</v>
      </c>
      <c r="BO289" s="13" t="n">
        <f aca="false">IFERROR(1-L289/M289,"")</f>
        <v>0.199750312109863</v>
      </c>
      <c r="BP289" s="11" t="s">
        <v>142</v>
      </c>
      <c r="BQ289" s="12" t="n">
        <v>2729682</v>
      </c>
      <c r="BR289" s="11" t="s">
        <v>88</v>
      </c>
      <c r="BS289" s="11" t="s">
        <v>89</v>
      </c>
      <c r="BT289" s="19" t="str">
        <f aca="false">IF(OR(Z289&lt;6,AH289&lt;0.9,S289&lt;0.02,AK289&lt;1),"REVIEW",IF(AND(S289&gt;0.25,AH289&gt;1.2),"ACCELERATING","STABLE"))</f>
        <v>ACCELERATING</v>
      </c>
    </row>
    <row r="290" customFormat="false" ht="15" hidden="false" customHeight="false" outlineLevel="0" collapsed="false">
      <c r="A290" s="3" t="s">
        <v>361</v>
      </c>
      <c r="B290" s="3" t="s">
        <v>73</v>
      </c>
      <c r="C290" s="3" t="s">
        <v>74</v>
      </c>
      <c r="D290" s="3" t="s">
        <v>151</v>
      </c>
      <c r="E290" s="3" t="s">
        <v>289</v>
      </c>
      <c r="F290" s="3" t="s">
        <v>362</v>
      </c>
      <c r="G290" s="3" t="s">
        <v>78</v>
      </c>
      <c r="H290" s="3" t="s">
        <v>79</v>
      </c>
      <c r="I290" s="3" t="s">
        <v>78</v>
      </c>
      <c r="J290" s="4" t="n">
        <v>1984000</v>
      </c>
      <c r="K290" s="5" t="n">
        <f aca="false">IFERROR(J290/M290,"")</f>
        <v>0.11934552454283</v>
      </c>
      <c r="L290" s="4" t="n">
        <v>14640000</v>
      </c>
      <c r="M290" s="6" t="n">
        <f aca="false">L290+J290</f>
        <v>16624000</v>
      </c>
      <c r="N290" s="4" t="n">
        <v>5537000</v>
      </c>
      <c r="O290" s="4" t="n">
        <v>13819334</v>
      </c>
      <c r="P290" s="4" t="n">
        <v>1312190</v>
      </c>
      <c r="Q290" s="7"/>
      <c r="R290" s="4" t="n">
        <v>1545120</v>
      </c>
      <c r="S290" s="7"/>
      <c r="T290" s="4" t="n">
        <v>687729</v>
      </c>
      <c r="U290" s="5" t="n">
        <f aca="false">IFERROR(T290/P290,"")</f>
        <v>0.524107789268323</v>
      </c>
      <c r="V290" s="6" t="n">
        <f aca="false">T290-AV290</f>
        <v>-1069285</v>
      </c>
      <c r="W290" s="6" t="n">
        <f aca="false">V290-AA290*0.1</f>
        <v>-1129585</v>
      </c>
      <c r="X290" s="4" t="n">
        <v>1283909</v>
      </c>
      <c r="Y290" s="4" t="n">
        <v>87740</v>
      </c>
      <c r="Z290" s="8" t="n">
        <f aca="false">IFERROR(X290/Y290,"")</f>
        <v>14.6331091862321</v>
      </c>
      <c r="AA290" s="4" t="n">
        <v>603000</v>
      </c>
      <c r="AB290" s="6" t="n">
        <f aca="false">W290-0.02*P290</f>
        <v>-1155828.8</v>
      </c>
      <c r="AC290" s="9" t="n">
        <v>45</v>
      </c>
      <c r="AD290" s="7"/>
      <c r="AE290" s="7" t="n">
        <v>0.157</v>
      </c>
      <c r="AF290" s="7" t="n">
        <v>0.159</v>
      </c>
      <c r="AG290" s="5" t="n">
        <f aca="false">1-AF290</f>
        <v>0.841</v>
      </c>
      <c r="AH290" s="7" t="n">
        <v>0.848</v>
      </c>
      <c r="AI290" s="4" t="n">
        <v>43700</v>
      </c>
      <c r="AJ290" s="6" t="n">
        <f aca="false">IFERROR(AM290*U290*MIN(1/AE290,5),"")</f>
        <v>44549.1620878074</v>
      </c>
      <c r="AK290" s="10" t="n">
        <f aca="false">IFERROR(AJ290/AI290,"")</f>
        <v>1.01943162672328</v>
      </c>
      <c r="AL290" s="8" t="n">
        <f aca="false">IFERROR(AI290/(AM290*U290/12),"")</f>
        <v>58.8563258458594</v>
      </c>
      <c r="AM290" s="4" t="n">
        <v>17000</v>
      </c>
      <c r="AN290" s="4" t="n">
        <v>1843063</v>
      </c>
      <c r="AO290" s="4" t="n">
        <v>4335962</v>
      </c>
      <c r="AP290" s="7" t="n">
        <v>0.382</v>
      </c>
      <c r="AQ290" s="9" t="n">
        <v>31</v>
      </c>
      <c r="AR290" s="9" t="n">
        <v>4</v>
      </c>
      <c r="AS290" s="7"/>
      <c r="AT290" s="3" t="s">
        <v>118</v>
      </c>
      <c r="AU290" s="6" t="n">
        <f aca="false">IFERROR(P290/AR290,"")</f>
        <v>328047.5</v>
      </c>
      <c r="AV290" s="4" t="n">
        <v>1757014</v>
      </c>
      <c r="AW290" s="4" t="n">
        <v>567563</v>
      </c>
      <c r="AX290" s="4" t="n">
        <v>427426</v>
      </c>
      <c r="AY290" s="9" t="n">
        <v>41375</v>
      </c>
      <c r="AZ290" s="7"/>
      <c r="BA290" s="7" t="n">
        <v>0.884</v>
      </c>
      <c r="BB290" s="3" t="s">
        <v>138</v>
      </c>
      <c r="BC290" s="3" t="s">
        <v>120</v>
      </c>
      <c r="BD290" s="3" t="s">
        <v>109</v>
      </c>
      <c r="BE290" s="4" t="n">
        <v>1898165</v>
      </c>
      <c r="BF290" s="5" t="n">
        <f aca="false">IFERROR(P290/BE290-1,"")</f>
        <v>-0.308706039780525</v>
      </c>
      <c r="BG290" s="7" t="n">
        <v>0.183</v>
      </c>
      <c r="BH290" s="7" t="n">
        <v>0.336</v>
      </c>
      <c r="BI290" s="6" t="n">
        <f aca="false">P290</f>
        <v>1312190</v>
      </c>
      <c r="BJ290" s="4" t="n">
        <v>-700708</v>
      </c>
      <c r="BK290" s="3" t="s">
        <v>121</v>
      </c>
      <c r="BL290" s="3" t="s">
        <v>122</v>
      </c>
      <c r="BM290" s="6" t="n">
        <f aca="false">O290</f>
        <v>13819334</v>
      </c>
      <c r="BN290" s="3" t="s">
        <v>363</v>
      </c>
      <c r="BO290" s="5" t="n">
        <f aca="false">IFERROR(1-L290/M290,"")</f>
        <v>0.11934552454283</v>
      </c>
      <c r="BP290" s="3" t="s">
        <v>142</v>
      </c>
      <c r="BQ290" s="4" t="n">
        <v>1169216</v>
      </c>
      <c r="BR290" s="3" t="s">
        <v>88</v>
      </c>
      <c r="BS290" s="3" t="s">
        <v>89</v>
      </c>
      <c r="BT290" s="3" t="s">
        <v>90</v>
      </c>
    </row>
    <row r="291" customFormat="false" ht="15" hidden="false" customHeight="false" outlineLevel="0" collapsed="false">
      <c r="A291" s="11" t="s">
        <v>361</v>
      </c>
      <c r="B291" s="11" t="s">
        <v>91</v>
      </c>
      <c r="C291" s="11" t="s">
        <v>74</v>
      </c>
      <c r="D291" s="11" t="s">
        <v>151</v>
      </c>
      <c r="E291" s="11" t="s">
        <v>289</v>
      </c>
      <c r="F291" s="11" t="s">
        <v>362</v>
      </c>
      <c r="G291" s="11" t="s">
        <v>78</v>
      </c>
      <c r="H291" s="11" t="s">
        <v>79</v>
      </c>
      <c r="I291" s="11" t="s">
        <v>78</v>
      </c>
      <c r="J291" s="12" t="n">
        <v>1984000</v>
      </c>
      <c r="K291" s="13" t="n">
        <f aca="false">IFERROR(J291/M291,"")</f>
        <v>0.11934552454283</v>
      </c>
      <c r="L291" s="12" t="n">
        <v>14640000</v>
      </c>
      <c r="M291" s="14" t="n">
        <f aca="false">L291+J291</f>
        <v>16624000</v>
      </c>
      <c r="N291" s="12" t="n">
        <v>5537000</v>
      </c>
      <c r="O291" s="12" t="n">
        <v>13819334</v>
      </c>
      <c r="P291" s="12" t="n">
        <v>1185251</v>
      </c>
      <c r="Q291" s="13" t="n">
        <f aca="false">IFERROR(P291/P290-1,"")</f>
        <v>-0.0967382772311937</v>
      </c>
      <c r="R291" s="12" t="n">
        <v>1415466</v>
      </c>
      <c r="S291" s="13" t="n">
        <f aca="false">IFERROR(R291/R290-1,"")</f>
        <v>-0.0839119291705499</v>
      </c>
      <c r="T291" s="12" t="n">
        <v>609479</v>
      </c>
      <c r="U291" s="13" t="n">
        <f aca="false">IFERROR(T291/P291,"")</f>
        <v>0.514219351006664</v>
      </c>
      <c r="V291" s="14" t="n">
        <f aca="false">T291-AV291</f>
        <v>-1092252</v>
      </c>
      <c r="W291" s="14" t="n">
        <f aca="false">V291-AA291*0.1</f>
        <v>-1152552</v>
      </c>
      <c r="X291" s="12" t="n">
        <v>1036739</v>
      </c>
      <c r="Y291" s="12" t="n">
        <v>94160</v>
      </c>
      <c r="Z291" s="15" t="n">
        <f aca="false">IFERROR(X291/Y291,"")</f>
        <v>11.0103971962617</v>
      </c>
      <c r="AA291" s="12" t="n">
        <v>603000</v>
      </c>
      <c r="AB291" s="14" t="n">
        <f aca="false">W291-0.02*P291</f>
        <v>-1176257.02</v>
      </c>
      <c r="AC291" s="16" t="n">
        <v>41</v>
      </c>
      <c r="AD291" s="13" t="n">
        <f aca="false">IFERROR(AC291/AC290-1,"")</f>
        <v>-0.0888888888888889</v>
      </c>
      <c r="AE291" s="17" t="n">
        <v>0.186</v>
      </c>
      <c r="AF291" s="17" t="n">
        <v>0.202</v>
      </c>
      <c r="AG291" s="13" t="n">
        <f aca="false">1-AF291</f>
        <v>0.798</v>
      </c>
      <c r="AH291" s="17" t="n">
        <v>0.808</v>
      </c>
      <c r="AI291" s="12" t="n">
        <v>48300</v>
      </c>
      <c r="AJ291" s="14" t="n">
        <f aca="false">IFERROR(AM291*U291*MIN(1/AE291,5),"")</f>
        <v>44582.8177322778</v>
      </c>
      <c r="AK291" s="18" t="n">
        <f aca="false">IFERROR(AJ291/AI291,"")</f>
        <v>0.923039704602025</v>
      </c>
      <c r="AL291" s="15" t="n">
        <f aca="false">IFERROR(AI291/(AM291*U291/12),"")</f>
        <v>65.0026209066158</v>
      </c>
      <c r="AM291" s="12" t="n">
        <v>17340</v>
      </c>
      <c r="AN291" s="12" t="n">
        <v>1465929</v>
      </c>
      <c r="AO291" s="12" t="n">
        <v>4720819</v>
      </c>
      <c r="AP291" s="17" t="n">
        <v>0.382</v>
      </c>
      <c r="AQ291" s="16" t="n">
        <v>31</v>
      </c>
      <c r="AR291" s="16" t="n">
        <v>4</v>
      </c>
      <c r="AS291" s="13" t="n">
        <f aca="false">IFERROR(AR291/AR290-1,"")</f>
        <v>0</v>
      </c>
      <c r="AT291" s="11" t="s">
        <v>118</v>
      </c>
      <c r="AU291" s="14" t="n">
        <f aca="false">IFERROR(P291/AR291,"")</f>
        <v>296312.75</v>
      </c>
      <c r="AV291" s="12" t="n">
        <v>1701731</v>
      </c>
      <c r="AW291" s="12" t="n">
        <v>717057</v>
      </c>
      <c r="AX291" s="12" t="n">
        <v>512731</v>
      </c>
      <c r="AY291" s="16" t="n">
        <v>37062</v>
      </c>
      <c r="AZ291" s="13" t="n">
        <f aca="false">IFERROR(AY291/AY290-1,"")</f>
        <v>-0.1042416918429</v>
      </c>
      <c r="BA291" s="17" t="n">
        <v>0.819</v>
      </c>
      <c r="BB291" s="11" t="s">
        <v>138</v>
      </c>
      <c r="BC291" s="11" t="s">
        <v>120</v>
      </c>
      <c r="BD291" s="11" t="s">
        <v>109</v>
      </c>
      <c r="BE291" s="12" t="n">
        <v>1821626</v>
      </c>
      <c r="BF291" s="13" t="n">
        <f aca="false">IFERROR(P291/BE291-1,"")</f>
        <v>-0.349344486738771</v>
      </c>
      <c r="BG291" s="17" t="n">
        <v>0.22</v>
      </c>
      <c r="BH291" s="17" t="n">
        <v>0.202</v>
      </c>
      <c r="BI291" s="14" t="n">
        <f aca="false">P291*(1+IFERROR(Q291,0))^4</f>
        <v>788977.752260425</v>
      </c>
      <c r="BJ291" s="12" t="n">
        <v>-1041326</v>
      </c>
      <c r="BK291" s="11" t="s">
        <v>121</v>
      </c>
      <c r="BL291" s="11" t="s">
        <v>122</v>
      </c>
      <c r="BM291" s="14" t="n">
        <f aca="false">O291</f>
        <v>13819334</v>
      </c>
      <c r="BN291" s="11" t="s">
        <v>363</v>
      </c>
      <c r="BO291" s="13" t="n">
        <f aca="false">IFERROR(1-L291/M291,"")</f>
        <v>0.11934552454283</v>
      </c>
      <c r="BP291" s="11" t="s">
        <v>142</v>
      </c>
      <c r="BQ291" s="12" t="n">
        <v>1724753</v>
      </c>
      <c r="BR291" s="11" t="s">
        <v>88</v>
      </c>
      <c r="BS291" s="11" t="s">
        <v>89</v>
      </c>
      <c r="BT291" s="19" t="str">
        <f aca="false">IF(OR(Z291&lt;6,AH291&lt;0.9,S291&lt;0.02,AK291&lt;1),"REVIEW",IF(AND(S291&gt;0.25,AH291&gt;1.2),"ACCELERATING","STABLE"))</f>
        <v>REVIEW</v>
      </c>
    </row>
    <row r="292" customFormat="false" ht="15" hidden="false" customHeight="false" outlineLevel="0" collapsed="false">
      <c r="A292" s="11" t="s">
        <v>361</v>
      </c>
      <c r="B292" s="11" t="s">
        <v>92</v>
      </c>
      <c r="C292" s="11" t="s">
        <v>74</v>
      </c>
      <c r="D292" s="11" t="s">
        <v>151</v>
      </c>
      <c r="E292" s="11" t="s">
        <v>289</v>
      </c>
      <c r="F292" s="11" t="s">
        <v>362</v>
      </c>
      <c r="G292" s="11" t="s">
        <v>78</v>
      </c>
      <c r="H292" s="11" t="s">
        <v>79</v>
      </c>
      <c r="I292" s="11" t="s">
        <v>78</v>
      </c>
      <c r="J292" s="12" t="n">
        <v>1984000</v>
      </c>
      <c r="K292" s="13" t="n">
        <f aca="false">IFERROR(J292/M292,"")</f>
        <v>0.11934552454283</v>
      </c>
      <c r="L292" s="12" t="n">
        <v>14640000</v>
      </c>
      <c r="M292" s="14" t="n">
        <f aca="false">L292+J292</f>
        <v>16624000</v>
      </c>
      <c r="N292" s="12" t="n">
        <v>5537000</v>
      </c>
      <c r="O292" s="12" t="n">
        <v>13819334</v>
      </c>
      <c r="P292" s="12" t="n">
        <v>1054037</v>
      </c>
      <c r="Q292" s="13" t="n">
        <f aca="false">IFERROR(P292/P291-1,"")</f>
        <v>-0.110705664876047</v>
      </c>
      <c r="R292" s="12" t="n">
        <v>1243600</v>
      </c>
      <c r="S292" s="13" t="n">
        <f aca="false">IFERROR(R292/R291-1,"")</f>
        <v>-0.121420083562586</v>
      </c>
      <c r="T292" s="12" t="n">
        <v>531583</v>
      </c>
      <c r="U292" s="13" t="n">
        <f aca="false">IFERROR(T292/P292,"")</f>
        <v>0.504330493142081</v>
      </c>
      <c r="V292" s="14" t="n">
        <f aca="false">T292-AV292</f>
        <v>-934637</v>
      </c>
      <c r="W292" s="14" t="n">
        <f aca="false">V292-AA292*0.1</f>
        <v>-994937</v>
      </c>
      <c r="X292" s="12" t="n">
        <v>747197</v>
      </c>
      <c r="Y292" s="12" t="n">
        <v>100580</v>
      </c>
      <c r="Z292" s="15" t="n">
        <f aca="false">IFERROR(X292/Y292,"")</f>
        <v>7.42888248160668</v>
      </c>
      <c r="AA292" s="12" t="n">
        <v>603000</v>
      </c>
      <c r="AB292" s="14" t="n">
        <f aca="false">W292-0.02*P292</f>
        <v>-1016017.74</v>
      </c>
      <c r="AC292" s="16" t="n">
        <v>38</v>
      </c>
      <c r="AD292" s="13" t="n">
        <f aca="false">IFERROR(AC292/AC291-1,"")</f>
        <v>-0.073170731707317</v>
      </c>
      <c r="AE292" s="17" t="n">
        <v>0.216</v>
      </c>
      <c r="AF292" s="17" t="n">
        <v>0.144</v>
      </c>
      <c r="AG292" s="13" t="n">
        <f aca="false">1-AF292</f>
        <v>0.856</v>
      </c>
      <c r="AH292" s="17" t="n">
        <v>0.768</v>
      </c>
      <c r="AI292" s="12" t="n">
        <v>52900</v>
      </c>
      <c r="AJ292" s="14" t="n">
        <f aca="false">IFERROR(AM292*U292*MIN(1/AE292,5),"")</f>
        <v>41280.384809037</v>
      </c>
      <c r="AK292" s="18" t="n">
        <f aca="false">IFERROR(AJ292/AI292,"")</f>
        <v>0.780347538923195</v>
      </c>
      <c r="AL292" s="15" t="n">
        <f aca="false">IFERROR(AI292/(AM292*U292/12),"")</f>
        <v>71.1933501221993</v>
      </c>
      <c r="AM292" s="12" t="n">
        <v>17680</v>
      </c>
      <c r="AN292" s="12" t="n">
        <v>1398646</v>
      </c>
      <c r="AO292" s="12" t="n">
        <v>3494398</v>
      </c>
      <c r="AP292" s="17" t="n">
        <v>0.382</v>
      </c>
      <c r="AQ292" s="16" t="n">
        <v>31</v>
      </c>
      <c r="AR292" s="16" t="n">
        <v>3</v>
      </c>
      <c r="AS292" s="13" t="n">
        <f aca="false">IFERROR(AR292/AR291-1,"")</f>
        <v>-0.25</v>
      </c>
      <c r="AT292" s="11" t="s">
        <v>118</v>
      </c>
      <c r="AU292" s="14" t="n">
        <f aca="false">IFERROR(P292/AR292,"")</f>
        <v>351345.666666667</v>
      </c>
      <c r="AV292" s="12" t="n">
        <v>1466220</v>
      </c>
      <c r="AW292" s="12" t="n">
        <v>585528</v>
      </c>
      <c r="AX292" s="12" t="n">
        <v>278649</v>
      </c>
      <c r="AY292" s="16" t="n">
        <v>33690</v>
      </c>
      <c r="AZ292" s="13" t="n">
        <f aca="false">IFERROR(AY292/AY291-1,"")</f>
        <v>-0.0909826776752469</v>
      </c>
      <c r="BA292" s="17" t="n">
        <v>0.814</v>
      </c>
      <c r="BB292" s="11" t="s">
        <v>138</v>
      </c>
      <c r="BC292" s="11" t="s">
        <v>120</v>
      </c>
      <c r="BD292" s="11" t="s">
        <v>109</v>
      </c>
      <c r="BE292" s="12" t="n">
        <v>1349081</v>
      </c>
      <c r="BF292" s="13" t="n">
        <f aca="false">IFERROR(P292/BE292-1,"")</f>
        <v>-0.218699989103694</v>
      </c>
      <c r="BG292" s="17" t="n">
        <v>0.226</v>
      </c>
      <c r="BH292" s="17" t="n">
        <v>0.36</v>
      </c>
      <c r="BI292" s="14" t="n">
        <f aca="false">P292*(1+IFERROR(Q292,0))^4</f>
        <v>659231.512958358</v>
      </c>
      <c r="BJ292" s="12" t="n">
        <v>-998618</v>
      </c>
      <c r="BK292" s="11" t="s">
        <v>121</v>
      </c>
      <c r="BL292" s="11" t="s">
        <v>122</v>
      </c>
      <c r="BM292" s="14" t="n">
        <f aca="false">O292</f>
        <v>13819334</v>
      </c>
      <c r="BN292" s="11" t="s">
        <v>363</v>
      </c>
      <c r="BO292" s="13" t="n">
        <f aca="false">IFERROR(1-L292/M292,"")</f>
        <v>0.11934552454283</v>
      </c>
      <c r="BP292" s="11" t="s">
        <v>142</v>
      </c>
      <c r="BQ292" s="12" t="n">
        <v>1952614</v>
      </c>
      <c r="BR292" s="11" t="s">
        <v>88</v>
      </c>
      <c r="BS292" s="11" t="s">
        <v>89</v>
      </c>
      <c r="BT292" s="19" t="str">
        <f aca="false">IF(OR(Z292&lt;6,AH292&lt;0.9,S292&lt;0.02,AK292&lt;1),"REVIEW",IF(AND(S292&gt;0.25,AH292&gt;1.2),"ACCELERATING","STABLE"))</f>
        <v>REVIEW</v>
      </c>
    </row>
    <row r="293" customFormat="false" ht="15" hidden="false" customHeight="false" outlineLevel="0" collapsed="false">
      <c r="A293" s="11" t="s">
        <v>361</v>
      </c>
      <c r="B293" s="11" t="s">
        <v>93</v>
      </c>
      <c r="C293" s="11" t="s">
        <v>74</v>
      </c>
      <c r="D293" s="11" t="s">
        <v>151</v>
      </c>
      <c r="E293" s="11" t="s">
        <v>289</v>
      </c>
      <c r="F293" s="11" t="s">
        <v>362</v>
      </c>
      <c r="G293" s="11" t="s">
        <v>78</v>
      </c>
      <c r="H293" s="11" t="s">
        <v>79</v>
      </c>
      <c r="I293" s="11" t="s">
        <v>78</v>
      </c>
      <c r="J293" s="12" t="n">
        <v>1984000</v>
      </c>
      <c r="K293" s="13" t="n">
        <f aca="false">IFERROR(J293/M293,"")</f>
        <v>0.11934552454283</v>
      </c>
      <c r="L293" s="12" t="n">
        <v>14640000</v>
      </c>
      <c r="M293" s="14" t="n">
        <f aca="false">L293+J293</f>
        <v>16624000</v>
      </c>
      <c r="N293" s="12" t="n">
        <v>5537000</v>
      </c>
      <c r="O293" s="12" t="n">
        <v>13819334</v>
      </c>
      <c r="P293" s="12" t="n">
        <v>951832</v>
      </c>
      <c r="Q293" s="13" t="n">
        <f aca="false">IFERROR(P293/P292-1,"")</f>
        <v>-0.0969652867973325</v>
      </c>
      <c r="R293" s="12" t="n">
        <v>1145467</v>
      </c>
      <c r="S293" s="13" t="n">
        <f aca="false">IFERROR(R293/R292-1,"")</f>
        <v>-0.0789104213573496</v>
      </c>
      <c r="T293" s="12" t="n">
        <v>470625</v>
      </c>
      <c r="U293" s="13" t="n">
        <f aca="false">IFERROR(T293/P293,"")</f>
        <v>0.494441245934156</v>
      </c>
      <c r="V293" s="14" t="n">
        <f aca="false">T293-AV293</f>
        <v>-1123697</v>
      </c>
      <c r="W293" s="14" t="n">
        <f aca="false">V293-AA293*0.1</f>
        <v>-1183997</v>
      </c>
      <c r="X293" s="12" t="n">
        <v>415283</v>
      </c>
      <c r="Y293" s="12" t="n">
        <v>107000</v>
      </c>
      <c r="Z293" s="15" t="n">
        <f aca="false">IFERROR(X293/Y293,"")</f>
        <v>3.88114953271028</v>
      </c>
      <c r="AA293" s="12" t="n">
        <v>603000</v>
      </c>
      <c r="AB293" s="14" t="n">
        <f aca="false">W293-0.02*P293</f>
        <v>-1203033.64</v>
      </c>
      <c r="AC293" s="16" t="n">
        <v>35</v>
      </c>
      <c r="AD293" s="13" t="n">
        <f aca="false">IFERROR(AC293/AC292-1,"")</f>
        <v>-0.0789473684210527</v>
      </c>
      <c r="AE293" s="17" t="n">
        <v>0.245</v>
      </c>
      <c r="AF293" s="17" t="n">
        <v>0.208</v>
      </c>
      <c r="AG293" s="13" t="n">
        <f aca="false">1-AF293</f>
        <v>0.792</v>
      </c>
      <c r="AH293" s="17" t="n">
        <v>0.728</v>
      </c>
      <c r="AI293" s="12" t="n">
        <v>57500</v>
      </c>
      <c r="AJ293" s="14" t="n">
        <f aca="false">IFERROR(AM293*U293*MIN(1/AE293,5),"")</f>
        <v>36366.6581703408</v>
      </c>
      <c r="AK293" s="18" t="n">
        <f aca="false">IFERROR(AJ293/AI293,"")</f>
        <v>0.632463620353753</v>
      </c>
      <c r="AL293" s="15" t="n">
        <f aca="false">IFERROR(AI293/(AM293*U293/12),"")</f>
        <v>77.4425441408616</v>
      </c>
      <c r="AM293" s="12" t="n">
        <v>18020</v>
      </c>
      <c r="AN293" s="12" t="n">
        <v>1708590</v>
      </c>
      <c r="AO293" s="12" t="n">
        <v>3108401</v>
      </c>
      <c r="AP293" s="17" t="n">
        <v>0.382</v>
      </c>
      <c r="AQ293" s="16" t="n">
        <v>31</v>
      </c>
      <c r="AR293" s="16" t="n">
        <v>3</v>
      </c>
      <c r="AS293" s="13" t="n">
        <f aca="false">IFERROR(AR293/AR292-1,"")</f>
        <v>0</v>
      </c>
      <c r="AT293" s="11" t="s">
        <v>118</v>
      </c>
      <c r="AU293" s="14" t="n">
        <f aca="false">IFERROR(P293/AR293,"")</f>
        <v>317277.333333333</v>
      </c>
      <c r="AV293" s="12" t="n">
        <v>1594322</v>
      </c>
      <c r="AW293" s="12" t="n">
        <v>702099</v>
      </c>
      <c r="AX293" s="12" t="n">
        <v>337031</v>
      </c>
      <c r="AY293" s="16" t="n">
        <v>31168</v>
      </c>
      <c r="AZ293" s="13" t="n">
        <f aca="false">IFERROR(AY293/AY292-1,"")</f>
        <v>-0.0748590086078955</v>
      </c>
      <c r="BA293" s="17" t="n">
        <v>0.732</v>
      </c>
      <c r="BB293" s="11" t="s">
        <v>138</v>
      </c>
      <c r="BC293" s="11" t="s">
        <v>120</v>
      </c>
      <c r="BD293" s="11" t="s">
        <v>109</v>
      </c>
      <c r="BE293" s="12" t="n">
        <v>1373392</v>
      </c>
      <c r="BF293" s="13" t="n">
        <f aca="false">IFERROR(P293/BE293-1,"")</f>
        <v>-0.306948052704545</v>
      </c>
      <c r="BG293" s="17" t="n">
        <v>0.138</v>
      </c>
      <c r="BH293" s="17" t="n">
        <v>0.265</v>
      </c>
      <c r="BI293" s="14" t="n">
        <f aca="false">P293*(1+IFERROR(Q293,0))^4</f>
        <v>632962.647525031</v>
      </c>
      <c r="BJ293" s="12" t="n">
        <v>-685259</v>
      </c>
      <c r="BK293" s="11" t="s">
        <v>121</v>
      </c>
      <c r="BL293" s="11" t="s">
        <v>122</v>
      </c>
      <c r="BM293" s="14" t="n">
        <f aca="false">O293</f>
        <v>13819334</v>
      </c>
      <c r="BN293" s="11" t="s">
        <v>363</v>
      </c>
      <c r="BO293" s="13" t="n">
        <f aca="false">IFERROR(1-L293/M293,"")</f>
        <v>0.11934552454283</v>
      </c>
      <c r="BP293" s="11" t="s">
        <v>142</v>
      </c>
      <c r="BQ293" s="12" t="n">
        <v>1684755</v>
      </c>
      <c r="BR293" s="11" t="s">
        <v>88</v>
      </c>
      <c r="BS293" s="11" t="s">
        <v>89</v>
      </c>
      <c r="BT293" s="19" t="str">
        <f aca="false">IF(OR(Z293&lt;6,AH293&lt;0.9,S293&lt;0.02,AK293&lt;1),"REVIEW",IF(AND(S293&gt;0.25,AH293&gt;1.2),"ACCELERATING","STABLE"))</f>
        <v>REVIEW</v>
      </c>
    </row>
    <row r="294" customFormat="false" ht="15" hidden="false" customHeight="false" outlineLevel="0" collapsed="false">
      <c r="A294" s="3" t="s">
        <v>364</v>
      </c>
      <c r="B294" s="3" t="s">
        <v>73</v>
      </c>
      <c r="C294" s="3" t="s">
        <v>74</v>
      </c>
      <c r="D294" s="3" t="s">
        <v>165</v>
      </c>
      <c r="E294" s="3" t="s">
        <v>365</v>
      </c>
      <c r="F294" s="3" t="s">
        <v>366</v>
      </c>
      <c r="G294" s="3" t="s">
        <v>78</v>
      </c>
      <c r="H294" s="3" t="s">
        <v>79</v>
      </c>
      <c r="I294" s="3" t="s">
        <v>78</v>
      </c>
      <c r="J294" s="4" t="n">
        <v>2813000</v>
      </c>
      <c r="K294" s="5" t="n">
        <f aca="false">IFERROR(J294/M294,"")</f>
        <v>0.132908103000236</v>
      </c>
      <c r="L294" s="4" t="n">
        <v>18352000</v>
      </c>
      <c r="M294" s="6" t="n">
        <f aca="false">L294+J294</f>
        <v>21165000</v>
      </c>
      <c r="N294" s="4" t="n">
        <v>7702000</v>
      </c>
      <c r="O294" s="4" t="n">
        <v>26606407</v>
      </c>
      <c r="P294" s="4" t="n">
        <v>1202867</v>
      </c>
      <c r="Q294" s="7"/>
      <c r="R294" s="4" t="n">
        <v>1258770</v>
      </c>
      <c r="S294" s="7"/>
      <c r="T294" s="4" t="n">
        <v>828264</v>
      </c>
      <c r="U294" s="5" t="n">
        <f aca="false">IFERROR(T294/P294,"")</f>
        <v>0.68857487984956</v>
      </c>
      <c r="V294" s="6" t="n">
        <f aca="false">T294-AV294</f>
        <v>-1302308</v>
      </c>
      <c r="W294" s="6" t="n">
        <f aca="false">V294-AA294*0.1</f>
        <v>-1302308</v>
      </c>
      <c r="X294" s="4" t="n">
        <v>1159200</v>
      </c>
      <c r="Y294" s="4" t="n">
        <v>125580</v>
      </c>
      <c r="Z294" s="8" t="n">
        <f aca="false">IFERROR(X294/Y294,"")</f>
        <v>9.23076923076923</v>
      </c>
      <c r="AA294" s="4" t="n">
        <v>0</v>
      </c>
      <c r="AB294" s="6" t="n">
        <f aca="false">W294-0.02*P294</f>
        <v>-1326365.34</v>
      </c>
      <c r="AC294" s="9" t="n">
        <v>39</v>
      </c>
      <c r="AD294" s="7"/>
      <c r="AE294" s="7" t="n">
        <v>0.045</v>
      </c>
      <c r="AF294" s="7" t="n">
        <v>0.033</v>
      </c>
      <c r="AG294" s="5" t="n">
        <f aca="false">1-AF294</f>
        <v>0.967</v>
      </c>
      <c r="AH294" s="7" t="n">
        <v>1.273</v>
      </c>
      <c r="AI294" s="4" t="n">
        <v>19610</v>
      </c>
      <c r="AJ294" s="6" t="n">
        <f aca="false">IFERROR(AM294*U294*MIN(1/AE294,5),"")</f>
        <v>92957.6087796905</v>
      </c>
      <c r="AK294" s="10" t="n">
        <f aca="false">IFERROR(AJ294/AI294,"")</f>
        <v>4.74031661293679</v>
      </c>
      <c r="AL294" s="8" t="n">
        <f aca="false">IFERROR(AI294/(AM294*U294/12),"")</f>
        <v>12.657382385863</v>
      </c>
      <c r="AM294" s="4" t="n">
        <v>27000</v>
      </c>
      <c r="AN294" s="4" t="n">
        <v>1599243</v>
      </c>
      <c r="AO294" s="4" t="n">
        <v>2428897</v>
      </c>
      <c r="AP294" s="7" t="n">
        <v>0.359</v>
      </c>
      <c r="AQ294" s="9" t="n">
        <v>47</v>
      </c>
      <c r="AR294" s="9" t="n">
        <v>1</v>
      </c>
      <c r="AS294" s="7"/>
      <c r="AT294" s="3" t="s">
        <v>134</v>
      </c>
      <c r="AU294" s="6" t="n">
        <f aca="false">IFERROR(P294/AR294,"")</f>
        <v>1202867</v>
      </c>
      <c r="AV294" s="4" t="n">
        <v>2130572</v>
      </c>
      <c r="AW294" s="4" t="n">
        <v>777280</v>
      </c>
      <c r="AX294" s="4" t="n">
        <v>466920</v>
      </c>
      <c r="AY294" s="9" t="n">
        <v>15700</v>
      </c>
      <c r="AZ294" s="7"/>
      <c r="BA294" s="7" t="n">
        <v>0.963</v>
      </c>
      <c r="BB294" s="3" t="s">
        <v>107</v>
      </c>
      <c r="BC294" s="3" t="s">
        <v>100</v>
      </c>
      <c r="BD294" s="3" t="s">
        <v>175</v>
      </c>
      <c r="BE294" s="4" t="n">
        <v>1112501</v>
      </c>
      <c r="BF294" s="5" t="n">
        <f aca="false">IFERROR(P294/BE294-1,"")</f>
        <v>0.0812277921547935</v>
      </c>
      <c r="BG294" s="7" t="n">
        <v>0.086</v>
      </c>
      <c r="BH294" s="7" t="n">
        <v>0.043</v>
      </c>
      <c r="BI294" s="6" t="n">
        <f aca="false">P294</f>
        <v>1202867</v>
      </c>
      <c r="BJ294" s="4" t="n">
        <v>-1049571</v>
      </c>
      <c r="BK294" s="3" t="s">
        <v>192</v>
      </c>
      <c r="BL294" s="3" t="s">
        <v>128</v>
      </c>
      <c r="BM294" s="6" t="n">
        <f aca="false">O294</f>
        <v>26606407</v>
      </c>
      <c r="BN294" s="3" t="s">
        <v>367</v>
      </c>
      <c r="BO294" s="5" t="n">
        <f aca="false">IFERROR(1-L294/M294,"")</f>
        <v>0.132908103000236</v>
      </c>
      <c r="BP294" s="3" t="s">
        <v>142</v>
      </c>
      <c r="BQ294" s="4" t="n">
        <v>2163821</v>
      </c>
      <c r="BR294" s="3" t="s">
        <v>88</v>
      </c>
      <c r="BS294" s="3" t="s">
        <v>89</v>
      </c>
      <c r="BT294" s="3" t="s">
        <v>90</v>
      </c>
    </row>
    <row r="295" customFormat="false" ht="15" hidden="false" customHeight="false" outlineLevel="0" collapsed="false">
      <c r="A295" s="11" t="s">
        <v>364</v>
      </c>
      <c r="B295" s="11" t="s">
        <v>91</v>
      </c>
      <c r="C295" s="11" t="s">
        <v>74</v>
      </c>
      <c r="D295" s="11" t="s">
        <v>165</v>
      </c>
      <c r="E295" s="11" t="s">
        <v>365</v>
      </c>
      <c r="F295" s="11" t="s">
        <v>366</v>
      </c>
      <c r="G295" s="11" t="s">
        <v>78</v>
      </c>
      <c r="H295" s="11" t="s">
        <v>79</v>
      </c>
      <c r="I295" s="11" t="s">
        <v>78</v>
      </c>
      <c r="J295" s="12" t="n">
        <v>2813000</v>
      </c>
      <c r="K295" s="13" t="n">
        <f aca="false">IFERROR(J295/M295,"")</f>
        <v>0.132908103000236</v>
      </c>
      <c r="L295" s="12" t="n">
        <v>18352000</v>
      </c>
      <c r="M295" s="14" t="n">
        <f aca="false">L295+J295</f>
        <v>21165000</v>
      </c>
      <c r="N295" s="12" t="n">
        <v>7702000</v>
      </c>
      <c r="O295" s="12" t="n">
        <v>26606407</v>
      </c>
      <c r="P295" s="12" t="n">
        <v>1443598</v>
      </c>
      <c r="Q295" s="13" t="n">
        <f aca="false">IFERROR(P295/P294-1,"")</f>
        <v>0.20013102030399</v>
      </c>
      <c r="R295" s="12" t="n">
        <v>1713221</v>
      </c>
      <c r="S295" s="13" t="n">
        <f aca="false">IFERROR(R295/R294-1,"")</f>
        <v>0.361027828753466</v>
      </c>
      <c r="T295" s="12" t="n">
        <v>998050</v>
      </c>
      <c r="U295" s="13" t="n">
        <f aca="false">IFERROR(T295/P295,"")</f>
        <v>0.691362830926615</v>
      </c>
      <c r="V295" s="14" t="n">
        <f aca="false">T295-AV295</f>
        <v>-1656277</v>
      </c>
      <c r="W295" s="14" t="n">
        <f aca="false">V295-AA295*0.1</f>
        <v>-1656277</v>
      </c>
      <c r="X295" s="12" t="n">
        <v>1490400</v>
      </c>
      <c r="Y295" s="12" t="n">
        <v>129719</v>
      </c>
      <c r="Z295" s="15" t="n">
        <f aca="false">IFERROR(X295/Y295,"")</f>
        <v>11.489450273283</v>
      </c>
      <c r="AA295" s="12" t="n">
        <v>0</v>
      </c>
      <c r="AB295" s="14" t="n">
        <f aca="false">W295-0.02*P295</f>
        <v>-1685148.96</v>
      </c>
      <c r="AC295" s="16" t="n">
        <v>47</v>
      </c>
      <c r="AD295" s="13" t="n">
        <f aca="false">IFERROR(AC295/AC294-1,"")</f>
        <v>0.205128205128205</v>
      </c>
      <c r="AE295" s="17" t="n">
        <v>0.043</v>
      </c>
      <c r="AF295" s="17" t="n">
        <v>0.028</v>
      </c>
      <c r="AG295" s="13" t="n">
        <f aca="false">1-AF295</f>
        <v>0.972</v>
      </c>
      <c r="AH295" s="17" t="n">
        <v>1.303</v>
      </c>
      <c r="AI295" s="12" t="n">
        <v>19240</v>
      </c>
      <c r="AJ295" s="14" t="n">
        <f aca="false">IFERROR(AM295*U295*MIN(1/AE295,5),"")</f>
        <v>95200.6618185949</v>
      </c>
      <c r="AK295" s="18" t="n">
        <f aca="false">IFERROR(AJ295/AI295,"")</f>
        <v>4.94805934608082</v>
      </c>
      <c r="AL295" s="15" t="n">
        <f aca="false">IFERROR(AI295/(AM295*U295/12),"")</f>
        <v>12.1259661219552</v>
      </c>
      <c r="AM295" s="12" t="n">
        <v>27540</v>
      </c>
      <c r="AN295" s="12" t="n">
        <v>2052565</v>
      </c>
      <c r="AO295" s="12" t="n">
        <v>6530723</v>
      </c>
      <c r="AP295" s="17" t="n">
        <v>0.359</v>
      </c>
      <c r="AQ295" s="16" t="n">
        <v>47</v>
      </c>
      <c r="AR295" s="16" t="n">
        <v>1</v>
      </c>
      <c r="AS295" s="13" t="n">
        <f aca="false">IFERROR(AR295/AR294-1,"")</f>
        <v>0</v>
      </c>
      <c r="AT295" s="11" t="s">
        <v>134</v>
      </c>
      <c r="AU295" s="14" t="n">
        <f aca="false">IFERROR(P295/AR295,"")</f>
        <v>1443598</v>
      </c>
      <c r="AV295" s="12" t="n">
        <v>2654327</v>
      </c>
      <c r="AW295" s="12" t="n">
        <v>846400</v>
      </c>
      <c r="AX295" s="12" t="n">
        <v>795463</v>
      </c>
      <c r="AY295" s="16" t="n">
        <v>20317</v>
      </c>
      <c r="AZ295" s="13" t="n">
        <f aca="false">IFERROR(AY295/AY294-1,"")</f>
        <v>0.294076433121019</v>
      </c>
      <c r="BA295" s="17" t="n">
        <v>0.966</v>
      </c>
      <c r="BB295" s="11" t="s">
        <v>107</v>
      </c>
      <c r="BC295" s="11" t="s">
        <v>100</v>
      </c>
      <c r="BD295" s="11" t="s">
        <v>175</v>
      </c>
      <c r="BE295" s="12" t="n">
        <v>1500634</v>
      </c>
      <c r="BF295" s="13" t="n">
        <f aca="false">IFERROR(P295/BE295-1,"")</f>
        <v>-0.0380079353126745</v>
      </c>
      <c r="BG295" s="17" t="n">
        <v>0.036</v>
      </c>
      <c r="BH295" s="17" t="n">
        <v>0.079</v>
      </c>
      <c r="BI295" s="14" t="n">
        <f aca="false">P295*(1+IFERROR(Q295,0))^4</f>
        <v>2994752.36709022</v>
      </c>
      <c r="BJ295" s="12" t="n">
        <v>-1164213</v>
      </c>
      <c r="BK295" s="11" t="s">
        <v>192</v>
      </c>
      <c r="BL295" s="11" t="s">
        <v>128</v>
      </c>
      <c r="BM295" s="14" t="n">
        <f aca="false">O295</f>
        <v>26606407</v>
      </c>
      <c r="BN295" s="11" t="s">
        <v>367</v>
      </c>
      <c r="BO295" s="13" t="n">
        <f aca="false">IFERROR(1-L295/M295,"")</f>
        <v>0.132908103000236</v>
      </c>
      <c r="BP295" s="11" t="s">
        <v>142</v>
      </c>
      <c r="BQ295" s="12" t="n">
        <v>2449259</v>
      </c>
      <c r="BR295" s="11" t="s">
        <v>88</v>
      </c>
      <c r="BS295" s="11" t="s">
        <v>89</v>
      </c>
      <c r="BT295" s="19" t="str">
        <f aca="false">IF(OR(Z295&lt;6,AH295&lt;0.9,S295&lt;0.02,AK295&lt;1),"REVIEW",IF(AND(S295&gt;0.25,AH295&gt;1.2),"ACCELERATING","STABLE"))</f>
        <v>ACCELERATING</v>
      </c>
    </row>
    <row r="296" customFormat="false" ht="15" hidden="false" customHeight="false" outlineLevel="0" collapsed="false">
      <c r="A296" s="11" t="s">
        <v>364</v>
      </c>
      <c r="B296" s="11" t="s">
        <v>92</v>
      </c>
      <c r="C296" s="11" t="s">
        <v>74</v>
      </c>
      <c r="D296" s="11" t="s">
        <v>165</v>
      </c>
      <c r="E296" s="11" t="s">
        <v>365</v>
      </c>
      <c r="F296" s="11" t="s">
        <v>366</v>
      </c>
      <c r="G296" s="11" t="s">
        <v>78</v>
      </c>
      <c r="H296" s="11" t="s">
        <v>79</v>
      </c>
      <c r="I296" s="11" t="s">
        <v>78</v>
      </c>
      <c r="J296" s="12" t="n">
        <v>2813000</v>
      </c>
      <c r="K296" s="13" t="n">
        <f aca="false">IFERROR(J296/M296,"")</f>
        <v>0.132908103000236</v>
      </c>
      <c r="L296" s="12" t="n">
        <v>18352000</v>
      </c>
      <c r="M296" s="14" t="n">
        <f aca="false">L296+J296</f>
        <v>21165000</v>
      </c>
      <c r="N296" s="12" t="n">
        <v>7702000</v>
      </c>
      <c r="O296" s="12" t="n">
        <v>26606407</v>
      </c>
      <c r="P296" s="12" t="n">
        <v>2001834</v>
      </c>
      <c r="Q296" s="13" t="n">
        <f aca="false">IFERROR(P296/P295-1,"")</f>
        <v>0.386697681764591</v>
      </c>
      <c r="R296" s="12" t="n">
        <v>2050671</v>
      </c>
      <c r="S296" s="13" t="n">
        <f aca="false">IFERROR(R296/R295-1,"")</f>
        <v>0.196968166979041</v>
      </c>
      <c r="T296" s="12" t="n">
        <v>1389574</v>
      </c>
      <c r="U296" s="13" t="n">
        <f aca="false">IFERROR(T296/P296,"")</f>
        <v>0.69415046402449</v>
      </c>
      <c r="V296" s="14" t="n">
        <f aca="false">T296-AV296</f>
        <v>-1319815</v>
      </c>
      <c r="W296" s="14" t="n">
        <f aca="false">V296-AA296*0.1</f>
        <v>-1319815</v>
      </c>
      <c r="X296" s="12" t="n">
        <v>1821600</v>
      </c>
      <c r="Y296" s="12" t="n">
        <v>133860</v>
      </c>
      <c r="Z296" s="15" t="n">
        <f aca="false">IFERROR(X296/Y296,"")</f>
        <v>13.6082474226804</v>
      </c>
      <c r="AA296" s="12" t="n">
        <v>0</v>
      </c>
      <c r="AB296" s="14" t="n">
        <f aca="false">W296-0.02*P296</f>
        <v>-1359851.68</v>
      </c>
      <c r="AC296" s="16" t="n">
        <v>54</v>
      </c>
      <c r="AD296" s="13" t="n">
        <f aca="false">IFERROR(AC296/AC295-1,"")</f>
        <v>0.148936170212766</v>
      </c>
      <c r="AE296" s="17" t="n">
        <v>0.042</v>
      </c>
      <c r="AF296" s="17" t="n">
        <v>0.043</v>
      </c>
      <c r="AG296" s="13" t="n">
        <f aca="false">1-AF296</f>
        <v>0.957</v>
      </c>
      <c r="AH296" s="17" t="n">
        <v>1.333</v>
      </c>
      <c r="AI296" s="12" t="n">
        <v>18870</v>
      </c>
      <c r="AJ296" s="14" t="n">
        <f aca="false">IFERROR(AM296*U296*MIN(1/AE296,5),"")</f>
        <v>97458.7251490383</v>
      </c>
      <c r="AK296" s="18" t="n">
        <f aca="false">IFERROR(AJ296/AI296,"")</f>
        <v>5.16474431102482</v>
      </c>
      <c r="AL296" s="15" t="n">
        <f aca="false">IFERROR(AI296/(AM296*U296/12),"")</f>
        <v>11.6172256334011</v>
      </c>
      <c r="AM296" s="12" t="n">
        <v>28080</v>
      </c>
      <c r="AN296" s="12" t="n">
        <v>2503872</v>
      </c>
      <c r="AO296" s="12" t="n">
        <v>7185165</v>
      </c>
      <c r="AP296" s="17" t="n">
        <v>0.359</v>
      </c>
      <c r="AQ296" s="16" t="n">
        <v>47</v>
      </c>
      <c r="AR296" s="16" t="n">
        <v>2</v>
      </c>
      <c r="AS296" s="13" t="n">
        <f aca="false">IFERROR(AR296/AR295-1,"")</f>
        <v>1</v>
      </c>
      <c r="AT296" s="11" t="s">
        <v>134</v>
      </c>
      <c r="AU296" s="14" t="n">
        <f aca="false">IFERROR(P296/AR296,"")</f>
        <v>1000917</v>
      </c>
      <c r="AV296" s="12" t="n">
        <v>2709389</v>
      </c>
      <c r="AW296" s="12" t="n">
        <v>1264559</v>
      </c>
      <c r="AX296" s="12" t="n">
        <v>747286</v>
      </c>
      <c r="AY296" s="16" t="n">
        <v>24876</v>
      </c>
      <c r="AZ296" s="13" t="n">
        <f aca="false">IFERROR(AY296/AY295-1,"")</f>
        <v>0.224393365162179</v>
      </c>
      <c r="BA296" s="17" t="n">
        <v>0.963</v>
      </c>
      <c r="BB296" s="11" t="s">
        <v>107</v>
      </c>
      <c r="BC296" s="11" t="s">
        <v>100</v>
      </c>
      <c r="BD296" s="11" t="s">
        <v>175</v>
      </c>
      <c r="BE296" s="12" t="n">
        <v>1830603</v>
      </c>
      <c r="BF296" s="13" t="n">
        <f aca="false">IFERROR(P296/BE296-1,"")</f>
        <v>0.093538030911126</v>
      </c>
      <c r="BG296" s="17" t="n">
        <v>0.051</v>
      </c>
      <c r="BH296" s="17" t="n">
        <v>0.059</v>
      </c>
      <c r="BI296" s="14" t="n">
        <f aca="false">P296*(1+IFERROR(Q296,0))^4</f>
        <v>7402104.62398784</v>
      </c>
      <c r="BJ296" s="12" t="n">
        <v>-1249314</v>
      </c>
      <c r="BK296" s="11" t="s">
        <v>192</v>
      </c>
      <c r="BL296" s="11" t="s">
        <v>128</v>
      </c>
      <c r="BM296" s="14" t="n">
        <f aca="false">O296</f>
        <v>26606407</v>
      </c>
      <c r="BN296" s="11" t="s">
        <v>367</v>
      </c>
      <c r="BO296" s="13" t="n">
        <f aca="false">IFERROR(1-L296/M296,"")</f>
        <v>0.132908103000236</v>
      </c>
      <c r="BP296" s="11" t="s">
        <v>142</v>
      </c>
      <c r="BQ296" s="12" t="n">
        <v>2317986</v>
      </c>
      <c r="BR296" s="11" t="s">
        <v>88</v>
      </c>
      <c r="BS296" s="11" t="s">
        <v>89</v>
      </c>
      <c r="BT296" s="19" t="str">
        <f aca="false">IF(OR(Z296&lt;6,AH296&lt;0.9,S296&lt;0.02,AK296&lt;1),"REVIEW",IF(AND(S296&gt;0.25,AH296&gt;1.2),"ACCELERATING","STABLE"))</f>
        <v>STABLE</v>
      </c>
    </row>
    <row r="297" customFormat="false" ht="15" hidden="false" customHeight="false" outlineLevel="0" collapsed="false">
      <c r="A297" s="11" t="s">
        <v>364</v>
      </c>
      <c r="B297" s="11" t="s">
        <v>93</v>
      </c>
      <c r="C297" s="11" t="s">
        <v>74</v>
      </c>
      <c r="D297" s="11" t="s">
        <v>165</v>
      </c>
      <c r="E297" s="11" t="s">
        <v>365</v>
      </c>
      <c r="F297" s="11" t="s">
        <v>366</v>
      </c>
      <c r="G297" s="11" t="s">
        <v>78</v>
      </c>
      <c r="H297" s="11" t="s">
        <v>79</v>
      </c>
      <c r="I297" s="11" t="s">
        <v>78</v>
      </c>
      <c r="J297" s="12" t="n">
        <v>2813000</v>
      </c>
      <c r="K297" s="13" t="n">
        <f aca="false">IFERROR(J297/M297,"")</f>
        <v>0.132908103000236</v>
      </c>
      <c r="L297" s="12" t="n">
        <v>18352000</v>
      </c>
      <c r="M297" s="14" t="n">
        <f aca="false">L297+J297</f>
        <v>21165000</v>
      </c>
      <c r="N297" s="12" t="n">
        <v>7702000</v>
      </c>
      <c r="O297" s="12" t="n">
        <v>26606407</v>
      </c>
      <c r="P297" s="12" t="n">
        <v>2588679</v>
      </c>
      <c r="Q297" s="13" t="n">
        <f aca="false">IFERROR(P297/P296-1,"")</f>
        <v>0.293153678077203</v>
      </c>
      <c r="R297" s="12" t="n">
        <v>2660053</v>
      </c>
      <c r="S297" s="13" t="n">
        <f aca="false">IFERROR(R297/R296-1,"")</f>
        <v>0.297162245918531</v>
      </c>
      <c r="T297" s="12" t="n">
        <v>1804149</v>
      </c>
      <c r="U297" s="13" t="n">
        <f aca="false">IFERROR(T297/P297,"")</f>
        <v>0.696938090817749</v>
      </c>
      <c r="V297" s="14" t="n">
        <f aca="false">T297-AV297</f>
        <v>-1435417</v>
      </c>
      <c r="W297" s="14" t="n">
        <f aca="false">V297-AA297*0.1</f>
        <v>-1435417</v>
      </c>
      <c r="X297" s="12" t="n">
        <v>3312000</v>
      </c>
      <c r="Y297" s="12" t="n">
        <v>138000</v>
      </c>
      <c r="Z297" s="15" t="n">
        <f aca="false">IFERROR(X297/Y297,"")</f>
        <v>24</v>
      </c>
      <c r="AA297" s="12" t="n">
        <v>0</v>
      </c>
      <c r="AB297" s="14" t="n">
        <f aca="false">W297-0.02*P297</f>
        <v>-1487190.58</v>
      </c>
      <c r="AC297" s="16" t="n">
        <v>67</v>
      </c>
      <c r="AD297" s="13" t="n">
        <f aca="false">IFERROR(AC297/AC296-1,"")</f>
        <v>0.240740740740741</v>
      </c>
      <c r="AE297" s="17" t="n">
        <v>0.041</v>
      </c>
      <c r="AF297" s="17" t="n">
        <v>0.04</v>
      </c>
      <c r="AG297" s="13" t="n">
        <f aca="false">1-AF297</f>
        <v>0.96</v>
      </c>
      <c r="AH297" s="17" t="n">
        <v>1.363</v>
      </c>
      <c r="AI297" s="12" t="n">
        <v>18500</v>
      </c>
      <c r="AJ297" s="14" t="n">
        <f aca="false">IFERROR(AM297*U297*MIN(1/AE297,5),"")</f>
        <v>99731.8407960199</v>
      </c>
      <c r="AK297" s="18" t="n">
        <f aca="false">IFERROR(AJ297/AI297,"")</f>
        <v>5.39091031329837</v>
      </c>
      <c r="AL297" s="15" t="n">
        <f aca="false">IFERROR(AI297/(AM297*U297/12),"")</f>
        <v>11.1298457056485</v>
      </c>
      <c r="AM297" s="12" t="n">
        <v>28620</v>
      </c>
      <c r="AN297" s="12" t="n">
        <v>3364550</v>
      </c>
      <c r="AO297" s="12" t="n">
        <v>5522768</v>
      </c>
      <c r="AP297" s="17" t="n">
        <v>0.359</v>
      </c>
      <c r="AQ297" s="16" t="n">
        <v>47</v>
      </c>
      <c r="AR297" s="16" t="n">
        <v>2</v>
      </c>
      <c r="AS297" s="13" t="n">
        <f aca="false">IFERROR(AR297/AR296-1,"")</f>
        <v>0</v>
      </c>
      <c r="AT297" s="11" t="s">
        <v>134</v>
      </c>
      <c r="AU297" s="14" t="n">
        <f aca="false">IFERROR(P297/AR297,"")</f>
        <v>1294339.5</v>
      </c>
      <c r="AV297" s="12" t="n">
        <v>3239566</v>
      </c>
      <c r="AW297" s="12" t="n">
        <v>1380179</v>
      </c>
      <c r="AX297" s="12" t="n">
        <v>729666</v>
      </c>
      <c r="AY297" s="16" t="n">
        <v>31145</v>
      </c>
      <c r="AZ297" s="13" t="n">
        <f aca="false">IFERROR(AY297/AY296-1,"")</f>
        <v>0.252009969448464</v>
      </c>
      <c r="BA297" s="17" t="n">
        <v>0.97</v>
      </c>
      <c r="BB297" s="11" t="s">
        <v>107</v>
      </c>
      <c r="BC297" s="11" t="s">
        <v>100</v>
      </c>
      <c r="BD297" s="11" t="s">
        <v>175</v>
      </c>
      <c r="BE297" s="12" t="n">
        <v>2955197</v>
      </c>
      <c r="BF297" s="13" t="n">
        <f aca="false">IFERROR(P297/BE297-1,"")</f>
        <v>-0.124024895802209</v>
      </c>
      <c r="BG297" s="17" t="n">
        <v>-0.013</v>
      </c>
      <c r="BH297" s="17" t="n">
        <v>0.016</v>
      </c>
      <c r="BI297" s="14" t="n">
        <f aca="false">P297*(1+IFERROR(Q297,0))^4</f>
        <v>7239003.02689549</v>
      </c>
      <c r="BJ297" s="12" t="n">
        <v>-1075381</v>
      </c>
      <c r="BK297" s="11" t="s">
        <v>192</v>
      </c>
      <c r="BL297" s="11" t="s">
        <v>128</v>
      </c>
      <c r="BM297" s="14" t="n">
        <f aca="false">O297</f>
        <v>26606407</v>
      </c>
      <c r="BN297" s="11" t="s">
        <v>367</v>
      </c>
      <c r="BO297" s="13" t="n">
        <f aca="false">IFERROR(1-L297/M297,"")</f>
        <v>0.132908103000236</v>
      </c>
      <c r="BP297" s="11" t="s">
        <v>142</v>
      </c>
      <c r="BQ297" s="12" t="n">
        <v>1865432</v>
      </c>
      <c r="BR297" s="11" t="s">
        <v>88</v>
      </c>
      <c r="BS297" s="11" t="s">
        <v>89</v>
      </c>
      <c r="BT297" s="19" t="str">
        <f aca="false">IF(OR(Z297&lt;6,AH297&lt;0.9,S297&lt;0.02,AK297&lt;1),"REVIEW",IF(AND(S297&gt;0.25,AH297&gt;1.2),"ACCELERATING","STABLE"))</f>
        <v>ACCELERATING</v>
      </c>
    </row>
    <row r="298" customFormat="false" ht="15" hidden="false" customHeight="false" outlineLevel="0" collapsed="false">
      <c r="A298" s="3" t="s">
        <v>368</v>
      </c>
      <c r="B298" s="3" t="s">
        <v>73</v>
      </c>
      <c r="C298" s="3" t="s">
        <v>74</v>
      </c>
      <c r="D298" s="3" t="s">
        <v>75</v>
      </c>
      <c r="E298" s="3" t="s">
        <v>105</v>
      </c>
      <c r="F298" s="3" t="s">
        <v>369</v>
      </c>
      <c r="G298" s="3" t="s">
        <v>78</v>
      </c>
      <c r="H298" s="3" t="s">
        <v>79</v>
      </c>
      <c r="I298" s="3" t="s">
        <v>78</v>
      </c>
      <c r="J298" s="4" t="n">
        <v>1381000</v>
      </c>
      <c r="K298" s="5" t="n">
        <f aca="false">IFERROR(J298/M298,"")</f>
        <v>0.092715676401477</v>
      </c>
      <c r="L298" s="4" t="n">
        <v>13514000</v>
      </c>
      <c r="M298" s="6" t="n">
        <f aca="false">L298+J298</f>
        <v>14895000</v>
      </c>
      <c r="N298" s="4" t="n">
        <v>1968000</v>
      </c>
      <c r="O298" s="4" t="n">
        <v>16392237</v>
      </c>
      <c r="P298" s="4" t="n">
        <v>1784841</v>
      </c>
      <c r="Q298" s="7"/>
      <c r="R298" s="4" t="n">
        <v>1887976</v>
      </c>
      <c r="S298" s="7"/>
      <c r="T298" s="4" t="n">
        <v>1215162</v>
      </c>
      <c r="U298" s="5" t="n">
        <f aca="false">IFERROR(T298/P298,"")</f>
        <v>0.680823670007581</v>
      </c>
      <c r="V298" s="6" t="n">
        <f aca="false">T298-AV298</f>
        <v>-1241645</v>
      </c>
      <c r="W298" s="6" t="n">
        <f aca="false">V298-AA298*0.1</f>
        <v>-1241645</v>
      </c>
      <c r="X298" s="4" t="n">
        <v>4015488</v>
      </c>
      <c r="Y298" s="4" t="n">
        <v>116480</v>
      </c>
      <c r="Z298" s="8" t="n">
        <f aca="false">IFERROR(X298/Y298,"")</f>
        <v>34.4736263736264</v>
      </c>
      <c r="AA298" s="4" t="n">
        <v>0</v>
      </c>
      <c r="AB298" s="6" t="n">
        <f aca="false">W298-0.02*P298</f>
        <v>-1277341.82</v>
      </c>
      <c r="AC298" s="9" t="n">
        <v>29</v>
      </c>
      <c r="AD298" s="7"/>
      <c r="AE298" s="7" t="n">
        <v>0.05</v>
      </c>
      <c r="AF298" s="7" t="n">
        <v>0.045</v>
      </c>
      <c r="AG298" s="5" t="n">
        <f aca="false">1-AF298</f>
        <v>0.955</v>
      </c>
      <c r="AH298" s="7" t="n">
        <v>1.113</v>
      </c>
      <c r="AI298" s="4" t="n">
        <v>59784</v>
      </c>
      <c r="AJ298" s="6" t="n">
        <f aca="false">IFERROR(AM298*U298*MIN(1/AE298,5),"")</f>
        <v>170205.917501895</v>
      </c>
      <c r="AK298" s="10" t="n">
        <f aca="false">IFERROR(AJ298/AI298,"")</f>
        <v>2.84701454405686</v>
      </c>
      <c r="AL298" s="8" t="n">
        <f aca="false">IFERROR(AI298/(AM298*U298/12),"")</f>
        <v>21.0747079340532</v>
      </c>
      <c r="AM298" s="4" t="n">
        <v>50000</v>
      </c>
      <c r="AN298" s="4" t="n">
        <v>2239099</v>
      </c>
      <c r="AO298" s="4" t="n">
        <v>5804454</v>
      </c>
      <c r="AP298" s="7" t="n">
        <v>0.274</v>
      </c>
      <c r="AQ298" s="9" t="n">
        <v>61</v>
      </c>
      <c r="AR298" s="9" t="n">
        <v>1</v>
      </c>
      <c r="AS298" s="7"/>
      <c r="AT298" s="3" t="s">
        <v>98</v>
      </c>
      <c r="AU298" s="6" t="n">
        <f aca="false">IFERROR(P298/AR298,"")</f>
        <v>1784841</v>
      </c>
      <c r="AV298" s="4" t="n">
        <v>2456807</v>
      </c>
      <c r="AW298" s="4" t="n">
        <v>1095041</v>
      </c>
      <c r="AX298" s="4" t="n">
        <v>631824</v>
      </c>
      <c r="AY298" s="9" t="n">
        <v>10928</v>
      </c>
      <c r="AZ298" s="7"/>
      <c r="BA298" s="7" t="n">
        <v>0.961</v>
      </c>
      <c r="BB298" s="3" t="s">
        <v>161</v>
      </c>
      <c r="BC298" s="3" t="s">
        <v>126</v>
      </c>
      <c r="BD298" s="3" t="s">
        <v>83</v>
      </c>
      <c r="BE298" s="4" t="n">
        <v>2033364</v>
      </c>
      <c r="BF298" s="5" t="n">
        <f aca="false">IFERROR(P298/BE298-1,"")</f>
        <v>-0.122222582872521</v>
      </c>
      <c r="BG298" s="7" t="n">
        <v>0.067</v>
      </c>
      <c r="BH298" s="7" t="n">
        <v>0</v>
      </c>
      <c r="BI298" s="6" t="n">
        <f aca="false">P298</f>
        <v>1784841</v>
      </c>
      <c r="BJ298" s="4" t="n">
        <v>-809127</v>
      </c>
      <c r="BK298" s="3" t="s">
        <v>102</v>
      </c>
      <c r="BL298" s="3" t="s">
        <v>162</v>
      </c>
      <c r="BM298" s="6" t="n">
        <f aca="false">O298</f>
        <v>16392237</v>
      </c>
      <c r="BN298" s="3" t="s">
        <v>370</v>
      </c>
      <c r="BO298" s="5" t="n">
        <f aca="false">IFERROR(1-L298/M298,"")</f>
        <v>0.092715676401477</v>
      </c>
      <c r="BP298" s="3" t="s">
        <v>142</v>
      </c>
      <c r="BQ298" s="4" t="n">
        <v>1628874</v>
      </c>
      <c r="BR298" s="3" t="s">
        <v>88</v>
      </c>
      <c r="BS298" s="3" t="s">
        <v>89</v>
      </c>
      <c r="BT298" s="3" t="s">
        <v>90</v>
      </c>
    </row>
    <row r="299" customFormat="false" ht="15" hidden="false" customHeight="false" outlineLevel="0" collapsed="false">
      <c r="A299" s="11" t="s">
        <v>368</v>
      </c>
      <c r="B299" s="11" t="s">
        <v>91</v>
      </c>
      <c r="C299" s="11" t="s">
        <v>74</v>
      </c>
      <c r="D299" s="11" t="s">
        <v>75</v>
      </c>
      <c r="E299" s="11" t="s">
        <v>105</v>
      </c>
      <c r="F299" s="11" t="s">
        <v>369</v>
      </c>
      <c r="G299" s="11" t="s">
        <v>78</v>
      </c>
      <c r="H299" s="11" t="s">
        <v>79</v>
      </c>
      <c r="I299" s="11" t="s">
        <v>78</v>
      </c>
      <c r="J299" s="12" t="n">
        <v>1381000</v>
      </c>
      <c r="K299" s="13" t="n">
        <f aca="false">IFERROR(J299/M299,"")</f>
        <v>0.092715676401477</v>
      </c>
      <c r="L299" s="12" t="n">
        <v>13514000</v>
      </c>
      <c r="M299" s="14" t="n">
        <f aca="false">L299+J299</f>
        <v>14895000</v>
      </c>
      <c r="N299" s="12" t="n">
        <v>1968000</v>
      </c>
      <c r="O299" s="12" t="n">
        <v>16392237</v>
      </c>
      <c r="P299" s="12" t="n">
        <v>1894623</v>
      </c>
      <c r="Q299" s="13" t="n">
        <f aca="false">IFERROR(P299/P298-1,"")</f>
        <v>0.0615079998722576</v>
      </c>
      <c r="R299" s="12" t="n">
        <v>2043742</v>
      </c>
      <c r="S299" s="13" t="n">
        <f aca="false">IFERROR(R299/R298-1,"")</f>
        <v>0.0825042267486451</v>
      </c>
      <c r="T299" s="12" t="n">
        <v>1295127</v>
      </c>
      <c r="U299" s="13" t="n">
        <f aca="false">IFERROR(T299/P299,"")</f>
        <v>0.683580321784334</v>
      </c>
      <c r="V299" s="14" t="n">
        <f aca="false">T299-AV299</f>
        <v>-1526801</v>
      </c>
      <c r="W299" s="14" t="n">
        <f aca="false">V299-AA299*0.1</f>
        <v>-1526801</v>
      </c>
      <c r="X299" s="12" t="n">
        <v>3721728</v>
      </c>
      <c r="Y299" s="12" t="n">
        <v>120320</v>
      </c>
      <c r="Z299" s="15" t="n">
        <f aca="false">IFERROR(X299/Y299,"")</f>
        <v>30.931914893617</v>
      </c>
      <c r="AA299" s="12" t="n">
        <v>0</v>
      </c>
      <c r="AB299" s="14" t="n">
        <f aca="false">W299-0.02*P299</f>
        <v>-1564693.46</v>
      </c>
      <c r="AC299" s="16" t="n">
        <v>30</v>
      </c>
      <c r="AD299" s="13" t="n">
        <f aca="false">IFERROR(AC299/AC298-1,"")</f>
        <v>0.0344827586206897</v>
      </c>
      <c r="AE299" s="17" t="n">
        <v>0.049</v>
      </c>
      <c r="AF299" s="17" t="n">
        <v>0.051</v>
      </c>
      <c r="AG299" s="13" t="n">
        <f aca="false">1-AF299</f>
        <v>0.949</v>
      </c>
      <c r="AH299" s="17" t="n">
        <v>1.108</v>
      </c>
      <c r="AI299" s="12" t="n">
        <v>58656</v>
      </c>
      <c r="AJ299" s="14" t="n">
        <f aca="false">IFERROR(AM299*U299*MIN(1/AE299,5),"")</f>
        <v>174312.982055005</v>
      </c>
      <c r="AK299" s="18" t="n">
        <f aca="false">IFERROR(AJ299/AI299,"")</f>
        <v>2.97178433672608</v>
      </c>
      <c r="AL299" s="15" t="n">
        <f aca="false">IFERROR(AI299/(AM299*U299/12),"")</f>
        <v>20.18989038286</v>
      </c>
      <c r="AM299" s="12" t="n">
        <v>51000</v>
      </c>
      <c r="AN299" s="12" t="n">
        <v>2132766</v>
      </c>
      <c r="AO299" s="12" t="n">
        <v>8085865</v>
      </c>
      <c r="AP299" s="17" t="n">
        <v>0.274</v>
      </c>
      <c r="AQ299" s="16" t="n">
        <v>61</v>
      </c>
      <c r="AR299" s="16" t="n">
        <v>2</v>
      </c>
      <c r="AS299" s="13" t="n">
        <f aca="false">IFERROR(AR299/AR298-1,"")</f>
        <v>1</v>
      </c>
      <c r="AT299" s="11" t="s">
        <v>98</v>
      </c>
      <c r="AU299" s="14" t="n">
        <f aca="false">IFERROR(P299/AR299,"")</f>
        <v>947311.5</v>
      </c>
      <c r="AV299" s="12" t="n">
        <v>2821928</v>
      </c>
      <c r="AW299" s="12" t="n">
        <v>1345057</v>
      </c>
      <c r="AX299" s="12" t="n">
        <v>830419</v>
      </c>
      <c r="AY299" s="16" t="n">
        <v>12084</v>
      </c>
      <c r="AZ299" s="13" t="n">
        <f aca="false">IFERROR(AY299/AY298-1,"")</f>
        <v>0.105783308931186</v>
      </c>
      <c r="BA299" s="17" t="n">
        <v>0.955</v>
      </c>
      <c r="BB299" s="11" t="s">
        <v>161</v>
      </c>
      <c r="BC299" s="11" t="s">
        <v>126</v>
      </c>
      <c r="BD299" s="11" t="s">
        <v>83</v>
      </c>
      <c r="BE299" s="12" t="n">
        <v>2138107</v>
      </c>
      <c r="BF299" s="13" t="n">
        <f aca="false">IFERROR(P299/BE299-1,"")</f>
        <v>-0.113878304500196</v>
      </c>
      <c r="BG299" s="17" t="n">
        <v>0.033</v>
      </c>
      <c r="BH299" s="17" t="n">
        <v>-0.059</v>
      </c>
      <c r="BI299" s="14" t="n">
        <f aca="false">P299*(1+IFERROR(Q299,0))^4</f>
        <v>2405558.3246126</v>
      </c>
      <c r="BJ299" s="12" t="n">
        <v>-882058</v>
      </c>
      <c r="BK299" s="11" t="s">
        <v>102</v>
      </c>
      <c r="BL299" s="11" t="s">
        <v>162</v>
      </c>
      <c r="BM299" s="14" t="n">
        <f aca="false">O299</f>
        <v>16392237</v>
      </c>
      <c r="BN299" s="11" t="s">
        <v>370</v>
      </c>
      <c r="BO299" s="13" t="n">
        <f aca="false">IFERROR(1-L299/M299,"")</f>
        <v>0.092715676401477</v>
      </c>
      <c r="BP299" s="11" t="s">
        <v>142</v>
      </c>
      <c r="BQ299" s="12" t="n">
        <v>1915064</v>
      </c>
      <c r="BR299" s="11" t="s">
        <v>88</v>
      </c>
      <c r="BS299" s="11" t="s">
        <v>89</v>
      </c>
      <c r="BT299" s="19" t="str">
        <f aca="false">IF(OR(Z299&lt;6,AH299&lt;0.9,S299&lt;0.02,AK299&lt;1),"REVIEW",IF(AND(S299&gt;0.25,AH299&gt;1.2),"ACCELERATING","STABLE"))</f>
        <v>STABLE</v>
      </c>
    </row>
    <row r="300" customFormat="false" ht="15" hidden="false" customHeight="false" outlineLevel="0" collapsed="false">
      <c r="A300" s="11" t="s">
        <v>368</v>
      </c>
      <c r="B300" s="11" t="s">
        <v>92</v>
      </c>
      <c r="C300" s="11" t="s">
        <v>74</v>
      </c>
      <c r="D300" s="11" t="s">
        <v>75</v>
      </c>
      <c r="E300" s="11" t="s">
        <v>105</v>
      </c>
      <c r="F300" s="11" t="s">
        <v>369</v>
      </c>
      <c r="G300" s="11" t="s">
        <v>78</v>
      </c>
      <c r="H300" s="11" t="s">
        <v>79</v>
      </c>
      <c r="I300" s="11" t="s">
        <v>78</v>
      </c>
      <c r="J300" s="12" t="n">
        <v>1381000</v>
      </c>
      <c r="K300" s="13" t="n">
        <f aca="false">IFERROR(J300/M300,"")</f>
        <v>0.092715676401477</v>
      </c>
      <c r="L300" s="12" t="n">
        <v>13514000</v>
      </c>
      <c r="M300" s="14" t="n">
        <f aca="false">L300+J300</f>
        <v>14895000</v>
      </c>
      <c r="N300" s="12" t="n">
        <v>1968000</v>
      </c>
      <c r="O300" s="12" t="n">
        <v>16392237</v>
      </c>
      <c r="P300" s="12" t="n">
        <v>2127982</v>
      </c>
      <c r="Q300" s="13" t="n">
        <f aca="false">IFERROR(P300/P299-1,"")</f>
        <v>0.123169094854227</v>
      </c>
      <c r="R300" s="12" t="n">
        <v>2197463</v>
      </c>
      <c r="S300" s="13" t="n">
        <f aca="false">IFERROR(R300/R299-1,"")</f>
        <v>0.0752154626171013</v>
      </c>
      <c r="T300" s="12" t="n">
        <v>1460512</v>
      </c>
      <c r="U300" s="13" t="n">
        <f aca="false">IFERROR(T300/P300,"")</f>
        <v>0.686336632546704</v>
      </c>
      <c r="V300" s="14" t="n">
        <f aca="false">T300-AV300</f>
        <v>-1333771</v>
      </c>
      <c r="W300" s="14" t="n">
        <f aca="false">V300-AA300*0.1</f>
        <v>-1333771</v>
      </c>
      <c r="X300" s="12" t="n">
        <v>3407232</v>
      </c>
      <c r="Y300" s="12" t="n">
        <v>124160</v>
      </c>
      <c r="Z300" s="15" t="n">
        <f aca="false">IFERROR(X300/Y300,"")</f>
        <v>27.4422680412371</v>
      </c>
      <c r="AA300" s="12" t="n">
        <v>0</v>
      </c>
      <c r="AB300" s="14" t="n">
        <f aca="false">W300-0.02*P300</f>
        <v>-1376330.64</v>
      </c>
      <c r="AC300" s="16" t="n">
        <v>30</v>
      </c>
      <c r="AD300" s="13" t="n">
        <f aca="false">IFERROR(AC300/AC299-1,"")</f>
        <v>0</v>
      </c>
      <c r="AE300" s="17" t="n">
        <v>0.047</v>
      </c>
      <c r="AF300" s="17" t="n">
        <v>0.032</v>
      </c>
      <c r="AG300" s="13" t="n">
        <f aca="false">1-AF300</f>
        <v>0.968</v>
      </c>
      <c r="AH300" s="17" t="n">
        <v>1.103</v>
      </c>
      <c r="AI300" s="12" t="n">
        <v>57528</v>
      </c>
      <c r="AJ300" s="14" t="n">
        <f aca="false">IFERROR(AM300*U300*MIN(1/AE300,5),"")</f>
        <v>178447.524462143</v>
      </c>
      <c r="AK300" s="18" t="n">
        <f aca="false">IFERROR(AJ300/AI300,"")</f>
        <v>3.10192470557195</v>
      </c>
      <c r="AL300" s="15" t="n">
        <f aca="false">IFERROR(AI300/(AM300*U300/12),"")</f>
        <v>19.3428292737805</v>
      </c>
      <c r="AM300" s="12" t="n">
        <v>52000</v>
      </c>
      <c r="AN300" s="12" t="n">
        <v>2591749</v>
      </c>
      <c r="AO300" s="12" t="n">
        <v>4472876</v>
      </c>
      <c r="AP300" s="17" t="n">
        <v>0.274</v>
      </c>
      <c r="AQ300" s="16" t="n">
        <v>61</v>
      </c>
      <c r="AR300" s="16" t="n">
        <v>2</v>
      </c>
      <c r="AS300" s="13" t="n">
        <f aca="false">IFERROR(AR300/AR299-1,"")</f>
        <v>0</v>
      </c>
      <c r="AT300" s="11" t="s">
        <v>98</v>
      </c>
      <c r="AU300" s="14" t="n">
        <f aca="false">IFERROR(P300/AR300,"")</f>
        <v>1063991</v>
      </c>
      <c r="AV300" s="12" t="n">
        <v>2794283</v>
      </c>
      <c r="AW300" s="12" t="n">
        <v>1116904</v>
      </c>
      <c r="AX300" s="12" t="n">
        <v>653170</v>
      </c>
      <c r="AY300" s="16" t="n">
        <v>12293</v>
      </c>
      <c r="AZ300" s="13" t="n">
        <f aca="false">IFERROR(AY300/AY299-1,"")</f>
        <v>0.0172955974842768</v>
      </c>
      <c r="BA300" s="17" t="n">
        <v>0.959</v>
      </c>
      <c r="BB300" s="11" t="s">
        <v>161</v>
      </c>
      <c r="BC300" s="11" t="s">
        <v>126</v>
      </c>
      <c r="BD300" s="11" t="s">
        <v>83</v>
      </c>
      <c r="BE300" s="12" t="n">
        <v>1973052</v>
      </c>
      <c r="BF300" s="13" t="n">
        <f aca="false">IFERROR(P300/BE300-1,"")</f>
        <v>0.078523019160164</v>
      </c>
      <c r="BG300" s="17" t="n">
        <v>0</v>
      </c>
      <c r="BH300" s="17" t="n">
        <v>0.05</v>
      </c>
      <c r="BI300" s="14" t="n">
        <f aca="false">P300*(1+IFERROR(Q300,0))^4</f>
        <v>3386480.11353873</v>
      </c>
      <c r="BJ300" s="12" t="n">
        <v>-1207163</v>
      </c>
      <c r="BK300" s="11" t="s">
        <v>102</v>
      </c>
      <c r="BL300" s="11" t="s">
        <v>162</v>
      </c>
      <c r="BM300" s="14" t="n">
        <f aca="false">O300</f>
        <v>16392237</v>
      </c>
      <c r="BN300" s="11" t="s">
        <v>370</v>
      </c>
      <c r="BO300" s="13" t="n">
        <f aca="false">IFERROR(1-L300/M300,"")</f>
        <v>0.092715676401477</v>
      </c>
      <c r="BP300" s="11" t="s">
        <v>142</v>
      </c>
      <c r="BQ300" s="12" t="n">
        <v>1653172</v>
      </c>
      <c r="BR300" s="11" t="s">
        <v>88</v>
      </c>
      <c r="BS300" s="11" t="s">
        <v>89</v>
      </c>
      <c r="BT300" s="19" t="str">
        <f aca="false">IF(OR(Z300&lt;6,AH300&lt;0.9,S300&lt;0.02,AK300&lt;1),"REVIEW",IF(AND(S300&gt;0.25,AH300&gt;1.2),"ACCELERATING","STABLE"))</f>
        <v>STABLE</v>
      </c>
    </row>
    <row r="301" customFormat="false" ht="15" hidden="false" customHeight="false" outlineLevel="0" collapsed="false">
      <c r="A301" s="11" t="s">
        <v>368</v>
      </c>
      <c r="B301" s="11" t="s">
        <v>93</v>
      </c>
      <c r="C301" s="11" t="s">
        <v>74</v>
      </c>
      <c r="D301" s="11" t="s">
        <v>75</v>
      </c>
      <c r="E301" s="11" t="s">
        <v>105</v>
      </c>
      <c r="F301" s="11" t="s">
        <v>369</v>
      </c>
      <c r="G301" s="11" t="s">
        <v>78</v>
      </c>
      <c r="H301" s="11" t="s">
        <v>79</v>
      </c>
      <c r="I301" s="11" t="s">
        <v>78</v>
      </c>
      <c r="J301" s="12" t="n">
        <v>1381000</v>
      </c>
      <c r="K301" s="13" t="n">
        <f aca="false">IFERROR(J301/M301,"")</f>
        <v>0.092715676401477</v>
      </c>
      <c r="L301" s="12" t="n">
        <v>13514000</v>
      </c>
      <c r="M301" s="14" t="n">
        <f aca="false">L301+J301</f>
        <v>14895000</v>
      </c>
      <c r="N301" s="12" t="n">
        <v>1968000</v>
      </c>
      <c r="O301" s="12" t="n">
        <v>16392237</v>
      </c>
      <c r="P301" s="12" t="n">
        <v>2209839</v>
      </c>
      <c r="Q301" s="13" t="n">
        <f aca="false">IFERROR(P301/P300-1,"")</f>
        <v>0.0384669607167729</v>
      </c>
      <c r="R301" s="12" t="n">
        <v>2525423</v>
      </c>
      <c r="S301" s="13" t="n">
        <f aca="false">IFERROR(R301/R300-1,"")</f>
        <v>0.149244833701409</v>
      </c>
      <c r="T301" s="12" t="n">
        <v>1522784</v>
      </c>
      <c r="U301" s="13" t="n">
        <f aca="false">IFERROR(T301/P301,"")</f>
        <v>0.689092734810093</v>
      </c>
      <c r="V301" s="14" t="n">
        <f aca="false">T301-AV301</f>
        <v>-1340049</v>
      </c>
      <c r="W301" s="14" t="n">
        <f aca="false">V301-AA301*0.1</f>
        <v>-1340049</v>
      </c>
      <c r="X301" s="12" t="n">
        <v>3072000</v>
      </c>
      <c r="Y301" s="12" t="n">
        <v>128000</v>
      </c>
      <c r="Z301" s="15" t="n">
        <f aca="false">IFERROR(X301/Y301,"")</f>
        <v>24</v>
      </c>
      <c r="AA301" s="12" t="n">
        <v>0</v>
      </c>
      <c r="AB301" s="14" t="n">
        <f aca="false">W301-0.02*P301</f>
        <v>-1384245.78</v>
      </c>
      <c r="AC301" s="16" t="n">
        <v>32</v>
      </c>
      <c r="AD301" s="13" t="n">
        <f aca="false">IFERROR(AC301/AC300-1,"")</f>
        <v>0.0666666666666667</v>
      </c>
      <c r="AE301" s="17" t="n">
        <v>0.046</v>
      </c>
      <c r="AF301" s="17" t="n">
        <v>0.049</v>
      </c>
      <c r="AG301" s="13" t="n">
        <f aca="false">1-AF301</f>
        <v>0.951</v>
      </c>
      <c r="AH301" s="17" t="n">
        <v>1.098</v>
      </c>
      <c r="AI301" s="12" t="n">
        <v>56400</v>
      </c>
      <c r="AJ301" s="14" t="n">
        <f aca="false">IFERROR(AM301*U301*MIN(1/AE301,5),"")</f>
        <v>182609.574724675</v>
      </c>
      <c r="AK301" s="18" t="n">
        <f aca="false">IFERROR(AJ301/AI301,"")</f>
        <v>3.23775841710416</v>
      </c>
      <c r="AL301" s="15" t="n">
        <f aca="false">IFERROR(AI301/(AM301*U301/12),"")</f>
        <v>18.5313393621454</v>
      </c>
      <c r="AM301" s="12" t="n">
        <v>53000</v>
      </c>
      <c r="AN301" s="12" t="n">
        <v>3184141</v>
      </c>
      <c r="AO301" s="12" t="n">
        <v>6793952</v>
      </c>
      <c r="AP301" s="17" t="n">
        <v>0.274</v>
      </c>
      <c r="AQ301" s="16" t="n">
        <v>61</v>
      </c>
      <c r="AR301" s="16" t="n">
        <v>2</v>
      </c>
      <c r="AS301" s="13" t="n">
        <f aca="false">IFERROR(AR301/AR300-1,"")</f>
        <v>0</v>
      </c>
      <c r="AT301" s="11" t="s">
        <v>98</v>
      </c>
      <c r="AU301" s="14" t="n">
        <f aca="false">IFERROR(P301/AR301,"")</f>
        <v>1104919.5</v>
      </c>
      <c r="AV301" s="12" t="n">
        <v>2862833</v>
      </c>
      <c r="AW301" s="12" t="n">
        <v>1350848</v>
      </c>
      <c r="AX301" s="12" t="n">
        <v>575741</v>
      </c>
      <c r="AY301" s="16" t="n">
        <v>13809</v>
      </c>
      <c r="AZ301" s="13" t="n">
        <f aca="false">IFERROR(AY301/AY300-1,"")</f>
        <v>0.123322215895225</v>
      </c>
      <c r="BA301" s="17" t="n">
        <v>0.962</v>
      </c>
      <c r="BB301" s="11" t="s">
        <v>161</v>
      </c>
      <c r="BC301" s="11" t="s">
        <v>126</v>
      </c>
      <c r="BD301" s="11" t="s">
        <v>83</v>
      </c>
      <c r="BE301" s="12" t="n">
        <v>2177356</v>
      </c>
      <c r="BF301" s="13" t="n">
        <f aca="false">IFERROR(P301/BE301-1,"")</f>
        <v>0.014918552593145</v>
      </c>
      <c r="BG301" s="17" t="n">
        <v>0.01</v>
      </c>
      <c r="BH301" s="17" t="n">
        <v>0.048</v>
      </c>
      <c r="BI301" s="14" t="n">
        <f aca="false">P301*(1+IFERROR(Q301,0))^4</f>
        <v>2569989.61951029</v>
      </c>
      <c r="BJ301" s="12" t="n">
        <v>-801383</v>
      </c>
      <c r="BK301" s="11" t="s">
        <v>102</v>
      </c>
      <c r="BL301" s="11" t="s">
        <v>162</v>
      </c>
      <c r="BM301" s="14" t="n">
        <f aca="false">O301</f>
        <v>16392237</v>
      </c>
      <c r="BN301" s="11" t="s">
        <v>370</v>
      </c>
      <c r="BO301" s="13" t="n">
        <f aca="false">IFERROR(1-L301/M301,"")</f>
        <v>0.092715676401477</v>
      </c>
      <c r="BP301" s="11" t="s">
        <v>142</v>
      </c>
      <c r="BQ301" s="12" t="n">
        <v>2262127</v>
      </c>
      <c r="BR301" s="11" t="s">
        <v>88</v>
      </c>
      <c r="BS301" s="11" t="s">
        <v>89</v>
      </c>
      <c r="BT301" s="19" t="str">
        <f aca="false">IF(OR(Z301&lt;6,AH301&lt;0.9,S301&lt;0.02,AK301&lt;1),"REVIEW",IF(AND(S301&gt;0.25,AH301&gt;1.2),"ACCELERATING","STABLE"))</f>
        <v>STABLE</v>
      </c>
    </row>
    <row r="302" customFormat="false" ht="15" hidden="false" customHeight="false" outlineLevel="0" collapsed="false">
      <c r="A302" s="3" t="s">
        <v>371</v>
      </c>
      <c r="B302" s="3" t="s">
        <v>73</v>
      </c>
      <c r="C302" s="3" t="s">
        <v>74</v>
      </c>
      <c r="D302" s="3" t="s">
        <v>165</v>
      </c>
      <c r="E302" s="3" t="s">
        <v>105</v>
      </c>
      <c r="F302" s="3" t="s">
        <v>372</v>
      </c>
      <c r="G302" s="3" t="s">
        <v>78</v>
      </c>
      <c r="H302" s="3" t="s">
        <v>79</v>
      </c>
      <c r="I302" s="3" t="s">
        <v>78</v>
      </c>
      <c r="J302" s="4" t="n">
        <v>2132000</v>
      </c>
      <c r="K302" s="5" t="n">
        <f aca="false">IFERROR(J302/M302,"")</f>
        <v>0.169488830590667</v>
      </c>
      <c r="L302" s="4" t="n">
        <v>10447000</v>
      </c>
      <c r="M302" s="6" t="n">
        <f aca="false">L302+J302</f>
        <v>12579000</v>
      </c>
      <c r="N302" s="4" t="n">
        <v>2644000</v>
      </c>
      <c r="O302" s="4" t="n">
        <v>8229300</v>
      </c>
      <c r="P302" s="4" t="n">
        <v>1020901</v>
      </c>
      <c r="Q302" s="7"/>
      <c r="R302" s="4" t="n">
        <v>1182713</v>
      </c>
      <c r="S302" s="7"/>
      <c r="T302" s="4" t="n">
        <v>650359</v>
      </c>
      <c r="U302" s="5" t="n">
        <f aca="false">IFERROR(T302/P302,"")</f>
        <v>0.637044140421059</v>
      </c>
      <c r="V302" s="6" t="n">
        <f aca="false">T302-AV302</f>
        <v>-953675</v>
      </c>
      <c r="W302" s="6" t="n">
        <f aca="false">V302-AA302*0.1</f>
        <v>-953675</v>
      </c>
      <c r="X302" s="4" t="n">
        <v>1236820</v>
      </c>
      <c r="Y302" s="4" t="n">
        <v>79540</v>
      </c>
      <c r="Z302" s="8" t="n">
        <f aca="false">IFERROR(X302/Y302,"")</f>
        <v>15.5496605481519</v>
      </c>
      <c r="AA302" s="4" t="n">
        <v>0</v>
      </c>
      <c r="AB302" s="6" t="n">
        <f aca="false">W302-0.02*P302</f>
        <v>-974093.02</v>
      </c>
      <c r="AC302" s="9" t="n">
        <v>71</v>
      </c>
      <c r="AD302" s="7"/>
      <c r="AE302" s="7" t="n">
        <v>0.175</v>
      </c>
      <c r="AF302" s="7" t="n">
        <v>0.151</v>
      </c>
      <c r="AG302" s="5" t="n">
        <f aca="false">1-AF302</f>
        <v>0.849</v>
      </c>
      <c r="AH302" s="7" t="n">
        <v>0.891</v>
      </c>
      <c r="AI302" s="4" t="n">
        <v>29868</v>
      </c>
      <c r="AJ302" s="6" t="n">
        <f aca="false">IFERROR(AM302*U302*MIN(1/AE302,5),"")</f>
        <v>31852.207021053</v>
      </c>
      <c r="AK302" s="10" t="n">
        <f aca="false">IFERROR(AJ302/AI302,"")</f>
        <v>1.06643253719877</v>
      </c>
      <c r="AL302" s="8" t="n">
        <f aca="false">IFERROR(AI302/(AM302*U302/12),"")</f>
        <v>56.262349381803</v>
      </c>
      <c r="AM302" s="4" t="n">
        <v>10000</v>
      </c>
      <c r="AN302" s="4" t="n">
        <v>1374450</v>
      </c>
      <c r="AO302" s="4" t="n">
        <v>3084493</v>
      </c>
      <c r="AP302" s="7" t="n">
        <v>0.34</v>
      </c>
      <c r="AQ302" s="9" t="n">
        <v>27</v>
      </c>
      <c r="AR302" s="9" t="n">
        <v>2</v>
      </c>
      <c r="AS302" s="7"/>
      <c r="AT302" s="3" t="s">
        <v>118</v>
      </c>
      <c r="AU302" s="6" t="n">
        <f aca="false">IFERROR(P302/AR302,"")</f>
        <v>510450.5</v>
      </c>
      <c r="AV302" s="4" t="n">
        <v>1604034</v>
      </c>
      <c r="AW302" s="4" t="n">
        <v>719060</v>
      </c>
      <c r="AX302" s="4" t="n">
        <v>313939</v>
      </c>
      <c r="AY302" s="9" t="n">
        <v>6161</v>
      </c>
      <c r="AZ302" s="7"/>
      <c r="BA302" s="7" t="n">
        <v>0.829</v>
      </c>
      <c r="BB302" s="3" t="s">
        <v>146</v>
      </c>
      <c r="BC302" s="3" t="s">
        <v>120</v>
      </c>
      <c r="BD302" s="3" t="s">
        <v>101</v>
      </c>
      <c r="BE302" s="4" t="n">
        <v>1299888</v>
      </c>
      <c r="BF302" s="5" t="n">
        <f aca="false">IFERROR(P302/BE302-1,"")</f>
        <v>-0.214623875287717</v>
      </c>
      <c r="BG302" s="7" t="n">
        <v>0.203</v>
      </c>
      <c r="BH302" s="7" t="n">
        <v>0.211</v>
      </c>
      <c r="BI302" s="6" t="n">
        <f aca="false">P302</f>
        <v>1020901</v>
      </c>
      <c r="BJ302" s="4" t="n">
        <v>-619785</v>
      </c>
      <c r="BK302" s="3" t="s">
        <v>139</v>
      </c>
      <c r="BL302" s="3" t="s">
        <v>148</v>
      </c>
      <c r="BM302" s="6" t="n">
        <f aca="false">O302</f>
        <v>8229300</v>
      </c>
      <c r="BN302" s="3" t="s">
        <v>373</v>
      </c>
      <c r="BO302" s="5" t="n">
        <f aca="false">IFERROR(1-L302/M302,"")</f>
        <v>0.169488830590667</v>
      </c>
      <c r="BP302" s="3" t="s">
        <v>198</v>
      </c>
      <c r="BQ302" s="4" t="n">
        <v>1139534</v>
      </c>
      <c r="BR302" s="3" t="s">
        <v>88</v>
      </c>
      <c r="BS302" s="3" t="s">
        <v>89</v>
      </c>
      <c r="BT302" s="3" t="s">
        <v>90</v>
      </c>
    </row>
    <row r="303" customFormat="false" ht="15" hidden="false" customHeight="false" outlineLevel="0" collapsed="false">
      <c r="A303" s="11" t="s">
        <v>371</v>
      </c>
      <c r="B303" s="11" t="s">
        <v>91</v>
      </c>
      <c r="C303" s="11" t="s">
        <v>74</v>
      </c>
      <c r="D303" s="11" t="s">
        <v>165</v>
      </c>
      <c r="E303" s="11" t="s">
        <v>105</v>
      </c>
      <c r="F303" s="11" t="s">
        <v>372</v>
      </c>
      <c r="G303" s="11" t="s">
        <v>78</v>
      </c>
      <c r="H303" s="11" t="s">
        <v>79</v>
      </c>
      <c r="I303" s="11" t="s">
        <v>78</v>
      </c>
      <c r="J303" s="12" t="n">
        <v>2132000</v>
      </c>
      <c r="K303" s="13" t="n">
        <f aca="false">IFERROR(J303/M303,"")</f>
        <v>0.169488830590667</v>
      </c>
      <c r="L303" s="12" t="n">
        <v>10447000</v>
      </c>
      <c r="M303" s="14" t="n">
        <f aca="false">L303+J303</f>
        <v>12579000</v>
      </c>
      <c r="N303" s="12" t="n">
        <v>2644000</v>
      </c>
      <c r="O303" s="12" t="n">
        <v>8229300</v>
      </c>
      <c r="P303" s="12" t="n">
        <v>946564</v>
      </c>
      <c r="Q303" s="13" t="n">
        <f aca="false">IFERROR(P303/P302-1,"")</f>
        <v>-0.0728150917669784</v>
      </c>
      <c r="R303" s="12" t="n">
        <v>1083942</v>
      </c>
      <c r="S303" s="13" t="n">
        <f aca="false">IFERROR(R303/R302-1,"")</f>
        <v>-0.0835122299323674</v>
      </c>
      <c r="T303" s="12" t="n">
        <v>591626</v>
      </c>
      <c r="U303" s="13" t="n">
        <f aca="false">IFERROR(T303/P303,"")</f>
        <v>0.625024826636128</v>
      </c>
      <c r="V303" s="14" t="n">
        <f aca="false">T303-AV303</f>
        <v>-827677</v>
      </c>
      <c r="W303" s="14" t="n">
        <f aca="false">V303-AA303*0.1</f>
        <v>-827677</v>
      </c>
      <c r="X303" s="12" t="n">
        <v>1012750</v>
      </c>
      <c r="Y303" s="12" t="n">
        <v>85360</v>
      </c>
      <c r="Z303" s="15" t="n">
        <f aca="false">IFERROR(X303/Y303,"")</f>
        <v>11.8644564198688</v>
      </c>
      <c r="AA303" s="12" t="n">
        <v>0</v>
      </c>
      <c r="AB303" s="14" t="n">
        <f aca="false">W303-0.02*P303</f>
        <v>-846608.28</v>
      </c>
      <c r="AC303" s="16" t="n">
        <v>65</v>
      </c>
      <c r="AD303" s="13" t="n">
        <f aca="false">IFERROR(AC303/AC302-1,"")</f>
        <v>-0.0845070422535211</v>
      </c>
      <c r="AE303" s="17" t="n">
        <v>0.207</v>
      </c>
      <c r="AF303" s="17" t="n">
        <v>0.126</v>
      </c>
      <c r="AG303" s="13" t="n">
        <f aca="false">1-AF303</f>
        <v>0.874</v>
      </c>
      <c r="AH303" s="17" t="n">
        <v>0.851</v>
      </c>
      <c r="AI303" s="12" t="n">
        <v>33012</v>
      </c>
      <c r="AJ303" s="14" t="n">
        <f aca="false">IFERROR(AM303*U303*MIN(1/AE303,5),"")</f>
        <v>30798.3247907657</v>
      </c>
      <c r="AK303" s="18" t="n">
        <f aca="false">IFERROR(AJ303/AI303,"")</f>
        <v>0.932943317301761</v>
      </c>
      <c r="AL303" s="15" t="n">
        <f aca="false">IFERROR(AI303/(AM303*U303/12),"")</f>
        <v>62.1377670193471</v>
      </c>
      <c r="AM303" s="12" t="n">
        <v>10200</v>
      </c>
      <c r="AN303" s="12" t="n">
        <v>1016010</v>
      </c>
      <c r="AO303" s="12" t="n">
        <v>3986733</v>
      </c>
      <c r="AP303" s="17" t="n">
        <v>0.34</v>
      </c>
      <c r="AQ303" s="16" t="n">
        <v>27</v>
      </c>
      <c r="AR303" s="16" t="n">
        <v>2</v>
      </c>
      <c r="AS303" s="13" t="n">
        <f aca="false">IFERROR(AR303/AR302-1,"")</f>
        <v>0</v>
      </c>
      <c r="AT303" s="11" t="s">
        <v>118</v>
      </c>
      <c r="AU303" s="14" t="n">
        <f aca="false">IFERROR(P303/AR303,"")</f>
        <v>473282</v>
      </c>
      <c r="AV303" s="12" t="n">
        <v>1419303</v>
      </c>
      <c r="AW303" s="12" t="n">
        <v>485599</v>
      </c>
      <c r="AX303" s="12" t="n">
        <v>306424</v>
      </c>
      <c r="AY303" s="16" t="n">
        <v>5621</v>
      </c>
      <c r="AZ303" s="13" t="n">
        <f aca="false">IFERROR(AY303/AY302-1,"")</f>
        <v>-0.0876481090732024</v>
      </c>
      <c r="BA303" s="17" t="n">
        <v>0.826</v>
      </c>
      <c r="BB303" s="11" t="s">
        <v>146</v>
      </c>
      <c r="BC303" s="11" t="s">
        <v>120</v>
      </c>
      <c r="BD303" s="11" t="s">
        <v>101</v>
      </c>
      <c r="BE303" s="12" t="n">
        <v>1185239</v>
      </c>
      <c r="BF303" s="13" t="n">
        <f aca="false">IFERROR(P303/BE303-1,"")</f>
        <v>-0.20137288766232</v>
      </c>
      <c r="BG303" s="17" t="n">
        <v>0.167</v>
      </c>
      <c r="BH303" s="17" t="n">
        <v>0.225</v>
      </c>
      <c r="BI303" s="14" t="n">
        <f aca="false">P303*(1+IFERROR(Q303,0))^4</f>
        <v>699544.585168064</v>
      </c>
      <c r="BJ303" s="12" t="n">
        <v>-1006385</v>
      </c>
      <c r="BK303" s="11" t="s">
        <v>139</v>
      </c>
      <c r="BL303" s="11" t="s">
        <v>148</v>
      </c>
      <c r="BM303" s="14" t="n">
        <f aca="false">O303</f>
        <v>8229300</v>
      </c>
      <c r="BN303" s="11" t="s">
        <v>373</v>
      </c>
      <c r="BO303" s="13" t="n">
        <f aca="false">IFERROR(1-L303/M303,"")</f>
        <v>0.169488830590667</v>
      </c>
      <c r="BP303" s="11" t="s">
        <v>198</v>
      </c>
      <c r="BQ303" s="12" t="n">
        <v>1506475</v>
      </c>
      <c r="BR303" s="11" t="s">
        <v>88</v>
      </c>
      <c r="BS303" s="11" t="s">
        <v>89</v>
      </c>
      <c r="BT303" s="19" t="str">
        <f aca="false">IF(OR(Z303&lt;6,AH303&lt;0.9,S303&lt;0.02,AK303&lt;1),"REVIEW",IF(AND(S303&gt;0.25,AH303&gt;1.2),"ACCELERATING","STABLE"))</f>
        <v>REVIEW</v>
      </c>
    </row>
    <row r="304" customFormat="false" ht="15" hidden="false" customHeight="false" outlineLevel="0" collapsed="false">
      <c r="A304" s="11" t="s">
        <v>371</v>
      </c>
      <c r="B304" s="11" t="s">
        <v>92</v>
      </c>
      <c r="C304" s="11" t="s">
        <v>74</v>
      </c>
      <c r="D304" s="11" t="s">
        <v>165</v>
      </c>
      <c r="E304" s="11" t="s">
        <v>105</v>
      </c>
      <c r="F304" s="11" t="s">
        <v>372</v>
      </c>
      <c r="G304" s="11" t="s">
        <v>78</v>
      </c>
      <c r="H304" s="11" t="s">
        <v>79</v>
      </c>
      <c r="I304" s="11" t="s">
        <v>78</v>
      </c>
      <c r="J304" s="12" t="n">
        <v>2132000</v>
      </c>
      <c r="K304" s="13" t="n">
        <f aca="false">IFERROR(J304/M304,"")</f>
        <v>0.169488830590667</v>
      </c>
      <c r="L304" s="12" t="n">
        <v>10447000</v>
      </c>
      <c r="M304" s="14" t="n">
        <f aca="false">L304+J304</f>
        <v>12579000</v>
      </c>
      <c r="N304" s="12" t="n">
        <v>2644000</v>
      </c>
      <c r="O304" s="12" t="n">
        <v>8229300</v>
      </c>
      <c r="P304" s="12" t="n">
        <v>856102</v>
      </c>
      <c r="Q304" s="13" t="n">
        <f aca="false">IFERROR(P304/P303-1,"")</f>
        <v>-0.0955688152095369</v>
      </c>
      <c r="R304" s="12" t="n">
        <v>1001196</v>
      </c>
      <c r="S304" s="13" t="n">
        <f aca="false">IFERROR(R304/R303-1,"")</f>
        <v>-0.076338032846776</v>
      </c>
      <c r="T304" s="12" t="n">
        <v>524794</v>
      </c>
      <c r="U304" s="13" t="n">
        <f aca="false">IFERROR(T304/P304,"")</f>
        <v>0.613004057927677</v>
      </c>
      <c r="V304" s="14" t="n">
        <f aca="false">T304-AV304</f>
        <v>-1043539</v>
      </c>
      <c r="W304" s="14" t="n">
        <f aca="false">V304-AA304*0.1</f>
        <v>-1043539</v>
      </c>
      <c r="X304" s="12" t="n">
        <v>750268</v>
      </c>
      <c r="Y304" s="12" t="n">
        <v>91180</v>
      </c>
      <c r="Z304" s="15" t="n">
        <f aca="false">IFERROR(X304/Y304,"")</f>
        <v>8.22842728668568</v>
      </c>
      <c r="AA304" s="12" t="n">
        <v>0</v>
      </c>
      <c r="AB304" s="14" t="n">
        <f aca="false">W304-0.02*P304</f>
        <v>-1060661.04</v>
      </c>
      <c r="AC304" s="16" t="n">
        <v>62</v>
      </c>
      <c r="AD304" s="13" t="n">
        <f aca="false">IFERROR(AC304/AC303-1,"")</f>
        <v>-0.0461538461538461</v>
      </c>
      <c r="AE304" s="17" t="n">
        <v>0.24</v>
      </c>
      <c r="AF304" s="17" t="n">
        <v>0.238</v>
      </c>
      <c r="AG304" s="13" t="n">
        <f aca="false">1-AF304</f>
        <v>0.762</v>
      </c>
      <c r="AH304" s="17" t="n">
        <v>0.811</v>
      </c>
      <c r="AI304" s="12" t="n">
        <v>36156</v>
      </c>
      <c r="AJ304" s="14" t="n">
        <f aca="false">IFERROR(AM304*U304*MIN(1/AE304,5),"")</f>
        <v>26563.509176866</v>
      </c>
      <c r="AK304" s="18" t="n">
        <f aca="false">IFERROR(AJ304/AI304,"")</f>
        <v>0.734691591350426</v>
      </c>
      <c r="AL304" s="15" t="n">
        <f aca="false">IFERROR(AI304/(AM304*U304/12),"")</f>
        <v>68.055767329657</v>
      </c>
      <c r="AM304" s="12" t="n">
        <v>10400</v>
      </c>
      <c r="AN304" s="12" t="n">
        <v>1487360</v>
      </c>
      <c r="AO304" s="12" t="n">
        <v>2838093</v>
      </c>
      <c r="AP304" s="17" t="n">
        <v>0.34</v>
      </c>
      <c r="AQ304" s="16" t="n">
        <v>27</v>
      </c>
      <c r="AR304" s="16" t="n">
        <v>2</v>
      </c>
      <c r="AS304" s="13" t="n">
        <f aca="false">IFERROR(AR304/AR303-1,"")</f>
        <v>0</v>
      </c>
      <c r="AT304" s="11" t="s">
        <v>118</v>
      </c>
      <c r="AU304" s="14" t="n">
        <f aca="false">IFERROR(P304/AR304,"")</f>
        <v>428051</v>
      </c>
      <c r="AV304" s="12" t="n">
        <v>1568333</v>
      </c>
      <c r="AW304" s="12" t="n">
        <v>731935</v>
      </c>
      <c r="AX304" s="12" t="n">
        <v>344527</v>
      </c>
      <c r="AY304" s="16" t="n">
        <v>5347</v>
      </c>
      <c r="AZ304" s="13" t="n">
        <f aca="false">IFERROR(AY304/AY303-1,"")</f>
        <v>-0.048745774773172</v>
      </c>
      <c r="BA304" s="17" t="n">
        <v>0.81</v>
      </c>
      <c r="BB304" s="11" t="s">
        <v>146</v>
      </c>
      <c r="BC304" s="11" t="s">
        <v>120</v>
      </c>
      <c r="BD304" s="11" t="s">
        <v>101</v>
      </c>
      <c r="BE304" s="12" t="n">
        <v>1218116</v>
      </c>
      <c r="BF304" s="13" t="n">
        <f aca="false">IFERROR(P304/BE304-1,"")</f>
        <v>-0.297191728866545</v>
      </c>
      <c r="BG304" s="17" t="n">
        <v>0.155</v>
      </c>
      <c r="BH304" s="17" t="n">
        <v>0.191</v>
      </c>
      <c r="BI304" s="14" t="n">
        <f aca="false">P304*(1+IFERROR(Q304,0))^4</f>
        <v>572832.467426704</v>
      </c>
      <c r="BJ304" s="12" t="n">
        <v>-925155</v>
      </c>
      <c r="BK304" s="11" t="s">
        <v>139</v>
      </c>
      <c r="BL304" s="11" t="s">
        <v>148</v>
      </c>
      <c r="BM304" s="14" t="n">
        <f aca="false">O304</f>
        <v>8229300</v>
      </c>
      <c r="BN304" s="11" t="s">
        <v>373</v>
      </c>
      <c r="BO304" s="13" t="n">
        <f aca="false">IFERROR(1-L304/M304,"")</f>
        <v>0.169488830590667</v>
      </c>
      <c r="BP304" s="11" t="s">
        <v>198</v>
      </c>
      <c r="BQ304" s="12" t="n">
        <v>1491814</v>
      </c>
      <c r="BR304" s="11" t="s">
        <v>88</v>
      </c>
      <c r="BS304" s="11" t="s">
        <v>89</v>
      </c>
      <c r="BT304" s="19" t="str">
        <f aca="false">IF(OR(Z304&lt;6,AH304&lt;0.9,S304&lt;0.02,AK304&lt;1),"REVIEW",IF(AND(S304&gt;0.25,AH304&gt;1.2),"ACCELERATING","STABLE"))</f>
        <v>REVIEW</v>
      </c>
    </row>
    <row r="305" customFormat="false" ht="15" hidden="false" customHeight="false" outlineLevel="0" collapsed="false">
      <c r="A305" s="11" t="s">
        <v>371</v>
      </c>
      <c r="B305" s="11" t="s">
        <v>93</v>
      </c>
      <c r="C305" s="11" t="s">
        <v>74</v>
      </c>
      <c r="D305" s="11" t="s">
        <v>165</v>
      </c>
      <c r="E305" s="11" t="s">
        <v>105</v>
      </c>
      <c r="F305" s="11" t="s">
        <v>372</v>
      </c>
      <c r="G305" s="11" t="s">
        <v>78</v>
      </c>
      <c r="H305" s="11" t="s">
        <v>79</v>
      </c>
      <c r="I305" s="11" t="s">
        <v>78</v>
      </c>
      <c r="J305" s="12" t="n">
        <v>2132000</v>
      </c>
      <c r="K305" s="13" t="n">
        <f aca="false">IFERROR(J305/M305,"")</f>
        <v>0.169488830590667</v>
      </c>
      <c r="L305" s="12" t="n">
        <v>10447000</v>
      </c>
      <c r="M305" s="14" t="n">
        <f aca="false">L305+J305</f>
        <v>12579000</v>
      </c>
      <c r="N305" s="12" t="n">
        <v>2644000</v>
      </c>
      <c r="O305" s="12" t="n">
        <v>8229300</v>
      </c>
      <c r="P305" s="12" t="n">
        <v>808210</v>
      </c>
      <c r="Q305" s="13" t="n">
        <f aca="false">IFERROR(P305/P304-1,"")</f>
        <v>-0.0559419321529444</v>
      </c>
      <c r="R305" s="12" t="n">
        <v>912586</v>
      </c>
      <c r="S305" s="13" t="n">
        <f aca="false">IFERROR(R305/R304-1,"")</f>
        <v>-0.0885041490377508</v>
      </c>
      <c r="T305" s="12" t="n">
        <v>485722</v>
      </c>
      <c r="U305" s="13" t="n">
        <f aca="false">IFERROR(T305/P305,"")</f>
        <v>0.600984892540305</v>
      </c>
      <c r="V305" s="14" t="n">
        <f aca="false">T305-AV305</f>
        <v>-1233628</v>
      </c>
      <c r="W305" s="14" t="n">
        <f aca="false">V305-AA305*0.1</f>
        <v>-1233628</v>
      </c>
      <c r="X305" s="12" t="n">
        <v>449374</v>
      </c>
      <c r="Y305" s="12" t="n">
        <v>97000</v>
      </c>
      <c r="Z305" s="15" t="n">
        <f aca="false">IFERROR(X305/Y305,"")</f>
        <v>4.63272164948454</v>
      </c>
      <c r="AA305" s="12" t="n">
        <v>0</v>
      </c>
      <c r="AB305" s="14" t="n">
        <f aca="false">W305-0.02*P305</f>
        <v>-1249792.2</v>
      </c>
      <c r="AC305" s="16" t="n">
        <v>57</v>
      </c>
      <c r="AD305" s="13" t="n">
        <f aca="false">IFERROR(AC305/AC304-1,"")</f>
        <v>-0.0806451612903226</v>
      </c>
      <c r="AE305" s="17" t="n">
        <v>0.273</v>
      </c>
      <c r="AF305" s="17" t="n">
        <v>0.221</v>
      </c>
      <c r="AG305" s="13" t="n">
        <f aca="false">1-AF305</f>
        <v>0.779</v>
      </c>
      <c r="AH305" s="17" t="n">
        <v>0.771</v>
      </c>
      <c r="AI305" s="12" t="n">
        <v>39300</v>
      </c>
      <c r="AJ305" s="14" t="n">
        <f aca="false">IFERROR(AM305*U305*MIN(1/AE305,5),"")</f>
        <v>23334.944545521</v>
      </c>
      <c r="AK305" s="18" t="n">
        <f aca="false">IFERROR(AJ305/AI305,"")</f>
        <v>0.593764492252443</v>
      </c>
      <c r="AL305" s="15" t="n">
        <f aca="false">IFERROR(AI305/(AM305*U305/12),"")</f>
        <v>74.0294250154584</v>
      </c>
      <c r="AM305" s="12" t="n">
        <v>10600</v>
      </c>
      <c r="AN305" s="12" t="n">
        <v>1058207</v>
      </c>
      <c r="AO305" s="12" t="n">
        <v>3624334</v>
      </c>
      <c r="AP305" s="17" t="n">
        <v>0.34</v>
      </c>
      <c r="AQ305" s="16" t="n">
        <v>27</v>
      </c>
      <c r="AR305" s="16" t="n">
        <v>2</v>
      </c>
      <c r="AS305" s="13" t="n">
        <f aca="false">IFERROR(AR305/AR304-1,"")</f>
        <v>0</v>
      </c>
      <c r="AT305" s="11" t="s">
        <v>118</v>
      </c>
      <c r="AU305" s="14" t="n">
        <f aca="false">IFERROR(P305/AR305,"")</f>
        <v>404105</v>
      </c>
      <c r="AV305" s="12" t="n">
        <v>1719350</v>
      </c>
      <c r="AW305" s="12" t="n">
        <v>653143</v>
      </c>
      <c r="AX305" s="12" t="n">
        <v>423221</v>
      </c>
      <c r="AY305" s="16" t="n">
        <v>4926</v>
      </c>
      <c r="AZ305" s="13" t="n">
        <f aca="false">IFERROR(AY305/AY304-1,"")</f>
        <v>-0.078735739667103</v>
      </c>
      <c r="BA305" s="17" t="n">
        <v>0.789</v>
      </c>
      <c r="BB305" s="11" t="s">
        <v>146</v>
      </c>
      <c r="BC305" s="11" t="s">
        <v>120</v>
      </c>
      <c r="BD305" s="11" t="s">
        <v>101</v>
      </c>
      <c r="BE305" s="12" t="n">
        <v>1365336</v>
      </c>
      <c r="BF305" s="13" t="n">
        <f aca="false">IFERROR(P305/BE305-1,"")</f>
        <v>-0.408050472557671</v>
      </c>
      <c r="BG305" s="17" t="n">
        <v>0.196</v>
      </c>
      <c r="BH305" s="17" t="n">
        <v>0.185</v>
      </c>
      <c r="BI305" s="14" t="n">
        <f aca="false">P305*(1+IFERROR(Q305,0))^4</f>
        <v>641976.383397635</v>
      </c>
      <c r="BJ305" s="12" t="n">
        <v>-646199</v>
      </c>
      <c r="BK305" s="11" t="s">
        <v>139</v>
      </c>
      <c r="BL305" s="11" t="s">
        <v>148</v>
      </c>
      <c r="BM305" s="14" t="n">
        <f aca="false">O305</f>
        <v>8229300</v>
      </c>
      <c r="BN305" s="11" t="s">
        <v>373</v>
      </c>
      <c r="BO305" s="13" t="n">
        <f aca="false">IFERROR(1-L305/M305,"")</f>
        <v>0.169488830590667</v>
      </c>
      <c r="BP305" s="11" t="s">
        <v>198</v>
      </c>
      <c r="BQ305" s="12" t="n">
        <v>1678086</v>
      </c>
      <c r="BR305" s="11" t="s">
        <v>88</v>
      </c>
      <c r="BS305" s="11" t="s">
        <v>89</v>
      </c>
      <c r="BT305" s="19" t="str">
        <f aca="false">IF(OR(Z305&lt;6,AH305&lt;0.9,S305&lt;0.02,AK305&lt;1),"REVIEW",IF(AND(S305&gt;0.25,AH305&gt;1.2),"ACCELERATING","STABLE"))</f>
        <v>REVIEW</v>
      </c>
    </row>
    <row r="306" customFormat="false" ht="15" hidden="false" customHeight="false" outlineLevel="0" collapsed="false">
      <c r="A306" s="3" t="s">
        <v>374</v>
      </c>
      <c r="B306" s="3" t="s">
        <v>73</v>
      </c>
      <c r="C306" s="3" t="s">
        <v>74</v>
      </c>
      <c r="D306" s="3" t="s">
        <v>75</v>
      </c>
      <c r="E306" s="3" t="s">
        <v>365</v>
      </c>
      <c r="F306" s="3" t="s">
        <v>375</v>
      </c>
      <c r="G306" s="3" t="s">
        <v>78</v>
      </c>
      <c r="H306" s="3" t="s">
        <v>79</v>
      </c>
      <c r="I306" s="3" t="s">
        <v>78</v>
      </c>
      <c r="J306" s="4" t="n">
        <v>3890000</v>
      </c>
      <c r="K306" s="5" t="n">
        <f aca="false">IFERROR(J306/M306,"")</f>
        <v>0.196335739161157</v>
      </c>
      <c r="L306" s="4" t="n">
        <v>15923000</v>
      </c>
      <c r="M306" s="6" t="n">
        <f aca="false">L306+J306</f>
        <v>19813000</v>
      </c>
      <c r="N306" s="4" t="n">
        <v>7801000</v>
      </c>
      <c r="O306" s="4" t="n">
        <v>24135023</v>
      </c>
      <c r="P306" s="4" t="n">
        <v>201727</v>
      </c>
      <c r="Q306" s="7"/>
      <c r="R306" s="4" t="n">
        <v>215721</v>
      </c>
      <c r="S306" s="7"/>
      <c r="T306" s="4" t="n">
        <v>114942</v>
      </c>
      <c r="U306" s="5" t="n">
        <f aca="false">IFERROR(T306/P306,"")</f>
        <v>0.569789864519871</v>
      </c>
      <c r="V306" s="6" t="n">
        <f aca="false">T306-AV306</f>
        <v>-1727280</v>
      </c>
      <c r="W306" s="6" t="n">
        <f aca="false">V306-AA306*0.1</f>
        <v>-1727280</v>
      </c>
      <c r="X306" s="4" t="n">
        <v>1250550</v>
      </c>
      <c r="Y306" s="4" t="n">
        <v>135590</v>
      </c>
      <c r="Z306" s="8" t="n">
        <f aca="false">IFERROR(X306/Y306,"")</f>
        <v>9.2230252968508</v>
      </c>
      <c r="AA306" s="4" t="n">
        <v>0</v>
      </c>
      <c r="AB306" s="6" t="n">
        <f aca="false">W306-0.02*P306</f>
        <v>-1731314.54</v>
      </c>
      <c r="AC306" s="9" t="n">
        <v>24</v>
      </c>
      <c r="AD306" s="7"/>
      <c r="AE306" s="7" t="n">
        <v>0.048</v>
      </c>
      <c r="AF306" s="7" t="n">
        <v>0.037</v>
      </c>
      <c r="AG306" s="5" t="n">
        <f aca="false">1-AF306</f>
        <v>0.963</v>
      </c>
      <c r="AH306" s="7" t="n">
        <v>1.152</v>
      </c>
      <c r="AI306" s="4" t="n">
        <v>26076</v>
      </c>
      <c r="AJ306" s="6" t="n">
        <f aca="false">IFERROR(AM306*U306*MIN(1/AE306,5),"")</f>
        <v>102562.175613577</v>
      </c>
      <c r="AK306" s="10" t="n">
        <f aca="false">IFERROR(AJ306/AI306,"")</f>
        <v>3.93320201003132</v>
      </c>
      <c r="AL306" s="8" t="n">
        <f aca="false">IFERROR(AI306/(AM306*U306/12),"")</f>
        <v>15.2547466026344</v>
      </c>
      <c r="AM306" s="4" t="n">
        <v>36000</v>
      </c>
      <c r="AN306" s="4" t="n">
        <v>224522</v>
      </c>
      <c r="AO306" s="4" t="n">
        <v>630407</v>
      </c>
      <c r="AP306" s="7" t="n">
        <v>0.283</v>
      </c>
      <c r="AQ306" s="9" t="n">
        <v>65</v>
      </c>
      <c r="AR306" s="9" t="n">
        <v>3</v>
      </c>
      <c r="AS306" s="7"/>
      <c r="AT306" s="3" t="s">
        <v>134</v>
      </c>
      <c r="AU306" s="6" t="n">
        <f aca="false">IFERROR(P306/AR306,"")</f>
        <v>67242.3333333333</v>
      </c>
      <c r="AV306" s="4" t="n">
        <v>1842222</v>
      </c>
      <c r="AW306" s="4" t="n">
        <v>632160</v>
      </c>
      <c r="AX306" s="4" t="n">
        <v>504857</v>
      </c>
      <c r="AY306" s="9" t="n">
        <v>6836</v>
      </c>
      <c r="AZ306" s="7"/>
      <c r="BA306" s="7" t="n">
        <v>0.964</v>
      </c>
      <c r="BB306" s="3" t="s">
        <v>161</v>
      </c>
      <c r="BC306" s="3" t="s">
        <v>108</v>
      </c>
      <c r="BD306" s="3" t="s">
        <v>175</v>
      </c>
      <c r="BE306" s="4" t="n">
        <v>236071</v>
      </c>
      <c r="BF306" s="5" t="n">
        <f aca="false">IFERROR(P306/BE306-1,"")</f>
        <v>-0.145481655942492</v>
      </c>
      <c r="BG306" s="7" t="n">
        <v>0.054</v>
      </c>
      <c r="BH306" s="7" t="n">
        <v>0.044</v>
      </c>
      <c r="BI306" s="6" t="n">
        <f aca="false">P306</f>
        <v>201727</v>
      </c>
      <c r="BJ306" s="4" t="n">
        <v>-1025132</v>
      </c>
      <c r="BK306" s="3" t="s">
        <v>192</v>
      </c>
      <c r="BL306" s="3" t="s">
        <v>162</v>
      </c>
      <c r="BM306" s="6" t="n">
        <f aca="false">O306</f>
        <v>24135023</v>
      </c>
      <c r="BN306" s="3" t="s">
        <v>376</v>
      </c>
      <c r="BO306" s="5" t="n">
        <f aca="false">IFERROR(1-L306/M306,"")</f>
        <v>0.196335739161157</v>
      </c>
      <c r="BP306" s="3" t="s">
        <v>113</v>
      </c>
      <c r="BQ306" s="4" t="n">
        <v>1920060</v>
      </c>
      <c r="BR306" s="3" t="s">
        <v>88</v>
      </c>
      <c r="BS306" s="3" t="s">
        <v>89</v>
      </c>
      <c r="BT306" s="3" t="s">
        <v>90</v>
      </c>
    </row>
    <row r="307" customFormat="false" ht="15" hidden="false" customHeight="false" outlineLevel="0" collapsed="false">
      <c r="A307" s="11" t="s">
        <v>374</v>
      </c>
      <c r="B307" s="11" t="s">
        <v>91</v>
      </c>
      <c r="C307" s="11" t="s">
        <v>74</v>
      </c>
      <c r="D307" s="11" t="s">
        <v>75</v>
      </c>
      <c r="E307" s="11" t="s">
        <v>365</v>
      </c>
      <c r="F307" s="11" t="s">
        <v>375</v>
      </c>
      <c r="G307" s="11" t="s">
        <v>78</v>
      </c>
      <c r="H307" s="11" t="s">
        <v>79</v>
      </c>
      <c r="I307" s="11" t="s">
        <v>78</v>
      </c>
      <c r="J307" s="12" t="n">
        <v>3890000</v>
      </c>
      <c r="K307" s="13" t="n">
        <f aca="false">IFERROR(J307/M307,"")</f>
        <v>0.196335739161157</v>
      </c>
      <c r="L307" s="12" t="n">
        <v>15923000</v>
      </c>
      <c r="M307" s="14" t="n">
        <f aca="false">L307+J307</f>
        <v>19813000</v>
      </c>
      <c r="N307" s="12" t="n">
        <v>7801000</v>
      </c>
      <c r="O307" s="12" t="n">
        <v>24135023</v>
      </c>
      <c r="P307" s="12" t="n">
        <v>250281</v>
      </c>
      <c r="Q307" s="13" t="n">
        <f aca="false">IFERROR(P307/P306-1,"")</f>
        <v>0.240691627793999</v>
      </c>
      <c r="R307" s="12" t="n">
        <v>291068</v>
      </c>
      <c r="S307" s="13" t="n">
        <f aca="false">IFERROR(R307/R306-1,"")</f>
        <v>0.349279856852138</v>
      </c>
      <c r="T307" s="12" t="n">
        <v>143185</v>
      </c>
      <c r="U307" s="13" t="n">
        <f aca="false">IFERROR(T307/P307,"")</f>
        <v>0.572096963013573</v>
      </c>
      <c r="V307" s="14" t="n">
        <f aca="false">T307-AV307</f>
        <v>-1680738</v>
      </c>
      <c r="W307" s="14" t="n">
        <f aca="false">V307-AA307*0.1</f>
        <v>-1680738</v>
      </c>
      <c r="X307" s="12" t="n">
        <v>1607850</v>
      </c>
      <c r="Y307" s="12" t="n">
        <v>140060</v>
      </c>
      <c r="Z307" s="15" t="n">
        <f aca="false">IFERROR(X307/Y307,"")</f>
        <v>11.4797229758675</v>
      </c>
      <c r="AA307" s="12" t="n">
        <v>0</v>
      </c>
      <c r="AB307" s="14" t="n">
        <f aca="false">W307-0.02*P307</f>
        <v>-1685743.62</v>
      </c>
      <c r="AC307" s="16" t="n">
        <v>29</v>
      </c>
      <c r="AD307" s="13" t="n">
        <f aca="false">IFERROR(AC307/AC306-1,"")</f>
        <v>0.208333333333333</v>
      </c>
      <c r="AE307" s="17" t="n">
        <v>0.047</v>
      </c>
      <c r="AF307" s="17" t="n">
        <v>0.034</v>
      </c>
      <c r="AG307" s="13" t="n">
        <f aca="false">1-AF307</f>
        <v>0.966</v>
      </c>
      <c r="AH307" s="17" t="n">
        <v>1.182</v>
      </c>
      <c r="AI307" s="12" t="n">
        <v>25584</v>
      </c>
      <c r="AJ307" s="14" t="n">
        <f aca="false">IFERROR(AM307*U307*MIN(1/AE307,5),"")</f>
        <v>105037.002409292</v>
      </c>
      <c r="AK307" s="18" t="n">
        <f aca="false">IFERROR(AJ307/AI307,"")</f>
        <v>4.1055738902944</v>
      </c>
      <c r="AL307" s="15" t="n">
        <f aca="false">IFERROR(AI307/(AM307*U307/12),"")</f>
        <v>14.6142784427386</v>
      </c>
      <c r="AM307" s="12" t="n">
        <v>36720</v>
      </c>
      <c r="AN307" s="12" t="n">
        <v>408654</v>
      </c>
      <c r="AO307" s="12" t="n">
        <v>976654</v>
      </c>
      <c r="AP307" s="17" t="n">
        <v>0.283</v>
      </c>
      <c r="AQ307" s="16" t="n">
        <v>65</v>
      </c>
      <c r="AR307" s="16" t="n">
        <v>3</v>
      </c>
      <c r="AS307" s="13" t="n">
        <f aca="false">IFERROR(AR307/AR306-1,"")</f>
        <v>0</v>
      </c>
      <c r="AT307" s="11" t="s">
        <v>134</v>
      </c>
      <c r="AU307" s="14" t="n">
        <f aca="false">IFERROR(P307/AR307,"")</f>
        <v>83427</v>
      </c>
      <c r="AV307" s="12" t="n">
        <v>1823923</v>
      </c>
      <c r="AW307" s="12" t="n">
        <v>681131</v>
      </c>
      <c r="AX307" s="12" t="n">
        <v>352289</v>
      </c>
      <c r="AY307" s="16" t="n">
        <v>9204</v>
      </c>
      <c r="AZ307" s="13" t="n">
        <f aca="false">IFERROR(AY307/AY306-1,"")</f>
        <v>0.346401404330018</v>
      </c>
      <c r="BA307" s="17" t="n">
        <v>0.963</v>
      </c>
      <c r="BB307" s="11" t="s">
        <v>161</v>
      </c>
      <c r="BC307" s="11" t="s">
        <v>108</v>
      </c>
      <c r="BD307" s="11" t="s">
        <v>175</v>
      </c>
      <c r="BE307" s="12" t="n">
        <v>293725</v>
      </c>
      <c r="BF307" s="13" t="n">
        <f aca="false">IFERROR(P307/BE307-1,"")</f>
        <v>-0.147907055919653</v>
      </c>
      <c r="BG307" s="17" t="n">
        <v>0.02</v>
      </c>
      <c r="BH307" s="17" t="n">
        <v>0.084</v>
      </c>
      <c r="BI307" s="14" t="n">
        <f aca="false">P307*(1+IFERROR(Q307,0))^4</f>
        <v>593039.045322385</v>
      </c>
      <c r="BJ307" s="12" t="n">
        <v>-1399821</v>
      </c>
      <c r="BK307" s="11" t="s">
        <v>192</v>
      </c>
      <c r="BL307" s="11" t="s">
        <v>162</v>
      </c>
      <c r="BM307" s="14" t="n">
        <f aca="false">O307</f>
        <v>24135023</v>
      </c>
      <c r="BN307" s="11" t="s">
        <v>376</v>
      </c>
      <c r="BO307" s="13" t="n">
        <f aca="false">IFERROR(1-L307/M307,"")</f>
        <v>0.196335739161157</v>
      </c>
      <c r="BP307" s="11" t="s">
        <v>113</v>
      </c>
      <c r="BQ307" s="12" t="n">
        <v>2719499</v>
      </c>
      <c r="BR307" s="11" t="s">
        <v>88</v>
      </c>
      <c r="BS307" s="11" t="s">
        <v>89</v>
      </c>
      <c r="BT307" s="19" t="str">
        <f aca="false">IF(OR(Z307&lt;6,AH307&lt;0.9,S307&lt;0.02,AK307&lt;1),"REVIEW",IF(AND(S307&gt;0.25,AH307&gt;1.2),"ACCELERATING","STABLE"))</f>
        <v>STABLE</v>
      </c>
    </row>
    <row r="308" customFormat="false" ht="15" hidden="false" customHeight="false" outlineLevel="0" collapsed="false">
      <c r="A308" s="11" t="s">
        <v>374</v>
      </c>
      <c r="B308" s="11" t="s">
        <v>92</v>
      </c>
      <c r="C308" s="11" t="s">
        <v>74</v>
      </c>
      <c r="D308" s="11" t="s">
        <v>75</v>
      </c>
      <c r="E308" s="11" t="s">
        <v>365</v>
      </c>
      <c r="F308" s="11" t="s">
        <v>375</v>
      </c>
      <c r="G308" s="11" t="s">
        <v>78</v>
      </c>
      <c r="H308" s="11" t="s">
        <v>79</v>
      </c>
      <c r="I308" s="11" t="s">
        <v>78</v>
      </c>
      <c r="J308" s="12" t="n">
        <v>3890000</v>
      </c>
      <c r="K308" s="13" t="n">
        <f aca="false">IFERROR(J308/M308,"")</f>
        <v>0.196335739161157</v>
      </c>
      <c r="L308" s="12" t="n">
        <v>15923000</v>
      </c>
      <c r="M308" s="14" t="n">
        <f aca="false">L308+J308</f>
        <v>19813000</v>
      </c>
      <c r="N308" s="12" t="n">
        <v>7801000</v>
      </c>
      <c r="O308" s="12" t="n">
        <v>24135023</v>
      </c>
      <c r="P308" s="12" t="n">
        <v>340127</v>
      </c>
      <c r="Q308" s="13" t="n">
        <f aca="false">IFERROR(P308/P307-1,"")</f>
        <v>0.358980505911356</v>
      </c>
      <c r="R308" s="12" t="n">
        <v>389632</v>
      </c>
      <c r="S308" s="13" t="n">
        <f aca="false">IFERROR(R308/R307-1,"")</f>
        <v>0.338628774032185</v>
      </c>
      <c r="T308" s="12" t="n">
        <v>195371</v>
      </c>
      <c r="U308" s="13" t="n">
        <f aca="false">IFERROR(T308/P308,"")</f>
        <v>0.574406030688537</v>
      </c>
      <c r="V308" s="14" t="n">
        <f aca="false">T308-AV308</f>
        <v>-1468354</v>
      </c>
      <c r="W308" s="14" t="n">
        <f aca="false">V308-AA308*0.1</f>
        <v>-1468354</v>
      </c>
      <c r="X308" s="12" t="n">
        <v>1965150</v>
      </c>
      <c r="Y308" s="12" t="n">
        <v>144530</v>
      </c>
      <c r="Z308" s="15" t="n">
        <f aca="false">IFERROR(X308/Y308,"")</f>
        <v>13.5968311077285</v>
      </c>
      <c r="AA308" s="12" t="n">
        <v>0</v>
      </c>
      <c r="AB308" s="14" t="n">
        <f aca="false">W308-0.02*P308</f>
        <v>-1475156.54</v>
      </c>
      <c r="AC308" s="16" t="n">
        <v>38</v>
      </c>
      <c r="AD308" s="13" t="n">
        <f aca="false">IFERROR(AC308/AC307-1,"")</f>
        <v>0.310344827586207</v>
      </c>
      <c r="AE308" s="17" t="n">
        <v>0.045</v>
      </c>
      <c r="AF308" s="17" t="n">
        <v>0.029</v>
      </c>
      <c r="AG308" s="13" t="n">
        <f aca="false">1-AF308</f>
        <v>0.971</v>
      </c>
      <c r="AH308" s="17" t="n">
        <v>1.212</v>
      </c>
      <c r="AI308" s="12" t="n">
        <v>25092</v>
      </c>
      <c r="AJ308" s="14" t="n">
        <f aca="false">IFERROR(AM308*U308*MIN(1/AE308,5),"")</f>
        <v>107528.808944894</v>
      </c>
      <c r="AK308" s="18" t="n">
        <f aca="false">IFERROR(AJ308/AI308,"")</f>
        <v>4.28538215147832</v>
      </c>
      <c r="AL308" s="15" t="n">
        <f aca="false">IFERROR(AI308/(AM308*U308/12),"")</f>
        <v>14.0010850559271</v>
      </c>
      <c r="AM308" s="12" t="n">
        <v>37440</v>
      </c>
      <c r="AN308" s="12" t="n">
        <v>533134</v>
      </c>
      <c r="AO308" s="12" t="n">
        <v>1054399</v>
      </c>
      <c r="AP308" s="17" t="n">
        <v>0.283</v>
      </c>
      <c r="AQ308" s="16" t="n">
        <v>65</v>
      </c>
      <c r="AR308" s="16" t="n">
        <v>4</v>
      </c>
      <c r="AS308" s="13" t="n">
        <f aca="false">IFERROR(AR308/AR307-1,"")</f>
        <v>0.333333333333333</v>
      </c>
      <c r="AT308" s="11" t="s">
        <v>134</v>
      </c>
      <c r="AU308" s="14" t="n">
        <f aca="false">IFERROR(P308/AR308,"")</f>
        <v>85031.75</v>
      </c>
      <c r="AV308" s="12" t="n">
        <v>1663725</v>
      </c>
      <c r="AW308" s="12" t="n">
        <v>669242</v>
      </c>
      <c r="AX308" s="12" t="n">
        <v>431541</v>
      </c>
      <c r="AY308" s="16" t="n">
        <v>10734</v>
      </c>
      <c r="AZ308" s="13" t="n">
        <f aca="false">IFERROR(AY308/AY307-1,"")</f>
        <v>0.166232073011734</v>
      </c>
      <c r="BA308" s="17" t="n">
        <v>0.959</v>
      </c>
      <c r="BB308" s="11" t="s">
        <v>161</v>
      </c>
      <c r="BC308" s="11" t="s">
        <v>108</v>
      </c>
      <c r="BD308" s="11" t="s">
        <v>175</v>
      </c>
      <c r="BE308" s="12" t="n">
        <v>353815</v>
      </c>
      <c r="BF308" s="13" t="n">
        <f aca="false">IFERROR(P308/BE308-1,"")</f>
        <v>-0.0386868843887342</v>
      </c>
      <c r="BG308" s="17" t="n">
        <v>-0.045</v>
      </c>
      <c r="BH308" s="17" t="n">
        <v>0.003</v>
      </c>
      <c r="BI308" s="14" t="n">
        <f aca="false">P308*(1+IFERROR(Q308,0))^4</f>
        <v>1160096.23259994</v>
      </c>
      <c r="BJ308" s="12" t="n">
        <v>-1506112</v>
      </c>
      <c r="BK308" s="11" t="s">
        <v>192</v>
      </c>
      <c r="BL308" s="11" t="s">
        <v>162</v>
      </c>
      <c r="BM308" s="14" t="n">
        <f aca="false">O308</f>
        <v>24135023</v>
      </c>
      <c r="BN308" s="11" t="s">
        <v>376</v>
      </c>
      <c r="BO308" s="13" t="n">
        <f aca="false">IFERROR(1-L308/M308,"")</f>
        <v>0.196335739161157</v>
      </c>
      <c r="BP308" s="11" t="s">
        <v>113</v>
      </c>
      <c r="BQ308" s="12" t="n">
        <v>2491695</v>
      </c>
      <c r="BR308" s="11" t="s">
        <v>88</v>
      </c>
      <c r="BS308" s="11" t="s">
        <v>89</v>
      </c>
      <c r="BT308" s="19" t="str">
        <f aca="false">IF(OR(Z308&lt;6,AH308&lt;0.9,S308&lt;0.02,AK308&lt;1),"REVIEW",IF(AND(S308&gt;0.25,AH308&gt;1.2),"ACCELERATING","STABLE"))</f>
        <v>ACCELERATING</v>
      </c>
    </row>
    <row r="309" customFormat="false" ht="15" hidden="false" customHeight="false" outlineLevel="0" collapsed="false">
      <c r="A309" s="11" t="s">
        <v>374</v>
      </c>
      <c r="B309" s="11" t="s">
        <v>93</v>
      </c>
      <c r="C309" s="11" t="s">
        <v>74</v>
      </c>
      <c r="D309" s="11" t="s">
        <v>75</v>
      </c>
      <c r="E309" s="11" t="s">
        <v>365</v>
      </c>
      <c r="F309" s="11" t="s">
        <v>375</v>
      </c>
      <c r="G309" s="11" t="s">
        <v>78</v>
      </c>
      <c r="H309" s="11" t="s">
        <v>79</v>
      </c>
      <c r="I309" s="11" t="s">
        <v>78</v>
      </c>
      <c r="J309" s="12" t="n">
        <v>3890000</v>
      </c>
      <c r="K309" s="13" t="n">
        <f aca="false">IFERROR(J309/M309,"")</f>
        <v>0.196335739161157</v>
      </c>
      <c r="L309" s="12" t="n">
        <v>15923000</v>
      </c>
      <c r="M309" s="14" t="n">
        <f aca="false">L309+J309</f>
        <v>19813000</v>
      </c>
      <c r="N309" s="12" t="n">
        <v>7801000</v>
      </c>
      <c r="O309" s="12" t="n">
        <v>24135023</v>
      </c>
      <c r="P309" s="12" t="n">
        <v>438491</v>
      </c>
      <c r="Q309" s="13" t="n">
        <f aca="false">IFERROR(P309/P308-1,"")</f>
        <v>0.289197858446992</v>
      </c>
      <c r="R309" s="12" t="n">
        <v>513401</v>
      </c>
      <c r="S309" s="13" t="n">
        <f aca="false">IFERROR(R309/R308-1,"")</f>
        <v>0.317656147339028</v>
      </c>
      <c r="T309" s="12" t="n">
        <v>252883</v>
      </c>
      <c r="U309" s="13" t="n">
        <f aca="false">IFERROR(T309/P309,"")</f>
        <v>0.576711950758396</v>
      </c>
      <c r="V309" s="14" t="n">
        <f aca="false">T309-AV309</f>
        <v>-1382189</v>
      </c>
      <c r="W309" s="14" t="n">
        <f aca="false">V309-AA309*0.1</f>
        <v>-1382189</v>
      </c>
      <c r="X309" s="12" t="n">
        <v>3573000</v>
      </c>
      <c r="Y309" s="12" t="n">
        <v>149000</v>
      </c>
      <c r="Z309" s="15" t="n">
        <f aca="false">IFERROR(X309/Y309,"")</f>
        <v>23.9798657718121</v>
      </c>
      <c r="AA309" s="12" t="n">
        <v>0</v>
      </c>
      <c r="AB309" s="14" t="n">
        <f aca="false">W309-0.02*P309</f>
        <v>-1390958.82</v>
      </c>
      <c r="AC309" s="16" t="n">
        <v>45</v>
      </c>
      <c r="AD309" s="13" t="n">
        <f aca="false">IFERROR(AC309/AC308-1,"")</f>
        <v>0.184210526315789</v>
      </c>
      <c r="AE309" s="17" t="n">
        <v>0.044</v>
      </c>
      <c r="AF309" s="17" t="n">
        <v>0.032</v>
      </c>
      <c r="AG309" s="13" t="n">
        <f aca="false">1-AF309</f>
        <v>0.968</v>
      </c>
      <c r="AH309" s="17" t="n">
        <v>1.242</v>
      </c>
      <c r="AI309" s="12" t="n">
        <v>24600</v>
      </c>
      <c r="AJ309" s="14" t="n">
        <f aca="false">IFERROR(AM309*U309*MIN(1/AE309,5),"")</f>
        <v>110036.640204702</v>
      </c>
      <c r="AK309" s="18" t="n">
        <f aca="false">IFERROR(AJ309/AI309,"")</f>
        <v>4.47303415466269</v>
      </c>
      <c r="AL309" s="15" t="n">
        <f aca="false">IFERROR(AI309/(AM309*U309/12),"")</f>
        <v>13.4137138070936</v>
      </c>
      <c r="AM309" s="12" t="n">
        <v>38160</v>
      </c>
      <c r="AN309" s="12" t="n">
        <v>723663</v>
      </c>
      <c r="AO309" s="12" t="n">
        <v>927268</v>
      </c>
      <c r="AP309" s="17" t="n">
        <v>0.283</v>
      </c>
      <c r="AQ309" s="16" t="n">
        <v>65</v>
      </c>
      <c r="AR309" s="16" t="n">
        <v>5</v>
      </c>
      <c r="AS309" s="13" t="n">
        <f aca="false">IFERROR(AR309/AR308-1,"")</f>
        <v>0.25</v>
      </c>
      <c r="AT309" s="11" t="s">
        <v>134</v>
      </c>
      <c r="AU309" s="14" t="n">
        <f aca="false">IFERROR(P309/AR309,"")</f>
        <v>87698.2</v>
      </c>
      <c r="AV309" s="12" t="n">
        <v>1635072</v>
      </c>
      <c r="AW309" s="12" t="n">
        <v>648517</v>
      </c>
      <c r="AX309" s="12" t="n">
        <v>322997</v>
      </c>
      <c r="AY309" s="16" t="n">
        <v>13945</v>
      </c>
      <c r="AZ309" s="13" t="n">
        <f aca="false">IFERROR(AY309/AY308-1,"")</f>
        <v>0.299142910378238</v>
      </c>
      <c r="BA309" s="17" t="n">
        <v>0.968</v>
      </c>
      <c r="BB309" s="11" t="s">
        <v>161</v>
      </c>
      <c r="BC309" s="11" t="s">
        <v>108</v>
      </c>
      <c r="BD309" s="11" t="s">
        <v>175</v>
      </c>
      <c r="BE309" s="12" t="n">
        <v>494952</v>
      </c>
      <c r="BF309" s="13" t="n">
        <f aca="false">IFERROR(P309/BE309-1,"")</f>
        <v>-0.114073687953579</v>
      </c>
      <c r="BG309" s="17" t="n">
        <v>-0.055</v>
      </c>
      <c r="BH309" s="17" t="n">
        <v>0.005</v>
      </c>
      <c r="BI309" s="14" t="n">
        <f aca="false">P309*(1+IFERROR(Q309,0))^4</f>
        <v>1211264.49041236</v>
      </c>
      <c r="BJ309" s="12" t="n">
        <v>-1567860</v>
      </c>
      <c r="BK309" s="11" t="s">
        <v>192</v>
      </c>
      <c r="BL309" s="11" t="s">
        <v>162</v>
      </c>
      <c r="BM309" s="14" t="n">
        <f aca="false">O309</f>
        <v>24135023</v>
      </c>
      <c r="BN309" s="11" t="s">
        <v>376</v>
      </c>
      <c r="BO309" s="13" t="n">
        <f aca="false">IFERROR(1-L309/M309,"")</f>
        <v>0.196335739161157</v>
      </c>
      <c r="BP309" s="11" t="s">
        <v>113</v>
      </c>
      <c r="BQ309" s="12" t="n">
        <v>2645028</v>
      </c>
      <c r="BR309" s="11" t="s">
        <v>88</v>
      </c>
      <c r="BS309" s="11" t="s">
        <v>89</v>
      </c>
      <c r="BT309" s="19" t="str">
        <f aca="false">IF(OR(Z309&lt;6,AH309&lt;0.9,S309&lt;0.02,AK309&lt;1),"REVIEW",IF(AND(S309&gt;0.25,AH309&gt;1.2),"ACCELERATING","STABLE"))</f>
        <v>ACCELERATING</v>
      </c>
    </row>
    <row r="310" customFormat="false" ht="15" hidden="false" customHeight="false" outlineLevel="0" collapsed="false">
      <c r="A310" s="3" t="s">
        <v>377</v>
      </c>
      <c r="B310" s="3" t="s">
        <v>73</v>
      </c>
      <c r="C310" s="3" t="s">
        <v>74</v>
      </c>
      <c r="D310" s="3" t="s">
        <v>165</v>
      </c>
      <c r="E310" s="3" t="s">
        <v>105</v>
      </c>
      <c r="F310" s="3" t="s">
        <v>378</v>
      </c>
      <c r="G310" s="3" t="s">
        <v>78</v>
      </c>
      <c r="H310" s="3" t="s">
        <v>79</v>
      </c>
      <c r="I310" s="3" t="s">
        <v>78</v>
      </c>
      <c r="J310" s="4" t="n">
        <v>5404000</v>
      </c>
      <c r="K310" s="5" t="n">
        <f aca="false">IFERROR(J310/M310,"")</f>
        <v>0.186750527006946</v>
      </c>
      <c r="L310" s="4" t="n">
        <v>23533000</v>
      </c>
      <c r="M310" s="6" t="n">
        <f aca="false">L310+J310</f>
        <v>28937000</v>
      </c>
      <c r="N310" s="4" t="n">
        <v>7987000</v>
      </c>
      <c r="O310" s="4" t="n">
        <v>44439009</v>
      </c>
      <c r="P310" s="4" t="n">
        <v>382997</v>
      </c>
      <c r="Q310" s="7"/>
      <c r="R310" s="4" t="n">
        <v>469249</v>
      </c>
      <c r="S310" s="7"/>
      <c r="T310" s="4" t="n">
        <v>246002</v>
      </c>
      <c r="U310" s="5" t="n">
        <f aca="false">IFERROR(T310/P310,"")</f>
        <v>0.642307903195064</v>
      </c>
      <c r="V310" s="6" t="n">
        <f aca="false">T310-AV310</f>
        <v>-880409</v>
      </c>
      <c r="W310" s="6" t="n">
        <f aca="false">V310-AA310*0.1</f>
        <v>-991609</v>
      </c>
      <c r="X310" s="4" t="n">
        <v>2792019</v>
      </c>
      <c r="Y310" s="4" t="n">
        <v>80990</v>
      </c>
      <c r="Z310" s="8" t="n">
        <f aca="false">IFERROR(X310/Y310,"")</f>
        <v>34.4736263736264</v>
      </c>
      <c r="AA310" s="4" t="n">
        <v>1112000</v>
      </c>
      <c r="AB310" s="6" t="n">
        <f aca="false">W310-0.02*P310</f>
        <v>-999268.94</v>
      </c>
      <c r="AC310" s="9" t="n">
        <v>54</v>
      </c>
      <c r="AD310" s="7"/>
      <c r="AE310" s="7" t="n">
        <v>0.133</v>
      </c>
      <c r="AF310" s="7" t="n">
        <v>0.123</v>
      </c>
      <c r="AG310" s="5" t="n">
        <f aca="false">1-AF310</f>
        <v>0.877</v>
      </c>
      <c r="AH310" s="7" t="n">
        <v>1.161</v>
      </c>
      <c r="AI310" s="4" t="n">
        <v>67628</v>
      </c>
      <c r="AJ310" s="6" t="n">
        <f aca="false">IFERROR(AM310*U310*MIN(1/AE310,5),"")</f>
        <v>131673.120154988</v>
      </c>
      <c r="AK310" s="10" t="n">
        <f aca="false">IFERROR(AJ310/AI310,"")</f>
        <v>1.94702076292347</v>
      </c>
      <c r="AL310" s="8" t="n">
        <f aca="false">IFERROR(AI310/(AM310*U310/12),"")</f>
        <v>30.81631235915</v>
      </c>
      <c r="AM310" s="4" t="n">
        <v>41000</v>
      </c>
      <c r="AN310" s="4" t="n">
        <v>538113</v>
      </c>
      <c r="AO310" s="4" t="n">
        <v>1777481</v>
      </c>
      <c r="AP310" s="7" t="n">
        <v>0.343</v>
      </c>
      <c r="AQ310" s="9" t="n">
        <v>52</v>
      </c>
      <c r="AR310" s="9" t="n">
        <v>1</v>
      </c>
      <c r="AS310" s="7"/>
      <c r="AT310" s="3" t="s">
        <v>134</v>
      </c>
      <c r="AU310" s="6" t="n">
        <f aca="false">IFERROR(P310/AR310,"")</f>
        <v>382997</v>
      </c>
      <c r="AV310" s="4" t="n">
        <v>1126411</v>
      </c>
      <c r="AW310" s="4" t="n">
        <v>555536</v>
      </c>
      <c r="AX310" s="4" t="n">
        <v>248485</v>
      </c>
      <c r="AY310" s="9" t="n">
        <v>8104</v>
      </c>
      <c r="AZ310" s="7"/>
      <c r="BA310" s="7" t="n">
        <v>0.896</v>
      </c>
      <c r="BB310" s="3" t="s">
        <v>81</v>
      </c>
      <c r="BC310" s="3" t="s">
        <v>126</v>
      </c>
      <c r="BD310" s="3" t="s">
        <v>157</v>
      </c>
      <c r="BE310" s="4" t="n">
        <v>451262</v>
      </c>
      <c r="BF310" s="5" t="n">
        <f aca="false">IFERROR(P310/BE310-1,"")</f>
        <v>-0.151275755547775</v>
      </c>
      <c r="BG310" s="7" t="n">
        <v>0.06</v>
      </c>
      <c r="BH310" s="7" t="n">
        <v>-0.017</v>
      </c>
      <c r="BI310" s="6" t="n">
        <f aca="false">P310</f>
        <v>382997</v>
      </c>
      <c r="BJ310" s="4" t="n">
        <v>-487844</v>
      </c>
      <c r="BK310" s="3" t="s">
        <v>102</v>
      </c>
      <c r="BL310" s="3" t="s">
        <v>128</v>
      </c>
      <c r="BM310" s="6" t="n">
        <f aca="false">O310</f>
        <v>44439009</v>
      </c>
      <c r="BN310" s="3" t="s">
        <v>379</v>
      </c>
      <c r="BO310" s="5" t="n">
        <f aca="false">IFERROR(1-L310/M310,"")</f>
        <v>0.186750527006946</v>
      </c>
      <c r="BP310" s="3" t="s">
        <v>130</v>
      </c>
      <c r="BQ310" s="4" t="n">
        <v>1500054</v>
      </c>
      <c r="BR310" s="3" t="s">
        <v>88</v>
      </c>
      <c r="BS310" s="3" t="s">
        <v>89</v>
      </c>
      <c r="BT310" s="3" t="s">
        <v>90</v>
      </c>
    </row>
    <row r="311" customFormat="false" ht="15" hidden="false" customHeight="false" outlineLevel="0" collapsed="false">
      <c r="A311" s="11" t="s">
        <v>377</v>
      </c>
      <c r="B311" s="11" t="s">
        <v>91</v>
      </c>
      <c r="C311" s="11" t="s">
        <v>74</v>
      </c>
      <c r="D311" s="11" t="s">
        <v>165</v>
      </c>
      <c r="E311" s="11" t="s">
        <v>105</v>
      </c>
      <c r="F311" s="11" t="s">
        <v>378</v>
      </c>
      <c r="G311" s="11" t="s">
        <v>78</v>
      </c>
      <c r="H311" s="11" t="s">
        <v>79</v>
      </c>
      <c r="I311" s="11" t="s">
        <v>78</v>
      </c>
      <c r="J311" s="12" t="n">
        <v>5404000</v>
      </c>
      <c r="K311" s="13" t="n">
        <f aca="false">IFERROR(J311/M311,"")</f>
        <v>0.186750527006946</v>
      </c>
      <c r="L311" s="12" t="n">
        <v>23533000</v>
      </c>
      <c r="M311" s="14" t="n">
        <f aca="false">L311+J311</f>
        <v>28937000</v>
      </c>
      <c r="N311" s="12" t="n">
        <v>7987000</v>
      </c>
      <c r="O311" s="12" t="n">
        <v>44439009</v>
      </c>
      <c r="P311" s="12" t="n">
        <v>441148</v>
      </c>
      <c r="Q311" s="13" t="n">
        <f aca="false">IFERROR(P311/P310-1,"")</f>
        <v>0.151831476486761</v>
      </c>
      <c r="R311" s="12" t="n">
        <v>514185</v>
      </c>
      <c r="S311" s="13" t="n">
        <f aca="false">IFERROR(R311/R310-1,"")</f>
        <v>0.095761525330901</v>
      </c>
      <c r="T311" s="12" t="n">
        <v>284499</v>
      </c>
      <c r="U311" s="13" t="n">
        <f aca="false">IFERROR(T311/P311,"")</f>
        <v>0.644906017935024</v>
      </c>
      <c r="V311" s="14" t="n">
        <f aca="false">T311-AV311</f>
        <v>-953289</v>
      </c>
      <c r="W311" s="14" t="n">
        <f aca="false">V311-AA311*0.1</f>
        <v>-1064489</v>
      </c>
      <c r="X311" s="12" t="n">
        <v>2587764</v>
      </c>
      <c r="Y311" s="12" t="n">
        <v>83660</v>
      </c>
      <c r="Z311" s="15" t="n">
        <f aca="false">IFERROR(X311/Y311,"")</f>
        <v>30.931914893617</v>
      </c>
      <c r="AA311" s="12" t="n">
        <v>1112000</v>
      </c>
      <c r="AB311" s="14" t="n">
        <f aca="false">W311-0.02*P311</f>
        <v>-1073311.96</v>
      </c>
      <c r="AC311" s="16" t="n">
        <v>57</v>
      </c>
      <c r="AD311" s="13" t="n">
        <f aca="false">IFERROR(AC311/AC310-1,"")</f>
        <v>0.0555555555555556</v>
      </c>
      <c r="AE311" s="17" t="n">
        <v>0.129</v>
      </c>
      <c r="AF311" s="17" t="n">
        <v>0.1</v>
      </c>
      <c r="AG311" s="13" t="n">
        <f aca="false">1-AF311</f>
        <v>0.9</v>
      </c>
      <c r="AH311" s="17" t="n">
        <v>1.156</v>
      </c>
      <c r="AI311" s="12" t="n">
        <v>66352</v>
      </c>
      <c r="AJ311" s="14" t="n">
        <f aca="false">IFERROR(AM311*U311*MIN(1/AE311,5),"")</f>
        <v>134849.848350214</v>
      </c>
      <c r="AK311" s="18" t="n">
        <f aca="false">IFERROR(AJ311/AI311,"")</f>
        <v>2.03234037180814</v>
      </c>
      <c r="AL311" s="15" t="n">
        <f aca="false">IFERROR(AI311/(AM311*U311/12),"")</f>
        <v>29.5226138457403</v>
      </c>
      <c r="AM311" s="12" t="n">
        <v>41820</v>
      </c>
      <c r="AN311" s="12" t="n">
        <v>711122</v>
      </c>
      <c r="AO311" s="12" t="n">
        <v>1478832</v>
      </c>
      <c r="AP311" s="17" t="n">
        <v>0.343</v>
      </c>
      <c r="AQ311" s="16" t="n">
        <v>52</v>
      </c>
      <c r="AR311" s="16" t="n">
        <v>2</v>
      </c>
      <c r="AS311" s="13" t="n">
        <f aca="false">IFERROR(AR311/AR310-1,"")</f>
        <v>1</v>
      </c>
      <c r="AT311" s="11" t="s">
        <v>134</v>
      </c>
      <c r="AU311" s="14" t="n">
        <f aca="false">IFERROR(P311/AR311,"")</f>
        <v>220574</v>
      </c>
      <c r="AV311" s="12" t="n">
        <v>1237788</v>
      </c>
      <c r="AW311" s="12" t="n">
        <v>482830</v>
      </c>
      <c r="AX311" s="12" t="n">
        <v>348527</v>
      </c>
      <c r="AY311" s="16" t="n">
        <v>8749</v>
      </c>
      <c r="AZ311" s="13" t="n">
        <f aca="false">IFERROR(AY311/AY310-1,"")</f>
        <v>0.0795903257650543</v>
      </c>
      <c r="BA311" s="17" t="n">
        <v>0.868</v>
      </c>
      <c r="BB311" s="11" t="s">
        <v>81</v>
      </c>
      <c r="BC311" s="11" t="s">
        <v>126</v>
      </c>
      <c r="BD311" s="11" t="s">
        <v>157</v>
      </c>
      <c r="BE311" s="12" t="n">
        <v>466273</v>
      </c>
      <c r="BF311" s="13" t="n">
        <f aca="false">IFERROR(P311/BE311-1,"")</f>
        <v>-0.0538847413425182</v>
      </c>
      <c r="BG311" s="17" t="n">
        <v>0.079</v>
      </c>
      <c r="BH311" s="17" t="n">
        <v>0.033</v>
      </c>
      <c r="BI311" s="14" t="n">
        <f aca="false">P311*(1+IFERROR(Q311,0))^4</f>
        <v>776497.540569439</v>
      </c>
      <c r="BJ311" s="12" t="n">
        <v>-914938</v>
      </c>
      <c r="BK311" s="11" t="s">
        <v>102</v>
      </c>
      <c r="BL311" s="11" t="s">
        <v>128</v>
      </c>
      <c r="BM311" s="14" t="n">
        <f aca="false">O311</f>
        <v>44439009</v>
      </c>
      <c r="BN311" s="11" t="s">
        <v>379</v>
      </c>
      <c r="BO311" s="13" t="n">
        <f aca="false">IFERROR(1-L311/M311,"")</f>
        <v>0.186750527006946</v>
      </c>
      <c r="BP311" s="11" t="s">
        <v>130</v>
      </c>
      <c r="BQ311" s="12" t="n">
        <v>1317323</v>
      </c>
      <c r="BR311" s="11" t="s">
        <v>88</v>
      </c>
      <c r="BS311" s="11" t="s">
        <v>89</v>
      </c>
      <c r="BT311" s="19" t="str">
        <f aca="false">IF(OR(Z311&lt;6,AH311&lt;0.9,S311&lt;0.02,AK311&lt;1),"REVIEW",IF(AND(S311&gt;0.25,AH311&gt;1.2),"ACCELERATING","STABLE"))</f>
        <v>STABLE</v>
      </c>
    </row>
    <row r="312" customFormat="false" ht="15" hidden="false" customHeight="false" outlineLevel="0" collapsed="false">
      <c r="A312" s="11" t="s">
        <v>377</v>
      </c>
      <c r="B312" s="11" t="s">
        <v>92</v>
      </c>
      <c r="C312" s="11" t="s">
        <v>74</v>
      </c>
      <c r="D312" s="11" t="s">
        <v>165</v>
      </c>
      <c r="E312" s="11" t="s">
        <v>105</v>
      </c>
      <c r="F312" s="11" t="s">
        <v>378</v>
      </c>
      <c r="G312" s="11" t="s">
        <v>78</v>
      </c>
      <c r="H312" s="11" t="s">
        <v>79</v>
      </c>
      <c r="I312" s="11" t="s">
        <v>78</v>
      </c>
      <c r="J312" s="12" t="n">
        <v>5404000</v>
      </c>
      <c r="K312" s="13" t="n">
        <f aca="false">IFERROR(J312/M312,"")</f>
        <v>0.186750527006946</v>
      </c>
      <c r="L312" s="12" t="n">
        <v>23533000</v>
      </c>
      <c r="M312" s="14" t="n">
        <f aca="false">L312+J312</f>
        <v>28937000</v>
      </c>
      <c r="N312" s="12" t="n">
        <v>7987000</v>
      </c>
      <c r="O312" s="12" t="n">
        <v>44439009</v>
      </c>
      <c r="P312" s="12" t="n">
        <v>447050</v>
      </c>
      <c r="Q312" s="13" t="n">
        <f aca="false">IFERROR(P312/P311-1,"")</f>
        <v>0.013378730040712</v>
      </c>
      <c r="R312" s="12" t="n">
        <v>520069</v>
      </c>
      <c r="S312" s="13" t="n">
        <f aca="false">IFERROR(R312/R311-1,"")</f>
        <v>0.0114433521008976</v>
      </c>
      <c r="T312" s="12" t="n">
        <v>289468</v>
      </c>
      <c r="U312" s="13" t="n">
        <f aca="false">IFERROR(T312/P312,"")</f>
        <v>0.647506990269545</v>
      </c>
      <c r="V312" s="14" t="n">
        <f aca="false">T312-AV312</f>
        <v>-1086020</v>
      </c>
      <c r="W312" s="14" t="n">
        <f aca="false">V312-AA312*0.1</f>
        <v>-1197220</v>
      </c>
      <c r="X312" s="12" t="n">
        <v>2369091</v>
      </c>
      <c r="Y312" s="12" t="n">
        <v>86330</v>
      </c>
      <c r="Z312" s="15" t="n">
        <f aca="false">IFERROR(X312/Y312,"")</f>
        <v>27.4422680412371</v>
      </c>
      <c r="AA312" s="12" t="n">
        <v>1112000</v>
      </c>
      <c r="AB312" s="14" t="n">
        <f aca="false">W312-0.02*P312</f>
        <v>-1206161</v>
      </c>
      <c r="AC312" s="16" t="n">
        <v>60</v>
      </c>
      <c r="AD312" s="13" t="n">
        <f aca="false">IFERROR(AC312/AC311-1,"")</f>
        <v>0.0526315789473684</v>
      </c>
      <c r="AE312" s="17" t="n">
        <v>0.126</v>
      </c>
      <c r="AF312" s="17" t="n">
        <v>0.122</v>
      </c>
      <c r="AG312" s="13" t="n">
        <f aca="false">1-AF312</f>
        <v>0.878</v>
      </c>
      <c r="AH312" s="17" t="n">
        <v>1.151</v>
      </c>
      <c r="AI312" s="12" t="n">
        <v>65076</v>
      </c>
      <c r="AJ312" s="14" t="n">
        <f aca="false">IFERROR(AM312*U312*MIN(1/AE312,5),"")</f>
        <v>138048.490325467</v>
      </c>
      <c r="AK312" s="18" t="n">
        <f aca="false">IFERROR(AJ312/AI312,"")</f>
        <v>2.1213425890569</v>
      </c>
      <c r="AL312" s="15" t="n">
        <f aca="false">IFERROR(AI312/(AM312*U312/12),"")</f>
        <v>28.2839746439421</v>
      </c>
      <c r="AM312" s="12" t="n">
        <v>42640</v>
      </c>
      <c r="AN312" s="12" t="n">
        <v>527022</v>
      </c>
      <c r="AO312" s="12" t="n">
        <v>1290912</v>
      </c>
      <c r="AP312" s="17" t="n">
        <v>0.343</v>
      </c>
      <c r="AQ312" s="16" t="n">
        <v>52</v>
      </c>
      <c r="AR312" s="16" t="n">
        <v>2</v>
      </c>
      <c r="AS312" s="13" t="n">
        <f aca="false">IFERROR(AR312/AR311-1,"")</f>
        <v>0</v>
      </c>
      <c r="AT312" s="11" t="s">
        <v>134</v>
      </c>
      <c r="AU312" s="14" t="n">
        <f aca="false">IFERROR(P312/AR312,"")</f>
        <v>223525</v>
      </c>
      <c r="AV312" s="12" t="n">
        <v>1375488</v>
      </c>
      <c r="AW312" s="12" t="n">
        <v>540347</v>
      </c>
      <c r="AX312" s="12" t="n">
        <v>321932</v>
      </c>
      <c r="AY312" s="16" t="n">
        <v>9341</v>
      </c>
      <c r="AZ312" s="13" t="n">
        <f aca="false">IFERROR(AY312/AY311-1,"")</f>
        <v>0.0676648759858269</v>
      </c>
      <c r="BA312" s="17" t="n">
        <v>0.871</v>
      </c>
      <c r="BB312" s="11" t="s">
        <v>81</v>
      </c>
      <c r="BC312" s="11" t="s">
        <v>126</v>
      </c>
      <c r="BD312" s="11" t="s">
        <v>157</v>
      </c>
      <c r="BE312" s="12" t="n">
        <v>527113</v>
      </c>
      <c r="BF312" s="13" t="n">
        <f aca="false">IFERROR(P312/BE312-1,"")</f>
        <v>-0.151889632773238</v>
      </c>
      <c r="BG312" s="17" t="n">
        <v>0.01</v>
      </c>
      <c r="BH312" s="17" t="n">
        <v>0.014</v>
      </c>
      <c r="BI312" s="14" t="n">
        <f aca="false">P312*(1+IFERROR(Q312,0))^4</f>
        <v>471458.247517078</v>
      </c>
      <c r="BJ312" s="12" t="n">
        <v>-801003</v>
      </c>
      <c r="BK312" s="11" t="s">
        <v>102</v>
      </c>
      <c r="BL312" s="11" t="s">
        <v>128</v>
      </c>
      <c r="BM312" s="14" t="n">
        <f aca="false">O312</f>
        <v>44439009</v>
      </c>
      <c r="BN312" s="11" t="s">
        <v>379</v>
      </c>
      <c r="BO312" s="13" t="n">
        <f aca="false">IFERROR(1-L312/M312,"")</f>
        <v>0.186750527006946</v>
      </c>
      <c r="BP312" s="11" t="s">
        <v>130</v>
      </c>
      <c r="BQ312" s="12" t="n">
        <v>1658625</v>
      </c>
      <c r="BR312" s="11" t="s">
        <v>88</v>
      </c>
      <c r="BS312" s="11" t="s">
        <v>89</v>
      </c>
      <c r="BT312" s="19" t="str">
        <f aca="false">IF(OR(Z312&lt;6,AH312&lt;0.9,S312&lt;0.02,AK312&lt;1),"REVIEW",IF(AND(S312&gt;0.25,AH312&gt;1.2),"ACCELERATING","STABLE"))</f>
        <v>REVIEW</v>
      </c>
    </row>
    <row r="313" customFormat="false" ht="15" hidden="false" customHeight="false" outlineLevel="0" collapsed="false">
      <c r="A313" s="11" t="s">
        <v>377</v>
      </c>
      <c r="B313" s="11" t="s">
        <v>93</v>
      </c>
      <c r="C313" s="11" t="s">
        <v>74</v>
      </c>
      <c r="D313" s="11" t="s">
        <v>165</v>
      </c>
      <c r="E313" s="11" t="s">
        <v>105</v>
      </c>
      <c r="F313" s="11" t="s">
        <v>378</v>
      </c>
      <c r="G313" s="11" t="s">
        <v>78</v>
      </c>
      <c r="H313" s="11" t="s">
        <v>79</v>
      </c>
      <c r="I313" s="11" t="s">
        <v>78</v>
      </c>
      <c r="J313" s="12" t="n">
        <v>5404000</v>
      </c>
      <c r="K313" s="13" t="n">
        <f aca="false">IFERROR(J313/M313,"")</f>
        <v>0.186750527006946</v>
      </c>
      <c r="L313" s="12" t="n">
        <v>23533000</v>
      </c>
      <c r="M313" s="14" t="n">
        <f aca="false">L313+J313</f>
        <v>28937000</v>
      </c>
      <c r="N313" s="12" t="n">
        <v>7987000</v>
      </c>
      <c r="O313" s="12" t="n">
        <v>44439009</v>
      </c>
      <c r="P313" s="12" t="n">
        <v>493620</v>
      </c>
      <c r="Q313" s="13" t="n">
        <f aca="false">IFERROR(P313/P312-1,"")</f>
        <v>0.104171792864333</v>
      </c>
      <c r="R313" s="12" t="n">
        <v>575883</v>
      </c>
      <c r="S313" s="13" t="n">
        <f aca="false">IFERROR(R313/R312-1,"")</f>
        <v>0.107320374796421</v>
      </c>
      <c r="T313" s="12" t="n">
        <v>320906</v>
      </c>
      <c r="U313" s="13" t="n">
        <f aca="false">IFERROR(T313/P313,"")</f>
        <v>0.650107370041733</v>
      </c>
      <c r="V313" s="14" t="n">
        <f aca="false">T313-AV313</f>
        <v>-967237</v>
      </c>
      <c r="W313" s="14" t="n">
        <f aca="false">V313-AA313*0.1</f>
        <v>-1078437</v>
      </c>
      <c r="X313" s="12" t="n">
        <v>2136000</v>
      </c>
      <c r="Y313" s="12" t="n">
        <v>89000</v>
      </c>
      <c r="Z313" s="15" t="n">
        <f aca="false">IFERROR(X313/Y313,"")</f>
        <v>24</v>
      </c>
      <c r="AA313" s="12" t="n">
        <v>1112000</v>
      </c>
      <c r="AB313" s="14" t="n">
        <f aca="false">W313-0.02*P313</f>
        <v>-1088309.4</v>
      </c>
      <c r="AC313" s="16" t="n">
        <v>66</v>
      </c>
      <c r="AD313" s="13" t="n">
        <f aca="false">IFERROR(AC313/AC312-1,"")</f>
        <v>0.1</v>
      </c>
      <c r="AE313" s="17" t="n">
        <v>0.122</v>
      </c>
      <c r="AF313" s="17" t="n">
        <v>0.104</v>
      </c>
      <c r="AG313" s="13" t="n">
        <f aca="false">1-AF313</f>
        <v>0.896</v>
      </c>
      <c r="AH313" s="17" t="n">
        <v>1.146</v>
      </c>
      <c r="AI313" s="12" t="n">
        <v>63800</v>
      </c>
      <c r="AJ313" s="14" t="n">
        <f aca="false">IFERROR(AM313*U313*MIN(1/AE313,5),"")</f>
        <v>141268.331510068</v>
      </c>
      <c r="AK313" s="18" t="n">
        <f aca="false">IFERROR(AJ313/AI313,"")</f>
        <v>2.21423717100421</v>
      </c>
      <c r="AL313" s="15" t="n">
        <f aca="false">IFERROR(AI313/(AM313*U313/12),"")</f>
        <v>27.0973682429821</v>
      </c>
      <c r="AM313" s="12" t="n">
        <v>43460</v>
      </c>
      <c r="AN313" s="12" t="n">
        <v>779670</v>
      </c>
      <c r="AO313" s="12" t="n">
        <v>1032817</v>
      </c>
      <c r="AP313" s="17" t="n">
        <v>0.343</v>
      </c>
      <c r="AQ313" s="16" t="n">
        <v>52</v>
      </c>
      <c r="AR313" s="16" t="n">
        <v>2</v>
      </c>
      <c r="AS313" s="13" t="n">
        <f aca="false">IFERROR(AR313/AR312-1,"")</f>
        <v>0</v>
      </c>
      <c r="AT313" s="11" t="s">
        <v>134</v>
      </c>
      <c r="AU313" s="14" t="n">
        <f aca="false">IFERROR(P313/AR313,"")</f>
        <v>246810</v>
      </c>
      <c r="AV313" s="12" t="n">
        <v>1288143</v>
      </c>
      <c r="AW313" s="12" t="n">
        <v>574611</v>
      </c>
      <c r="AX313" s="12" t="n">
        <v>423326</v>
      </c>
      <c r="AY313" s="16" t="n">
        <v>10076</v>
      </c>
      <c r="AZ313" s="13" t="n">
        <f aca="false">IFERROR(AY313/AY312-1,"")</f>
        <v>0.078685365592549</v>
      </c>
      <c r="BA313" s="17" t="n">
        <v>0.914</v>
      </c>
      <c r="BB313" s="11" t="s">
        <v>81</v>
      </c>
      <c r="BC313" s="11" t="s">
        <v>126</v>
      </c>
      <c r="BD313" s="11" t="s">
        <v>157</v>
      </c>
      <c r="BE313" s="12" t="n">
        <v>532562</v>
      </c>
      <c r="BF313" s="13" t="n">
        <f aca="false">IFERROR(P313/BE313-1,"")</f>
        <v>-0.0731220026963997</v>
      </c>
      <c r="BG313" s="17" t="n">
        <v>0.017</v>
      </c>
      <c r="BH313" s="17" t="n">
        <v>0.007</v>
      </c>
      <c r="BI313" s="14" t="n">
        <f aca="false">P313*(1+IFERROR(Q313,0))^4</f>
        <v>733735.178529464</v>
      </c>
      <c r="BJ313" s="12" t="n">
        <v>-539865</v>
      </c>
      <c r="BK313" s="11" t="s">
        <v>102</v>
      </c>
      <c r="BL313" s="11" t="s">
        <v>128</v>
      </c>
      <c r="BM313" s="14" t="n">
        <f aca="false">O313</f>
        <v>44439009</v>
      </c>
      <c r="BN313" s="11" t="s">
        <v>379</v>
      </c>
      <c r="BO313" s="13" t="n">
        <f aca="false">IFERROR(1-L313/M313,"")</f>
        <v>0.186750527006946</v>
      </c>
      <c r="BP313" s="11" t="s">
        <v>130</v>
      </c>
      <c r="BQ313" s="12" t="n">
        <v>1070175</v>
      </c>
      <c r="BR313" s="11" t="s">
        <v>88</v>
      </c>
      <c r="BS313" s="11" t="s">
        <v>89</v>
      </c>
      <c r="BT313" s="19" t="str">
        <f aca="false">IF(OR(Z313&lt;6,AH313&lt;0.9,S313&lt;0.02,AK313&lt;1),"REVIEW",IF(AND(S313&gt;0.25,AH313&gt;1.2),"ACCELERATING","STABLE"))</f>
        <v>STABLE</v>
      </c>
    </row>
    <row r="314" customFormat="false" ht="15" hidden="false" customHeight="false" outlineLevel="0" collapsed="false">
      <c r="A314" s="3" t="s">
        <v>380</v>
      </c>
      <c r="B314" s="3" t="s">
        <v>73</v>
      </c>
      <c r="C314" s="3" t="s">
        <v>74</v>
      </c>
      <c r="D314" s="3" t="s">
        <v>75</v>
      </c>
      <c r="E314" s="3" t="s">
        <v>105</v>
      </c>
      <c r="F314" s="3" t="s">
        <v>381</v>
      </c>
      <c r="G314" s="3" t="s">
        <v>78</v>
      </c>
      <c r="H314" s="3" t="s">
        <v>79</v>
      </c>
      <c r="I314" s="3" t="s">
        <v>78</v>
      </c>
      <c r="J314" s="4" t="n">
        <v>1311000</v>
      </c>
      <c r="K314" s="5" t="n">
        <f aca="false">IFERROR(J314/M314,"")</f>
        <v>0.0953038674033149</v>
      </c>
      <c r="L314" s="4" t="n">
        <v>12445000</v>
      </c>
      <c r="M314" s="6" t="n">
        <f aca="false">L314+J314</f>
        <v>13756000</v>
      </c>
      <c r="N314" s="4" t="n">
        <v>7083000</v>
      </c>
      <c r="O314" s="4" t="n">
        <v>20851105</v>
      </c>
      <c r="P314" s="4" t="n">
        <v>1111568</v>
      </c>
      <c r="Q314" s="7"/>
      <c r="R314" s="4" t="n">
        <v>1199363</v>
      </c>
      <c r="S314" s="7"/>
      <c r="T314" s="4" t="n">
        <v>688253</v>
      </c>
      <c r="U314" s="5" t="n">
        <f aca="false">IFERROR(T314/P314,"")</f>
        <v>0.619173096022915</v>
      </c>
      <c r="V314" s="6" t="n">
        <f aca="false">T314-AV314</f>
        <v>-2132612</v>
      </c>
      <c r="W314" s="6" t="n">
        <f aca="false">V314-AA314*0.1</f>
        <v>-2132612</v>
      </c>
      <c r="X314" s="4" t="n">
        <v>1604400</v>
      </c>
      <c r="Y314" s="4" t="n">
        <v>173810</v>
      </c>
      <c r="Z314" s="8" t="n">
        <f aca="false">IFERROR(X314/Y314,"")</f>
        <v>9.23076923076923</v>
      </c>
      <c r="AA314" s="4" t="n">
        <v>0</v>
      </c>
      <c r="AB314" s="6" t="n">
        <f aca="false">W314-0.02*P314</f>
        <v>-2154843.36</v>
      </c>
      <c r="AC314" s="9" t="n">
        <v>30</v>
      </c>
      <c r="AD314" s="7"/>
      <c r="AE314" s="7" t="n">
        <v>0.056</v>
      </c>
      <c r="AF314" s="7" t="n">
        <v>0.059</v>
      </c>
      <c r="AG314" s="5" t="n">
        <f aca="false">1-AF314</f>
        <v>0.941</v>
      </c>
      <c r="AH314" s="7" t="n">
        <v>1.255</v>
      </c>
      <c r="AI314" s="4" t="n">
        <v>18232</v>
      </c>
      <c r="AJ314" s="6" t="n">
        <f aca="false">IFERROR(AM314*U314*MIN(1/AE314,5),"")</f>
        <v>89780.0989233227</v>
      </c>
      <c r="AK314" s="10" t="n">
        <f aca="false">IFERROR(AJ314/AI314,"")</f>
        <v>4.92431433322305</v>
      </c>
      <c r="AL314" s="8" t="n">
        <f aca="false">IFERROR(AI314/(AM314*U314/12),"")</f>
        <v>12.1844374546108</v>
      </c>
      <c r="AM314" s="4" t="n">
        <v>29000</v>
      </c>
      <c r="AN314" s="4" t="n">
        <v>1460255</v>
      </c>
      <c r="AO314" s="4" t="n">
        <v>3601037</v>
      </c>
      <c r="AP314" s="7" t="n">
        <v>0.391</v>
      </c>
      <c r="AQ314" s="9" t="n">
        <v>29</v>
      </c>
      <c r="AR314" s="9" t="n">
        <v>1</v>
      </c>
      <c r="AS314" s="7"/>
      <c r="AT314" s="3" t="s">
        <v>134</v>
      </c>
      <c r="AU314" s="6" t="n">
        <f aca="false">IFERROR(P314/AR314,"")</f>
        <v>1111568</v>
      </c>
      <c r="AV314" s="4" t="n">
        <v>2820865</v>
      </c>
      <c r="AW314" s="4" t="n">
        <v>1124183</v>
      </c>
      <c r="AX314" s="4" t="n">
        <v>722777</v>
      </c>
      <c r="AY314" s="9" t="n">
        <v>5991</v>
      </c>
      <c r="AZ314" s="7"/>
      <c r="BA314" s="7" t="n">
        <v>0.95</v>
      </c>
      <c r="BB314" s="3" t="s">
        <v>107</v>
      </c>
      <c r="BC314" s="3" t="s">
        <v>82</v>
      </c>
      <c r="BD314" s="3" t="s">
        <v>101</v>
      </c>
      <c r="BE314" s="4" t="n">
        <v>1018054</v>
      </c>
      <c r="BF314" s="5" t="n">
        <f aca="false">IFERROR(P314/BE314-1,"")</f>
        <v>0.0918556383060232</v>
      </c>
      <c r="BG314" s="7" t="n">
        <v>0.002</v>
      </c>
      <c r="BH314" s="7" t="n">
        <v>0.03</v>
      </c>
      <c r="BI314" s="6" t="n">
        <f aca="false">P314</f>
        <v>1111568</v>
      </c>
      <c r="BJ314" s="4" t="n">
        <v>-1870515</v>
      </c>
      <c r="BK314" s="3" t="s">
        <v>102</v>
      </c>
      <c r="BL314" s="3" t="s">
        <v>128</v>
      </c>
      <c r="BM314" s="6" t="n">
        <f aca="false">O314</f>
        <v>20851105</v>
      </c>
      <c r="BN314" s="3" t="s">
        <v>382</v>
      </c>
      <c r="BO314" s="5" t="n">
        <f aca="false">IFERROR(1-L314/M314,"")</f>
        <v>0.0953038674033149</v>
      </c>
      <c r="BP314" s="3" t="s">
        <v>113</v>
      </c>
      <c r="BQ314" s="4" t="n">
        <v>2587668</v>
      </c>
      <c r="BR314" s="3" t="s">
        <v>88</v>
      </c>
      <c r="BS314" s="3" t="s">
        <v>89</v>
      </c>
      <c r="BT314" s="3" t="s">
        <v>90</v>
      </c>
    </row>
    <row r="315" customFormat="false" ht="15" hidden="false" customHeight="false" outlineLevel="0" collapsed="false">
      <c r="A315" s="11" t="s">
        <v>380</v>
      </c>
      <c r="B315" s="11" t="s">
        <v>91</v>
      </c>
      <c r="C315" s="11" t="s">
        <v>74</v>
      </c>
      <c r="D315" s="11" t="s">
        <v>75</v>
      </c>
      <c r="E315" s="11" t="s">
        <v>105</v>
      </c>
      <c r="F315" s="11" t="s">
        <v>381</v>
      </c>
      <c r="G315" s="11" t="s">
        <v>78</v>
      </c>
      <c r="H315" s="11" t="s">
        <v>79</v>
      </c>
      <c r="I315" s="11" t="s">
        <v>78</v>
      </c>
      <c r="J315" s="12" t="n">
        <v>1311000</v>
      </c>
      <c r="K315" s="13" t="n">
        <f aca="false">IFERROR(J315/M315,"")</f>
        <v>0.0953038674033149</v>
      </c>
      <c r="L315" s="12" t="n">
        <v>12445000</v>
      </c>
      <c r="M315" s="14" t="n">
        <f aca="false">L315+J315</f>
        <v>13756000</v>
      </c>
      <c r="N315" s="12" t="n">
        <v>7083000</v>
      </c>
      <c r="O315" s="12" t="n">
        <v>20851105</v>
      </c>
      <c r="P315" s="12" t="n">
        <v>1607337</v>
      </c>
      <c r="Q315" s="13" t="n">
        <f aca="false">IFERROR(P315/P314-1,"")</f>
        <v>0.446008701222058</v>
      </c>
      <c r="R315" s="12" t="n">
        <v>1641283</v>
      </c>
      <c r="S315" s="13" t="n">
        <f aca="false">IFERROR(R315/R314-1,"")</f>
        <v>0.368462258715668</v>
      </c>
      <c r="T315" s="12" t="n">
        <v>999249</v>
      </c>
      <c r="U315" s="13" t="n">
        <f aca="false">IFERROR(T315/P315,"")</f>
        <v>0.621679834409337</v>
      </c>
      <c r="V315" s="14" t="n">
        <f aca="false">T315-AV315</f>
        <v>-1662911</v>
      </c>
      <c r="W315" s="14" t="n">
        <f aca="false">V315-AA315*0.1</f>
        <v>-1662911</v>
      </c>
      <c r="X315" s="12" t="n">
        <v>2062800</v>
      </c>
      <c r="Y315" s="12" t="n">
        <v>179540</v>
      </c>
      <c r="Z315" s="15" t="n">
        <f aca="false">IFERROR(X315/Y315,"")</f>
        <v>11.4893617021277</v>
      </c>
      <c r="AA315" s="12" t="n">
        <v>0</v>
      </c>
      <c r="AB315" s="14" t="n">
        <f aca="false">W315-0.02*P315</f>
        <v>-1695057.74</v>
      </c>
      <c r="AC315" s="16" t="n">
        <v>40</v>
      </c>
      <c r="AD315" s="13" t="n">
        <f aca="false">IFERROR(AC315/AC314-1,"")</f>
        <v>0.333333333333333</v>
      </c>
      <c r="AE315" s="17" t="n">
        <v>0.054</v>
      </c>
      <c r="AF315" s="17" t="n">
        <v>0.058</v>
      </c>
      <c r="AG315" s="13" t="n">
        <f aca="false">1-AF315</f>
        <v>0.942</v>
      </c>
      <c r="AH315" s="17" t="n">
        <v>1.285</v>
      </c>
      <c r="AI315" s="12" t="n">
        <v>17888</v>
      </c>
      <c r="AJ315" s="14" t="n">
        <f aca="false">IFERROR(AM315*U315*MIN(1/AE315,5),"")</f>
        <v>91946.4475091409</v>
      </c>
      <c r="AK315" s="18" t="n">
        <f aca="false">IFERROR(AJ315/AI315,"")</f>
        <v>5.14011893499222</v>
      </c>
      <c r="AL315" s="15" t="n">
        <f aca="false">IFERROR(AI315/(AM315*U315/12),"")</f>
        <v>11.6728816509556</v>
      </c>
      <c r="AM315" s="12" t="n">
        <v>29580</v>
      </c>
      <c r="AN315" s="12" t="n">
        <v>1844671</v>
      </c>
      <c r="AO315" s="12" t="n">
        <v>3773293</v>
      </c>
      <c r="AP315" s="17" t="n">
        <v>0.391</v>
      </c>
      <c r="AQ315" s="16" t="n">
        <v>29</v>
      </c>
      <c r="AR315" s="16" t="n">
        <v>1</v>
      </c>
      <c r="AS315" s="13" t="n">
        <f aca="false">IFERROR(AR315/AR314-1,"")</f>
        <v>0</v>
      </c>
      <c r="AT315" s="11" t="s">
        <v>134</v>
      </c>
      <c r="AU315" s="14" t="n">
        <f aca="false">IFERROR(P315/AR315,"")</f>
        <v>1607337</v>
      </c>
      <c r="AV315" s="12" t="n">
        <v>2662160</v>
      </c>
      <c r="AW315" s="12" t="n">
        <v>1034632</v>
      </c>
      <c r="AX315" s="12" t="n">
        <v>694579</v>
      </c>
      <c r="AY315" s="16" t="n">
        <v>7258</v>
      </c>
      <c r="AZ315" s="13" t="n">
        <f aca="false">IFERROR(AY315/AY314-1,"")</f>
        <v>0.211483892505425</v>
      </c>
      <c r="BA315" s="17" t="n">
        <v>0.958</v>
      </c>
      <c r="BB315" s="11" t="s">
        <v>107</v>
      </c>
      <c r="BC315" s="11" t="s">
        <v>82</v>
      </c>
      <c r="BD315" s="11" t="s">
        <v>101</v>
      </c>
      <c r="BE315" s="12" t="n">
        <v>1470370</v>
      </c>
      <c r="BF315" s="13" t="n">
        <f aca="false">IFERROR(P315/BE315-1,"")</f>
        <v>0.0931513836653359</v>
      </c>
      <c r="BG315" s="17" t="n">
        <v>-0.003</v>
      </c>
      <c r="BH315" s="17" t="n">
        <v>0.025</v>
      </c>
      <c r="BI315" s="14" t="n">
        <f aca="false">P315*(1+IFERROR(Q315,0))^4</f>
        <v>7027333.54259979</v>
      </c>
      <c r="BJ315" s="12" t="n">
        <v>-1108800</v>
      </c>
      <c r="BK315" s="11" t="s">
        <v>102</v>
      </c>
      <c r="BL315" s="11" t="s">
        <v>128</v>
      </c>
      <c r="BM315" s="14" t="n">
        <f aca="false">O315</f>
        <v>20851105</v>
      </c>
      <c r="BN315" s="11" t="s">
        <v>382</v>
      </c>
      <c r="BO315" s="13" t="n">
        <f aca="false">IFERROR(1-L315/M315,"")</f>
        <v>0.0953038674033149</v>
      </c>
      <c r="BP315" s="11" t="s">
        <v>113</v>
      </c>
      <c r="BQ315" s="12" t="n">
        <v>2995571</v>
      </c>
      <c r="BR315" s="11" t="s">
        <v>88</v>
      </c>
      <c r="BS315" s="11" t="s">
        <v>89</v>
      </c>
      <c r="BT315" s="19" t="str">
        <f aca="false">IF(OR(Z315&lt;6,AH315&lt;0.9,S315&lt;0.02,AK315&lt;1),"REVIEW",IF(AND(S315&gt;0.25,AH315&gt;1.2),"ACCELERATING","STABLE"))</f>
        <v>ACCELERATING</v>
      </c>
    </row>
    <row r="316" customFormat="false" ht="15" hidden="false" customHeight="false" outlineLevel="0" collapsed="false">
      <c r="A316" s="11" t="s">
        <v>380</v>
      </c>
      <c r="B316" s="11" t="s">
        <v>92</v>
      </c>
      <c r="C316" s="11" t="s">
        <v>74</v>
      </c>
      <c r="D316" s="11" t="s">
        <v>75</v>
      </c>
      <c r="E316" s="11" t="s">
        <v>105</v>
      </c>
      <c r="F316" s="11" t="s">
        <v>381</v>
      </c>
      <c r="G316" s="11" t="s">
        <v>78</v>
      </c>
      <c r="H316" s="11" t="s">
        <v>79</v>
      </c>
      <c r="I316" s="11" t="s">
        <v>78</v>
      </c>
      <c r="J316" s="12" t="n">
        <v>1311000</v>
      </c>
      <c r="K316" s="13" t="n">
        <f aca="false">IFERROR(J316/M316,"")</f>
        <v>0.0953038674033149</v>
      </c>
      <c r="L316" s="12" t="n">
        <v>12445000</v>
      </c>
      <c r="M316" s="14" t="n">
        <f aca="false">L316+J316</f>
        <v>13756000</v>
      </c>
      <c r="N316" s="12" t="n">
        <v>7083000</v>
      </c>
      <c r="O316" s="12" t="n">
        <v>20851105</v>
      </c>
      <c r="P316" s="12" t="n">
        <v>2086261</v>
      </c>
      <c r="Q316" s="13" t="n">
        <f aca="false">IFERROR(P316/P315-1,"")</f>
        <v>0.297961161847204</v>
      </c>
      <c r="R316" s="12" t="n">
        <v>2264299</v>
      </c>
      <c r="S316" s="13" t="n">
        <f aca="false">IFERROR(R316/R315-1,"")</f>
        <v>0.379590844479593</v>
      </c>
      <c r="T316" s="12" t="n">
        <v>1302216</v>
      </c>
      <c r="U316" s="13" t="n">
        <f aca="false">IFERROR(T316/P316,"")</f>
        <v>0.62418652316273</v>
      </c>
      <c r="V316" s="14" t="n">
        <f aca="false">T316-AV316</f>
        <v>-2308068</v>
      </c>
      <c r="W316" s="14" t="n">
        <f aca="false">V316-AA316*0.1</f>
        <v>-2308068</v>
      </c>
      <c r="X316" s="12" t="n">
        <v>2521200</v>
      </c>
      <c r="Y316" s="12" t="n">
        <v>185270</v>
      </c>
      <c r="Z316" s="15" t="n">
        <f aca="false">IFERROR(X316/Y316,"")</f>
        <v>13.6082474226804</v>
      </c>
      <c r="AA316" s="12" t="n">
        <v>0</v>
      </c>
      <c r="AB316" s="14" t="n">
        <f aca="false">W316-0.02*P316</f>
        <v>-2349793.22</v>
      </c>
      <c r="AC316" s="16" t="n">
        <v>48</v>
      </c>
      <c r="AD316" s="13" t="n">
        <f aca="false">IFERROR(AC316/AC315-1,"")</f>
        <v>0.2</v>
      </c>
      <c r="AE316" s="17" t="n">
        <v>0.053</v>
      </c>
      <c r="AF316" s="17" t="n">
        <v>0.04</v>
      </c>
      <c r="AG316" s="13" t="n">
        <f aca="false">1-AF316</f>
        <v>0.96</v>
      </c>
      <c r="AH316" s="17" t="n">
        <v>1.315</v>
      </c>
      <c r="AI316" s="12" t="n">
        <v>17544</v>
      </c>
      <c r="AJ316" s="14" t="n">
        <f aca="false">IFERROR(AM316*U316*MIN(1/AE316,5),"")</f>
        <v>94127.3276929397</v>
      </c>
      <c r="AK316" s="18" t="n">
        <f aca="false">IFERROR(AJ316/AI316,"")</f>
        <v>5.36521475677951</v>
      </c>
      <c r="AL316" s="15" t="n">
        <f aca="false">IFERROR(AI316/(AM316*U316/12),"")</f>
        <v>11.1831497377032</v>
      </c>
      <c r="AM316" s="12" t="n">
        <v>30160</v>
      </c>
      <c r="AN316" s="12" t="n">
        <v>2867085</v>
      </c>
      <c r="AO316" s="12" t="n">
        <v>7539741</v>
      </c>
      <c r="AP316" s="17" t="n">
        <v>0.391</v>
      </c>
      <c r="AQ316" s="16" t="n">
        <v>29</v>
      </c>
      <c r="AR316" s="16" t="n">
        <v>2</v>
      </c>
      <c r="AS316" s="13" t="n">
        <f aca="false">IFERROR(AR316/AR315-1,"")</f>
        <v>1</v>
      </c>
      <c r="AT316" s="11" t="s">
        <v>134</v>
      </c>
      <c r="AU316" s="14" t="n">
        <f aca="false">IFERROR(P316/AR316,"")</f>
        <v>1043130.5</v>
      </c>
      <c r="AV316" s="12" t="n">
        <v>3610284</v>
      </c>
      <c r="AW316" s="12" t="n">
        <v>1122586</v>
      </c>
      <c r="AX316" s="12" t="n">
        <v>1070698</v>
      </c>
      <c r="AY316" s="16" t="n">
        <v>9686</v>
      </c>
      <c r="AZ316" s="13" t="n">
        <f aca="false">IFERROR(AY316/AY315-1,"")</f>
        <v>0.334527418021493</v>
      </c>
      <c r="BA316" s="17" t="n">
        <v>0.962</v>
      </c>
      <c r="BB316" s="11" t="s">
        <v>107</v>
      </c>
      <c r="BC316" s="11" t="s">
        <v>82</v>
      </c>
      <c r="BD316" s="11" t="s">
        <v>101</v>
      </c>
      <c r="BE316" s="12" t="n">
        <v>2548298</v>
      </c>
      <c r="BF316" s="13" t="n">
        <f aca="false">IFERROR(P316/BE316-1,"")</f>
        <v>-0.181311997262487</v>
      </c>
      <c r="BG316" s="17" t="n">
        <v>0.082</v>
      </c>
      <c r="BH316" s="17" t="n">
        <v>-0.04</v>
      </c>
      <c r="BI316" s="14" t="n">
        <f aca="false">P316*(1+IFERROR(Q316,0))^4</f>
        <v>5921277.70286002</v>
      </c>
      <c r="BJ316" s="12" t="n">
        <v>-1605812</v>
      </c>
      <c r="BK316" s="11" t="s">
        <v>102</v>
      </c>
      <c r="BL316" s="11" t="s">
        <v>128</v>
      </c>
      <c r="BM316" s="14" t="n">
        <f aca="false">O316</f>
        <v>20851105</v>
      </c>
      <c r="BN316" s="11" t="s">
        <v>382</v>
      </c>
      <c r="BO316" s="13" t="n">
        <f aca="false">IFERROR(1-L316/M316,"")</f>
        <v>0.0953038674033149</v>
      </c>
      <c r="BP316" s="11" t="s">
        <v>113</v>
      </c>
      <c r="BQ316" s="12" t="n">
        <v>2257810</v>
      </c>
      <c r="BR316" s="11" t="s">
        <v>88</v>
      </c>
      <c r="BS316" s="11" t="s">
        <v>89</v>
      </c>
      <c r="BT316" s="19" t="str">
        <f aca="false">IF(OR(Z316&lt;6,AH316&lt;0.9,S316&lt;0.02,AK316&lt;1),"REVIEW",IF(AND(S316&gt;0.25,AH316&gt;1.2),"ACCELERATING","STABLE"))</f>
        <v>ACCELERATING</v>
      </c>
    </row>
    <row r="317" customFormat="false" ht="15" hidden="false" customHeight="false" outlineLevel="0" collapsed="false">
      <c r="A317" s="11" t="s">
        <v>380</v>
      </c>
      <c r="B317" s="11" t="s">
        <v>93</v>
      </c>
      <c r="C317" s="11" t="s">
        <v>74</v>
      </c>
      <c r="D317" s="11" t="s">
        <v>75</v>
      </c>
      <c r="E317" s="11" t="s">
        <v>105</v>
      </c>
      <c r="F317" s="11" t="s">
        <v>381</v>
      </c>
      <c r="G317" s="11" t="s">
        <v>78</v>
      </c>
      <c r="H317" s="11" t="s">
        <v>79</v>
      </c>
      <c r="I317" s="11" t="s">
        <v>78</v>
      </c>
      <c r="J317" s="12" t="n">
        <v>1311000</v>
      </c>
      <c r="K317" s="13" t="n">
        <f aca="false">IFERROR(J317/M317,"")</f>
        <v>0.0953038674033149</v>
      </c>
      <c r="L317" s="12" t="n">
        <v>12445000</v>
      </c>
      <c r="M317" s="14" t="n">
        <f aca="false">L317+J317</f>
        <v>13756000</v>
      </c>
      <c r="N317" s="12" t="n">
        <v>7083000</v>
      </c>
      <c r="O317" s="12" t="n">
        <v>20851105</v>
      </c>
      <c r="P317" s="12" t="n">
        <v>2949099</v>
      </c>
      <c r="Q317" s="13" t="n">
        <f aca="false">IFERROR(P317/P316-1,"")</f>
        <v>0.413581042832129</v>
      </c>
      <c r="R317" s="12" t="n">
        <v>2958299</v>
      </c>
      <c r="S317" s="13" t="n">
        <f aca="false">IFERROR(R317/R316-1,"")</f>
        <v>0.306496624341573</v>
      </c>
      <c r="T317" s="12" t="n">
        <v>1848181</v>
      </c>
      <c r="U317" s="13" t="n">
        <f aca="false">IFERROR(T317/P317,"")</f>
        <v>0.626693440945862</v>
      </c>
      <c r="V317" s="14" t="n">
        <f aca="false">T317-AV317</f>
        <v>-2306908</v>
      </c>
      <c r="W317" s="14" t="n">
        <f aca="false">V317-AA317*0.1</f>
        <v>-2306908</v>
      </c>
      <c r="X317" s="12" t="n">
        <v>4584000</v>
      </c>
      <c r="Y317" s="12" t="n">
        <v>191000</v>
      </c>
      <c r="Z317" s="15" t="n">
        <f aca="false">IFERROR(X317/Y317,"")</f>
        <v>24</v>
      </c>
      <c r="AA317" s="12" t="n">
        <v>0</v>
      </c>
      <c r="AB317" s="14" t="n">
        <f aca="false">W317-0.02*P317</f>
        <v>-2365889.98</v>
      </c>
      <c r="AC317" s="16" t="n">
        <v>61</v>
      </c>
      <c r="AD317" s="13" t="n">
        <f aca="false">IFERROR(AC317/AC316-1,"")</f>
        <v>0.270833333333333</v>
      </c>
      <c r="AE317" s="17" t="n">
        <v>0.051</v>
      </c>
      <c r="AF317" s="17" t="n">
        <v>0.047</v>
      </c>
      <c r="AG317" s="13" t="n">
        <f aca="false">1-AF317</f>
        <v>0.953</v>
      </c>
      <c r="AH317" s="17" t="n">
        <v>1.345</v>
      </c>
      <c r="AI317" s="12" t="n">
        <v>17200</v>
      </c>
      <c r="AJ317" s="14" t="n">
        <f aca="false">IFERROR(AM317*U317*MIN(1/AE317,5),"")</f>
        <v>96322.781873379</v>
      </c>
      <c r="AK317" s="18" t="n">
        <f aca="false">IFERROR(AJ317/AI317,"")</f>
        <v>5.60016173682436</v>
      </c>
      <c r="AL317" s="15" t="n">
        <f aca="false">IFERROR(AI317/(AM317*U317/12),"")</f>
        <v>10.713976277768</v>
      </c>
      <c r="AM317" s="12" t="n">
        <v>30740</v>
      </c>
      <c r="AN317" s="12" t="n">
        <v>3039910</v>
      </c>
      <c r="AO317" s="12" t="n">
        <v>6452584</v>
      </c>
      <c r="AP317" s="17" t="n">
        <v>0.391</v>
      </c>
      <c r="AQ317" s="16" t="n">
        <v>29</v>
      </c>
      <c r="AR317" s="16" t="n">
        <v>2</v>
      </c>
      <c r="AS317" s="13" t="n">
        <f aca="false">IFERROR(AR317/AR316-1,"")</f>
        <v>0</v>
      </c>
      <c r="AT317" s="11" t="s">
        <v>134</v>
      </c>
      <c r="AU317" s="14" t="n">
        <f aca="false">IFERROR(P317/AR317,"")</f>
        <v>1474549.5</v>
      </c>
      <c r="AV317" s="12" t="n">
        <v>4155089</v>
      </c>
      <c r="AW317" s="12" t="n">
        <v>1574912</v>
      </c>
      <c r="AX317" s="12" t="n">
        <v>1062966</v>
      </c>
      <c r="AY317" s="16" t="n">
        <v>12537</v>
      </c>
      <c r="AZ317" s="13" t="n">
        <f aca="false">IFERROR(AY317/AY316-1,"")</f>
        <v>0.294342349783192</v>
      </c>
      <c r="BA317" s="17" t="n">
        <v>0.962</v>
      </c>
      <c r="BB317" s="11" t="s">
        <v>107</v>
      </c>
      <c r="BC317" s="11" t="s">
        <v>82</v>
      </c>
      <c r="BD317" s="11" t="s">
        <v>101</v>
      </c>
      <c r="BE317" s="12" t="n">
        <v>3399582</v>
      </c>
      <c r="BF317" s="13" t="n">
        <f aca="false">IFERROR(P317/BE317-1,"")</f>
        <v>-0.132511291094023</v>
      </c>
      <c r="BG317" s="17" t="n">
        <v>0.068</v>
      </c>
      <c r="BH317" s="17" t="n">
        <v>-0.023</v>
      </c>
      <c r="BI317" s="14" t="n">
        <f aca="false">P317*(1+IFERROR(Q317,0))^4</f>
        <v>11775305.9839692</v>
      </c>
      <c r="BJ317" s="12" t="n">
        <v>-1361424</v>
      </c>
      <c r="BK317" s="11" t="s">
        <v>102</v>
      </c>
      <c r="BL317" s="11" t="s">
        <v>128</v>
      </c>
      <c r="BM317" s="14" t="n">
        <f aca="false">O317</f>
        <v>20851105</v>
      </c>
      <c r="BN317" s="11" t="s">
        <v>382</v>
      </c>
      <c r="BO317" s="13" t="n">
        <f aca="false">IFERROR(1-L317/M317,"")</f>
        <v>0.0953038674033149</v>
      </c>
      <c r="BP317" s="11" t="s">
        <v>113</v>
      </c>
      <c r="BQ317" s="12" t="n">
        <v>3715957</v>
      </c>
      <c r="BR317" s="11" t="s">
        <v>88</v>
      </c>
      <c r="BS317" s="11" t="s">
        <v>89</v>
      </c>
      <c r="BT317" s="19" t="str">
        <f aca="false">IF(OR(Z317&lt;6,AH317&lt;0.9,S317&lt;0.02,AK317&lt;1),"REVIEW",IF(AND(S317&gt;0.25,AH317&gt;1.2),"ACCELERATING","STABLE"))</f>
        <v>ACCELERATING</v>
      </c>
    </row>
    <row r="318" customFormat="false" ht="15" hidden="false" customHeight="false" outlineLevel="0" collapsed="false">
      <c r="A318" s="3" t="s">
        <v>383</v>
      </c>
      <c r="B318" s="3" t="s">
        <v>73</v>
      </c>
      <c r="C318" s="3" t="s">
        <v>74</v>
      </c>
      <c r="D318" s="3" t="s">
        <v>95</v>
      </c>
      <c r="E318" s="3" t="s">
        <v>105</v>
      </c>
      <c r="F318" s="3" t="s">
        <v>384</v>
      </c>
      <c r="G318" s="3" t="s">
        <v>78</v>
      </c>
      <c r="H318" s="3" t="s">
        <v>79</v>
      </c>
      <c r="I318" s="3" t="s">
        <v>78</v>
      </c>
      <c r="J318" s="4" t="n">
        <v>1758000</v>
      </c>
      <c r="K318" s="5" t="n">
        <f aca="false">IFERROR(J318/M318,"")</f>
        <v>0.17997542997543</v>
      </c>
      <c r="L318" s="4" t="n">
        <v>8010000</v>
      </c>
      <c r="M318" s="6" t="n">
        <f aca="false">L318+J318</f>
        <v>9768000</v>
      </c>
      <c r="N318" s="4" t="n">
        <v>5494000</v>
      </c>
      <c r="O318" s="4" t="n">
        <v>8293486</v>
      </c>
      <c r="P318" s="4" t="n">
        <v>698950</v>
      </c>
      <c r="Q318" s="7"/>
      <c r="R318" s="4" t="n">
        <v>869067</v>
      </c>
      <c r="S318" s="7"/>
      <c r="T318" s="4" t="n">
        <v>437131</v>
      </c>
      <c r="U318" s="5" t="n">
        <f aca="false">IFERROR(T318/P318,"")</f>
        <v>0.625410973603262</v>
      </c>
      <c r="V318" s="6" t="n">
        <f aca="false">T318-AV318</f>
        <v>-1807135</v>
      </c>
      <c r="W318" s="6" t="n">
        <f aca="false">V318-AA318*0.1</f>
        <v>-1807135</v>
      </c>
      <c r="X318" s="4" t="n">
        <v>1831835</v>
      </c>
      <c r="Y318" s="4" t="n">
        <v>140220</v>
      </c>
      <c r="Z318" s="8" t="n">
        <f aca="false">IFERROR(X318/Y318,"")</f>
        <v>13.0640065611182</v>
      </c>
      <c r="AA318" s="4" t="n">
        <v>0</v>
      </c>
      <c r="AB318" s="6" t="n">
        <f aca="false">W318-0.02*P318</f>
        <v>-1821114</v>
      </c>
      <c r="AC318" s="9" t="n">
        <v>53</v>
      </c>
      <c r="AD318" s="7"/>
      <c r="AE318" s="7" t="n">
        <v>0.184</v>
      </c>
      <c r="AF318" s="7" t="n">
        <v>0.194</v>
      </c>
      <c r="AG318" s="5" t="n">
        <f aca="false">1-AF318</f>
        <v>0.806</v>
      </c>
      <c r="AH318" s="7" t="n">
        <v>0.986</v>
      </c>
      <c r="AI318" s="4" t="n">
        <v>48488</v>
      </c>
      <c r="AJ318" s="6" t="n">
        <f aca="false">IFERROR(AM318*U318*MIN(1/AE318,5),"")</f>
        <v>56286.9876242936</v>
      </c>
      <c r="AK318" s="10" t="n">
        <f aca="false">IFERROR(AJ318/AI318,"")</f>
        <v>1.16084366491284</v>
      </c>
      <c r="AL318" s="8" t="n">
        <f aca="false">IFERROR(AI318/(AM318*U318/12),"")</f>
        <v>51.6865464433621</v>
      </c>
      <c r="AM318" s="4" t="n">
        <v>18000</v>
      </c>
      <c r="AN318" s="4" t="n">
        <v>790746</v>
      </c>
      <c r="AO318" s="4" t="n">
        <v>2229747</v>
      </c>
      <c r="AP318" s="7" t="n">
        <v>0.259</v>
      </c>
      <c r="AQ318" s="9" t="n">
        <v>72</v>
      </c>
      <c r="AR318" s="9" t="n">
        <v>4</v>
      </c>
      <c r="AS318" s="7"/>
      <c r="AT318" s="3" t="s">
        <v>196</v>
      </c>
      <c r="AU318" s="6" t="n">
        <f aca="false">IFERROR(P318/AR318,"")</f>
        <v>174737.5</v>
      </c>
      <c r="AV318" s="4" t="n">
        <v>2244266</v>
      </c>
      <c r="AW318" s="4" t="n">
        <v>977036</v>
      </c>
      <c r="AX318" s="4" t="n">
        <v>450190</v>
      </c>
      <c r="AY318" s="9" t="n">
        <v>31865</v>
      </c>
      <c r="AZ318" s="7"/>
      <c r="BA318" s="7" t="n">
        <v>0.859</v>
      </c>
      <c r="BB318" s="3" t="s">
        <v>119</v>
      </c>
      <c r="BC318" s="3" t="s">
        <v>120</v>
      </c>
      <c r="BD318" s="3" t="s">
        <v>109</v>
      </c>
      <c r="BE318" s="4" t="n">
        <v>1062112</v>
      </c>
      <c r="BF318" s="5" t="n">
        <f aca="false">IFERROR(P318/BE318-1,"")</f>
        <v>-0.3419243921545</v>
      </c>
      <c r="BG318" s="7" t="n">
        <v>0.236</v>
      </c>
      <c r="BH318" s="7" t="n">
        <v>0.225</v>
      </c>
      <c r="BI318" s="6" t="n">
        <f aca="false">P318</f>
        <v>698950</v>
      </c>
      <c r="BJ318" s="4" t="n">
        <v>-1547473</v>
      </c>
      <c r="BK318" s="3" t="s">
        <v>121</v>
      </c>
      <c r="BL318" s="3" t="s">
        <v>122</v>
      </c>
      <c r="BM318" s="6" t="n">
        <f aca="false">O318</f>
        <v>8293486</v>
      </c>
      <c r="BN318" s="3" t="s">
        <v>385</v>
      </c>
      <c r="BO318" s="5" t="n">
        <f aca="false">IFERROR(1-L318/M318,"")</f>
        <v>0.17997542997543</v>
      </c>
      <c r="BP318" s="3" t="s">
        <v>142</v>
      </c>
      <c r="BQ318" s="4" t="n">
        <v>2573911</v>
      </c>
      <c r="BR318" s="3" t="s">
        <v>88</v>
      </c>
      <c r="BS318" s="3" t="s">
        <v>89</v>
      </c>
      <c r="BT318" s="3" t="s">
        <v>90</v>
      </c>
    </row>
    <row r="319" customFormat="false" ht="15" hidden="false" customHeight="false" outlineLevel="0" collapsed="false">
      <c r="A319" s="11" t="s">
        <v>383</v>
      </c>
      <c r="B319" s="11" t="s">
        <v>91</v>
      </c>
      <c r="C319" s="11" t="s">
        <v>74</v>
      </c>
      <c r="D319" s="11" t="s">
        <v>95</v>
      </c>
      <c r="E319" s="11" t="s">
        <v>105</v>
      </c>
      <c r="F319" s="11" t="s">
        <v>384</v>
      </c>
      <c r="G319" s="11" t="s">
        <v>78</v>
      </c>
      <c r="H319" s="11" t="s">
        <v>79</v>
      </c>
      <c r="I319" s="11" t="s">
        <v>78</v>
      </c>
      <c r="J319" s="12" t="n">
        <v>1758000</v>
      </c>
      <c r="K319" s="13" t="n">
        <f aca="false">IFERROR(J319/M319,"")</f>
        <v>0.17997542997543</v>
      </c>
      <c r="L319" s="12" t="n">
        <v>8010000</v>
      </c>
      <c r="M319" s="14" t="n">
        <f aca="false">L319+J319</f>
        <v>9768000</v>
      </c>
      <c r="N319" s="12" t="n">
        <v>5494000</v>
      </c>
      <c r="O319" s="12" t="n">
        <v>8293486</v>
      </c>
      <c r="P319" s="12" t="n">
        <v>639837</v>
      </c>
      <c r="Q319" s="13" t="n">
        <f aca="false">IFERROR(P319/P318-1,"")</f>
        <v>-0.0845740038629372</v>
      </c>
      <c r="R319" s="12" t="n">
        <v>804212</v>
      </c>
      <c r="S319" s="13" t="n">
        <f aca="false">IFERROR(R319/R318-1,"")</f>
        <v>-0.0746260069706939</v>
      </c>
      <c r="T319" s="12" t="n">
        <v>392611</v>
      </c>
      <c r="U319" s="13" t="n">
        <f aca="false">IFERROR(T319/P319,"")</f>
        <v>0.613610966543042</v>
      </c>
      <c r="V319" s="14" t="n">
        <f aca="false">T319-AV319</f>
        <v>-1641200</v>
      </c>
      <c r="W319" s="14" t="n">
        <f aca="false">V319-AA319*0.1</f>
        <v>-1641200</v>
      </c>
      <c r="X319" s="12" t="n">
        <v>1436825</v>
      </c>
      <c r="Y319" s="12" t="n">
        <v>150480</v>
      </c>
      <c r="Z319" s="15" t="n">
        <f aca="false">IFERROR(X319/Y319,"")</f>
        <v>9.548278841042</v>
      </c>
      <c r="AA319" s="12" t="n">
        <v>0</v>
      </c>
      <c r="AB319" s="14" t="n">
        <f aca="false">W319-0.02*P319</f>
        <v>-1653996.74</v>
      </c>
      <c r="AC319" s="16" t="n">
        <v>50</v>
      </c>
      <c r="AD319" s="13" t="n">
        <f aca="false">IFERROR(AC319/AC318-1,"")</f>
        <v>-0.0566037735849057</v>
      </c>
      <c r="AE319" s="17" t="n">
        <v>0.218</v>
      </c>
      <c r="AF319" s="17" t="n">
        <v>0.176</v>
      </c>
      <c r="AG319" s="13" t="n">
        <f aca="false">1-AF319</f>
        <v>0.824</v>
      </c>
      <c r="AH319" s="17" t="n">
        <v>0.946</v>
      </c>
      <c r="AI319" s="12" t="n">
        <v>53592</v>
      </c>
      <c r="AJ319" s="14" t="n">
        <f aca="false">IFERROR(AM319*U319*MIN(1/AE319,5),"")</f>
        <v>51678.4281914231</v>
      </c>
      <c r="AK319" s="18" t="n">
        <f aca="false">IFERROR(AJ319/AI319,"")</f>
        <v>0.964293704124181</v>
      </c>
      <c r="AL319" s="15" t="n">
        <f aca="false">IFERROR(AI319/(AM319*U319/12),"")</f>
        <v>57.0841345579751</v>
      </c>
      <c r="AM319" s="12" t="n">
        <v>18360</v>
      </c>
      <c r="AN319" s="12" t="n">
        <v>1185272</v>
      </c>
      <c r="AO319" s="12" t="n">
        <v>1305285</v>
      </c>
      <c r="AP319" s="17" t="n">
        <v>0.259</v>
      </c>
      <c r="AQ319" s="16" t="n">
        <v>72</v>
      </c>
      <c r="AR319" s="16" t="n">
        <v>4</v>
      </c>
      <c r="AS319" s="13" t="n">
        <f aca="false">IFERROR(AR319/AR318-1,"")</f>
        <v>0</v>
      </c>
      <c r="AT319" s="11" t="s">
        <v>196</v>
      </c>
      <c r="AU319" s="14" t="n">
        <f aca="false">IFERROR(P319/AR319,"")</f>
        <v>159959.25</v>
      </c>
      <c r="AV319" s="12" t="n">
        <v>2033811</v>
      </c>
      <c r="AW319" s="12" t="n">
        <v>648723</v>
      </c>
      <c r="AX319" s="12" t="n">
        <v>405373</v>
      </c>
      <c r="AY319" s="16" t="n">
        <v>29683</v>
      </c>
      <c r="AZ319" s="13" t="n">
        <f aca="false">IFERROR(AY319/AY318-1,"")</f>
        <v>-0.0684763847481563</v>
      </c>
      <c r="BA319" s="17" t="n">
        <v>0.839</v>
      </c>
      <c r="BB319" s="11" t="s">
        <v>119</v>
      </c>
      <c r="BC319" s="11" t="s">
        <v>120</v>
      </c>
      <c r="BD319" s="11" t="s">
        <v>109</v>
      </c>
      <c r="BE319" s="12" t="n">
        <v>872615</v>
      </c>
      <c r="BF319" s="13" t="n">
        <f aca="false">IFERROR(P319/BE319-1,"")</f>
        <v>-0.266759109114558</v>
      </c>
      <c r="BG319" s="17" t="n">
        <v>0.202</v>
      </c>
      <c r="BH319" s="17" t="n">
        <v>0.233</v>
      </c>
      <c r="BI319" s="14" t="n">
        <f aca="false">P319*(1+IFERROR(Q319,0))^4</f>
        <v>449326.792707024</v>
      </c>
      <c r="BJ319" s="12" t="n">
        <v>-1149017</v>
      </c>
      <c r="BK319" s="11" t="s">
        <v>121</v>
      </c>
      <c r="BL319" s="11" t="s">
        <v>122</v>
      </c>
      <c r="BM319" s="14" t="n">
        <f aca="false">O319</f>
        <v>8293486</v>
      </c>
      <c r="BN319" s="11" t="s">
        <v>385</v>
      </c>
      <c r="BO319" s="13" t="n">
        <f aca="false">IFERROR(1-L319/M319,"")</f>
        <v>0.17997542997543</v>
      </c>
      <c r="BP319" s="11" t="s">
        <v>142</v>
      </c>
      <c r="BQ319" s="12" t="n">
        <v>2219552</v>
      </c>
      <c r="BR319" s="11" t="s">
        <v>88</v>
      </c>
      <c r="BS319" s="11" t="s">
        <v>89</v>
      </c>
      <c r="BT319" s="19" t="str">
        <f aca="false">IF(OR(Z319&lt;6,AH319&lt;0.9,S319&lt;0.02,AK319&lt;1),"REVIEW",IF(AND(S319&gt;0.25,AH319&gt;1.2),"ACCELERATING","STABLE"))</f>
        <v>REVIEW</v>
      </c>
    </row>
    <row r="320" customFormat="false" ht="15" hidden="false" customHeight="false" outlineLevel="0" collapsed="false">
      <c r="A320" s="11" t="s">
        <v>383</v>
      </c>
      <c r="B320" s="11" t="s">
        <v>92</v>
      </c>
      <c r="C320" s="11" t="s">
        <v>74</v>
      </c>
      <c r="D320" s="11" t="s">
        <v>95</v>
      </c>
      <c r="E320" s="11" t="s">
        <v>105</v>
      </c>
      <c r="F320" s="11" t="s">
        <v>384</v>
      </c>
      <c r="G320" s="11" t="s">
        <v>78</v>
      </c>
      <c r="H320" s="11" t="s">
        <v>79</v>
      </c>
      <c r="I320" s="11" t="s">
        <v>78</v>
      </c>
      <c r="J320" s="12" t="n">
        <v>1758000</v>
      </c>
      <c r="K320" s="13" t="n">
        <f aca="false">IFERROR(J320/M320,"")</f>
        <v>0.17997542997543</v>
      </c>
      <c r="L320" s="12" t="n">
        <v>8010000</v>
      </c>
      <c r="M320" s="14" t="n">
        <f aca="false">L320+J320</f>
        <v>9768000</v>
      </c>
      <c r="N320" s="12" t="n">
        <v>5494000</v>
      </c>
      <c r="O320" s="12" t="n">
        <v>8293486</v>
      </c>
      <c r="P320" s="12" t="n">
        <v>604992</v>
      </c>
      <c r="Q320" s="13" t="n">
        <f aca="false">IFERROR(P320/P319-1,"")</f>
        <v>-0.0544591825730616</v>
      </c>
      <c r="R320" s="12" t="n">
        <v>761630</v>
      </c>
      <c r="S320" s="13" t="n">
        <f aca="false">IFERROR(R320/R319-1,"")</f>
        <v>-0.0529487249630695</v>
      </c>
      <c r="T320" s="12" t="n">
        <v>364091</v>
      </c>
      <c r="U320" s="13" t="n">
        <f aca="false">IFERROR(T320/P320,"")</f>
        <v>0.601811263620015</v>
      </c>
      <c r="V320" s="14" t="n">
        <f aca="false">T320-AV320</f>
        <v>-1676044</v>
      </c>
      <c r="W320" s="14" t="n">
        <f aca="false">V320-AA320*0.1</f>
        <v>-1676044</v>
      </c>
      <c r="X320" s="12" t="n">
        <v>974099</v>
      </c>
      <c r="Y320" s="12" t="n">
        <v>160740</v>
      </c>
      <c r="Z320" s="15" t="n">
        <f aca="false">IFERROR(X320/Y320,"")</f>
        <v>6.06009082991166</v>
      </c>
      <c r="AA320" s="12" t="n">
        <v>0</v>
      </c>
      <c r="AB320" s="14" t="n">
        <f aca="false">W320-0.02*P320</f>
        <v>-1688143.84</v>
      </c>
      <c r="AC320" s="16" t="n">
        <v>48</v>
      </c>
      <c r="AD320" s="13" t="n">
        <f aca="false">IFERROR(AC320/AC319-1,"")</f>
        <v>-0.04</v>
      </c>
      <c r="AE320" s="17" t="n">
        <v>0.253</v>
      </c>
      <c r="AF320" s="17" t="n">
        <v>0.18</v>
      </c>
      <c r="AG320" s="13" t="n">
        <f aca="false">1-AF320</f>
        <v>0.82</v>
      </c>
      <c r="AH320" s="17" t="n">
        <v>0.906</v>
      </c>
      <c r="AI320" s="12" t="n">
        <v>58696</v>
      </c>
      <c r="AJ320" s="14" t="n">
        <f aca="false">IFERROR(AM320*U320*MIN(1/AE320,5),"")</f>
        <v>44529.2761065877</v>
      </c>
      <c r="AK320" s="18" t="n">
        <f aca="false">IFERROR(AJ320/AI320,"")</f>
        <v>0.758642430601534</v>
      </c>
      <c r="AL320" s="15" t="n">
        <f aca="false">IFERROR(AI320/(AM320*U320/12),"")</f>
        <v>62.5206660296042</v>
      </c>
      <c r="AM320" s="12" t="n">
        <v>18720</v>
      </c>
      <c r="AN320" s="12" t="n">
        <v>756994</v>
      </c>
      <c r="AO320" s="12" t="n">
        <v>1720039</v>
      </c>
      <c r="AP320" s="17" t="n">
        <v>0.259</v>
      </c>
      <c r="AQ320" s="16" t="n">
        <v>72</v>
      </c>
      <c r="AR320" s="16" t="n">
        <v>4</v>
      </c>
      <c r="AS320" s="13" t="n">
        <f aca="false">IFERROR(AR320/AR319-1,"")</f>
        <v>0</v>
      </c>
      <c r="AT320" s="11" t="s">
        <v>196</v>
      </c>
      <c r="AU320" s="14" t="n">
        <f aca="false">IFERROR(P320/AR320,"")</f>
        <v>151248</v>
      </c>
      <c r="AV320" s="12" t="n">
        <v>2040135</v>
      </c>
      <c r="AW320" s="12" t="n">
        <v>832385</v>
      </c>
      <c r="AX320" s="12" t="n">
        <v>593536</v>
      </c>
      <c r="AY320" s="16" t="n">
        <v>28322</v>
      </c>
      <c r="AZ320" s="13" t="n">
        <f aca="false">IFERROR(AY320/AY319-1,"")</f>
        <v>-0.0458511605969747</v>
      </c>
      <c r="BA320" s="17" t="n">
        <v>0.753</v>
      </c>
      <c r="BB320" s="11" t="s">
        <v>119</v>
      </c>
      <c r="BC320" s="11" t="s">
        <v>120</v>
      </c>
      <c r="BD320" s="11" t="s">
        <v>109</v>
      </c>
      <c r="BE320" s="12" t="n">
        <v>788426</v>
      </c>
      <c r="BF320" s="13" t="n">
        <f aca="false">IFERROR(P320/BE320-1,"")</f>
        <v>-0.232658486655691</v>
      </c>
      <c r="BG320" s="17" t="n">
        <v>0.249</v>
      </c>
      <c r="BH320" s="17" t="n">
        <v>0.307</v>
      </c>
      <c r="BI320" s="14" t="n">
        <f aca="false">P320*(1+IFERROR(Q320,0))^4</f>
        <v>483582.701750021</v>
      </c>
      <c r="BJ320" s="12" t="n">
        <v>-1159974</v>
      </c>
      <c r="BK320" s="11" t="s">
        <v>121</v>
      </c>
      <c r="BL320" s="11" t="s">
        <v>122</v>
      </c>
      <c r="BM320" s="14" t="n">
        <f aca="false">O320</f>
        <v>8293486</v>
      </c>
      <c r="BN320" s="11" t="s">
        <v>385</v>
      </c>
      <c r="BO320" s="13" t="n">
        <f aca="false">IFERROR(1-L320/M320,"")</f>
        <v>0.17997542997543</v>
      </c>
      <c r="BP320" s="11" t="s">
        <v>142</v>
      </c>
      <c r="BQ320" s="12" t="n">
        <v>2316535</v>
      </c>
      <c r="BR320" s="11" t="s">
        <v>88</v>
      </c>
      <c r="BS320" s="11" t="s">
        <v>89</v>
      </c>
      <c r="BT320" s="19" t="str">
        <f aca="false">IF(OR(Z320&lt;6,AH320&lt;0.9,S320&lt;0.02,AK320&lt;1),"REVIEW",IF(AND(S320&gt;0.25,AH320&gt;1.2),"ACCELERATING","STABLE"))</f>
        <v>REVIEW</v>
      </c>
    </row>
    <row r="321" customFormat="false" ht="15" hidden="false" customHeight="false" outlineLevel="0" collapsed="false">
      <c r="A321" s="11" t="s">
        <v>383</v>
      </c>
      <c r="B321" s="11" t="s">
        <v>93</v>
      </c>
      <c r="C321" s="11" t="s">
        <v>74</v>
      </c>
      <c r="D321" s="11" t="s">
        <v>95</v>
      </c>
      <c r="E321" s="11" t="s">
        <v>105</v>
      </c>
      <c r="F321" s="11" t="s">
        <v>384</v>
      </c>
      <c r="G321" s="11" t="s">
        <v>78</v>
      </c>
      <c r="H321" s="11" t="s">
        <v>79</v>
      </c>
      <c r="I321" s="11" t="s">
        <v>78</v>
      </c>
      <c r="J321" s="12" t="n">
        <v>1758000</v>
      </c>
      <c r="K321" s="13" t="n">
        <f aca="false">IFERROR(J321/M321,"")</f>
        <v>0.17997542997543</v>
      </c>
      <c r="L321" s="12" t="n">
        <v>8010000</v>
      </c>
      <c r="M321" s="14" t="n">
        <f aca="false">L321+J321</f>
        <v>9768000</v>
      </c>
      <c r="N321" s="12" t="n">
        <v>5494000</v>
      </c>
      <c r="O321" s="12" t="n">
        <v>8293486</v>
      </c>
      <c r="P321" s="12" t="n">
        <v>567502</v>
      </c>
      <c r="Q321" s="13" t="n">
        <f aca="false">IFERROR(P321/P320-1,"")</f>
        <v>-0.0619677615571777</v>
      </c>
      <c r="R321" s="12" t="n">
        <v>704563</v>
      </c>
      <c r="S321" s="13" t="n">
        <f aca="false">IFERROR(R321/R320-1,"")</f>
        <v>-0.0749274582146187</v>
      </c>
      <c r="T321" s="12" t="n">
        <v>334832</v>
      </c>
      <c r="U321" s="13" t="n">
        <f aca="false">IFERROR(T321/P321,"")</f>
        <v>0.590010255470465</v>
      </c>
      <c r="V321" s="14" t="n">
        <f aca="false">T321-AV321</f>
        <v>-2159096</v>
      </c>
      <c r="W321" s="14" t="n">
        <f aca="false">V321-AA321*0.1</f>
        <v>-2159096</v>
      </c>
      <c r="X321" s="12" t="n">
        <v>443657</v>
      </c>
      <c r="Y321" s="12" t="n">
        <v>171000</v>
      </c>
      <c r="Z321" s="15" t="n">
        <f aca="false">IFERROR(X321/Y321,"")</f>
        <v>2.59448538011696</v>
      </c>
      <c r="AA321" s="12" t="n">
        <v>0</v>
      </c>
      <c r="AB321" s="14" t="n">
        <f aca="false">W321-0.02*P321</f>
        <v>-2170446.04</v>
      </c>
      <c r="AC321" s="16" t="n">
        <v>44</v>
      </c>
      <c r="AD321" s="13" t="n">
        <f aca="false">IFERROR(AC321/AC320-1,"")</f>
        <v>-0.0833333333333334</v>
      </c>
      <c r="AE321" s="17" t="n">
        <v>0.287</v>
      </c>
      <c r="AF321" s="17" t="n">
        <v>0.265</v>
      </c>
      <c r="AG321" s="13" t="n">
        <f aca="false">1-AF321</f>
        <v>0.735</v>
      </c>
      <c r="AH321" s="17" t="n">
        <v>0.866</v>
      </c>
      <c r="AI321" s="12" t="n">
        <v>63800</v>
      </c>
      <c r="AJ321" s="14" t="n">
        <f aca="false">IFERROR(AM321*U321*MIN(1/AE321,5),"")</f>
        <v>39224.3751720435</v>
      </c>
      <c r="AK321" s="18" t="n">
        <f aca="false">IFERROR(AJ321/AI321,"")</f>
        <v>0.614802118684067</v>
      </c>
      <c r="AL321" s="15" t="n">
        <f aca="false">IFERROR(AI321/(AM321*U321/12),"")</f>
        <v>68.0086249204708</v>
      </c>
      <c r="AM321" s="12" t="n">
        <v>19080</v>
      </c>
      <c r="AN321" s="12" t="n">
        <v>876927</v>
      </c>
      <c r="AO321" s="12" t="n">
        <v>2591801</v>
      </c>
      <c r="AP321" s="17" t="n">
        <v>0.259</v>
      </c>
      <c r="AQ321" s="16" t="n">
        <v>72</v>
      </c>
      <c r="AR321" s="16" t="n">
        <v>4</v>
      </c>
      <c r="AS321" s="13" t="n">
        <f aca="false">IFERROR(AR321/AR320-1,"")</f>
        <v>0</v>
      </c>
      <c r="AT321" s="11" t="s">
        <v>196</v>
      </c>
      <c r="AU321" s="14" t="n">
        <f aca="false">IFERROR(P321/AR321,"")</f>
        <v>141875.5</v>
      </c>
      <c r="AV321" s="12" t="n">
        <v>2493928</v>
      </c>
      <c r="AW321" s="12" t="n">
        <v>851419</v>
      </c>
      <c r="AX321" s="12" t="n">
        <v>777555</v>
      </c>
      <c r="AY321" s="16" t="n">
        <v>26175</v>
      </c>
      <c r="AZ321" s="13" t="n">
        <f aca="false">IFERROR(AY321/AY320-1,"")</f>
        <v>-0.0758067933055575</v>
      </c>
      <c r="BA321" s="17" t="n">
        <v>0.731</v>
      </c>
      <c r="BB321" s="11" t="s">
        <v>119</v>
      </c>
      <c r="BC321" s="11" t="s">
        <v>120</v>
      </c>
      <c r="BD321" s="11" t="s">
        <v>109</v>
      </c>
      <c r="BE321" s="12" t="n">
        <v>902950</v>
      </c>
      <c r="BF321" s="13" t="n">
        <f aca="false">IFERROR(P321/BE321-1,"")</f>
        <v>-0.371502298023146</v>
      </c>
      <c r="BG321" s="17" t="n">
        <v>0.146</v>
      </c>
      <c r="BH321" s="17" t="n">
        <v>0.259</v>
      </c>
      <c r="BI321" s="14" t="n">
        <f aca="false">P321*(1+IFERROR(Q321,0))^4</f>
        <v>439378.148623283</v>
      </c>
      <c r="BJ321" s="12" t="n">
        <v>-1604427</v>
      </c>
      <c r="BK321" s="11" t="s">
        <v>121</v>
      </c>
      <c r="BL321" s="11" t="s">
        <v>122</v>
      </c>
      <c r="BM321" s="14" t="n">
        <f aca="false">O321</f>
        <v>8293486</v>
      </c>
      <c r="BN321" s="11" t="s">
        <v>385</v>
      </c>
      <c r="BO321" s="13" t="n">
        <f aca="false">IFERROR(1-L321/M321,"")</f>
        <v>0.17997542997543</v>
      </c>
      <c r="BP321" s="11" t="s">
        <v>142</v>
      </c>
      <c r="BQ321" s="12" t="n">
        <v>2151718</v>
      </c>
      <c r="BR321" s="11" t="s">
        <v>88</v>
      </c>
      <c r="BS321" s="11" t="s">
        <v>89</v>
      </c>
      <c r="BT321" s="19" t="str">
        <f aca="false">IF(OR(Z321&lt;6,AH321&lt;0.9,S321&lt;0.02,AK321&lt;1),"REVIEW",IF(AND(S321&gt;0.25,AH321&gt;1.2),"ACCELERATING","STABLE"))</f>
        <v>REVIEW</v>
      </c>
    </row>
    <row r="322" customFormat="false" ht="15" hidden="false" customHeight="false" outlineLevel="0" collapsed="false">
      <c r="A322" s="3" t="s">
        <v>386</v>
      </c>
      <c r="B322" s="3" t="s">
        <v>73</v>
      </c>
      <c r="C322" s="3" t="s">
        <v>74</v>
      </c>
      <c r="D322" s="3" t="s">
        <v>95</v>
      </c>
      <c r="E322" s="3" t="s">
        <v>387</v>
      </c>
      <c r="F322" s="3" t="s">
        <v>388</v>
      </c>
      <c r="G322" s="3" t="s">
        <v>78</v>
      </c>
      <c r="H322" s="3" t="s">
        <v>79</v>
      </c>
      <c r="I322" s="3" t="s">
        <v>78</v>
      </c>
      <c r="J322" s="4" t="n">
        <v>4036000</v>
      </c>
      <c r="K322" s="5" t="n">
        <f aca="false">IFERROR(J322/M322,"")</f>
        <v>0.119436553030303</v>
      </c>
      <c r="L322" s="4" t="n">
        <v>29756000</v>
      </c>
      <c r="M322" s="6" t="n">
        <f aca="false">L322+J322</f>
        <v>33792000</v>
      </c>
      <c r="N322" s="4" t="n">
        <v>6562000</v>
      </c>
      <c r="O322" s="4" t="n">
        <v>24269012</v>
      </c>
      <c r="P322" s="4" t="n">
        <v>536471</v>
      </c>
      <c r="Q322" s="7"/>
      <c r="R322" s="4" t="n">
        <v>637729</v>
      </c>
      <c r="S322" s="7"/>
      <c r="T322" s="4" t="n">
        <v>259325</v>
      </c>
      <c r="U322" s="5" t="n">
        <f aca="false">IFERROR(T322/P322,"")</f>
        <v>0.483390528099375</v>
      </c>
      <c r="V322" s="6" t="n">
        <f aca="false">T322-AV322</f>
        <v>-1650166</v>
      </c>
      <c r="W322" s="6" t="n">
        <f aca="false">V322-AA322*0.1</f>
        <v>-1721966</v>
      </c>
      <c r="X322" s="4" t="n">
        <v>2573815</v>
      </c>
      <c r="Y322" s="4" t="n">
        <v>180400</v>
      </c>
      <c r="Z322" s="8" t="n">
        <f aca="false">IFERROR(X322/Y322,"")</f>
        <v>14.2672671840355</v>
      </c>
      <c r="AA322" s="4" t="n">
        <v>718000</v>
      </c>
      <c r="AB322" s="6" t="n">
        <f aca="false">W322-0.02*P322</f>
        <v>-1732695.42</v>
      </c>
      <c r="AC322" s="9" t="n">
        <v>69</v>
      </c>
      <c r="AD322" s="7"/>
      <c r="AE322" s="7" t="n">
        <v>0.171</v>
      </c>
      <c r="AF322" s="7" t="n">
        <v>0.184</v>
      </c>
      <c r="AG322" s="5" t="n">
        <f aca="false">1-AF322</f>
        <v>0.816</v>
      </c>
      <c r="AH322" s="7" t="n">
        <v>0.88</v>
      </c>
      <c r="AI322" s="4" t="n">
        <v>97356</v>
      </c>
      <c r="AJ322" s="6" t="n">
        <f aca="false">IFERROR(AM322*U322*MIN(1/AE322,5),"")</f>
        <v>118430.679384347</v>
      </c>
      <c r="AK322" s="10" t="n">
        <f aca="false">IFERROR(AJ322/AI322,"")</f>
        <v>1.21647026772204</v>
      </c>
      <c r="AL322" s="8" t="n">
        <f aca="false">IFERROR(AI322/(AM322*U322/12),"")</f>
        <v>49.3230304036578</v>
      </c>
      <c r="AM322" s="4" t="n">
        <v>49000</v>
      </c>
      <c r="AN322" s="4" t="n">
        <v>646216</v>
      </c>
      <c r="AO322" s="4" t="n">
        <v>2300477</v>
      </c>
      <c r="AP322" s="7" t="n">
        <v>0.217</v>
      </c>
      <c r="AQ322" s="9" t="n">
        <v>88</v>
      </c>
      <c r="AR322" s="9" t="n">
        <v>3</v>
      </c>
      <c r="AS322" s="7"/>
      <c r="AT322" s="3" t="s">
        <v>170</v>
      </c>
      <c r="AU322" s="6" t="n">
        <f aca="false">IFERROR(P322/AR322,"")</f>
        <v>178823.666666667</v>
      </c>
      <c r="AV322" s="4" t="n">
        <v>1909491</v>
      </c>
      <c r="AW322" s="4" t="n">
        <v>774160</v>
      </c>
      <c r="AX322" s="4" t="n">
        <v>501257</v>
      </c>
      <c r="AY322" s="9" t="n">
        <v>37758</v>
      </c>
      <c r="AZ322" s="7"/>
      <c r="BA322" s="7" t="n">
        <v>0.821</v>
      </c>
      <c r="BB322" s="3" t="s">
        <v>119</v>
      </c>
      <c r="BC322" s="3" t="s">
        <v>120</v>
      </c>
      <c r="BD322" s="3" t="s">
        <v>83</v>
      </c>
      <c r="BE322" s="4" t="n">
        <v>800632</v>
      </c>
      <c r="BF322" s="5" t="n">
        <f aca="false">IFERROR(P322/BE322-1,"")</f>
        <v>-0.329940596928427</v>
      </c>
      <c r="BG322" s="7" t="n">
        <v>0.23</v>
      </c>
      <c r="BH322" s="7" t="n">
        <v>0.247</v>
      </c>
      <c r="BI322" s="6" t="n">
        <f aca="false">P322</f>
        <v>536471</v>
      </c>
      <c r="BJ322" s="4" t="n">
        <v>-1640361</v>
      </c>
      <c r="BK322" s="3" t="s">
        <v>147</v>
      </c>
      <c r="BL322" s="3" t="s">
        <v>148</v>
      </c>
      <c r="BM322" s="6" t="n">
        <f aca="false">O322</f>
        <v>24269012</v>
      </c>
      <c r="BN322" s="3" t="s">
        <v>389</v>
      </c>
      <c r="BO322" s="5" t="n">
        <f aca="false">IFERROR(1-L322/M322,"")</f>
        <v>0.119436553030303</v>
      </c>
      <c r="BP322" s="3" t="s">
        <v>130</v>
      </c>
      <c r="BQ322" s="4" t="n">
        <v>2742522</v>
      </c>
      <c r="BR322" s="3" t="s">
        <v>88</v>
      </c>
      <c r="BS322" s="3" t="s">
        <v>89</v>
      </c>
      <c r="BT322" s="3" t="s">
        <v>90</v>
      </c>
    </row>
    <row r="323" customFormat="false" ht="15" hidden="false" customHeight="false" outlineLevel="0" collapsed="false">
      <c r="A323" s="11" t="s">
        <v>386</v>
      </c>
      <c r="B323" s="11" t="s">
        <v>91</v>
      </c>
      <c r="C323" s="11" t="s">
        <v>74</v>
      </c>
      <c r="D323" s="11" t="s">
        <v>95</v>
      </c>
      <c r="E323" s="11" t="s">
        <v>387</v>
      </c>
      <c r="F323" s="11" t="s">
        <v>388</v>
      </c>
      <c r="G323" s="11" t="s">
        <v>78</v>
      </c>
      <c r="H323" s="11" t="s">
        <v>79</v>
      </c>
      <c r="I323" s="11" t="s">
        <v>78</v>
      </c>
      <c r="J323" s="12" t="n">
        <v>4036000</v>
      </c>
      <c r="K323" s="13" t="n">
        <f aca="false">IFERROR(J323/M323,"")</f>
        <v>0.119436553030303</v>
      </c>
      <c r="L323" s="12" t="n">
        <v>29756000</v>
      </c>
      <c r="M323" s="14" t="n">
        <f aca="false">L323+J323</f>
        <v>33792000</v>
      </c>
      <c r="N323" s="12" t="n">
        <v>6562000</v>
      </c>
      <c r="O323" s="12" t="n">
        <v>24269012</v>
      </c>
      <c r="P323" s="12" t="n">
        <v>500792</v>
      </c>
      <c r="Q323" s="13" t="n">
        <f aca="false">IFERROR(P323/P322-1,"")</f>
        <v>-0.0665068568478072</v>
      </c>
      <c r="R323" s="12" t="n">
        <v>624026</v>
      </c>
      <c r="S323" s="13" t="n">
        <f aca="false">IFERROR(R323/R322-1,"")</f>
        <v>-0.0214871834274433</v>
      </c>
      <c r="T323" s="12" t="n">
        <v>237511</v>
      </c>
      <c r="U323" s="13" t="n">
        <f aca="false">IFERROR(T323/P323,"")</f>
        <v>0.474270755123884</v>
      </c>
      <c r="V323" s="14" t="n">
        <f aca="false">T323-AV323</f>
        <v>-2476981</v>
      </c>
      <c r="W323" s="14" t="n">
        <f aca="false">V323-AA323*0.1</f>
        <v>-2548781</v>
      </c>
      <c r="X323" s="12" t="n">
        <v>2065615</v>
      </c>
      <c r="Y323" s="12" t="n">
        <v>193600</v>
      </c>
      <c r="Z323" s="15" t="n">
        <f aca="false">IFERROR(X323/Y323,"")</f>
        <v>10.6694989669421</v>
      </c>
      <c r="AA323" s="12" t="n">
        <v>718000</v>
      </c>
      <c r="AB323" s="14" t="n">
        <f aca="false">W323-0.02*P323</f>
        <v>-2558796.84</v>
      </c>
      <c r="AC323" s="16" t="n">
        <v>66</v>
      </c>
      <c r="AD323" s="13" t="n">
        <f aca="false">IFERROR(AC323/AC322-1,"")</f>
        <v>-0.0434782608695652</v>
      </c>
      <c r="AE323" s="17" t="n">
        <v>0.203</v>
      </c>
      <c r="AF323" s="17" t="n">
        <v>0.219</v>
      </c>
      <c r="AG323" s="13" t="n">
        <f aca="false">1-AF323</f>
        <v>0.781</v>
      </c>
      <c r="AH323" s="17" t="n">
        <v>0.84</v>
      </c>
      <c r="AI323" s="12" t="n">
        <v>107604</v>
      </c>
      <c r="AJ323" s="14" t="n">
        <f aca="false">IFERROR(AM323*U323*MIN(1/AE323,5),"")</f>
        <v>116768.730744294</v>
      </c>
      <c r="AK323" s="18" t="n">
        <f aca="false">IFERROR(AJ323/AI323,"")</f>
        <v>1.08517091134432</v>
      </c>
      <c r="AL323" s="15" t="n">
        <f aca="false">IFERROR(AI323/(AM323*U323/12),"")</f>
        <v>54.4737237928547</v>
      </c>
      <c r="AM323" s="12" t="n">
        <v>49980</v>
      </c>
      <c r="AN323" s="12" t="n">
        <v>564775</v>
      </c>
      <c r="AO323" s="12" t="n">
        <v>1421876</v>
      </c>
      <c r="AP323" s="17" t="n">
        <v>0.217</v>
      </c>
      <c r="AQ323" s="16" t="n">
        <v>88</v>
      </c>
      <c r="AR323" s="16" t="n">
        <v>3</v>
      </c>
      <c r="AS323" s="13" t="n">
        <f aca="false">IFERROR(AR323/AR322-1,"")</f>
        <v>0</v>
      </c>
      <c r="AT323" s="11" t="s">
        <v>170</v>
      </c>
      <c r="AU323" s="14" t="n">
        <f aca="false">IFERROR(P323/AR323,"")</f>
        <v>166930.666666667</v>
      </c>
      <c r="AV323" s="12" t="n">
        <v>2714492</v>
      </c>
      <c r="AW323" s="12" t="n">
        <v>1279957</v>
      </c>
      <c r="AX323" s="12" t="n">
        <v>693137</v>
      </c>
      <c r="AY323" s="16" t="n">
        <v>36422</v>
      </c>
      <c r="AZ323" s="13" t="n">
        <f aca="false">IFERROR(AY323/AY322-1,"")</f>
        <v>-0.0353832300439642</v>
      </c>
      <c r="BA323" s="17" t="n">
        <v>0.838</v>
      </c>
      <c r="BB323" s="11" t="s">
        <v>119</v>
      </c>
      <c r="BC323" s="11" t="s">
        <v>120</v>
      </c>
      <c r="BD323" s="11" t="s">
        <v>83</v>
      </c>
      <c r="BE323" s="12" t="n">
        <v>691279</v>
      </c>
      <c r="BF323" s="13" t="n">
        <f aca="false">IFERROR(P323/BE323-1,"")</f>
        <v>-0.275557336473407</v>
      </c>
      <c r="BG323" s="17" t="n">
        <v>0.205</v>
      </c>
      <c r="BH323" s="17" t="n">
        <v>0.293</v>
      </c>
      <c r="BI323" s="14" t="n">
        <f aca="false">P323*(1+IFERROR(Q323,0))^4</f>
        <v>380278.622009725</v>
      </c>
      <c r="BJ323" s="12" t="n">
        <v>-1514091</v>
      </c>
      <c r="BK323" s="11" t="s">
        <v>147</v>
      </c>
      <c r="BL323" s="11" t="s">
        <v>148</v>
      </c>
      <c r="BM323" s="14" t="n">
        <f aca="false">O323</f>
        <v>24269012</v>
      </c>
      <c r="BN323" s="11" t="s">
        <v>389</v>
      </c>
      <c r="BO323" s="13" t="n">
        <f aca="false">IFERROR(1-L323/M323,"")</f>
        <v>0.119436553030303</v>
      </c>
      <c r="BP323" s="11" t="s">
        <v>130</v>
      </c>
      <c r="BQ323" s="12" t="n">
        <v>3634327</v>
      </c>
      <c r="BR323" s="11" t="s">
        <v>88</v>
      </c>
      <c r="BS323" s="11" t="s">
        <v>89</v>
      </c>
      <c r="BT323" s="19" t="str">
        <f aca="false">IF(OR(Z323&lt;6,AH323&lt;0.9,S323&lt;0.02,AK323&lt;1),"REVIEW",IF(AND(S323&gt;0.25,AH323&gt;1.2),"ACCELERATING","STABLE"))</f>
        <v>REVIEW</v>
      </c>
    </row>
    <row r="324" customFormat="false" ht="15" hidden="false" customHeight="false" outlineLevel="0" collapsed="false">
      <c r="A324" s="11" t="s">
        <v>386</v>
      </c>
      <c r="B324" s="11" t="s">
        <v>92</v>
      </c>
      <c r="C324" s="11" t="s">
        <v>74</v>
      </c>
      <c r="D324" s="11" t="s">
        <v>95</v>
      </c>
      <c r="E324" s="11" t="s">
        <v>387</v>
      </c>
      <c r="F324" s="11" t="s">
        <v>388</v>
      </c>
      <c r="G324" s="11" t="s">
        <v>78</v>
      </c>
      <c r="H324" s="11" t="s">
        <v>79</v>
      </c>
      <c r="I324" s="11" t="s">
        <v>78</v>
      </c>
      <c r="J324" s="12" t="n">
        <v>4036000</v>
      </c>
      <c r="K324" s="13" t="n">
        <f aca="false">IFERROR(J324/M324,"")</f>
        <v>0.119436553030303</v>
      </c>
      <c r="L324" s="12" t="n">
        <v>29756000</v>
      </c>
      <c r="M324" s="14" t="n">
        <f aca="false">L324+J324</f>
        <v>33792000</v>
      </c>
      <c r="N324" s="12" t="n">
        <v>6562000</v>
      </c>
      <c r="O324" s="12" t="n">
        <v>24269012</v>
      </c>
      <c r="P324" s="12" t="n">
        <v>489926</v>
      </c>
      <c r="Q324" s="13" t="n">
        <f aca="false">IFERROR(P324/P323-1,"")</f>
        <v>-0.0216976309525712</v>
      </c>
      <c r="R324" s="12" t="n">
        <v>598494</v>
      </c>
      <c r="S324" s="13" t="n">
        <f aca="false">IFERROR(R324/R323-1,"")</f>
        <v>-0.0409149618765885</v>
      </c>
      <c r="T324" s="12" t="n">
        <v>227889</v>
      </c>
      <c r="U324" s="13" t="n">
        <f aca="false">IFERROR(T324/P324,"")</f>
        <v>0.465149838955271</v>
      </c>
      <c r="V324" s="14" t="n">
        <f aca="false">T324-AV324</f>
        <v>-2183990</v>
      </c>
      <c r="W324" s="14" t="n">
        <f aca="false">V324-AA324*0.1</f>
        <v>-2255790</v>
      </c>
      <c r="X324" s="12" t="n">
        <v>1470295</v>
      </c>
      <c r="Y324" s="12" t="n">
        <v>206800</v>
      </c>
      <c r="Z324" s="15" t="n">
        <f aca="false">IFERROR(X324/Y324,"")</f>
        <v>7.10974371373308</v>
      </c>
      <c r="AA324" s="12" t="n">
        <v>718000</v>
      </c>
      <c r="AB324" s="14" t="n">
        <f aca="false">W324-0.02*P324</f>
        <v>-2265588.52</v>
      </c>
      <c r="AC324" s="16" t="n">
        <v>65</v>
      </c>
      <c r="AD324" s="13" t="n">
        <f aca="false">IFERROR(AC324/AC323-1,"")</f>
        <v>-0.0151515151515151</v>
      </c>
      <c r="AE324" s="17" t="n">
        <v>0.235</v>
      </c>
      <c r="AF324" s="17" t="n">
        <v>0.245</v>
      </c>
      <c r="AG324" s="13" t="n">
        <f aca="false">1-AF324</f>
        <v>0.755</v>
      </c>
      <c r="AH324" s="17" t="n">
        <v>0.8</v>
      </c>
      <c r="AI324" s="12" t="n">
        <v>117852</v>
      </c>
      <c r="AJ324" s="14" t="n">
        <f aca="false">IFERROR(AM324*U324*MIN(1/AE324,5),"")</f>
        <v>100868.237417705</v>
      </c>
      <c r="AK324" s="18" t="n">
        <f aca="false">IFERROR(AJ324/AI324,"")</f>
        <v>0.855889059309173</v>
      </c>
      <c r="AL324" s="15" t="n">
        <f aca="false">IFERROR(AI324/(AM324*U324/12),"")</f>
        <v>59.661739137605</v>
      </c>
      <c r="AM324" s="12" t="n">
        <v>50960</v>
      </c>
      <c r="AN324" s="12" t="n">
        <v>888881</v>
      </c>
      <c r="AO324" s="12" t="n">
        <v>992692</v>
      </c>
      <c r="AP324" s="17" t="n">
        <v>0.217</v>
      </c>
      <c r="AQ324" s="16" t="n">
        <v>88</v>
      </c>
      <c r="AR324" s="16" t="n">
        <v>3</v>
      </c>
      <c r="AS324" s="13" t="n">
        <f aca="false">IFERROR(AR324/AR323-1,"")</f>
        <v>0</v>
      </c>
      <c r="AT324" s="11" t="s">
        <v>170</v>
      </c>
      <c r="AU324" s="14" t="n">
        <f aca="false">IFERROR(P324/AR324,"")</f>
        <v>163308.666666667</v>
      </c>
      <c r="AV324" s="12" t="n">
        <v>2411879</v>
      </c>
      <c r="AW324" s="12" t="n">
        <v>1131307</v>
      </c>
      <c r="AX324" s="12" t="n">
        <v>738896</v>
      </c>
      <c r="AY324" s="16" t="n">
        <v>35197</v>
      </c>
      <c r="AZ324" s="13" t="n">
        <f aca="false">IFERROR(AY324/AY323-1,"")</f>
        <v>-0.0336335182032838</v>
      </c>
      <c r="BA324" s="17" t="n">
        <v>0.793</v>
      </c>
      <c r="BB324" s="11" t="s">
        <v>119</v>
      </c>
      <c r="BC324" s="11" t="s">
        <v>120</v>
      </c>
      <c r="BD324" s="11" t="s">
        <v>83</v>
      </c>
      <c r="BE324" s="12" t="n">
        <v>829640</v>
      </c>
      <c r="BF324" s="13" t="n">
        <f aca="false">IFERROR(P324/BE324-1,"")</f>
        <v>-0.409471578033846</v>
      </c>
      <c r="BG324" s="17" t="n">
        <v>0.167</v>
      </c>
      <c r="BH324" s="17" t="n">
        <v>0.317</v>
      </c>
      <c r="BI324" s="14" t="n">
        <f aca="false">P324*(1+IFERROR(Q324,0))^4</f>
        <v>448769.061414148</v>
      </c>
      <c r="BJ324" s="12" t="n">
        <v>-1952871</v>
      </c>
      <c r="BK324" s="11" t="s">
        <v>147</v>
      </c>
      <c r="BL324" s="11" t="s">
        <v>148</v>
      </c>
      <c r="BM324" s="14" t="n">
        <f aca="false">O324</f>
        <v>24269012</v>
      </c>
      <c r="BN324" s="11" t="s">
        <v>389</v>
      </c>
      <c r="BO324" s="13" t="n">
        <f aca="false">IFERROR(1-L324/M324,"")</f>
        <v>0.119436553030303</v>
      </c>
      <c r="BP324" s="11" t="s">
        <v>130</v>
      </c>
      <c r="BQ324" s="12" t="n">
        <v>2896647</v>
      </c>
      <c r="BR324" s="11" t="s">
        <v>88</v>
      </c>
      <c r="BS324" s="11" t="s">
        <v>89</v>
      </c>
      <c r="BT324" s="19" t="str">
        <f aca="false">IF(OR(Z324&lt;6,AH324&lt;0.9,S324&lt;0.02,AK324&lt;1),"REVIEW",IF(AND(S324&gt;0.25,AH324&gt;1.2),"ACCELERATING","STABLE"))</f>
        <v>REVIEW</v>
      </c>
    </row>
    <row r="325" customFormat="false" ht="15" hidden="false" customHeight="false" outlineLevel="0" collapsed="false">
      <c r="A325" s="11" t="s">
        <v>386</v>
      </c>
      <c r="B325" s="11" t="s">
        <v>93</v>
      </c>
      <c r="C325" s="11" t="s">
        <v>74</v>
      </c>
      <c r="D325" s="11" t="s">
        <v>95</v>
      </c>
      <c r="E325" s="11" t="s">
        <v>387</v>
      </c>
      <c r="F325" s="11" t="s">
        <v>388</v>
      </c>
      <c r="G325" s="11" t="s">
        <v>78</v>
      </c>
      <c r="H325" s="11" t="s">
        <v>79</v>
      </c>
      <c r="I325" s="11" t="s">
        <v>78</v>
      </c>
      <c r="J325" s="12" t="n">
        <v>4036000</v>
      </c>
      <c r="K325" s="13" t="n">
        <f aca="false">IFERROR(J325/M325,"")</f>
        <v>0.119436553030303</v>
      </c>
      <c r="L325" s="12" t="n">
        <v>29756000</v>
      </c>
      <c r="M325" s="14" t="n">
        <f aca="false">L325+J325</f>
        <v>33792000</v>
      </c>
      <c r="N325" s="12" t="n">
        <v>6562000</v>
      </c>
      <c r="O325" s="12" t="n">
        <v>24269012</v>
      </c>
      <c r="P325" s="12" t="n">
        <v>465538</v>
      </c>
      <c r="Q325" s="13" t="n">
        <f aca="false">IFERROR(P325/P324-1,"")</f>
        <v>-0.0497789462082029</v>
      </c>
      <c r="R325" s="12" t="n">
        <v>567767</v>
      </c>
      <c r="S325" s="13" t="n">
        <f aca="false">IFERROR(R325/R324-1,"")</f>
        <v>-0.0513405314004819</v>
      </c>
      <c r="T325" s="12" t="n">
        <v>212299</v>
      </c>
      <c r="U325" s="13" t="n">
        <f aca="false">IFERROR(T325/P325,"")</f>
        <v>0.456029368171879</v>
      </c>
      <c r="V325" s="14" t="n">
        <f aca="false">T325-AV325</f>
        <v>-2494412</v>
      </c>
      <c r="W325" s="14" t="n">
        <f aca="false">V325-AA325*0.1</f>
        <v>-2566212</v>
      </c>
      <c r="X325" s="12" t="n">
        <v>787855</v>
      </c>
      <c r="Y325" s="12" t="n">
        <v>220000</v>
      </c>
      <c r="Z325" s="15" t="n">
        <f aca="false">IFERROR(X325/Y325,"")</f>
        <v>3.58115909090909</v>
      </c>
      <c r="AA325" s="12" t="n">
        <v>718000</v>
      </c>
      <c r="AB325" s="14" t="n">
        <f aca="false">W325-0.02*P325</f>
        <v>-2575522.76</v>
      </c>
      <c r="AC325" s="16" t="n">
        <v>63</v>
      </c>
      <c r="AD325" s="13" t="n">
        <f aca="false">IFERROR(AC325/AC324-1,"")</f>
        <v>-0.0307692307692308</v>
      </c>
      <c r="AE325" s="17" t="n">
        <v>0.267</v>
      </c>
      <c r="AF325" s="17" t="n">
        <v>0.216</v>
      </c>
      <c r="AG325" s="13" t="n">
        <f aca="false">1-AF325</f>
        <v>0.784</v>
      </c>
      <c r="AH325" s="17" t="n">
        <v>0.76</v>
      </c>
      <c r="AI325" s="12" t="n">
        <v>128100</v>
      </c>
      <c r="AJ325" s="14" t="n">
        <f aca="false">IFERROR(AM325*U325*MIN(1/AE325,5),"")</f>
        <v>88712.2298983048</v>
      </c>
      <c r="AK325" s="18" t="n">
        <f aca="false">IFERROR(AJ325/AI325,"")</f>
        <v>0.692523262281848</v>
      </c>
      <c r="AL325" s="15" t="n">
        <f aca="false">IFERROR(AI325/(AM325*U325/12),"")</f>
        <v>64.8986433706649</v>
      </c>
      <c r="AM325" s="12" t="n">
        <v>51940</v>
      </c>
      <c r="AN325" s="12" t="n">
        <v>555984</v>
      </c>
      <c r="AO325" s="12" t="n">
        <v>1652488</v>
      </c>
      <c r="AP325" s="17" t="n">
        <v>0.217</v>
      </c>
      <c r="AQ325" s="16" t="n">
        <v>88</v>
      </c>
      <c r="AR325" s="16" t="n">
        <v>3</v>
      </c>
      <c r="AS325" s="13" t="n">
        <f aca="false">IFERROR(AR325/AR324-1,"")</f>
        <v>0</v>
      </c>
      <c r="AT325" s="11" t="s">
        <v>170</v>
      </c>
      <c r="AU325" s="14" t="n">
        <f aca="false">IFERROR(P325/AR325,"")</f>
        <v>155179.333333333</v>
      </c>
      <c r="AV325" s="12" t="n">
        <v>2706711</v>
      </c>
      <c r="AW325" s="12" t="n">
        <v>887215</v>
      </c>
      <c r="AX325" s="12" t="n">
        <v>701781</v>
      </c>
      <c r="AY325" s="16" t="n">
        <v>34635</v>
      </c>
      <c r="AZ325" s="13" t="n">
        <f aca="false">IFERROR(AY325/AY324-1,"")</f>
        <v>-0.0159672699377788</v>
      </c>
      <c r="BA325" s="17" t="n">
        <v>0.756</v>
      </c>
      <c r="BB325" s="11" t="s">
        <v>119</v>
      </c>
      <c r="BC325" s="11" t="s">
        <v>120</v>
      </c>
      <c r="BD325" s="11" t="s">
        <v>83</v>
      </c>
      <c r="BE325" s="12" t="n">
        <v>589642</v>
      </c>
      <c r="BF325" s="13" t="n">
        <f aca="false">IFERROR(P325/BE325-1,"")</f>
        <v>-0.21047347373491</v>
      </c>
      <c r="BG325" s="17" t="n">
        <v>0.207</v>
      </c>
      <c r="BH325" s="17" t="n">
        <v>0.32</v>
      </c>
      <c r="BI325" s="14" t="n">
        <f aca="false">P325*(1+IFERROR(Q325,0))^4</f>
        <v>379536.660024419</v>
      </c>
      <c r="BJ325" s="12" t="n">
        <v>-2351577</v>
      </c>
      <c r="BK325" s="11" t="s">
        <v>147</v>
      </c>
      <c r="BL325" s="11" t="s">
        <v>148</v>
      </c>
      <c r="BM325" s="14" t="n">
        <f aca="false">O325</f>
        <v>24269012</v>
      </c>
      <c r="BN325" s="11" t="s">
        <v>389</v>
      </c>
      <c r="BO325" s="13" t="n">
        <f aca="false">IFERROR(1-L325/M325,"")</f>
        <v>0.119436553030303</v>
      </c>
      <c r="BP325" s="11" t="s">
        <v>130</v>
      </c>
      <c r="BQ325" s="12" t="n">
        <v>3185672</v>
      </c>
      <c r="BR325" s="11" t="s">
        <v>88</v>
      </c>
      <c r="BS325" s="11" t="s">
        <v>89</v>
      </c>
      <c r="BT325" s="19" t="str">
        <f aca="false">IF(OR(Z325&lt;6,AH325&lt;0.9,S325&lt;0.02,AK325&lt;1),"REVIEW",IF(AND(S325&gt;0.25,AH325&gt;1.2),"ACCELERATING","STABLE"))</f>
        <v>REVIEW</v>
      </c>
    </row>
    <row r="326" customFormat="false" ht="15" hidden="false" customHeight="false" outlineLevel="0" collapsed="false">
      <c r="A326" s="3" t="s">
        <v>390</v>
      </c>
      <c r="B326" s="3" t="s">
        <v>73</v>
      </c>
      <c r="C326" s="3" t="s">
        <v>74</v>
      </c>
      <c r="D326" s="3" t="s">
        <v>132</v>
      </c>
      <c r="E326" s="3" t="s">
        <v>391</v>
      </c>
      <c r="F326" s="3" t="s">
        <v>392</v>
      </c>
      <c r="G326" s="3" t="s">
        <v>78</v>
      </c>
      <c r="H326" s="3" t="s">
        <v>79</v>
      </c>
      <c r="I326" s="3" t="s">
        <v>78</v>
      </c>
      <c r="J326" s="4" t="n">
        <v>3748000</v>
      </c>
      <c r="K326" s="5" t="n">
        <f aca="false">IFERROR(J326/M326,"")</f>
        <v>0.128624867016713</v>
      </c>
      <c r="L326" s="4" t="n">
        <v>25391000</v>
      </c>
      <c r="M326" s="6" t="n">
        <f aca="false">L326+J326</f>
        <v>29139000</v>
      </c>
      <c r="N326" s="4" t="n">
        <v>7075000</v>
      </c>
      <c r="O326" s="4" t="n">
        <v>16991272</v>
      </c>
      <c r="P326" s="4" t="n">
        <v>798098</v>
      </c>
      <c r="Q326" s="7"/>
      <c r="R326" s="4" t="n">
        <v>840028</v>
      </c>
      <c r="S326" s="7"/>
      <c r="T326" s="4" t="n">
        <v>480563</v>
      </c>
      <c r="U326" s="5" t="n">
        <f aca="false">IFERROR(T326/P326,"")</f>
        <v>0.602135326739323</v>
      </c>
      <c r="V326" s="6" t="n">
        <f aca="false">T326-AV326</f>
        <v>-2398984</v>
      </c>
      <c r="W326" s="6" t="n">
        <f aca="false">V326-AA326*0.1</f>
        <v>-2398984</v>
      </c>
      <c r="X326" s="4" t="n">
        <v>2697567</v>
      </c>
      <c r="Y326" s="4" t="n">
        <v>195980</v>
      </c>
      <c r="Z326" s="8" t="n">
        <f aca="false">IFERROR(X326/Y326,"")</f>
        <v>13.7645014797428</v>
      </c>
      <c r="AA326" s="4" t="n">
        <v>0</v>
      </c>
      <c r="AB326" s="6" t="n">
        <f aca="false">W326-0.02*P326</f>
        <v>-2414945.96</v>
      </c>
      <c r="AC326" s="9" t="n">
        <v>99</v>
      </c>
      <c r="AD326" s="7"/>
      <c r="AE326" s="7" t="n">
        <v>0.215</v>
      </c>
      <c r="AF326" s="7" t="n">
        <v>0.185</v>
      </c>
      <c r="AG326" s="5" t="n">
        <f aca="false">1-AF326</f>
        <v>0.815</v>
      </c>
      <c r="AH326" s="7" t="n">
        <v>0.966</v>
      </c>
      <c r="AI326" s="4" t="n">
        <v>79800</v>
      </c>
      <c r="AJ326" s="6" t="n">
        <f aca="false">IFERROR(AM326*U326*MIN(1/AE326,5),"")</f>
        <v>103623.288787697</v>
      </c>
      <c r="AK326" s="10" t="n">
        <f aca="false">IFERROR(AJ326/AI326,"")</f>
        <v>1.29853745347992</v>
      </c>
      <c r="AL326" s="8" t="n">
        <f aca="false">IFERROR(AI326/(AM326*U326/12),"")</f>
        <v>42.9821668514818</v>
      </c>
      <c r="AM326" s="4" t="n">
        <v>37000</v>
      </c>
      <c r="AN326" s="4" t="n">
        <v>879937</v>
      </c>
      <c r="AO326" s="4" t="n">
        <v>2222750</v>
      </c>
      <c r="AP326" s="7" t="n">
        <v>0.218</v>
      </c>
      <c r="AQ326" s="9" t="n">
        <v>86</v>
      </c>
      <c r="AR326" s="9" t="n">
        <v>5</v>
      </c>
      <c r="AS326" s="7"/>
      <c r="AT326" s="3" t="s">
        <v>196</v>
      </c>
      <c r="AU326" s="6" t="n">
        <f aca="false">IFERROR(P326/AR326,"")</f>
        <v>159619.6</v>
      </c>
      <c r="AV326" s="4" t="n">
        <v>2879547</v>
      </c>
      <c r="AW326" s="4" t="n">
        <v>1131128</v>
      </c>
      <c r="AX326" s="4" t="n">
        <v>589909</v>
      </c>
      <c r="AY326" s="9" t="n">
        <v>35766</v>
      </c>
      <c r="AZ326" s="7"/>
      <c r="BA326" s="7" t="n">
        <v>0.794</v>
      </c>
      <c r="BB326" s="3" t="s">
        <v>138</v>
      </c>
      <c r="BC326" s="3" t="s">
        <v>120</v>
      </c>
      <c r="BD326" s="3" t="s">
        <v>101</v>
      </c>
      <c r="BE326" s="4" t="n">
        <v>1033106</v>
      </c>
      <c r="BF326" s="5" t="n">
        <f aca="false">IFERROR(P326/BE326-1,"")</f>
        <v>-0.227477141745378</v>
      </c>
      <c r="BG326" s="7" t="n">
        <v>0.22</v>
      </c>
      <c r="BH326" s="7" t="n">
        <v>0.31</v>
      </c>
      <c r="BI326" s="6" t="n">
        <f aca="false">P326</f>
        <v>798098</v>
      </c>
      <c r="BJ326" s="4" t="n">
        <v>-2025659</v>
      </c>
      <c r="BK326" s="3" t="s">
        <v>147</v>
      </c>
      <c r="BL326" s="3" t="s">
        <v>140</v>
      </c>
      <c r="BM326" s="6" t="n">
        <f aca="false">O326</f>
        <v>16991272</v>
      </c>
      <c r="BN326" s="3" t="s">
        <v>393</v>
      </c>
      <c r="BO326" s="5" t="n">
        <f aca="false">IFERROR(1-L326/M326,"")</f>
        <v>0.128624867016713</v>
      </c>
      <c r="BP326" s="3" t="s">
        <v>198</v>
      </c>
      <c r="BQ326" s="4" t="n">
        <v>3310173</v>
      </c>
      <c r="BR326" s="3" t="s">
        <v>88</v>
      </c>
      <c r="BS326" s="3" t="s">
        <v>89</v>
      </c>
      <c r="BT326" s="3" t="s">
        <v>90</v>
      </c>
    </row>
    <row r="327" customFormat="false" ht="15" hidden="false" customHeight="false" outlineLevel="0" collapsed="false">
      <c r="A327" s="11" t="s">
        <v>390</v>
      </c>
      <c r="B327" s="11" t="s">
        <v>91</v>
      </c>
      <c r="C327" s="11" t="s">
        <v>74</v>
      </c>
      <c r="D327" s="11" t="s">
        <v>132</v>
      </c>
      <c r="E327" s="11" t="s">
        <v>391</v>
      </c>
      <c r="F327" s="11" t="s">
        <v>392</v>
      </c>
      <c r="G327" s="11" t="s">
        <v>78</v>
      </c>
      <c r="H327" s="11" t="s">
        <v>79</v>
      </c>
      <c r="I327" s="11" t="s">
        <v>78</v>
      </c>
      <c r="J327" s="12" t="n">
        <v>3748000</v>
      </c>
      <c r="K327" s="13" t="n">
        <f aca="false">IFERROR(J327/M327,"")</f>
        <v>0.128624867016713</v>
      </c>
      <c r="L327" s="12" t="n">
        <v>25391000</v>
      </c>
      <c r="M327" s="14" t="n">
        <f aca="false">L327+J327</f>
        <v>29139000</v>
      </c>
      <c r="N327" s="12" t="n">
        <v>7075000</v>
      </c>
      <c r="O327" s="12" t="n">
        <v>16991272</v>
      </c>
      <c r="P327" s="12" t="n">
        <v>695940</v>
      </c>
      <c r="Q327" s="13" t="n">
        <f aca="false">IFERROR(P327/P326-1,"")</f>
        <v>-0.128001824337362</v>
      </c>
      <c r="R327" s="12" t="n">
        <v>744246</v>
      </c>
      <c r="S327" s="13" t="n">
        <f aca="false">IFERROR(R327/R326-1,"")</f>
        <v>-0.114022389729866</v>
      </c>
      <c r="T327" s="12" t="n">
        <v>411144</v>
      </c>
      <c r="U327" s="13" t="n">
        <f aca="false">IFERROR(T327/P327,"")</f>
        <v>0.590775066816105</v>
      </c>
      <c r="V327" s="14" t="n">
        <f aca="false">T327-AV327</f>
        <v>-2266478</v>
      </c>
      <c r="W327" s="14" t="n">
        <f aca="false">V327-AA327*0.1</f>
        <v>-2266478</v>
      </c>
      <c r="X327" s="12" t="n">
        <v>2145477</v>
      </c>
      <c r="Y327" s="12" t="n">
        <v>210320</v>
      </c>
      <c r="Z327" s="15" t="n">
        <f aca="false">IFERROR(X327/Y327,"")</f>
        <v>10.2010127424876</v>
      </c>
      <c r="AA327" s="12" t="n">
        <v>0</v>
      </c>
      <c r="AB327" s="14" t="n">
        <f aca="false">W327-0.02*P327</f>
        <v>-2280396.8</v>
      </c>
      <c r="AC327" s="16" t="n">
        <v>89</v>
      </c>
      <c r="AD327" s="13" t="n">
        <f aca="false">IFERROR(AC327/AC326-1,"")</f>
        <v>-0.101010101010101</v>
      </c>
      <c r="AE327" s="17" t="n">
        <v>0.255</v>
      </c>
      <c r="AF327" s="17" t="n">
        <v>0.195</v>
      </c>
      <c r="AG327" s="13" t="n">
        <f aca="false">1-AF327</f>
        <v>0.805</v>
      </c>
      <c r="AH327" s="17" t="n">
        <v>0.926</v>
      </c>
      <c r="AI327" s="12" t="n">
        <v>88200</v>
      </c>
      <c r="AJ327" s="14" t="n">
        <f aca="false">IFERROR(AM327*U327*MIN(1/AE327,5),"")</f>
        <v>87434.7098887835</v>
      </c>
      <c r="AK327" s="18" t="n">
        <f aca="false">IFERROR(AJ327/AI327,"")</f>
        <v>0.991323241369428</v>
      </c>
      <c r="AL327" s="15" t="n">
        <f aca="false">IFERROR(AI327/(AM327*U327/12),"")</f>
        <v>47.4707154695617</v>
      </c>
      <c r="AM327" s="12" t="n">
        <v>37740</v>
      </c>
      <c r="AN327" s="12" t="n">
        <v>827040</v>
      </c>
      <c r="AO327" s="12" t="n">
        <v>1684221</v>
      </c>
      <c r="AP327" s="17" t="n">
        <v>0.218</v>
      </c>
      <c r="AQ327" s="16" t="n">
        <v>86</v>
      </c>
      <c r="AR327" s="16" t="n">
        <v>5</v>
      </c>
      <c r="AS327" s="13" t="n">
        <f aca="false">IFERROR(AR327/AR326-1,"")</f>
        <v>0</v>
      </c>
      <c r="AT327" s="11" t="s">
        <v>196</v>
      </c>
      <c r="AU327" s="14" t="n">
        <f aca="false">IFERROR(P327/AR327,"")</f>
        <v>139188</v>
      </c>
      <c r="AV327" s="12" t="n">
        <v>2677622</v>
      </c>
      <c r="AW327" s="12" t="n">
        <v>1239763</v>
      </c>
      <c r="AX327" s="12" t="n">
        <v>622011</v>
      </c>
      <c r="AY327" s="16" t="n">
        <v>32503</v>
      </c>
      <c r="AZ327" s="13" t="n">
        <f aca="false">IFERROR(AY327/AY326-1,"")</f>
        <v>-0.0912318962142817</v>
      </c>
      <c r="BA327" s="17" t="n">
        <v>0.821</v>
      </c>
      <c r="BB327" s="11" t="s">
        <v>138</v>
      </c>
      <c r="BC327" s="11" t="s">
        <v>120</v>
      </c>
      <c r="BD327" s="11" t="s">
        <v>101</v>
      </c>
      <c r="BE327" s="12" t="n">
        <v>1013084</v>
      </c>
      <c r="BF327" s="13" t="n">
        <f aca="false">IFERROR(P327/BE327-1,"")</f>
        <v>-0.313048078935212</v>
      </c>
      <c r="BG327" s="17" t="n">
        <v>0.306</v>
      </c>
      <c r="BH327" s="17" t="n">
        <v>0.307</v>
      </c>
      <c r="BI327" s="14" t="n">
        <f aca="false">P327*(1+IFERROR(Q327,0))^4</f>
        <v>402377.88555473</v>
      </c>
      <c r="BJ327" s="12" t="n">
        <v>-1754458</v>
      </c>
      <c r="BK327" s="11" t="s">
        <v>147</v>
      </c>
      <c r="BL327" s="11" t="s">
        <v>140</v>
      </c>
      <c r="BM327" s="14" t="n">
        <f aca="false">O327</f>
        <v>16991272</v>
      </c>
      <c r="BN327" s="11" t="s">
        <v>393</v>
      </c>
      <c r="BO327" s="13" t="n">
        <f aca="false">IFERROR(1-L327/M327,"")</f>
        <v>0.128624867016713</v>
      </c>
      <c r="BP327" s="11" t="s">
        <v>198</v>
      </c>
      <c r="BQ327" s="12" t="n">
        <v>3958473</v>
      </c>
      <c r="BR327" s="11" t="s">
        <v>88</v>
      </c>
      <c r="BS327" s="11" t="s">
        <v>89</v>
      </c>
      <c r="BT327" s="19" t="str">
        <f aca="false">IF(OR(Z327&lt;6,AH327&lt;0.9,S327&lt;0.02,AK327&lt;1),"REVIEW",IF(AND(S327&gt;0.25,AH327&gt;1.2),"ACCELERATING","STABLE"))</f>
        <v>REVIEW</v>
      </c>
    </row>
    <row r="328" customFormat="false" ht="15" hidden="false" customHeight="false" outlineLevel="0" collapsed="false">
      <c r="A328" s="11" t="s">
        <v>390</v>
      </c>
      <c r="B328" s="11" t="s">
        <v>92</v>
      </c>
      <c r="C328" s="11" t="s">
        <v>74</v>
      </c>
      <c r="D328" s="11" t="s">
        <v>132</v>
      </c>
      <c r="E328" s="11" t="s">
        <v>391</v>
      </c>
      <c r="F328" s="11" t="s">
        <v>392</v>
      </c>
      <c r="G328" s="11" t="s">
        <v>78</v>
      </c>
      <c r="H328" s="11" t="s">
        <v>79</v>
      </c>
      <c r="I328" s="11" t="s">
        <v>78</v>
      </c>
      <c r="J328" s="12" t="n">
        <v>3748000</v>
      </c>
      <c r="K328" s="13" t="n">
        <f aca="false">IFERROR(J328/M328,"")</f>
        <v>0.128624867016713</v>
      </c>
      <c r="L328" s="12" t="n">
        <v>25391000</v>
      </c>
      <c r="M328" s="14" t="n">
        <f aca="false">L328+J328</f>
        <v>29139000</v>
      </c>
      <c r="N328" s="12" t="n">
        <v>7075000</v>
      </c>
      <c r="O328" s="12" t="n">
        <v>16991272</v>
      </c>
      <c r="P328" s="12" t="n">
        <v>597879</v>
      </c>
      <c r="Q328" s="13" t="n">
        <f aca="false">IFERROR(P328/P327-1,"")</f>
        <v>-0.140904388309337</v>
      </c>
      <c r="R328" s="12" t="n">
        <v>650693</v>
      </c>
      <c r="S328" s="13" t="n">
        <f aca="false">IFERROR(R328/R327-1,"")</f>
        <v>-0.125701716905432</v>
      </c>
      <c r="T328" s="12" t="n">
        <v>346419</v>
      </c>
      <c r="U328" s="13" t="n">
        <f aca="false">IFERROR(T328/P328,"")</f>
        <v>0.579413225753037</v>
      </c>
      <c r="V328" s="14" t="n">
        <f aca="false">T328-AV328</f>
        <v>-2895081</v>
      </c>
      <c r="W328" s="14" t="n">
        <f aca="false">V328-AA328*0.1</f>
        <v>-2895081</v>
      </c>
      <c r="X328" s="12" t="n">
        <v>1498743</v>
      </c>
      <c r="Y328" s="12" t="n">
        <v>224660</v>
      </c>
      <c r="Z328" s="15" t="n">
        <f aca="false">IFERROR(X328/Y328,"")</f>
        <v>6.67116086530758</v>
      </c>
      <c r="AA328" s="12" t="n">
        <v>0</v>
      </c>
      <c r="AB328" s="14" t="n">
        <f aca="false">W328-0.02*P328</f>
        <v>-2907038.58</v>
      </c>
      <c r="AC328" s="16" t="n">
        <v>81</v>
      </c>
      <c r="AD328" s="13" t="n">
        <f aca="false">IFERROR(AC328/AC327-1,"")</f>
        <v>-0.0898876404494382</v>
      </c>
      <c r="AE328" s="17" t="n">
        <v>0.296</v>
      </c>
      <c r="AF328" s="17" t="n">
        <v>0.264</v>
      </c>
      <c r="AG328" s="13" t="n">
        <f aca="false">1-AF328</f>
        <v>0.736</v>
      </c>
      <c r="AH328" s="17" t="n">
        <v>0.886</v>
      </c>
      <c r="AI328" s="12" t="n">
        <v>96600</v>
      </c>
      <c r="AJ328" s="14" t="n">
        <f aca="false">IFERROR(AM328*U328*MIN(1/AE328,5),"")</f>
        <v>75323.7193478948</v>
      </c>
      <c r="AK328" s="18" t="n">
        <f aca="false">IFERROR(AJ328/AI328,"")</f>
        <v>0.779748647493735</v>
      </c>
      <c r="AL328" s="15" t="n">
        <f aca="false">IFERROR(AI328/(AM328*U328/12),"")</f>
        <v>51.9918061683669</v>
      </c>
      <c r="AM328" s="12" t="n">
        <v>38480</v>
      </c>
      <c r="AN328" s="12" t="n">
        <v>612153</v>
      </c>
      <c r="AO328" s="12" t="n">
        <v>1705582</v>
      </c>
      <c r="AP328" s="17" t="n">
        <v>0.218</v>
      </c>
      <c r="AQ328" s="16" t="n">
        <v>86</v>
      </c>
      <c r="AR328" s="16" t="n">
        <v>4</v>
      </c>
      <c r="AS328" s="13" t="n">
        <f aca="false">IFERROR(AR328/AR327-1,"")</f>
        <v>-0.2</v>
      </c>
      <c r="AT328" s="11" t="s">
        <v>196</v>
      </c>
      <c r="AU328" s="14" t="n">
        <f aca="false">IFERROR(P328/AR328,"")</f>
        <v>149469.75</v>
      </c>
      <c r="AV328" s="12" t="n">
        <v>3241500</v>
      </c>
      <c r="AW328" s="12" t="n">
        <v>1020414</v>
      </c>
      <c r="AX328" s="12" t="n">
        <v>1018620</v>
      </c>
      <c r="AY328" s="16" t="n">
        <v>28845</v>
      </c>
      <c r="AZ328" s="13" t="n">
        <f aca="false">IFERROR(AY328/AY327-1,"")</f>
        <v>-0.112543457526997</v>
      </c>
      <c r="BA328" s="17" t="n">
        <v>0.764</v>
      </c>
      <c r="BB328" s="11" t="s">
        <v>138</v>
      </c>
      <c r="BC328" s="11" t="s">
        <v>120</v>
      </c>
      <c r="BD328" s="11" t="s">
        <v>101</v>
      </c>
      <c r="BE328" s="12" t="n">
        <v>879130</v>
      </c>
      <c r="BF328" s="13" t="n">
        <f aca="false">IFERROR(P328/BE328-1,"")</f>
        <v>-0.319919693333182</v>
      </c>
      <c r="BG328" s="17" t="n">
        <v>0.153</v>
      </c>
      <c r="BH328" s="17" t="n">
        <v>0.314</v>
      </c>
      <c r="BI328" s="14" t="n">
        <f aca="false">P328*(1+IFERROR(Q328,0))^4</f>
        <v>325671.160714278</v>
      </c>
      <c r="BJ328" s="12" t="n">
        <v>-2317918</v>
      </c>
      <c r="BK328" s="11" t="s">
        <v>147</v>
      </c>
      <c r="BL328" s="11" t="s">
        <v>140</v>
      </c>
      <c r="BM328" s="14" t="n">
        <f aca="false">O328</f>
        <v>16991272</v>
      </c>
      <c r="BN328" s="11" t="s">
        <v>393</v>
      </c>
      <c r="BO328" s="13" t="n">
        <f aca="false">IFERROR(1-L328/M328,"")</f>
        <v>0.128624867016713</v>
      </c>
      <c r="BP328" s="11" t="s">
        <v>198</v>
      </c>
      <c r="BQ328" s="12" t="n">
        <v>2696549</v>
      </c>
      <c r="BR328" s="11" t="s">
        <v>88</v>
      </c>
      <c r="BS328" s="11" t="s">
        <v>89</v>
      </c>
      <c r="BT328" s="19" t="str">
        <f aca="false">IF(OR(Z328&lt;6,AH328&lt;0.9,S328&lt;0.02,AK328&lt;1),"REVIEW",IF(AND(S328&gt;0.25,AH328&gt;1.2),"ACCELERATING","STABLE"))</f>
        <v>REVIEW</v>
      </c>
    </row>
    <row r="329" customFormat="false" ht="15" hidden="false" customHeight="false" outlineLevel="0" collapsed="false">
      <c r="A329" s="11" t="s">
        <v>390</v>
      </c>
      <c r="B329" s="11" t="s">
        <v>93</v>
      </c>
      <c r="C329" s="11" t="s">
        <v>74</v>
      </c>
      <c r="D329" s="11" t="s">
        <v>132</v>
      </c>
      <c r="E329" s="11" t="s">
        <v>391</v>
      </c>
      <c r="F329" s="11" t="s">
        <v>392</v>
      </c>
      <c r="G329" s="11" t="s">
        <v>78</v>
      </c>
      <c r="H329" s="11" t="s">
        <v>79</v>
      </c>
      <c r="I329" s="11" t="s">
        <v>78</v>
      </c>
      <c r="J329" s="12" t="n">
        <v>3748000</v>
      </c>
      <c r="K329" s="13" t="n">
        <f aca="false">IFERROR(J329/M329,"")</f>
        <v>0.128624867016713</v>
      </c>
      <c r="L329" s="12" t="n">
        <v>25391000</v>
      </c>
      <c r="M329" s="14" t="n">
        <f aca="false">L329+J329</f>
        <v>29139000</v>
      </c>
      <c r="N329" s="12" t="n">
        <v>7075000</v>
      </c>
      <c r="O329" s="12" t="n">
        <v>16991272</v>
      </c>
      <c r="P329" s="12" t="n">
        <v>531665</v>
      </c>
      <c r="Q329" s="13" t="n">
        <f aca="false">IFERROR(P329/P328-1,"")</f>
        <v>-0.110748161417277</v>
      </c>
      <c r="R329" s="12" t="n">
        <v>557760</v>
      </c>
      <c r="S329" s="13" t="n">
        <f aca="false">IFERROR(R329/R328-1,"")</f>
        <v>-0.142821576380874</v>
      </c>
      <c r="T329" s="12" t="n">
        <v>302013</v>
      </c>
      <c r="U329" s="13" t="n">
        <f aca="false">IFERROR(T329/P329,"")</f>
        <v>0.568051310505676</v>
      </c>
      <c r="V329" s="14" t="n">
        <f aca="false">T329-AV329</f>
        <v>-2541922</v>
      </c>
      <c r="W329" s="14" t="n">
        <f aca="false">V329-AA329*0.1</f>
        <v>-2541922</v>
      </c>
      <c r="X329" s="12" t="n">
        <v>757365</v>
      </c>
      <c r="Y329" s="12" t="n">
        <v>239000</v>
      </c>
      <c r="Z329" s="15" t="n">
        <f aca="false">IFERROR(X329/Y329,"")</f>
        <v>3.16889121338912</v>
      </c>
      <c r="AA329" s="12" t="n">
        <v>0</v>
      </c>
      <c r="AB329" s="14" t="n">
        <f aca="false">W329-0.02*P329</f>
        <v>-2552555.3</v>
      </c>
      <c r="AC329" s="16" t="n">
        <v>72</v>
      </c>
      <c r="AD329" s="13" t="n">
        <f aca="false">IFERROR(AC329/AC328-1,"")</f>
        <v>-0.111111111111111</v>
      </c>
      <c r="AE329" s="17" t="n">
        <v>0.336</v>
      </c>
      <c r="AF329" s="17" t="n">
        <v>0.305</v>
      </c>
      <c r="AG329" s="13" t="n">
        <f aca="false">1-AF329</f>
        <v>0.695</v>
      </c>
      <c r="AH329" s="17" t="n">
        <v>0.846</v>
      </c>
      <c r="AI329" s="12" t="n">
        <v>105000</v>
      </c>
      <c r="AJ329" s="14" t="n">
        <f aca="false">IFERROR(AM329*U329*MIN(1/AE329,5),"")</f>
        <v>66306.4654703351</v>
      </c>
      <c r="AK329" s="18" t="n">
        <f aca="false">IFERROR(AJ329/AI329,"")</f>
        <v>0.631490147336525</v>
      </c>
      <c r="AL329" s="15" t="n">
        <f aca="false">IFERROR(AI329/(AM329*U329/12),"")</f>
        <v>56.5555707637246</v>
      </c>
      <c r="AM329" s="12" t="n">
        <v>39220</v>
      </c>
      <c r="AN329" s="12" t="n">
        <v>704209</v>
      </c>
      <c r="AO329" s="12" t="n">
        <v>869827</v>
      </c>
      <c r="AP329" s="17" t="n">
        <v>0.218</v>
      </c>
      <c r="AQ329" s="16" t="n">
        <v>86</v>
      </c>
      <c r="AR329" s="16" t="n">
        <v>4</v>
      </c>
      <c r="AS329" s="13" t="n">
        <f aca="false">IFERROR(AR329/AR328-1,"")</f>
        <v>0</v>
      </c>
      <c r="AT329" s="11" t="s">
        <v>196</v>
      </c>
      <c r="AU329" s="14" t="n">
        <f aca="false">IFERROR(P329/AR329,"")</f>
        <v>132916.25</v>
      </c>
      <c r="AV329" s="12" t="n">
        <v>2843935</v>
      </c>
      <c r="AW329" s="12" t="n">
        <v>1283331</v>
      </c>
      <c r="AX329" s="12" t="n">
        <v>813002</v>
      </c>
      <c r="AY329" s="16" t="n">
        <v>24890</v>
      </c>
      <c r="AZ329" s="13" t="n">
        <f aca="false">IFERROR(AY329/AY328-1,"")</f>
        <v>-0.137112151152713</v>
      </c>
      <c r="BA329" s="17" t="n">
        <v>0.633</v>
      </c>
      <c r="BB329" s="11" t="s">
        <v>138</v>
      </c>
      <c r="BC329" s="11" t="s">
        <v>120</v>
      </c>
      <c r="BD329" s="11" t="s">
        <v>101</v>
      </c>
      <c r="BE329" s="12" t="n">
        <v>751656</v>
      </c>
      <c r="BF329" s="13" t="n">
        <f aca="false">IFERROR(P329/BE329-1,"")</f>
        <v>-0.292675106697745</v>
      </c>
      <c r="BG329" s="17" t="n">
        <v>0.267</v>
      </c>
      <c r="BH329" s="17" t="n">
        <v>0.349</v>
      </c>
      <c r="BI329" s="14" t="n">
        <f aca="false">P329*(1+IFERROR(Q329,0))^4</f>
        <v>332458.283607202</v>
      </c>
      <c r="BJ329" s="12" t="n">
        <v>-1751341</v>
      </c>
      <c r="BK329" s="11" t="s">
        <v>147</v>
      </c>
      <c r="BL329" s="11" t="s">
        <v>140</v>
      </c>
      <c r="BM329" s="14" t="n">
        <f aca="false">O329</f>
        <v>16991272</v>
      </c>
      <c r="BN329" s="11" t="s">
        <v>393</v>
      </c>
      <c r="BO329" s="13" t="n">
        <f aca="false">IFERROR(1-L329/M329,"")</f>
        <v>0.128624867016713</v>
      </c>
      <c r="BP329" s="11" t="s">
        <v>198</v>
      </c>
      <c r="BQ329" s="12" t="n">
        <v>4282703</v>
      </c>
      <c r="BR329" s="11" t="s">
        <v>88</v>
      </c>
      <c r="BS329" s="11" t="s">
        <v>89</v>
      </c>
      <c r="BT329" s="19" t="str">
        <f aca="false">IF(OR(Z329&lt;6,AH329&lt;0.9,S329&lt;0.02,AK329&lt;1),"REVIEW",IF(AND(S329&gt;0.25,AH329&gt;1.2),"ACCELERATING","STABLE"))</f>
        <v>REVIEW</v>
      </c>
    </row>
    <row r="330" customFormat="false" ht="15" hidden="false" customHeight="false" outlineLevel="0" collapsed="false">
      <c r="A330" s="3" t="s">
        <v>394</v>
      </c>
      <c r="B330" s="3" t="s">
        <v>73</v>
      </c>
      <c r="C330" s="3" t="s">
        <v>74</v>
      </c>
      <c r="D330" s="3" t="s">
        <v>210</v>
      </c>
      <c r="E330" s="3" t="s">
        <v>105</v>
      </c>
      <c r="F330" s="3" t="s">
        <v>395</v>
      </c>
      <c r="G330" s="3" t="s">
        <v>78</v>
      </c>
      <c r="H330" s="3" t="s">
        <v>79</v>
      </c>
      <c r="I330" s="3" t="s">
        <v>78</v>
      </c>
      <c r="J330" s="4" t="n">
        <v>4788000</v>
      </c>
      <c r="K330" s="5" t="n">
        <f aca="false">IFERROR(J330/M330,"")</f>
        <v>0.193995381062356</v>
      </c>
      <c r="L330" s="4" t="n">
        <v>19893000</v>
      </c>
      <c r="M330" s="6" t="n">
        <f aca="false">L330+J330</f>
        <v>24681000</v>
      </c>
      <c r="N330" s="4" t="n">
        <v>4788000</v>
      </c>
      <c r="O330" s="4" t="n">
        <v>38469778</v>
      </c>
      <c r="P330" s="4" t="n">
        <v>1280397</v>
      </c>
      <c r="Q330" s="7"/>
      <c r="R330" s="4" t="n">
        <v>1442256</v>
      </c>
      <c r="S330" s="7"/>
      <c r="T330" s="4" t="n">
        <v>935546</v>
      </c>
      <c r="U330" s="5" t="n">
        <f aca="false">IFERROR(T330/P330,"")</f>
        <v>0.730668691038795</v>
      </c>
      <c r="V330" s="6" t="n">
        <f aca="false">T330-AV330</f>
        <v>-1028132</v>
      </c>
      <c r="W330" s="6" t="n">
        <f aca="false">V330-AA330*0.1</f>
        <v>-1097332</v>
      </c>
      <c r="X330" s="4" t="n">
        <v>2713132</v>
      </c>
      <c r="Y330" s="4" t="n">
        <v>83720</v>
      </c>
      <c r="Z330" s="8" t="n">
        <f aca="false">IFERROR(X330/Y330,"")</f>
        <v>32.4072145246058</v>
      </c>
      <c r="AA330" s="4" t="n">
        <v>692000</v>
      </c>
      <c r="AB330" s="6" t="n">
        <f aca="false">W330-0.02*P330</f>
        <v>-1122939.94</v>
      </c>
      <c r="AC330" s="9" t="n">
        <v>56</v>
      </c>
      <c r="AD330" s="7"/>
      <c r="AE330" s="7" t="n">
        <v>0.131</v>
      </c>
      <c r="AF330" s="7" t="n">
        <v>0.097</v>
      </c>
      <c r="AG330" s="5" t="n">
        <f aca="false">1-AF330</f>
        <v>0.903</v>
      </c>
      <c r="AH330" s="7" t="n">
        <v>1.061</v>
      </c>
      <c r="AI330" s="4" t="n">
        <v>98792</v>
      </c>
      <c r="AJ330" s="6" t="n">
        <f aca="false">IFERROR(AM330*U330*MIN(1/AE330,5),"")</f>
        <v>182667.172759699</v>
      </c>
      <c r="AK330" s="10" t="n">
        <f aca="false">IFERROR(AJ330/AI330,"")</f>
        <v>1.84900774110959</v>
      </c>
      <c r="AL330" s="8" t="n">
        <f aca="false">IFERROR(AI330/(AM330*U330/12),"")</f>
        <v>32.4498371023552</v>
      </c>
      <c r="AM330" s="4" t="n">
        <v>50000</v>
      </c>
      <c r="AN330" s="4" t="n">
        <v>2009432</v>
      </c>
      <c r="AO330" s="4" t="n">
        <v>2482851</v>
      </c>
      <c r="AP330" s="7" t="n">
        <v>0.259</v>
      </c>
      <c r="AQ330" s="9" t="n">
        <v>65</v>
      </c>
      <c r="AR330" s="9" t="n">
        <v>1</v>
      </c>
      <c r="AS330" s="7"/>
      <c r="AT330" s="3" t="s">
        <v>201</v>
      </c>
      <c r="AU330" s="6" t="n">
        <f aca="false">IFERROR(P330/AR330,"")</f>
        <v>1280397</v>
      </c>
      <c r="AV330" s="4" t="n">
        <v>1963678</v>
      </c>
      <c r="AW330" s="4" t="n">
        <v>825616</v>
      </c>
      <c r="AX330" s="4" t="n">
        <v>450824</v>
      </c>
      <c r="AY330" s="9" t="n">
        <v>22945</v>
      </c>
      <c r="AZ330" s="7"/>
      <c r="BA330" s="7" t="n">
        <v>0.863</v>
      </c>
      <c r="BB330" s="3" t="s">
        <v>161</v>
      </c>
      <c r="BC330" s="3" t="s">
        <v>126</v>
      </c>
      <c r="BD330" s="3" t="s">
        <v>101</v>
      </c>
      <c r="BE330" s="4" t="n">
        <v>1410448</v>
      </c>
      <c r="BF330" s="5" t="n">
        <f aca="false">IFERROR(P330/BE330-1,"")</f>
        <v>-0.0922054552879652</v>
      </c>
      <c r="BG330" s="7" t="n">
        <v>0.063</v>
      </c>
      <c r="BH330" s="7" t="n">
        <v>0.055</v>
      </c>
      <c r="BI330" s="6" t="n">
        <f aca="false">P330</f>
        <v>1280397</v>
      </c>
      <c r="BJ330" s="4" t="n">
        <v>-727666</v>
      </c>
      <c r="BK330" s="3" t="s">
        <v>110</v>
      </c>
      <c r="BL330" s="3" t="s">
        <v>111</v>
      </c>
      <c r="BM330" s="6" t="n">
        <f aca="false">O330</f>
        <v>38469778</v>
      </c>
      <c r="BN330" s="3" t="s">
        <v>396</v>
      </c>
      <c r="BO330" s="5" t="n">
        <f aca="false">IFERROR(1-L330/M330,"")</f>
        <v>0.193995381062356</v>
      </c>
      <c r="BP330" s="3" t="s">
        <v>198</v>
      </c>
      <c r="BQ330" s="4" t="n">
        <v>1049983</v>
      </c>
      <c r="BR330" s="3" t="s">
        <v>88</v>
      </c>
      <c r="BS330" s="3" t="s">
        <v>89</v>
      </c>
      <c r="BT330" s="3" t="s">
        <v>90</v>
      </c>
    </row>
    <row r="331" customFormat="false" ht="15" hidden="false" customHeight="false" outlineLevel="0" collapsed="false">
      <c r="A331" s="11" t="s">
        <v>394</v>
      </c>
      <c r="B331" s="11" t="s">
        <v>91</v>
      </c>
      <c r="C331" s="11" t="s">
        <v>74</v>
      </c>
      <c r="D331" s="11" t="s">
        <v>210</v>
      </c>
      <c r="E331" s="11" t="s">
        <v>105</v>
      </c>
      <c r="F331" s="11" t="s">
        <v>395</v>
      </c>
      <c r="G331" s="11" t="s">
        <v>78</v>
      </c>
      <c r="H331" s="11" t="s">
        <v>79</v>
      </c>
      <c r="I331" s="11" t="s">
        <v>78</v>
      </c>
      <c r="J331" s="12" t="n">
        <v>4788000</v>
      </c>
      <c r="K331" s="13" t="n">
        <f aca="false">IFERROR(J331/M331,"")</f>
        <v>0.193995381062356</v>
      </c>
      <c r="L331" s="12" t="n">
        <v>19893000</v>
      </c>
      <c r="M331" s="14" t="n">
        <f aca="false">L331+J331</f>
        <v>24681000</v>
      </c>
      <c r="N331" s="12" t="n">
        <v>4788000</v>
      </c>
      <c r="O331" s="12" t="n">
        <v>38469778</v>
      </c>
      <c r="P331" s="12" t="n">
        <v>1355140</v>
      </c>
      <c r="Q331" s="13" t="n">
        <f aca="false">IFERROR(P331/P330-1,"")</f>
        <v>0.0583748634212671</v>
      </c>
      <c r="R331" s="12" t="n">
        <v>1691495</v>
      </c>
      <c r="S331" s="13" t="n">
        <f aca="false">IFERROR(R331/R330-1,"")</f>
        <v>0.172811900245171</v>
      </c>
      <c r="T331" s="12" t="n">
        <v>994167</v>
      </c>
      <c r="U331" s="13" t="n">
        <f aca="false">IFERROR(T331/P331,"")</f>
        <v>0.733626783948522</v>
      </c>
      <c r="V331" s="14" t="n">
        <f aca="false">T331-AV331</f>
        <v>-1019259</v>
      </c>
      <c r="W331" s="14" t="n">
        <f aca="false">V331-AA331*0.1</f>
        <v>-1088459</v>
      </c>
      <c r="X331" s="12" t="n">
        <v>2501992</v>
      </c>
      <c r="Y331" s="12" t="n">
        <v>86480</v>
      </c>
      <c r="Z331" s="15" t="n">
        <f aca="false">IFERROR(X331/Y331,"")</f>
        <v>28.9314523589269</v>
      </c>
      <c r="AA331" s="12" t="n">
        <v>692000</v>
      </c>
      <c r="AB331" s="14" t="n">
        <f aca="false">W331-0.02*P331</f>
        <v>-1115561.8</v>
      </c>
      <c r="AC331" s="16" t="n">
        <v>61</v>
      </c>
      <c r="AD331" s="13" t="n">
        <f aca="false">IFERROR(AC331/AC330-1,"")</f>
        <v>0.0892857142857142</v>
      </c>
      <c r="AE331" s="17" t="n">
        <v>0.127</v>
      </c>
      <c r="AF331" s="17" t="n">
        <v>0.088</v>
      </c>
      <c r="AG331" s="13" t="n">
        <f aca="false">1-AF331</f>
        <v>0.912</v>
      </c>
      <c r="AH331" s="17" t="n">
        <v>1.056</v>
      </c>
      <c r="AI331" s="12" t="n">
        <v>96928</v>
      </c>
      <c r="AJ331" s="14" t="n">
        <f aca="false">IFERROR(AM331*U331*MIN(1/AE331,5),"")</f>
        <v>187074.829906873</v>
      </c>
      <c r="AK331" s="18" t="n">
        <f aca="false">IFERROR(AJ331/AI331,"")</f>
        <v>1.93003910022773</v>
      </c>
      <c r="AL331" s="15" t="n">
        <f aca="false">IFERROR(AI331/(AM331*U331/12),"")</f>
        <v>31.0874530950801</v>
      </c>
      <c r="AM331" s="12" t="n">
        <v>51000</v>
      </c>
      <c r="AN331" s="12" t="n">
        <v>2004727</v>
      </c>
      <c r="AO331" s="12" t="n">
        <v>2817694</v>
      </c>
      <c r="AP331" s="17" t="n">
        <v>0.259</v>
      </c>
      <c r="AQ331" s="16" t="n">
        <v>65</v>
      </c>
      <c r="AR331" s="16" t="n">
        <v>1</v>
      </c>
      <c r="AS331" s="13" t="n">
        <f aca="false">IFERROR(AR331/AR330-1,"")</f>
        <v>0</v>
      </c>
      <c r="AT331" s="11" t="s">
        <v>201</v>
      </c>
      <c r="AU331" s="14" t="n">
        <f aca="false">IFERROR(P331/AR331,"")</f>
        <v>1355140</v>
      </c>
      <c r="AV331" s="12" t="n">
        <v>2013426</v>
      </c>
      <c r="AW331" s="12" t="n">
        <v>973130</v>
      </c>
      <c r="AX331" s="12" t="n">
        <v>653790</v>
      </c>
      <c r="AY331" s="16" t="n">
        <v>26566</v>
      </c>
      <c r="AZ331" s="13" t="n">
        <f aca="false">IFERROR(AY331/AY330-1,"")</f>
        <v>0.157812159511876</v>
      </c>
      <c r="BA331" s="17" t="n">
        <v>0.895</v>
      </c>
      <c r="BB331" s="11" t="s">
        <v>161</v>
      </c>
      <c r="BC331" s="11" t="s">
        <v>126</v>
      </c>
      <c r="BD331" s="11" t="s">
        <v>101</v>
      </c>
      <c r="BE331" s="12" t="n">
        <v>1272683</v>
      </c>
      <c r="BF331" s="13" t="n">
        <f aca="false">IFERROR(P331/BE331-1,"")</f>
        <v>0.0647898966199754</v>
      </c>
      <c r="BG331" s="17" t="n">
        <v>0.087</v>
      </c>
      <c r="BH331" s="17" t="n">
        <v>0.083</v>
      </c>
      <c r="BI331" s="14" t="n">
        <f aca="false">P331*(1+IFERROR(Q331,0))^4</f>
        <v>1700365.29223756</v>
      </c>
      <c r="BJ331" s="12" t="n">
        <v>-522411</v>
      </c>
      <c r="BK331" s="11" t="s">
        <v>110</v>
      </c>
      <c r="BL331" s="11" t="s">
        <v>111</v>
      </c>
      <c r="BM331" s="14" t="n">
        <f aca="false">O331</f>
        <v>38469778</v>
      </c>
      <c r="BN331" s="11" t="s">
        <v>396</v>
      </c>
      <c r="BO331" s="13" t="n">
        <f aca="false">IFERROR(1-L331/M331,"")</f>
        <v>0.193995381062356</v>
      </c>
      <c r="BP331" s="11" t="s">
        <v>198</v>
      </c>
      <c r="BQ331" s="12" t="n">
        <v>1347952</v>
      </c>
      <c r="BR331" s="11" t="s">
        <v>88</v>
      </c>
      <c r="BS331" s="11" t="s">
        <v>89</v>
      </c>
      <c r="BT331" s="19" t="str">
        <f aca="false">IF(OR(Z331&lt;6,AH331&lt;0.9,S331&lt;0.02,AK331&lt;1),"REVIEW",IF(AND(S331&gt;0.25,AH331&gt;1.2),"ACCELERATING","STABLE"))</f>
        <v>STABLE</v>
      </c>
    </row>
    <row r="332" customFormat="false" ht="15" hidden="false" customHeight="false" outlineLevel="0" collapsed="false">
      <c r="A332" s="11" t="s">
        <v>394</v>
      </c>
      <c r="B332" s="11" t="s">
        <v>92</v>
      </c>
      <c r="C332" s="11" t="s">
        <v>74</v>
      </c>
      <c r="D332" s="11" t="s">
        <v>210</v>
      </c>
      <c r="E332" s="11" t="s">
        <v>105</v>
      </c>
      <c r="F332" s="11" t="s">
        <v>395</v>
      </c>
      <c r="G332" s="11" t="s">
        <v>78</v>
      </c>
      <c r="H332" s="11" t="s">
        <v>79</v>
      </c>
      <c r="I332" s="11" t="s">
        <v>78</v>
      </c>
      <c r="J332" s="12" t="n">
        <v>4788000</v>
      </c>
      <c r="K332" s="13" t="n">
        <f aca="false">IFERROR(J332/M332,"")</f>
        <v>0.193995381062356</v>
      </c>
      <c r="L332" s="12" t="n">
        <v>19893000</v>
      </c>
      <c r="M332" s="14" t="n">
        <f aca="false">L332+J332</f>
        <v>24681000</v>
      </c>
      <c r="N332" s="12" t="n">
        <v>4788000</v>
      </c>
      <c r="O332" s="12" t="n">
        <v>38469778</v>
      </c>
      <c r="P332" s="12" t="n">
        <v>1636749</v>
      </c>
      <c r="Q332" s="13" t="n">
        <f aca="false">IFERROR(P332/P331-1,"")</f>
        <v>0.207808049352834</v>
      </c>
      <c r="R332" s="12" t="n">
        <v>1911372</v>
      </c>
      <c r="S332" s="13" t="n">
        <f aca="false">IFERROR(R332/R331-1,"")</f>
        <v>0.129989742801486</v>
      </c>
      <c r="T332" s="12" t="n">
        <v>1205605</v>
      </c>
      <c r="U332" s="13" t="n">
        <f aca="false">IFERROR(T332/P332,"")</f>
        <v>0.736585145309391</v>
      </c>
      <c r="V332" s="14" t="n">
        <f aca="false">T332-AV332</f>
        <v>-903349</v>
      </c>
      <c r="W332" s="14" t="n">
        <f aca="false">V332-AA332*0.1</f>
        <v>-972549</v>
      </c>
      <c r="X332" s="12" t="n">
        <v>2275948</v>
      </c>
      <c r="Y332" s="12" t="n">
        <v>89240</v>
      </c>
      <c r="Z332" s="15" t="n">
        <f aca="false">IFERROR(X332/Y332,"")</f>
        <v>25.5036754818467</v>
      </c>
      <c r="AA332" s="12" t="n">
        <v>692000</v>
      </c>
      <c r="AB332" s="14" t="n">
        <f aca="false">W332-0.02*P332</f>
        <v>-1005283.98</v>
      </c>
      <c r="AC332" s="16" t="n">
        <v>64</v>
      </c>
      <c r="AD332" s="13" t="n">
        <f aca="false">IFERROR(AC332/AC331-1,"")</f>
        <v>0.0491803278688525</v>
      </c>
      <c r="AE332" s="17" t="n">
        <v>0.124</v>
      </c>
      <c r="AF332" s="17" t="n">
        <v>0.101</v>
      </c>
      <c r="AG332" s="13" t="n">
        <f aca="false">1-AF332</f>
        <v>0.899</v>
      </c>
      <c r="AH332" s="17" t="n">
        <v>1.051</v>
      </c>
      <c r="AI332" s="12" t="n">
        <v>95064</v>
      </c>
      <c r="AJ332" s="14" t="n">
        <f aca="false">IFERROR(AM332*U332*MIN(1/AE332,5),"")</f>
        <v>191512.137780442</v>
      </c>
      <c r="AK332" s="18" t="n">
        <f aca="false">IFERROR(AJ332/AI332,"")</f>
        <v>2.01456006248887</v>
      </c>
      <c r="AL332" s="15" t="n">
        <f aca="false">IFERROR(AI332/(AM332*U332/12),"")</f>
        <v>29.7831775369723</v>
      </c>
      <c r="AM332" s="12" t="n">
        <v>52000</v>
      </c>
      <c r="AN332" s="12" t="n">
        <v>2346317</v>
      </c>
      <c r="AO332" s="12" t="n">
        <v>3712516</v>
      </c>
      <c r="AP332" s="17" t="n">
        <v>0.259</v>
      </c>
      <c r="AQ332" s="16" t="n">
        <v>65</v>
      </c>
      <c r="AR332" s="16" t="n">
        <v>1</v>
      </c>
      <c r="AS332" s="13" t="n">
        <f aca="false">IFERROR(AR332/AR331-1,"")</f>
        <v>0</v>
      </c>
      <c r="AT332" s="11" t="s">
        <v>201</v>
      </c>
      <c r="AU332" s="14" t="n">
        <f aca="false">IFERROR(P332/AR332,"")</f>
        <v>1636749</v>
      </c>
      <c r="AV332" s="12" t="n">
        <v>2108954</v>
      </c>
      <c r="AW332" s="12" t="n">
        <v>650902</v>
      </c>
      <c r="AX332" s="12" t="n">
        <v>400963</v>
      </c>
      <c r="AY332" s="16" t="n">
        <v>29229</v>
      </c>
      <c r="AZ332" s="13" t="n">
        <f aca="false">IFERROR(AY332/AY331-1,"")</f>
        <v>0.10024090943311</v>
      </c>
      <c r="BA332" s="17" t="n">
        <v>0.909</v>
      </c>
      <c r="BB332" s="11" t="s">
        <v>161</v>
      </c>
      <c r="BC332" s="11" t="s">
        <v>126</v>
      </c>
      <c r="BD332" s="11" t="s">
        <v>101</v>
      </c>
      <c r="BE332" s="12" t="n">
        <v>1834355</v>
      </c>
      <c r="BF332" s="13" t="n">
        <f aca="false">IFERROR(P332/BE332-1,"")</f>
        <v>-0.107725058671849</v>
      </c>
      <c r="BG332" s="17" t="n">
        <v>-0.031</v>
      </c>
      <c r="BH332" s="17" t="n">
        <v>-0.061</v>
      </c>
      <c r="BI332" s="14" t="n">
        <f aca="false">P332*(1+IFERROR(Q332,0))^4</f>
        <v>3483162.71341948</v>
      </c>
      <c r="BJ332" s="12" t="n">
        <v>-781155</v>
      </c>
      <c r="BK332" s="11" t="s">
        <v>110</v>
      </c>
      <c r="BL332" s="11" t="s">
        <v>111</v>
      </c>
      <c r="BM332" s="14" t="n">
        <f aca="false">O332</f>
        <v>38469778</v>
      </c>
      <c r="BN332" s="11" t="s">
        <v>396</v>
      </c>
      <c r="BO332" s="13" t="n">
        <f aca="false">IFERROR(1-L332/M332,"")</f>
        <v>0.193995381062356</v>
      </c>
      <c r="BP332" s="11" t="s">
        <v>198</v>
      </c>
      <c r="BQ332" s="12" t="n">
        <v>1563763</v>
      </c>
      <c r="BR332" s="11" t="s">
        <v>88</v>
      </c>
      <c r="BS332" s="11" t="s">
        <v>89</v>
      </c>
      <c r="BT332" s="19" t="str">
        <f aca="false">IF(OR(Z332&lt;6,AH332&lt;0.9,S332&lt;0.02,AK332&lt;1),"REVIEW",IF(AND(S332&gt;0.25,AH332&gt;1.2),"ACCELERATING","STABLE"))</f>
        <v>STABLE</v>
      </c>
    </row>
    <row r="333" customFormat="false" ht="15" hidden="false" customHeight="false" outlineLevel="0" collapsed="false">
      <c r="A333" s="11" t="s">
        <v>394</v>
      </c>
      <c r="B333" s="11" t="s">
        <v>93</v>
      </c>
      <c r="C333" s="11" t="s">
        <v>74</v>
      </c>
      <c r="D333" s="11" t="s">
        <v>210</v>
      </c>
      <c r="E333" s="11" t="s">
        <v>105</v>
      </c>
      <c r="F333" s="11" t="s">
        <v>395</v>
      </c>
      <c r="G333" s="11" t="s">
        <v>78</v>
      </c>
      <c r="H333" s="11" t="s">
        <v>79</v>
      </c>
      <c r="I333" s="11" t="s">
        <v>78</v>
      </c>
      <c r="J333" s="12" t="n">
        <v>4788000</v>
      </c>
      <c r="K333" s="13" t="n">
        <f aca="false">IFERROR(J333/M333,"")</f>
        <v>0.193995381062356</v>
      </c>
      <c r="L333" s="12" t="n">
        <v>19893000</v>
      </c>
      <c r="M333" s="14" t="n">
        <f aca="false">L333+J333</f>
        <v>24681000</v>
      </c>
      <c r="N333" s="12" t="n">
        <v>4788000</v>
      </c>
      <c r="O333" s="12" t="n">
        <v>38469778</v>
      </c>
      <c r="P333" s="12" t="n">
        <v>1689451</v>
      </c>
      <c r="Q333" s="13" t="n">
        <f aca="false">IFERROR(P333/P332-1,"")</f>
        <v>0.0321991948673865</v>
      </c>
      <c r="R333" s="12" t="n">
        <v>2094158</v>
      </c>
      <c r="S333" s="13" t="n">
        <f aca="false">IFERROR(R333/R332-1,"")</f>
        <v>0.0956307824955058</v>
      </c>
      <c r="T333" s="12" t="n">
        <v>1249422</v>
      </c>
      <c r="U333" s="13" t="n">
        <f aca="false">IFERROR(T333/P333,"")</f>
        <v>0.739543200720234</v>
      </c>
      <c r="V333" s="14" t="n">
        <f aca="false">T333-AV333</f>
        <v>-1148572</v>
      </c>
      <c r="W333" s="14" t="n">
        <f aca="false">V333-AA333*0.1</f>
        <v>-1217772</v>
      </c>
      <c r="X333" s="12" t="n">
        <v>2035000</v>
      </c>
      <c r="Y333" s="12" t="n">
        <v>92000</v>
      </c>
      <c r="Z333" s="15" t="n">
        <f aca="false">IFERROR(X333/Y333,"")</f>
        <v>22.1195652173913</v>
      </c>
      <c r="AA333" s="12" t="n">
        <v>692000</v>
      </c>
      <c r="AB333" s="14" t="n">
        <f aca="false">W333-0.02*P333</f>
        <v>-1251561.02</v>
      </c>
      <c r="AC333" s="16" t="n">
        <v>75</v>
      </c>
      <c r="AD333" s="13" t="n">
        <f aca="false">IFERROR(AC333/AC332-1,"")</f>
        <v>0.171875</v>
      </c>
      <c r="AE333" s="17" t="n">
        <v>0.12</v>
      </c>
      <c r="AF333" s="17" t="n">
        <v>0.114</v>
      </c>
      <c r="AG333" s="13" t="n">
        <f aca="false">1-AF333</f>
        <v>0.886</v>
      </c>
      <c r="AH333" s="17" t="n">
        <v>1.046</v>
      </c>
      <c r="AI333" s="12" t="n">
        <v>93200</v>
      </c>
      <c r="AJ333" s="14" t="n">
        <f aca="false">IFERROR(AM333*U333*MIN(1/AE333,5),"")</f>
        <v>195978.948190862</v>
      </c>
      <c r="AK333" s="18" t="n">
        <f aca="false">IFERROR(AJ333/AI333,"")</f>
        <v>2.10277841406504</v>
      </c>
      <c r="AL333" s="15" t="n">
        <f aca="false">IFERROR(AI333/(AM333*U333/12),"")</f>
        <v>28.5336769669465</v>
      </c>
      <c r="AM333" s="12" t="n">
        <v>53000</v>
      </c>
      <c r="AN333" s="12" t="n">
        <v>2466357</v>
      </c>
      <c r="AO333" s="12" t="n">
        <v>5561550</v>
      </c>
      <c r="AP333" s="17" t="n">
        <v>0.259</v>
      </c>
      <c r="AQ333" s="16" t="n">
        <v>65</v>
      </c>
      <c r="AR333" s="16" t="n">
        <v>1</v>
      </c>
      <c r="AS333" s="13" t="n">
        <f aca="false">IFERROR(AR333/AR332-1,"")</f>
        <v>0</v>
      </c>
      <c r="AT333" s="11" t="s">
        <v>201</v>
      </c>
      <c r="AU333" s="14" t="n">
        <f aca="false">IFERROR(P333/AR333,"")</f>
        <v>1689451</v>
      </c>
      <c r="AV333" s="12" t="n">
        <v>2397994</v>
      </c>
      <c r="AW333" s="12" t="n">
        <v>883171</v>
      </c>
      <c r="AX333" s="12" t="n">
        <v>718162</v>
      </c>
      <c r="AY333" s="16" t="n">
        <v>30405</v>
      </c>
      <c r="AZ333" s="13" t="n">
        <f aca="false">IFERROR(AY333/AY332-1,"")</f>
        <v>0.0402340141640152</v>
      </c>
      <c r="BA333" s="17" t="n">
        <v>0.894</v>
      </c>
      <c r="BB333" s="11" t="s">
        <v>161</v>
      </c>
      <c r="BC333" s="11" t="s">
        <v>126</v>
      </c>
      <c r="BD333" s="11" t="s">
        <v>101</v>
      </c>
      <c r="BE333" s="12" t="n">
        <v>1553017</v>
      </c>
      <c r="BF333" s="13" t="n">
        <f aca="false">IFERROR(P333/BE333-1,"")</f>
        <v>0.0878509378841312</v>
      </c>
      <c r="BG333" s="17" t="n">
        <v>0.08</v>
      </c>
      <c r="BH333" s="17" t="n">
        <v>-0.029</v>
      </c>
      <c r="BI333" s="14" t="n">
        <f aca="false">P333*(1+IFERROR(Q333,0))^4</f>
        <v>1917783.88137112</v>
      </c>
      <c r="BJ333" s="12" t="n">
        <v>-894419</v>
      </c>
      <c r="BK333" s="11" t="s">
        <v>110</v>
      </c>
      <c r="BL333" s="11" t="s">
        <v>111</v>
      </c>
      <c r="BM333" s="14" t="n">
        <f aca="false">O333</f>
        <v>38469778</v>
      </c>
      <c r="BN333" s="11" t="s">
        <v>396</v>
      </c>
      <c r="BO333" s="13" t="n">
        <f aca="false">IFERROR(1-L333/M333,"")</f>
        <v>0.193995381062356</v>
      </c>
      <c r="BP333" s="11" t="s">
        <v>198</v>
      </c>
      <c r="BQ333" s="12" t="n">
        <v>1439129</v>
      </c>
      <c r="BR333" s="11" t="s">
        <v>88</v>
      </c>
      <c r="BS333" s="11" t="s">
        <v>89</v>
      </c>
      <c r="BT333" s="19" t="str">
        <f aca="false">IF(OR(Z333&lt;6,AH333&lt;0.9,S333&lt;0.02,AK333&lt;1),"REVIEW",IF(AND(S333&gt;0.25,AH333&gt;1.2),"ACCELERATING","STABLE"))</f>
        <v>STABLE</v>
      </c>
    </row>
    <row r="334" customFormat="false" ht="15" hidden="false" customHeight="false" outlineLevel="0" collapsed="false">
      <c r="A334" s="3" t="s">
        <v>397</v>
      </c>
      <c r="B334" s="3" t="s">
        <v>73</v>
      </c>
      <c r="C334" s="3" t="s">
        <v>74</v>
      </c>
      <c r="D334" s="3" t="s">
        <v>132</v>
      </c>
      <c r="E334" s="3" t="s">
        <v>105</v>
      </c>
      <c r="F334" s="3" t="s">
        <v>398</v>
      </c>
      <c r="G334" s="3" t="s">
        <v>78</v>
      </c>
      <c r="H334" s="3" t="s">
        <v>79</v>
      </c>
      <c r="I334" s="3" t="s">
        <v>78</v>
      </c>
      <c r="J334" s="4" t="n">
        <v>2968000</v>
      </c>
      <c r="K334" s="5" t="n">
        <f aca="false">IFERROR(J334/M334,"")</f>
        <v>0.188984399872652</v>
      </c>
      <c r="L334" s="4" t="n">
        <v>12737000</v>
      </c>
      <c r="M334" s="6" t="n">
        <f aca="false">L334+J334</f>
        <v>15705000</v>
      </c>
      <c r="N334" s="4" t="n">
        <v>6453000</v>
      </c>
      <c r="O334" s="4" t="n">
        <v>33295893</v>
      </c>
      <c r="P334" s="4" t="n">
        <v>1318117</v>
      </c>
      <c r="Q334" s="7"/>
      <c r="R334" s="4" t="n">
        <v>1437904</v>
      </c>
      <c r="S334" s="7"/>
      <c r="T334" s="4" t="n">
        <v>818630</v>
      </c>
      <c r="U334" s="5" t="n">
        <f aca="false">IFERROR(T334/P334,"")</f>
        <v>0.621060194201274</v>
      </c>
      <c r="V334" s="6" t="n">
        <f aca="false">T334-AV334</f>
        <v>-2410482</v>
      </c>
      <c r="W334" s="6" t="n">
        <f aca="false">V334-AA334*0.1</f>
        <v>-2469682</v>
      </c>
      <c r="X334" s="4" t="n">
        <v>1376550</v>
      </c>
      <c r="Y334" s="4" t="n">
        <v>216580</v>
      </c>
      <c r="Z334" s="8" t="n">
        <f aca="false">IFERROR(X334/Y334,"")</f>
        <v>6.35585003232062</v>
      </c>
      <c r="AA334" s="4" t="n">
        <v>592000</v>
      </c>
      <c r="AB334" s="6" t="n">
        <f aca="false">W334-0.02*P334</f>
        <v>-2496044.34</v>
      </c>
      <c r="AC334" s="9" t="n">
        <v>44</v>
      </c>
      <c r="AD334" s="7"/>
      <c r="AE334" s="7" t="n">
        <v>0.046</v>
      </c>
      <c r="AF334" s="7" t="n">
        <v>0.032</v>
      </c>
      <c r="AG334" s="5" t="n">
        <f aca="false">1-AF334</f>
        <v>0.968</v>
      </c>
      <c r="AH334" s="7" t="n">
        <v>1.234</v>
      </c>
      <c r="AI334" s="4" t="n">
        <v>5724</v>
      </c>
      <c r="AJ334" s="6" t="n">
        <f aca="false">IFERROR(AM334*U334*MIN(1/AE334,5),"")</f>
        <v>27947.7087390573</v>
      </c>
      <c r="AK334" s="10" t="n">
        <f aca="false">IFERROR(AJ334/AI334,"")</f>
        <v>4.88254869655089</v>
      </c>
      <c r="AL334" s="8" t="n">
        <f aca="false">IFERROR(AI334/(AM334*U334/12),"")</f>
        <v>12.2886639189866</v>
      </c>
      <c r="AM334" s="4" t="n">
        <v>9000</v>
      </c>
      <c r="AN334" s="4" t="n">
        <v>1792534</v>
      </c>
      <c r="AO334" s="4" t="n">
        <v>4370460</v>
      </c>
      <c r="AP334" s="7" t="n">
        <v>0.325</v>
      </c>
      <c r="AQ334" s="9" t="n">
        <v>80</v>
      </c>
      <c r="AR334" s="9" t="n">
        <v>2</v>
      </c>
      <c r="AS334" s="7"/>
      <c r="AT334" s="3" t="s">
        <v>134</v>
      </c>
      <c r="AU334" s="6" t="n">
        <f aca="false">IFERROR(P334/AR334,"")</f>
        <v>659058.5</v>
      </c>
      <c r="AV334" s="4" t="n">
        <v>3229112</v>
      </c>
      <c r="AW334" s="4" t="n">
        <v>1491404</v>
      </c>
      <c r="AX334" s="4" t="n">
        <v>938835</v>
      </c>
      <c r="AY334" s="9" t="n">
        <v>14815</v>
      </c>
      <c r="AZ334" s="7"/>
      <c r="BA334" s="7" t="n">
        <v>0.966</v>
      </c>
      <c r="BB334" s="3" t="s">
        <v>161</v>
      </c>
      <c r="BC334" s="3" t="s">
        <v>126</v>
      </c>
      <c r="BD334" s="3" t="s">
        <v>109</v>
      </c>
      <c r="BE334" s="4" t="n">
        <v>1383382</v>
      </c>
      <c r="BF334" s="5" t="n">
        <f aca="false">IFERROR(P334/BE334-1,"")</f>
        <v>-0.047177858321129</v>
      </c>
      <c r="BG334" s="7" t="n">
        <v>0.012</v>
      </c>
      <c r="BH334" s="7" t="n">
        <v>0.027</v>
      </c>
      <c r="BI334" s="6" t="n">
        <f aca="false">P334</f>
        <v>1318117</v>
      </c>
      <c r="BJ334" s="4" t="n">
        <v>-1473251</v>
      </c>
      <c r="BK334" s="3" t="s">
        <v>84</v>
      </c>
      <c r="BL334" s="3" t="s">
        <v>162</v>
      </c>
      <c r="BM334" s="6" t="n">
        <f aca="false">O334</f>
        <v>33295893</v>
      </c>
      <c r="BN334" s="3" t="s">
        <v>399</v>
      </c>
      <c r="BO334" s="5" t="n">
        <f aca="false">IFERROR(1-L334/M334,"")</f>
        <v>0.188984399872652</v>
      </c>
      <c r="BP334" s="3" t="s">
        <v>87</v>
      </c>
      <c r="BQ334" s="4" t="n">
        <v>3644069</v>
      </c>
      <c r="BR334" s="3" t="s">
        <v>88</v>
      </c>
      <c r="BS334" s="3" t="s">
        <v>89</v>
      </c>
      <c r="BT334" s="3" t="s">
        <v>90</v>
      </c>
    </row>
    <row r="335" customFormat="false" ht="15" hidden="false" customHeight="false" outlineLevel="0" collapsed="false">
      <c r="A335" s="11" t="s">
        <v>397</v>
      </c>
      <c r="B335" s="11" t="s">
        <v>91</v>
      </c>
      <c r="C335" s="11" t="s">
        <v>74</v>
      </c>
      <c r="D335" s="11" t="s">
        <v>132</v>
      </c>
      <c r="E335" s="11" t="s">
        <v>105</v>
      </c>
      <c r="F335" s="11" t="s">
        <v>398</v>
      </c>
      <c r="G335" s="11" t="s">
        <v>78</v>
      </c>
      <c r="H335" s="11" t="s">
        <v>79</v>
      </c>
      <c r="I335" s="11" t="s">
        <v>78</v>
      </c>
      <c r="J335" s="12" t="n">
        <v>2968000</v>
      </c>
      <c r="K335" s="13" t="n">
        <f aca="false">IFERROR(J335/M335,"")</f>
        <v>0.188984399872652</v>
      </c>
      <c r="L335" s="12" t="n">
        <v>12737000</v>
      </c>
      <c r="M335" s="14" t="n">
        <f aca="false">L335+J335</f>
        <v>15705000</v>
      </c>
      <c r="N335" s="12" t="n">
        <v>6453000</v>
      </c>
      <c r="O335" s="12" t="n">
        <v>33295893</v>
      </c>
      <c r="P335" s="12" t="n">
        <v>1704981</v>
      </c>
      <c r="Q335" s="13" t="n">
        <f aca="false">IFERROR(P335/P334-1,"")</f>
        <v>0.293497466461627</v>
      </c>
      <c r="R335" s="12" t="n">
        <v>1795114</v>
      </c>
      <c r="S335" s="13" t="n">
        <f aca="false">IFERROR(R335/R334-1,"")</f>
        <v>0.248424095071716</v>
      </c>
      <c r="T335" s="12" t="n">
        <v>1063182</v>
      </c>
      <c r="U335" s="13" t="n">
        <f aca="false">IFERROR(T335/P335,"")</f>
        <v>0.623574104344858</v>
      </c>
      <c r="V335" s="14" t="n">
        <f aca="false">T335-AV335</f>
        <v>-2516849</v>
      </c>
      <c r="W335" s="14" t="n">
        <f aca="false">V335-AA335*0.1</f>
        <v>-2576049</v>
      </c>
      <c r="X335" s="12" t="n">
        <v>1769850</v>
      </c>
      <c r="Y335" s="12" t="n">
        <v>223720</v>
      </c>
      <c r="Z335" s="15" t="n">
        <f aca="false">IFERROR(X335/Y335,"")</f>
        <v>7.9110048274629</v>
      </c>
      <c r="AA335" s="12" t="n">
        <v>592000</v>
      </c>
      <c r="AB335" s="14" t="n">
        <f aca="false">W335-0.02*P335</f>
        <v>-2610148.62</v>
      </c>
      <c r="AC335" s="16" t="n">
        <v>55</v>
      </c>
      <c r="AD335" s="13" t="n">
        <f aca="false">IFERROR(AC335/AC334-1,"")</f>
        <v>0.25</v>
      </c>
      <c r="AE335" s="17" t="n">
        <v>0.045</v>
      </c>
      <c r="AF335" s="17" t="n">
        <v>0.027</v>
      </c>
      <c r="AG335" s="13" t="n">
        <f aca="false">1-AF335</f>
        <v>0.973</v>
      </c>
      <c r="AH335" s="17" t="n">
        <v>1.264</v>
      </c>
      <c r="AI335" s="12" t="n">
        <v>5616</v>
      </c>
      <c r="AJ335" s="14" t="n">
        <f aca="false">IFERROR(AM335*U335*MIN(1/AE335,5),"")</f>
        <v>28622.051389429</v>
      </c>
      <c r="AK335" s="18" t="n">
        <f aca="false">IFERROR(AJ335/AI335,"")</f>
        <v>5.09651912204932</v>
      </c>
      <c r="AL335" s="15" t="n">
        <f aca="false">IFERROR(AI335/(AM335*U335/12),"")</f>
        <v>11.7727410734945</v>
      </c>
      <c r="AM335" s="12" t="n">
        <v>9180</v>
      </c>
      <c r="AN335" s="12" t="n">
        <v>2095387</v>
      </c>
      <c r="AO335" s="12" t="n">
        <v>2805312</v>
      </c>
      <c r="AP335" s="17" t="n">
        <v>0.325</v>
      </c>
      <c r="AQ335" s="16" t="n">
        <v>80</v>
      </c>
      <c r="AR335" s="16" t="n">
        <v>2</v>
      </c>
      <c r="AS335" s="13" t="n">
        <f aca="false">IFERROR(AR335/AR334-1,"")</f>
        <v>0</v>
      </c>
      <c r="AT335" s="11" t="s">
        <v>134</v>
      </c>
      <c r="AU335" s="14" t="n">
        <f aca="false">IFERROR(P335/AR335,"")</f>
        <v>852490.5</v>
      </c>
      <c r="AV335" s="12" t="n">
        <v>3580031</v>
      </c>
      <c r="AW335" s="12" t="n">
        <v>1720794</v>
      </c>
      <c r="AX335" s="12" t="n">
        <v>1187073</v>
      </c>
      <c r="AY335" s="16" t="n">
        <v>19008</v>
      </c>
      <c r="AZ335" s="13" t="n">
        <f aca="false">IFERROR(AY335/AY334-1,"")</f>
        <v>0.283023962200472</v>
      </c>
      <c r="BA335" s="17" t="n">
        <v>0.962</v>
      </c>
      <c r="BB335" s="11" t="s">
        <v>161</v>
      </c>
      <c r="BC335" s="11" t="s">
        <v>126</v>
      </c>
      <c r="BD335" s="11" t="s">
        <v>109</v>
      </c>
      <c r="BE335" s="12" t="n">
        <v>1584387</v>
      </c>
      <c r="BF335" s="13" t="n">
        <f aca="false">IFERROR(P335/BE335-1,"")</f>
        <v>0.0761139797284376</v>
      </c>
      <c r="BG335" s="17" t="n">
        <v>0.026</v>
      </c>
      <c r="BH335" s="17" t="n">
        <v>0.063</v>
      </c>
      <c r="BI335" s="14" t="n">
        <f aca="false">P335*(1+IFERROR(Q335,0))^4</f>
        <v>4772894.92282977</v>
      </c>
      <c r="BJ335" s="12" t="n">
        <v>-2204489</v>
      </c>
      <c r="BK335" s="11" t="s">
        <v>84</v>
      </c>
      <c r="BL335" s="11" t="s">
        <v>162</v>
      </c>
      <c r="BM335" s="14" t="n">
        <f aca="false">O335</f>
        <v>33295893</v>
      </c>
      <c r="BN335" s="11" t="s">
        <v>399</v>
      </c>
      <c r="BO335" s="13" t="n">
        <f aca="false">IFERROR(1-L335/M335,"")</f>
        <v>0.188984399872652</v>
      </c>
      <c r="BP335" s="11" t="s">
        <v>87</v>
      </c>
      <c r="BQ335" s="12" t="n">
        <v>4277447</v>
      </c>
      <c r="BR335" s="11" t="s">
        <v>88</v>
      </c>
      <c r="BS335" s="11" t="s">
        <v>89</v>
      </c>
      <c r="BT335" s="19" t="str">
        <f aca="false">IF(OR(Z335&lt;6,AH335&lt;0.9,S335&lt;0.02,AK335&lt;1),"REVIEW",IF(AND(S335&gt;0.25,AH335&gt;1.2),"ACCELERATING","STABLE"))</f>
        <v>STABLE</v>
      </c>
    </row>
    <row r="336" customFormat="false" ht="15" hidden="false" customHeight="false" outlineLevel="0" collapsed="false">
      <c r="A336" s="11" t="s">
        <v>397</v>
      </c>
      <c r="B336" s="11" t="s">
        <v>92</v>
      </c>
      <c r="C336" s="11" t="s">
        <v>74</v>
      </c>
      <c r="D336" s="11" t="s">
        <v>132</v>
      </c>
      <c r="E336" s="11" t="s">
        <v>105</v>
      </c>
      <c r="F336" s="11" t="s">
        <v>398</v>
      </c>
      <c r="G336" s="11" t="s">
        <v>78</v>
      </c>
      <c r="H336" s="11" t="s">
        <v>79</v>
      </c>
      <c r="I336" s="11" t="s">
        <v>78</v>
      </c>
      <c r="J336" s="12" t="n">
        <v>2968000</v>
      </c>
      <c r="K336" s="13" t="n">
        <f aca="false">IFERROR(J336/M336,"")</f>
        <v>0.188984399872652</v>
      </c>
      <c r="L336" s="12" t="n">
        <v>12737000</v>
      </c>
      <c r="M336" s="14" t="n">
        <f aca="false">L336+J336</f>
        <v>15705000</v>
      </c>
      <c r="N336" s="12" t="n">
        <v>6453000</v>
      </c>
      <c r="O336" s="12" t="n">
        <v>33295893</v>
      </c>
      <c r="P336" s="12" t="n">
        <v>2292783</v>
      </c>
      <c r="Q336" s="13" t="n">
        <f aca="false">IFERROR(P336/P335-1,"")</f>
        <v>0.344755748011268</v>
      </c>
      <c r="R336" s="12" t="n">
        <v>2229432</v>
      </c>
      <c r="S336" s="13" t="n">
        <f aca="false">IFERROR(R336/R335-1,"")</f>
        <v>0.241944522743402</v>
      </c>
      <c r="T336" s="12" t="n">
        <v>1435486</v>
      </c>
      <c r="U336" s="13" t="n">
        <f aca="false">IFERROR(T336/P336,"")</f>
        <v>0.626088905927862</v>
      </c>
      <c r="V336" s="14" t="n">
        <f aca="false">T336-AV336</f>
        <v>-2564634</v>
      </c>
      <c r="W336" s="14" t="n">
        <f aca="false">V336-AA336*0.1</f>
        <v>-2623834</v>
      </c>
      <c r="X336" s="12" t="n">
        <v>2163150</v>
      </c>
      <c r="Y336" s="12" t="n">
        <v>230860</v>
      </c>
      <c r="Z336" s="15" t="n">
        <f aca="false">IFERROR(X336/Y336,"")</f>
        <v>9.36996448063762</v>
      </c>
      <c r="AA336" s="12" t="n">
        <v>592000</v>
      </c>
      <c r="AB336" s="14" t="n">
        <f aca="false">W336-0.02*P336</f>
        <v>-2669689.66</v>
      </c>
      <c r="AC336" s="16" t="n">
        <v>66</v>
      </c>
      <c r="AD336" s="13" t="n">
        <f aca="false">IFERROR(AC336/AC335-1,"")</f>
        <v>0.2</v>
      </c>
      <c r="AE336" s="17" t="n">
        <v>0.043</v>
      </c>
      <c r="AF336" s="17" t="n">
        <v>0.032</v>
      </c>
      <c r="AG336" s="13" t="n">
        <f aca="false">1-AF336</f>
        <v>0.968</v>
      </c>
      <c r="AH336" s="17" t="n">
        <v>1.294</v>
      </c>
      <c r="AI336" s="12" t="n">
        <v>5508</v>
      </c>
      <c r="AJ336" s="14" t="n">
        <f aca="false">IFERROR(AM336*U336*MIN(1/AE336,5),"")</f>
        <v>29300.9607974239</v>
      </c>
      <c r="AK336" s="18" t="n">
        <f aca="false">IFERROR(AJ336/AI336,"")</f>
        <v>5.31970965821059</v>
      </c>
      <c r="AL336" s="15" t="n">
        <f aca="false">IFERROR(AI336/(AM336*U336/12),"")</f>
        <v>11.2788110357479</v>
      </c>
      <c r="AM336" s="12" t="n">
        <v>9360</v>
      </c>
      <c r="AN336" s="12" t="n">
        <v>2990151</v>
      </c>
      <c r="AO336" s="12" t="n">
        <v>4122161</v>
      </c>
      <c r="AP336" s="17" t="n">
        <v>0.325</v>
      </c>
      <c r="AQ336" s="16" t="n">
        <v>80</v>
      </c>
      <c r="AR336" s="16" t="n">
        <v>3</v>
      </c>
      <c r="AS336" s="13" t="n">
        <f aca="false">IFERROR(AR336/AR335-1,"")</f>
        <v>0.5</v>
      </c>
      <c r="AT336" s="11" t="s">
        <v>134</v>
      </c>
      <c r="AU336" s="14" t="n">
        <f aca="false">IFERROR(P336/AR336,"")</f>
        <v>764261</v>
      </c>
      <c r="AV336" s="12" t="n">
        <v>4000120</v>
      </c>
      <c r="AW336" s="12" t="n">
        <v>1828688</v>
      </c>
      <c r="AX336" s="12" t="n">
        <v>926231</v>
      </c>
      <c r="AY336" s="16" t="n">
        <v>22754</v>
      </c>
      <c r="AZ336" s="13" t="n">
        <f aca="false">IFERROR(AY336/AY335-1,"")</f>
        <v>0.197074915824916</v>
      </c>
      <c r="BA336" s="17" t="n">
        <v>0.961</v>
      </c>
      <c r="BB336" s="11" t="s">
        <v>161</v>
      </c>
      <c r="BC336" s="11" t="s">
        <v>126</v>
      </c>
      <c r="BD336" s="11" t="s">
        <v>109</v>
      </c>
      <c r="BE336" s="12" t="n">
        <v>2087471</v>
      </c>
      <c r="BF336" s="13" t="n">
        <f aca="false">IFERROR(P336/BE336-1,"")</f>
        <v>0.0983544202530238</v>
      </c>
      <c r="BG336" s="17" t="n">
        <v>-0.043</v>
      </c>
      <c r="BH336" s="17" t="n">
        <v>-0.073</v>
      </c>
      <c r="BI336" s="14" t="n">
        <f aca="false">P336*(1+IFERROR(Q336,0))^4</f>
        <v>7497847.27868617</v>
      </c>
      <c r="BJ336" s="12" t="n">
        <v>-1563885</v>
      </c>
      <c r="BK336" s="11" t="s">
        <v>84</v>
      </c>
      <c r="BL336" s="11" t="s">
        <v>162</v>
      </c>
      <c r="BM336" s="14" t="n">
        <f aca="false">O336</f>
        <v>33295893</v>
      </c>
      <c r="BN336" s="11" t="s">
        <v>399</v>
      </c>
      <c r="BO336" s="13" t="n">
        <f aca="false">IFERROR(1-L336/M336,"")</f>
        <v>0.188984399872652</v>
      </c>
      <c r="BP336" s="11" t="s">
        <v>87</v>
      </c>
      <c r="BQ336" s="12" t="n">
        <v>4294808</v>
      </c>
      <c r="BR336" s="11" t="s">
        <v>88</v>
      </c>
      <c r="BS336" s="11" t="s">
        <v>89</v>
      </c>
      <c r="BT336" s="19" t="str">
        <f aca="false">IF(OR(Z336&lt;6,AH336&lt;0.9,S336&lt;0.02,AK336&lt;1),"REVIEW",IF(AND(S336&gt;0.25,AH336&gt;1.2),"ACCELERATING","STABLE"))</f>
        <v>STABLE</v>
      </c>
    </row>
    <row r="337" customFormat="false" ht="15" hidden="false" customHeight="false" outlineLevel="0" collapsed="false">
      <c r="A337" s="11" t="s">
        <v>397</v>
      </c>
      <c r="B337" s="11" t="s">
        <v>93</v>
      </c>
      <c r="C337" s="11" t="s">
        <v>74</v>
      </c>
      <c r="D337" s="11" t="s">
        <v>132</v>
      </c>
      <c r="E337" s="11" t="s">
        <v>105</v>
      </c>
      <c r="F337" s="11" t="s">
        <v>398</v>
      </c>
      <c r="G337" s="11" t="s">
        <v>78</v>
      </c>
      <c r="H337" s="11" t="s">
        <v>79</v>
      </c>
      <c r="I337" s="11" t="s">
        <v>78</v>
      </c>
      <c r="J337" s="12" t="n">
        <v>2968000</v>
      </c>
      <c r="K337" s="13" t="n">
        <f aca="false">IFERROR(J337/M337,"")</f>
        <v>0.188984399872652</v>
      </c>
      <c r="L337" s="12" t="n">
        <v>12737000</v>
      </c>
      <c r="M337" s="14" t="n">
        <f aca="false">L337+J337</f>
        <v>15705000</v>
      </c>
      <c r="N337" s="12" t="n">
        <v>6453000</v>
      </c>
      <c r="O337" s="12" t="n">
        <v>33295893</v>
      </c>
      <c r="P337" s="12" t="n">
        <v>2894285</v>
      </c>
      <c r="Q337" s="13" t="n">
        <f aca="false">IFERROR(P337/P336-1,"")</f>
        <v>0.262345804203887</v>
      </c>
      <c r="R337" s="12" t="n">
        <v>2902359</v>
      </c>
      <c r="S337" s="13" t="n">
        <f aca="false">IFERROR(R337/R336-1,"")</f>
        <v>0.30183786722358</v>
      </c>
      <c r="T337" s="12" t="n">
        <v>1819357</v>
      </c>
      <c r="U337" s="13" t="n">
        <f aca="false">IFERROR(T337/P337,"")</f>
        <v>0.628603264709592</v>
      </c>
      <c r="V337" s="14" t="n">
        <f aca="false">T337-AV337</f>
        <v>-2429671</v>
      </c>
      <c r="W337" s="14" t="n">
        <f aca="false">V337-AA337*0.1</f>
        <v>-2488871</v>
      </c>
      <c r="X337" s="12" t="n">
        <v>3933000</v>
      </c>
      <c r="Y337" s="12" t="n">
        <v>238000</v>
      </c>
      <c r="Z337" s="15" t="n">
        <f aca="false">IFERROR(X337/Y337,"")</f>
        <v>16.5252100840336</v>
      </c>
      <c r="AA337" s="12" t="n">
        <v>592000</v>
      </c>
      <c r="AB337" s="14" t="n">
        <f aca="false">W337-0.02*P337</f>
        <v>-2546756.7</v>
      </c>
      <c r="AC337" s="16" t="n">
        <v>76</v>
      </c>
      <c r="AD337" s="13" t="n">
        <f aca="false">IFERROR(AC337/AC336-1,"")</f>
        <v>0.151515151515152</v>
      </c>
      <c r="AE337" s="17" t="n">
        <v>0.042</v>
      </c>
      <c r="AF337" s="17" t="n">
        <v>0.045</v>
      </c>
      <c r="AG337" s="13" t="n">
        <f aca="false">1-AF337</f>
        <v>0.955</v>
      </c>
      <c r="AH337" s="17" t="n">
        <v>1.324</v>
      </c>
      <c r="AI337" s="12" t="n">
        <v>5400</v>
      </c>
      <c r="AJ337" s="14" t="n">
        <f aca="false">IFERROR(AM337*U337*MIN(1/AE337,5),"")</f>
        <v>29984.3757266475</v>
      </c>
      <c r="AK337" s="18" t="n">
        <f aca="false">IFERROR(AJ337/AI337,"")</f>
        <v>5.55266217160139</v>
      </c>
      <c r="AL337" s="15" t="n">
        <f aca="false">IFERROR(AI337/(AM337*U337/12),"")</f>
        <v>10.8056276693484</v>
      </c>
      <c r="AM337" s="12" t="n">
        <v>9540</v>
      </c>
      <c r="AN337" s="12" t="n">
        <v>3735161</v>
      </c>
      <c r="AO337" s="12" t="n">
        <v>6928364</v>
      </c>
      <c r="AP337" s="17" t="n">
        <v>0.325</v>
      </c>
      <c r="AQ337" s="16" t="n">
        <v>80</v>
      </c>
      <c r="AR337" s="16" t="n">
        <v>3</v>
      </c>
      <c r="AS337" s="13" t="n">
        <f aca="false">IFERROR(AR337/AR336-1,"")</f>
        <v>0</v>
      </c>
      <c r="AT337" s="11" t="s">
        <v>134</v>
      </c>
      <c r="AU337" s="14" t="n">
        <f aca="false">IFERROR(P337/AR337,"")</f>
        <v>964761.666666667</v>
      </c>
      <c r="AV337" s="12" t="n">
        <v>4249028</v>
      </c>
      <c r="AW337" s="12" t="n">
        <v>1844715</v>
      </c>
      <c r="AX337" s="12" t="n">
        <v>898279</v>
      </c>
      <c r="AY337" s="16" t="n">
        <v>28196</v>
      </c>
      <c r="AZ337" s="13" t="n">
        <f aca="false">IFERROR(AY337/AY336-1,"")</f>
        <v>0.239166739913861</v>
      </c>
      <c r="BA337" s="17" t="n">
        <v>0.968</v>
      </c>
      <c r="BB337" s="11" t="s">
        <v>161</v>
      </c>
      <c r="BC337" s="11" t="s">
        <v>126</v>
      </c>
      <c r="BD337" s="11" t="s">
        <v>109</v>
      </c>
      <c r="BE337" s="12" t="n">
        <v>3594109</v>
      </c>
      <c r="BF337" s="13" t="n">
        <f aca="false">IFERROR(P337/BE337-1,"")</f>
        <v>-0.194714183682242</v>
      </c>
      <c r="BG337" s="17" t="n">
        <v>0.075</v>
      </c>
      <c r="BH337" s="17" t="n">
        <v>-0.037</v>
      </c>
      <c r="BI337" s="14" t="n">
        <f aca="false">P337*(1+IFERROR(Q337,0))^4</f>
        <v>7349446.91453572</v>
      </c>
      <c r="BJ337" s="12" t="n">
        <v>-2654048</v>
      </c>
      <c r="BK337" s="11" t="s">
        <v>84</v>
      </c>
      <c r="BL337" s="11" t="s">
        <v>162</v>
      </c>
      <c r="BM337" s="14" t="n">
        <f aca="false">O337</f>
        <v>33295893</v>
      </c>
      <c r="BN337" s="11" t="s">
        <v>399</v>
      </c>
      <c r="BO337" s="13" t="n">
        <f aca="false">IFERROR(1-L337/M337,"")</f>
        <v>0.188984399872652</v>
      </c>
      <c r="BP337" s="11" t="s">
        <v>87</v>
      </c>
      <c r="BQ337" s="12" t="n">
        <v>3787731</v>
      </c>
      <c r="BR337" s="11" t="s">
        <v>88</v>
      </c>
      <c r="BS337" s="11" t="s">
        <v>89</v>
      </c>
      <c r="BT337" s="19" t="str">
        <f aca="false">IF(OR(Z337&lt;6,AH337&lt;0.9,S337&lt;0.02,AK337&lt;1),"REVIEW",IF(AND(S337&gt;0.25,AH337&gt;1.2),"ACCELERATING","STABLE"))</f>
        <v>ACCELERATING</v>
      </c>
    </row>
    <row r="338" customFormat="false" ht="15" hidden="false" customHeight="false" outlineLevel="0" collapsed="false">
      <c r="A338" s="3" t="s">
        <v>400</v>
      </c>
      <c r="B338" s="3" t="s">
        <v>73</v>
      </c>
      <c r="C338" s="3" t="s">
        <v>74</v>
      </c>
      <c r="D338" s="3" t="s">
        <v>210</v>
      </c>
      <c r="E338" s="3" t="s">
        <v>105</v>
      </c>
      <c r="F338" s="3" t="s">
        <v>401</v>
      </c>
      <c r="G338" s="3" t="s">
        <v>78</v>
      </c>
      <c r="H338" s="3" t="s">
        <v>79</v>
      </c>
      <c r="I338" s="3" t="s">
        <v>78</v>
      </c>
      <c r="J338" s="4" t="n">
        <v>1847000</v>
      </c>
      <c r="K338" s="5" t="n">
        <f aca="false">IFERROR(J338/M338,"")</f>
        <v>0.126377009921314</v>
      </c>
      <c r="L338" s="4" t="n">
        <v>12768000</v>
      </c>
      <c r="M338" s="6" t="n">
        <f aca="false">L338+J338</f>
        <v>14615000</v>
      </c>
      <c r="N338" s="4" t="n">
        <v>4305000</v>
      </c>
      <c r="O338" s="4" t="n">
        <v>26933793</v>
      </c>
      <c r="P338" s="4" t="n">
        <v>747185</v>
      </c>
      <c r="Q338" s="7"/>
      <c r="R338" s="4" t="n">
        <v>899849</v>
      </c>
      <c r="S338" s="7"/>
      <c r="T338" s="4" t="n">
        <v>502145</v>
      </c>
      <c r="U338" s="5" t="n">
        <f aca="false">IFERROR(T338/P338,"")</f>
        <v>0.672049090921258</v>
      </c>
      <c r="V338" s="6" t="n">
        <f aca="false">T338-AV338</f>
        <v>-1999770</v>
      </c>
      <c r="W338" s="6" t="n">
        <f aca="false">V338-AA338*0.1</f>
        <v>-1999770</v>
      </c>
      <c r="X338" s="4" t="n">
        <v>3226784</v>
      </c>
      <c r="Y338" s="4" t="n">
        <v>167440</v>
      </c>
      <c r="Z338" s="8" t="n">
        <f aca="false">IFERROR(X338/Y338,"")</f>
        <v>19.2712852365026</v>
      </c>
      <c r="AA338" s="4" t="n">
        <v>0</v>
      </c>
      <c r="AB338" s="6" t="n">
        <f aca="false">W338-0.02*P338</f>
        <v>-2014713.7</v>
      </c>
      <c r="AC338" s="9" t="n">
        <v>39</v>
      </c>
      <c r="AD338" s="7"/>
      <c r="AE338" s="7" t="n">
        <v>0.113</v>
      </c>
      <c r="AF338" s="7" t="n">
        <v>0.105</v>
      </c>
      <c r="AG338" s="5" t="n">
        <f aca="false">1-AF338</f>
        <v>0.895</v>
      </c>
      <c r="AH338" s="7" t="n">
        <v>1.151</v>
      </c>
      <c r="AI338" s="4" t="n">
        <v>11554</v>
      </c>
      <c r="AJ338" s="6" t="n">
        <f aca="false">IFERROR(AM338*U338*MIN(1/AE338,5),"")</f>
        <v>30242.2090914566</v>
      </c>
      <c r="AK338" s="10" t="n">
        <f aca="false">IFERROR(AJ338/AI338,"")</f>
        <v>2.61746659957215</v>
      </c>
      <c r="AL338" s="8" t="n">
        <f aca="false">IFERROR(AI338/(AM338*U338/12),"")</f>
        <v>22.9229286095982</v>
      </c>
      <c r="AM338" s="4" t="n">
        <v>9000</v>
      </c>
      <c r="AN338" s="4" t="n">
        <v>1321366</v>
      </c>
      <c r="AO338" s="4" t="n">
        <v>3168043</v>
      </c>
      <c r="AP338" s="7" t="n">
        <v>0.411</v>
      </c>
      <c r="AQ338" s="9" t="n">
        <v>85</v>
      </c>
      <c r="AR338" s="9" t="n">
        <v>1</v>
      </c>
      <c r="AS338" s="7"/>
      <c r="AT338" s="3" t="s">
        <v>134</v>
      </c>
      <c r="AU338" s="6" t="n">
        <f aca="false">IFERROR(P338/AR338,"")</f>
        <v>747185</v>
      </c>
      <c r="AV338" s="4" t="n">
        <v>2501915</v>
      </c>
      <c r="AW338" s="4" t="n">
        <v>1023050</v>
      </c>
      <c r="AX338" s="4" t="n">
        <v>553465</v>
      </c>
      <c r="AY338" s="9" t="n">
        <v>18432</v>
      </c>
      <c r="AZ338" s="7"/>
      <c r="BA338" s="7" t="n">
        <v>0.882</v>
      </c>
      <c r="BB338" s="3" t="s">
        <v>81</v>
      </c>
      <c r="BC338" s="3" t="s">
        <v>100</v>
      </c>
      <c r="BD338" s="3" t="s">
        <v>109</v>
      </c>
      <c r="BE338" s="4" t="n">
        <v>680451</v>
      </c>
      <c r="BF338" s="5" t="n">
        <f aca="false">IFERROR(P338/BE338-1,"")</f>
        <v>0.0980731896933063</v>
      </c>
      <c r="BG338" s="7" t="n">
        <v>0.062</v>
      </c>
      <c r="BH338" s="7" t="n">
        <v>0</v>
      </c>
      <c r="BI338" s="6" t="n">
        <f aca="false">P338</f>
        <v>747185</v>
      </c>
      <c r="BJ338" s="4" t="n">
        <v>-1890662</v>
      </c>
      <c r="BK338" s="3" t="s">
        <v>84</v>
      </c>
      <c r="BL338" s="3" t="s">
        <v>128</v>
      </c>
      <c r="BM338" s="6" t="n">
        <f aca="false">O338</f>
        <v>26933793</v>
      </c>
      <c r="BN338" s="3" t="s">
        <v>402</v>
      </c>
      <c r="BO338" s="5" t="n">
        <f aca="false">IFERROR(1-L338/M338,"")</f>
        <v>0.126377009921314</v>
      </c>
      <c r="BP338" s="3" t="s">
        <v>142</v>
      </c>
      <c r="BQ338" s="4" t="n">
        <v>2453128</v>
      </c>
      <c r="BR338" s="3" t="s">
        <v>88</v>
      </c>
      <c r="BS338" s="3" t="s">
        <v>89</v>
      </c>
      <c r="BT338" s="3" t="s">
        <v>90</v>
      </c>
    </row>
    <row r="339" customFormat="false" ht="15" hidden="false" customHeight="false" outlineLevel="0" collapsed="false">
      <c r="A339" s="11" t="s">
        <v>400</v>
      </c>
      <c r="B339" s="11" t="s">
        <v>91</v>
      </c>
      <c r="C339" s="11" t="s">
        <v>74</v>
      </c>
      <c r="D339" s="11" t="s">
        <v>210</v>
      </c>
      <c r="E339" s="11" t="s">
        <v>105</v>
      </c>
      <c r="F339" s="11" t="s">
        <v>401</v>
      </c>
      <c r="G339" s="11" t="s">
        <v>78</v>
      </c>
      <c r="H339" s="11" t="s">
        <v>79</v>
      </c>
      <c r="I339" s="11" t="s">
        <v>78</v>
      </c>
      <c r="J339" s="12" t="n">
        <v>1847000</v>
      </c>
      <c r="K339" s="13" t="n">
        <f aca="false">IFERROR(J339/M339,"")</f>
        <v>0.126377009921314</v>
      </c>
      <c r="L339" s="12" t="n">
        <v>12768000</v>
      </c>
      <c r="M339" s="14" t="n">
        <f aca="false">L339+J339</f>
        <v>14615000</v>
      </c>
      <c r="N339" s="12" t="n">
        <v>4305000</v>
      </c>
      <c r="O339" s="12" t="n">
        <v>26933793</v>
      </c>
      <c r="P339" s="12" t="n">
        <v>953169</v>
      </c>
      <c r="Q339" s="13" t="n">
        <f aca="false">IFERROR(P339/P338-1,"")</f>
        <v>0.27568005246358</v>
      </c>
      <c r="R339" s="12" t="n">
        <v>1242925</v>
      </c>
      <c r="S339" s="13" t="n">
        <f aca="false">IFERROR(R339/R338-1,"")</f>
        <v>0.381259522430986</v>
      </c>
      <c r="T339" s="12" t="n">
        <v>643170</v>
      </c>
      <c r="U339" s="13" t="n">
        <f aca="false">IFERROR(T339/P339,"")</f>
        <v>0.674770161429925</v>
      </c>
      <c r="V339" s="14" t="n">
        <f aca="false">T339-AV339</f>
        <v>-1959310</v>
      </c>
      <c r="W339" s="14" t="n">
        <f aca="false">V339-AA339*0.1</f>
        <v>-1959310</v>
      </c>
      <c r="X339" s="12" t="n">
        <v>2804504</v>
      </c>
      <c r="Y339" s="12" t="n">
        <v>172960</v>
      </c>
      <c r="Z339" s="15" t="n">
        <f aca="false">IFERROR(X339/Y339,"")</f>
        <v>16.2147548566142</v>
      </c>
      <c r="AA339" s="12" t="n">
        <v>0</v>
      </c>
      <c r="AB339" s="14" t="n">
        <f aca="false">W339-0.02*P339</f>
        <v>-1978373.38</v>
      </c>
      <c r="AC339" s="16" t="n">
        <v>51</v>
      </c>
      <c r="AD339" s="13" t="n">
        <f aca="false">IFERROR(AC339/AC338-1,"")</f>
        <v>0.307692307692308</v>
      </c>
      <c r="AE339" s="17" t="n">
        <v>0.11</v>
      </c>
      <c r="AF339" s="17" t="n">
        <v>0.116</v>
      </c>
      <c r="AG339" s="13" t="n">
        <f aca="false">1-AF339</f>
        <v>0.884</v>
      </c>
      <c r="AH339" s="17" t="n">
        <v>1.146</v>
      </c>
      <c r="AI339" s="12" t="n">
        <v>11336</v>
      </c>
      <c r="AJ339" s="14" t="n">
        <f aca="false">IFERROR(AM339*U339*MIN(1/AE339,5),"")</f>
        <v>30971.9504096336</v>
      </c>
      <c r="AK339" s="18" t="n">
        <f aca="false">IFERROR(AJ339/AI339,"")</f>
        <v>2.73217628878207</v>
      </c>
      <c r="AL339" s="15" t="n">
        <f aca="false">IFERROR(AI339/(AM339*U339/12),"")</f>
        <v>21.9605155956999</v>
      </c>
      <c r="AM339" s="12" t="n">
        <v>9180</v>
      </c>
      <c r="AN339" s="12" t="n">
        <v>1438378</v>
      </c>
      <c r="AO339" s="12" t="n">
        <v>2876634</v>
      </c>
      <c r="AP339" s="17" t="n">
        <v>0.411</v>
      </c>
      <c r="AQ339" s="16" t="n">
        <v>85</v>
      </c>
      <c r="AR339" s="16" t="n">
        <v>1</v>
      </c>
      <c r="AS339" s="13" t="n">
        <f aca="false">IFERROR(AR339/AR338-1,"")</f>
        <v>0</v>
      </c>
      <c r="AT339" s="11" t="s">
        <v>134</v>
      </c>
      <c r="AU339" s="14" t="n">
        <f aca="false">IFERROR(P339/AR339,"")</f>
        <v>953169</v>
      </c>
      <c r="AV339" s="12" t="n">
        <v>2602480</v>
      </c>
      <c r="AW339" s="12" t="n">
        <v>1243588</v>
      </c>
      <c r="AX339" s="12" t="n">
        <v>569864</v>
      </c>
      <c r="AY339" s="16" t="n">
        <v>22022</v>
      </c>
      <c r="AZ339" s="13" t="n">
        <f aca="false">IFERROR(AY339/AY338-1,"")</f>
        <v>0.194769965277778</v>
      </c>
      <c r="BA339" s="17" t="n">
        <v>0.918</v>
      </c>
      <c r="BB339" s="11" t="s">
        <v>81</v>
      </c>
      <c r="BC339" s="11" t="s">
        <v>100</v>
      </c>
      <c r="BD339" s="11" t="s">
        <v>109</v>
      </c>
      <c r="BE339" s="12" t="n">
        <v>1130471</v>
      </c>
      <c r="BF339" s="13" t="n">
        <f aca="false">IFERROR(P339/BE339-1,"")</f>
        <v>-0.15683905204114</v>
      </c>
      <c r="BG339" s="17" t="n">
        <v>0.044</v>
      </c>
      <c r="BH339" s="17" t="n">
        <v>0.049</v>
      </c>
      <c r="BI339" s="14" t="n">
        <f aca="false">P339*(1+IFERROR(Q339,0))^4</f>
        <v>2524276.75308312</v>
      </c>
      <c r="BJ339" s="12" t="n">
        <v>-1326142</v>
      </c>
      <c r="BK339" s="11" t="s">
        <v>84</v>
      </c>
      <c r="BL339" s="11" t="s">
        <v>128</v>
      </c>
      <c r="BM339" s="14" t="n">
        <f aca="false">O339</f>
        <v>26933793</v>
      </c>
      <c r="BN339" s="11" t="s">
        <v>402</v>
      </c>
      <c r="BO339" s="13" t="n">
        <f aca="false">IFERROR(1-L339/M339,"")</f>
        <v>0.126377009921314</v>
      </c>
      <c r="BP339" s="11" t="s">
        <v>142</v>
      </c>
      <c r="BQ339" s="12" t="n">
        <v>2184155</v>
      </c>
      <c r="BR339" s="11" t="s">
        <v>88</v>
      </c>
      <c r="BS339" s="11" t="s">
        <v>89</v>
      </c>
      <c r="BT339" s="19" t="str">
        <f aca="false">IF(OR(Z339&lt;6,AH339&lt;0.9,S339&lt;0.02,AK339&lt;1),"REVIEW",IF(AND(S339&gt;0.25,AH339&gt;1.2),"ACCELERATING","STABLE"))</f>
        <v>STABLE</v>
      </c>
    </row>
    <row r="340" customFormat="false" ht="15" hidden="false" customHeight="false" outlineLevel="0" collapsed="false">
      <c r="A340" s="11" t="s">
        <v>400</v>
      </c>
      <c r="B340" s="11" t="s">
        <v>92</v>
      </c>
      <c r="C340" s="11" t="s">
        <v>74</v>
      </c>
      <c r="D340" s="11" t="s">
        <v>210</v>
      </c>
      <c r="E340" s="11" t="s">
        <v>105</v>
      </c>
      <c r="F340" s="11" t="s">
        <v>401</v>
      </c>
      <c r="G340" s="11" t="s">
        <v>78</v>
      </c>
      <c r="H340" s="11" t="s">
        <v>79</v>
      </c>
      <c r="I340" s="11" t="s">
        <v>78</v>
      </c>
      <c r="J340" s="12" t="n">
        <v>1847000</v>
      </c>
      <c r="K340" s="13" t="n">
        <f aca="false">IFERROR(J340/M340,"")</f>
        <v>0.126377009921314</v>
      </c>
      <c r="L340" s="12" t="n">
        <v>12768000</v>
      </c>
      <c r="M340" s="14" t="n">
        <f aca="false">L340+J340</f>
        <v>14615000</v>
      </c>
      <c r="N340" s="12" t="n">
        <v>4305000</v>
      </c>
      <c r="O340" s="12" t="n">
        <v>26933793</v>
      </c>
      <c r="P340" s="12" t="n">
        <v>1204118</v>
      </c>
      <c r="Q340" s="13" t="n">
        <f aca="false">IFERROR(P340/P339-1,"")</f>
        <v>0.263278600122329</v>
      </c>
      <c r="R340" s="12" t="n">
        <v>1522414</v>
      </c>
      <c r="S340" s="13" t="n">
        <f aca="false">IFERROR(R340/R339-1,"")</f>
        <v>0.224863929842911</v>
      </c>
      <c r="T340" s="12" t="n">
        <v>815780</v>
      </c>
      <c r="U340" s="13" t="n">
        <f aca="false">IFERROR(T340/P340,"")</f>
        <v>0.677491740842675</v>
      </c>
      <c r="V340" s="14" t="n">
        <f aca="false">T340-AV340</f>
        <v>-1615983</v>
      </c>
      <c r="W340" s="14" t="n">
        <f aca="false">V340-AA340*0.1</f>
        <v>-1615983</v>
      </c>
      <c r="X340" s="12" t="n">
        <v>2352416</v>
      </c>
      <c r="Y340" s="12" t="n">
        <v>178480</v>
      </c>
      <c r="Z340" s="15" t="n">
        <f aca="false">IFERROR(X340/Y340,"")</f>
        <v>13.180277902286</v>
      </c>
      <c r="AA340" s="12" t="n">
        <v>0</v>
      </c>
      <c r="AB340" s="14" t="n">
        <f aca="false">W340-0.02*P340</f>
        <v>-1640065.36</v>
      </c>
      <c r="AC340" s="16" t="n">
        <v>57</v>
      </c>
      <c r="AD340" s="13" t="n">
        <f aca="false">IFERROR(AC340/AC339-1,"")</f>
        <v>0.117647058823529</v>
      </c>
      <c r="AE340" s="17" t="n">
        <v>0.107</v>
      </c>
      <c r="AF340" s="17" t="n">
        <v>0.094</v>
      </c>
      <c r="AG340" s="13" t="n">
        <f aca="false">1-AF340</f>
        <v>0.906</v>
      </c>
      <c r="AH340" s="17" t="n">
        <v>1.141</v>
      </c>
      <c r="AI340" s="12" t="n">
        <v>11118</v>
      </c>
      <c r="AJ340" s="14" t="n">
        <f aca="false">IFERROR(AM340*U340*MIN(1/AE340,5),"")</f>
        <v>31706.6134714372</v>
      </c>
      <c r="AK340" s="18" t="n">
        <f aca="false">IFERROR(AJ340/AI340,"")</f>
        <v>2.85182707963997</v>
      </c>
      <c r="AL340" s="15" t="n">
        <f aca="false">IFERROR(AI340/(AM340*U340/12),"")</f>
        <v>21.0391437925383</v>
      </c>
      <c r="AM340" s="12" t="n">
        <v>9360</v>
      </c>
      <c r="AN340" s="12" t="n">
        <v>1453838</v>
      </c>
      <c r="AO340" s="12" t="n">
        <v>5988669</v>
      </c>
      <c r="AP340" s="17" t="n">
        <v>0.411</v>
      </c>
      <c r="AQ340" s="16" t="n">
        <v>85</v>
      </c>
      <c r="AR340" s="16" t="n">
        <v>1</v>
      </c>
      <c r="AS340" s="13" t="n">
        <f aca="false">IFERROR(AR340/AR339-1,"")</f>
        <v>0</v>
      </c>
      <c r="AT340" s="11" t="s">
        <v>134</v>
      </c>
      <c r="AU340" s="14" t="n">
        <f aca="false">IFERROR(P340/AR340,"")</f>
        <v>1204118</v>
      </c>
      <c r="AV340" s="12" t="n">
        <v>2431763</v>
      </c>
      <c r="AW340" s="12" t="n">
        <v>759130</v>
      </c>
      <c r="AX340" s="12" t="n">
        <v>751014</v>
      </c>
      <c r="AY340" s="16" t="n">
        <v>27501</v>
      </c>
      <c r="AZ340" s="13" t="n">
        <f aca="false">IFERROR(AY340/AY339-1,"")</f>
        <v>0.248796657887567</v>
      </c>
      <c r="BA340" s="17" t="n">
        <v>0.892</v>
      </c>
      <c r="BB340" s="11" t="s">
        <v>81</v>
      </c>
      <c r="BC340" s="11" t="s">
        <v>100</v>
      </c>
      <c r="BD340" s="11" t="s">
        <v>109</v>
      </c>
      <c r="BE340" s="12" t="n">
        <v>1486012</v>
      </c>
      <c r="BF340" s="13" t="n">
        <f aca="false">IFERROR(P340/BE340-1,"")</f>
        <v>-0.189698333526243</v>
      </c>
      <c r="BG340" s="17" t="n">
        <v>0.05</v>
      </c>
      <c r="BH340" s="17" t="n">
        <v>-0.065</v>
      </c>
      <c r="BI340" s="14" t="n">
        <f aca="false">P340*(1+IFERROR(Q340,0))^4</f>
        <v>3066659.8388237</v>
      </c>
      <c r="BJ340" s="12" t="n">
        <v>-1203454</v>
      </c>
      <c r="BK340" s="11" t="s">
        <v>84</v>
      </c>
      <c r="BL340" s="11" t="s">
        <v>128</v>
      </c>
      <c r="BM340" s="14" t="n">
        <f aca="false">O340</f>
        <v>26933793</v>
      </c>
      <c r="BN340" s="11" t="s">
        <v>402</v>
      </c>
      <c r="BO340" s="13" t="n">
        <f aca="false">IFERROR(1-L340/M340,"")</f>
        <v>0.126377009921314</v>
      </c>
      <c r="BP340" s="11" t="s">
        <v>142</v>
      </c>
      <c r="BQ340" s="12" t="n">
        <v>2276166</v>
      </c>
      <c r="BR340" s="11" t="s">
        <v>88</v>
      </c>
      <c r="BS340" s="11" t="s">
        <v>89</v>
      </c>
      <c r="BT340" s="19" t="str">
        <f aca="false">IF(OR(Z340&lt;6,AH340&lt;0.9,S340&lt;0.02,AK340&lt;1),"REVIEW",IF(AND(S340&gt;0.25,AH340&gt;1.2),"ACCELERATING","STABLE"))</f>
        <v>STABLE</v>
      </c>
    </row>
    <row r="341" customFormat="false" ht="15" hidden="false" customHeight="false" outlineLevel="0" collapsed="false">
      <c r="A341" s="11" t="s">
        <v>400</v>
      </c>
      <c r="B341" s="11" t="s">
        <v>93</v>
      </c>
      <c r="C341" s="11" t="s">
        <v>74</v>
      </c>
      <c r="D341" s="11" t="s">
        <v>210</v>
      </c>
      <c r="E341" s="11" t="s">
        <v>105</v>
      </c>
      <c r="F341" s="11" t="s">
        <v>401</v>
      </c>
      <c r="G341" s="11" t="s">
        <v>78</v>
      </c>
      <c r="H341" s="11" t="s">
        <v>79</v>
      </c>
      <c r="I341" s="11" t="s">
        <v>78</v>
      </c>
      <c r="J341" s="12" t="n">
        <v>1847000</v>
      </c>
      <c r="K341" s="13" t="n">
        <f aca="false">IFERROR(J341/M341,"")</f>
        <v>0.126377009921314</v>
      </c>
      <c r="L341" s="12" t="n">
        <v>12768000</v>
      </c>
      <c r="M341" s="14" t="n">
        <f aca="false">L341+J341</f>
        <v>14615000</v>
      </c>
      <c r="N341" s="12" t="n">
        <v>4305000</v>
      </c>
      <c r="O341" s="12" t="n">
        <v>26933793</v>
      </c>
      <c r="P341" s="12" t="n">
        <v>1484128</v>
      </c>
      <c r="Q341" s="13" t="n">
        <f aca="false">IFERROR(P341/P340-1,"")</f>
        <v>0.232543654359457</v>
      </c>
      <c r="R341" s="12" t="n">
        <v>1848042</v>
      </c>
      <c r="S341" s="13" t="n">
        <f aca="false">IFERROR(R341/R340-1,"")</f>
        <v>0.213889257455594</v>
      </c>
      <c r="T341" s="12" t="n">
        <v>1009522</v>
      </c>
      <c r="U341" s="13" t="n">
        <f aca="false">IFERROR(T341/P341,"")</f>
        <v>0.680212218892171</v>
      </c>
      <c r="V341" s="14" t="n">
        <f aca="false">T341-AV341</f>
        <v>-2312694</v>
      </c>
      <c r="W341" s="14" t="n">
        <f aca="false">V341-AA341*0.1</f>
        <v>-2312694</v>
      </c>
      <c r="X341" s="12" t="n">
        <v>1870520</v>
      </c>
      <c r="Y341" s="12" t="n">
        <v>184000</v>
      </c>
      <c r="Z341" s="15" t="n">
        <f aca="false">IFERROR(X341/Y341,"")</f>
        <v>10.1658695652174</v>
      </c>
      <c r="AA341" s="12" t="n">
        <v>0</v>
      </c>
      <c r="AB341" s="14" t="n">
        <f aca="false">W341-0.02*P341</f>
        <v>-2342376.56</v>
      </c>
      <c r="AC341" s="16" t="n">
        <v>65</v>
      </c>
      <c r="AD341" s="13" t="n">
        <f aca="false">IFERROR(AC341/AC340-1,"")</f>
        <v>0.140350877192982</v>
      </c>
      <c r="AE341" s="17" t="n">
        <v>0.104</v>
      </c>
      <c r="AF341" s="17" t="n">
        <v>0.097</v>
      </c>
      <c r="AG341" s="13" t="n">
        <f aca="false">1-AF341</f>
        <v>0.903</v>
      </c>
      <c r="AH341" s="17" t="n">
        <v>1.136</v>
      </c>
      <c r="AI341" s="12" t="n">
        <v>10900</v>
      </c>
      <c r="AJ341" s="14" t="n">
        <f aca="false">IFERROR(AM341*U341*MIN(1/AE341,5),"")</f>
        <v>32446.1228411566</v>
      </c>
      <c r="AK341" s="18" t="n">
        <f aca="false">IFERROR(AJ341/AI341,"")</f>
        <v>2.9767085175373</v>
      </c>
      <c r="AL341" s="15" t="n">
        <f aca="false">IFERROR(AI341/(AM341*U341/12),"")</f>
        <v>20.1564915229387</v>
      </c>
      <c r="AM341" s="12" t="n">
        <v>9540</v>
      </c>
      <c r="AN341" s="12" t="n">
        <v>2222762</v>
      </c>
      <c r="AO341" s="12" t="n">
        <v>6588874</v>
      </c>
      <c r="AP341" s="17" t="n">
        <v>0.411</v>
      </c>
      <c r="AQ341" s="16" t="n">
        <v>85</v>
      </c>
      <c r="AR341" s="16" t="n">
        <v>1</v>
      </c>
      <c r="AS341" s="13" t="n">
        <f aca="false">IFERROR(AR341/AR340-1,"")</f>
        <v>0</v>
      </c>
      <c r="AT341" s="11" t="s">
        <v>134</v>
      </c>
      <c r="AU341" s="14" t="n">
        <f aca="false">IFERROR(P341/AR341,"")</f>
        <v>1484128</v>
      </c>
      <c r="AV341" s="12" t="n">
        <v>3322216</v>
      </c>
      <c r="AW341" s="12" t="n">
        <v>1197781</v>
      </c>
      <c r="AX341" s="12" t="n">
        <v>780119</v>
      </c>
      <c r="AY341" s="16" t="n">
        <v>31985</v>
      </c>
      <c r="AZ341" s="13" t="n">
        <f aca="false">IFERROR(AY341/AY340-1,"")</f>
        <v>0.163048616413949</v>
      </c>
      <c r="BA341" s="17" t="n">
        <v>0.895</v>
      </c>
      <c r="BB341" s="11" t="s">
        <v>81</v>
      </c>
      <c r="BC341" s="11" t="s">
        <v>100</v>
      </c>
      <c r="BD341" s="11" t="s">
        <v>109</v>
      </c>
      <c r="BE341" s="12" t="n">
        <v>1542438</v>
      </c>
      <c r="BF341" s="13" t="n">
        <f aca="false">IFERROR(P341/BE341-1,"")</f>
        <v>-0.0378037885477407</v>
      </c>
      <c r="BG341" s="17" t="n">
        <v>-0.05</v>
      </c>
      <c r="BH341" s="17" t="n">
        <v>0.006</v>
      </c>
      <c r="BI341" s="14" t="n">
        <f aca="false">P341*(1+IFERROR(Q341,0))^4</f>
        <v>3425157.91444639</v>
      </c>
      <c r="BJ341" s="12" t="n">
        <v>-1270032</v>
      </c>
      <c r="BK341" s="11" t="s">
        <v>84</v>
      </c>
      <c r="BL341" s="11" t="s">
        <v>128</v>
      </c>
      <c r="BM341" s="14" t="n">
        <f aca="false">O341</f>
        <v>26933793</v>
      </c>
      <c r="BN341" s="11" t="s">
        <v>402</v>
      </c>
      <c r="BO341" s="13" t="n">
        <f aca="false">IFERROR(1-L341/M341,"")</f>
        <v>0.126377009921314</v>
      </c>
      <c r="BP341" s="11" t="s">
        <v>142</v>
      </c>
      <c r="BQ341" s="12" t="n">
        <v>2361584</v>
      </c>
      <c r="BR341" s="11" t="s">
        <v>88</v>
      </c>
      <c r="BS341" s="11" t="s">
        <v>89</v>
      </c>
      <c r="BT341" s="19" t="str">
        <f aca="false">IF(OR(Z341&lt;6,AH341&lt;0.9,S341&lt;0.02,AK341&lt;1),"REVIEW",IF(AND(S341&gt;0.25,AH341&gt;1.2),"ACCELERATING","STABLE"))</f>
        <v>STABLE</v>
      </c>
    </row>
    <row r="342" customFormat="false" ht="15" hidden="false" customHeight="false" outlineLevel="0" collapsed="false">
      <c r="A342" s="3" t="s">
        <v>403</v>
      </c>
      <c r="B342" s="3" t="s">
        <v>73</v>
      </c>
      <c r="C342" s="3" t="s">
        <v>74</v>
      </c>
      <c r="D342" s="3" t="s">
        <v>165</v>
      </c>
      <c r="E342" s="3" t="s">
        <v>404</v>
      </c>
      <c r="F342" s="3" t="s">
        <v>405</v>
      </c>
      <c r="G342" s="3" t="s">
        <v>78</v>
      </c>
      <c r="H342" s="3" t="s">
        <v>79</v>
      </c>
      <c r="I342" s="3" t="s">
        <v>78</v>
      </c>
      <c r="J342" s="4" t="n">
        <v>2564000</v>
      </c>
      <c r="K342" s="5" t="n">
        <f aca="false">IFERROR(J342/M342,"")</f>
        <v>0.110703337507016</v>
      </c>
      <c r="L342" s="4" t="n">
        <v>20597000</v>
      </c>
      <c r="M342" s="6" t="n">
        <f aca="false">L342+J342</f>
        <v>23161000</v>
      </c>
      <c r="N342" s="4" t="n">
        <v>7952000</v>
      </c>
      <c r="O342" s="4" t="n">
        <v>23106270</v>
      </c>
      <c r="P342" s="4" t="n">
        <v>1168368</v>
      </c>
      <c r="Q342" s="7"/>
      <c r="R342" s="4" t="n">
        <v>1353399</v>
      </c>
      <c r="S342" s="7"/>
      <c r="T342" s="4" t="n">
        <v>904573</v>
      </c>
      <c r="U342" s="5" t="n">
        <f aca="false">IFERROR(T342/P342,"")</f>
        <v>0.774219252838147</v>
      </c>
      <c r="V342" s="6" t="n">
        <f aca="false">T342-AV342</f>
        <v>-1036148</v>
      </c>
      <c r="W342" s="6" t="n">
        <f aca="false">V342-AA342*0.1</f>
        <v>-1094248</v>
      </c>
      <c r="X342" s="4" t="n">
        <v>3952746</v>
      </c>
      <c r="Y342" s="4" t="n">
        <v>114660</v>
      </c>
      <c r="Z342" s="8" t="n">
        <f aca="false">IFERROR(X342/Y342,"")</f>
        <v>34.4736263736264</v>
      </c>
      <c r="AA342" s="4" t="n">
        <v>581000</v>
      </c>
      <c r="AB342" s="6" t="n">
        <f aca="false">W342-0.02*P342</f>
        <v>-1117615.36</v>
      </c>
      <c r="AC342" s="9" t="n">
        <v>8</v>
      </c>
      <c r="AD342" s="7"/>
      <c r="AE342" s="7" t="n">
        <v>0.06</v>
      </c>
      <c r="AF342" s="7" t="n">
        <v>0.04</v>
      </c>
      <c r="AG342" s="5" t="n">
        <f aca="false">1-AF342</f>
        <v>0.96</v>
      </c>
      <c r="AH342" s="7" t="n">
        <v>1.101</v>
      </c>
      <c r="AI342" s="4" t="n">
        <v>113314</v>
      </c>
      <c r="AJ342" s="6" t="n">
        <f aca="false">IFERROR(AM342*U342*MIN(1/AE342,5),"")</f>
        <v>228394.679587253</v>
      </c>
      <c r="AK342" s="10" t="n">
        <f aca="false">IFERROR(AJ342/AI342,"")</f>
        <v>2.015591008942</v>
      </c>
      <c r="AL342" s="8" t="n">
        <f aca="false">IFERROR(AI342/(AM342*U342/12),"")</f>
        <v>29.7679438605427</v>
      </c>
      <c r="AM342" s="4" t="n">
        <v>59000</v>
      </c>
      <c r="AN342" s="4" t="n">
        <v>1676062</v>
      </c>
      <c r="AO342" s="4" t="n">
        <v>5044644</v>
      </c>
      <c r="AP342" s="7" t="n">
        <v>0.257</v>
      </c>
      <c r="AQ342" s="9" t="n">
        <v>54</v>
      </c>
      <c r="AR342" s="9" t="n">
        <v>1</v>
      </c>
      <c r="AS342" s="7"/>
      <c r="AT342" s="3" t="s">
        <v>134</v>
      </c>
      <c r="AU342" s="6" t="n">
        <f aca="false">IFERROR(P342/AR342,"")</f>
        <v>1168368</v>
      </c>
      <c r="AV342" s="4" t="n">
        <v>1940721</v>
      </c>
      <c r="AW342" s="4" t="n">
        <v>806565</v>
      </c>
      <c r="AX342" s="4" t="n">
        <v>501112</v>
      </c>
      <c r="AY342" s="9" t="n">
        <v>10446</v>
      </c>
      <c r="AZ342" s="7"/>
      <c r="BA342" s="7" t="n">
        <v>0.937</v>
      </c>
      <c r="BB342" s="3" t="s">
        <v>107</v>
      </c>
      <c r="BC342" s="3" t="s">
        <v>100</v>
      </c>
      <c r="BD342" s="3" t="s">
        <v>83</v>
      </c>
      <c r="BE342" s="4" t="n">
        <v>1097686</v>
      </c>
      <c r="BF342" s="5" t="n">
        <f aca="false">IFERROR(P342/BE342-1,"")</f>
        <v>0.0643918206117231</v>
      </c>
      <c r="BG342" s="7" t="n">
        <v>0.044</v>
      </c>
      <c r="BH342" s="7" t="n">
        <v>-0.01</v>
      </c>
      <c r="BI342" s="6" t="n">
        <f aca="false">P342</f>
        <v>1168368</v>
      </c>
      <c r="BJ342" s="4" t="n">
        <v>-1012593</v>
      </c>
      <c r="BK342" s="3" t="s">
        <v>102</v>
      </c>
      <c r="BL342" s="3" t="s">
        <v>111</v>
      </c>
      <c r="BM342" s="6" t="n">
        <f aca="false">O342</f>
        <v>23106270</v>
      </c>
      <c r="BN342" s="3" t="s">
        <v>406</v>
      </c>
      <c r="BO342" s="5" t="n">
        <f aca="false">IFERROR(1-L342/M342,"")</f>
        <v>0.110703337507016</v>
      </c>
      <c r="BP342" s="3" t="s">
        <v>142</v>
      </c>
      <c r="BQ342" s="4" t="n">
        <v>1706995</v>
      </c>
      <c r="BR342" s="3" t="s">
        <v>88</v>
      </c>
      <c r="BS342" s="3" t="s">
        <v>89</v>
      </c>
      <c r="BT342" s="3" t="s">
        <v>90</v>
      </c>
    </row>
    <row r="343" customFormat="false" ht="15" hidden="false" customHeight="false" outlineLevel="0" collapsed="false">
      <c r="A343" s="11" t="s">
        <v>403</v>
      </c>
      <c r="B343" s="11" t="s">
        <v>91</v>
      </c>
      <c r="C343" s="11" t="s">
        <v>74</v>
      </c>
      <c r="D343" s="11" t="s">
        <v>165</v>
      </c>
      <c r="E343" s="11" t="s">
        <v>404</v>
      </c>
      <c r="F343" s="11" t="s">
        <v>405</v>
      </c>
      <c r="G343" s="11" t="s">
        <v>78</v>
      </c>
      <c r="H343" s="11" t="s">
        <v>79</v>
      </c>
      <c r="I343" s="11" t="s">
        <v>78</v>
      </c>
      <c r="J343" s="12" t="n">
        <v>2564000</v>
      </c>
      <c r="K343" s="13" t="n">
        <f aca="false">IFERROR(J343/M343,"")</f>
        <v>0.110703337507016</v>
      </c>
      <c r="L343" s="12" t="n">
        <v>20597000</v>
      </c>
      <c r="M343" s="14" t="n">
        <f aca="false">L343+J343</f>
        <v>23161000</v>
      </c>
      <c r="N343" s="12" t="n">
        <v>7952000</v>
      </c>
      <c r="O343" s="12" t="n">
        <v>23106270</v>
      </c>
      <c r="P343" s="12" t="n">
        <v>1495201</v>
      </c>
      <c r="Q343" s="13" t="n">
        <f aca="false">IFERROR(P343/P342-1,"")</f>
        <v>0.2797346384016</v>
      </c>
      <c r="R343" s="12" t="n">
        <v>1616359</v>
      </c>
      <c r="S343" s="13" t="n">
        <f aca="false">IFERROR(R343/R342-1,"")</f>
        <v>0.194295991056592</v>
      </c>
      <c r="T343" s="12" t="n">
        <v>1162299</v>
      </c>
      <c r="U343" s="13" t="n">
        <f aca="false">IFERROR(T343/P343,"")</f>
        <v>0.777353011401143</v>
      </c>
      <c r="V343" s="14" t="n">
        <f aca="false">T343-AV343</f>
        <v>-1441122</v>
      </c>
      <c r="W343" s="14" t="n">
        <f aca="false">V343-AA343*0.1</f>
        <v>-1499222</v>
      </c>
      <c r="X343" s="12" t="n">
        <v>3663576</v>
      </c>
      <c r="Y343" s="12" t="n">
        <v>118440</v>
      </c>
      <c r="Z343" s="15" t="n">
        <f aca="false">IFERROR(X343/Y343,"")</f>
        <v>30.931914893617</v>
      </c>
      <c r="AA343" s="12" t="n">
        <v>581000</v>
      </c>
      <c r="AB343" s="14" t="n">
        <f aca="false">W343-0.02*P343</f>
        <v>-1529126.02</v>
      </c>
      <c r="AC343" s="16" t="n">
        <v>10</v>
      </c>
      <c r="AD343" s="13" t="n">
        <f aca="false">IFERROR(AC343/AC342-1,"")</f>
        <v>0.25</v>
      </c>
      <c r="AE343" s="17" t="n">
        <v>0.058</v>
      </c>
      <c r="AF343" s="17" t="n">
        <v>0.055</v>
      </c>
      <c r="AG343" s="13" t="n">
        <f aca="false">1-AF343</f>
        <v>0.945</v>
      </c>
      <c r="AH343" s="17" t="n">
        <v>1.096</v>
      </c>
      <c r="AI343" s="12" t="n">
        <v>111176</v>
      </c>
      <c r="AJ343" s="14" t="n">
        <f aca="false">IFERROR(AM343*U343*MIN(1/AE343,5),"")</f>
        <v>233905.521130604</v>
      </c>
      <c r="AK343" s="18" t="n">
        <f aca="false">IFERROR(AJ343/AI343,"")</f>
        <v>2.10392100031125</v>
      </c>
      <c r="AL343" s="15" t="n">
        <f aca="false">IFERROR(AI343/(AM343*U343/12),"")</f>
        <v>28.5181810491571</v>
      </c>
      <c r="AM343" s="12" t="n">
        <v>60180</v>
      </c>
      <c r="AN343" s="12" t="n">
        <v>2011436</v>
      </c>
      <c r="AO343" s="12" t="n">
        <v>6024419</v>
      </c>
      <c r="AP343" s="17" t="n">
        <v>0.257</v>
      </c>
      <c r="AQ343" s="16" t="n">
        <v>54</v>
      </c>
      <c r="AR343" s="16" t="n">
        <v>2</v>
      </c>
      <c r="AS343" s="13" t="n">
        <f aca="false">IFERROR(AR343/AR342-1,"")</f>
        <v>1</v>
      </c>
      <c r="AT343" s="11" t="s">
        <v>134</v>
      </c>
      <c r="AU343" s="14" t="n">
        <f aca="false">IFERROR(P343/AR343,"")</f>
        <v>747600.5</v>
      </c>
      <c r="AV343" s="12" t="n">
        <v>2603421</v>
      </c>
      <c r="AW343" s="12" t="n">
        <v>867976</v>
      </c>
      <c r="AX343" s="12" t="n">
        <v>492173</v>
      </c>
      <c r="AY343" s="16" t="n">
        <v>13621</v>
      </c>
      <c r="AZ343" s="13" t="n">
        <f aca="false">IFERROR(AY343/AY342-1,"")</f>
        <v>0.303944093432893</v>
      </c>
      <c r="BA343" s="17" t="n">
        <v>0.956</v>
      </c>
      <c r="BB343" s="11" t="s">
        <v>107</v>
      </c>
      <c r="BC343" s="11" t="s">
        <v>100</v>
      </c>
      <c r="BD343" s="11" t="s">
        <v>83</v>
      </c>
      <c r="BE343" s="12" t="n">
        <v>1500440</v>
      </c>
      <c r="BF343" s="13" t="n">
        <f aca="false">IFERROR(P343/BE343-1,"")</f>
        <v>-0.00349164245154754</v>
      </c>
      <c r="BG343" s="17" t="n">
        <v>0.043</v>
      </c>
      <c r="BH343" s="17" t="n">
        <v>0.065</v>
      </c>
      <c r="BI343" s="14" t="n">
        <f aca="false">P343*(1+IFERROR(Q343,0))^4</f>
        <v>4010322.31834155</v>
      </c>
      <c r="BJ343" s="12" t="n">
        <v>-823181</v>
      </c>
      <c r="BK343" s="11" t="s">
        <v>102</v>
      </c>
      <c r="BL343" s="11" t="s">
        <v>111</v>
      </c>
      <c r="BM343" s="14" t="n">
        <f aca="false">O343</f>
        <v>23106270</v>
      </c>
      <c r="BN343" s="11" t="s">
        <v>406</v>
      </c>
      <c r="BO343" s="13" t="n">
        <f aca="false">IFERROR(1-L343/M343,"")</f>
        <v>0.110703337507016</v>
      </c>
      <c r="BP343" s="11" t="s">
        <v>142</v>
      </c>
      <c r="BQ343" s="12" t="n">
        <v>2136140</v>
      </c>
      <c r="BR343" s="11" t="s">
        <v>88</v>
      </c>
      <c r="BS343" s="11" t="s">
        <v>89</v>
      </c>
      <c r="BT343" s="19" t="str">
        <f aca="false">IF(OR(Z343&lt;6,AH343&lt;0.9,S343&lt;0.02,AK343&lt;1),"REVIEW",IF(AND(S343&gt;0.25,AH343&gt;1.2),"ACCELERATING","STABLE"))</f>
        <v>STABLE</v>
      </c>
    </row>
    <row r="344" customFormat="false" ht="15" hidden="false" customHeight="false" outlineLevel="0" collapsed="false">
      <c r="A344" s="11" t="s">
        <v>403</v>
      </c>
      <c r="B344" s="11" t="s">
        <v>92</v>
      </c>
      <c r="C344" s="11" t="s">
        <v>74</v>
      </c>
      <c r="D344" s="11" t="s">
        <v>165</v>
      </c>
      <c r="E344" s="11" t="s">
        <v>404</v>
      </c>
      <c r="F344" s="11" t="s">
        <v>405</v>
      </c>
      <c r="G344" s="11" t="s">
        <v>78</v>
      </c>
      <c r="H344" s="11" t="s">
        <v>79</v>
      </c>
      <c r="I344" s="11" t="s">
        <v>78</v>
      </c>
      <c r="J344" s="12" t="n">
        <v>2564000</v>
      </c>
      <c r="K344" s="13" t="n">
        <f aca="false">IFERROR(J344/M344,"")</f>
        <v>0.110703337507016</v>
      </c>
      <c r="L344" s="12" t="n">
        <v>20597000</v>
      </c>
      <c r="M344" s="14" t="n">
        <f aca="false">L344+J344</f>
        <v>23161000</v>
      </c>
      <c r="N344" s="12" t="n">
        <v>7952000</v>
      </c>
      <c r="O344" s="12" t="n">
        <v>23106270</v>
      </c>
      <c r="P344" s="12" t="n">
        <v>1828478</v>
      </c>
      <c r="Q344" s="13" t="n">
        <f aca="false">IFERROR(P344/P343-1,"")</f>
        <v>0.222897790999337</v>
      </c>
      <c r="R344" s="12" t="n">
        <v>1979066</v>
      </c>
      <c r="S344" s="13" t="n">
        <f aca="false">IFERROR(R344/R343-1,"")</f>
        <v>0.224397550296685</v>
      </c>
      <c r="T344" s="12" t="n">
        <v>1427105</v>
      </c>
      <c r="U344" s="13" t="n">
        <f aca="false">IFERROR(T344/P344,"")</f>
        <v>0.780487924929914</v>
      </c>
      <c r="V344" s="14" t="n">
        <f aca="false">T344-AV344</f>
        <v>-1232449</v>
      </c>
      <c r="W344" s="14" t="n">
        <f aca="false">V344-AA344*0.1</f>
        <v>-1290549</v>
      </c>
      <c r="X344" s="12" t="n">
        <v>3353994</v>
      </c>
      <c r="Y344" s="12" t="n">
        <v>122220</v>
      </c>
      <c r="Z344" s="15" t="n">
        <f aca="false">IFERROR(X344/Y344,"")</f>
        <v>27.4422680412371</v>
      </c>
      <c r="AA344" s="12" t="n">
        <v>581000</v>
      </c>
      <c r="AB344" s="14" t="n">
        <f aca="false">W344-0.02*P344</f>
        <v>-1327118.56</v>
      </c>
      <c r="AC344" s="16" t="n">
        <v>12</v>
      </c>
      <c r="AD344" s="13" t="n">
        <f aca="false">IFERROR(AC344/AC343-1,"")</f>
        <v>0.2</v>
      </c>
      <c r="AE344" s="17" t="n">
        <v>0.057</v>
      </c>
      <c r="AF344" s="17" t="n">
        <v>0.059</v>
      </c>
      <c r="AG344" s="13" t="n">
        <f aca="false">1-AF344</f>
        <v>0.941</v>
      </c>
      <c r="AH344" s="17" t="n">
        <v>1.091</v>
      </c>
      <c r="AI344" s="12" t="n">
        <v>109038</v>
      </c>
      <c r="AJ344" s="14" t="n">
        <f aca="false">IFERROR(AM344*U344*MIN(1/AE344,5),"")</f>
        <v>239453.695368498</v>
      </c>
      <c r="AK344" s="18" t="n">
        <f aca="false">IFERROR(AJ344/AI344,"")</f>
        <v>2.1960572953328</v>
      </c>
      <c r="AL344" s="15" t="n">
        <f aca="false">IFERROR(AI344/(AM344*U344/12),"")</f>
        <v>27.3216915275917</v>
      </c>
      <c r="AM344" s="12" t="n">
        <v>61360</v>
      </c>
      <c r="AN344" s="12" t="n">
        <v>1890225</v>
      </c>
      <c r="AO344" s="12" t="n">
        <v>6138246</v>
      </c>
      <c r="AP344" s="17" t="n">
        <v>0.257</v>
      </c>
      <c r="AQ344" s="16" t="n">
        <v>54</v>
      </c>
      <c r="AR344" s="16" t="n">
        <v>2</v>
      </c>
      <c r="AS344" s="13" t="n">
        <f aca="false">IFERROR(AR344/AR343-1,"")</f>
        <v>0</v>
      </c>
      <c r="AT344" s="11" t="s">
        <v>134</v>
      </c>
      <c r="AU344" s="14" t="n">
        <f aca="false">IFERROR(P344/AR344,"")</f>
        <v>914239</v>
      </c>
      <c r="AV344" s="12" t="n">
        <v>2659554</v>
      </c>
      <c r="AW344" s="12" t="n">
        <v>1138169</v>
      </c>
      <c r="AX344" s="12" t="n">
        <v>815568</v>
      </c>
      <c r="AY344" s="16" t="n">
        <v>16155</v>
      </c>
      <c r="AZ344" s="13" t="n">
        <f aca="false">IFERROR(AY344/AY343-1,"")</f>
        <v>0.186036267528082</v>
      </c>
      <c r="BA344" s="17" t="n">
        <v>0.956</v>
      </c>
      <c r="BB344" s="11" t="s">
        <v>107</v>
      </c>
      <c r="BC344" s="11" t="s">
        <v>100</v>
      </c>
      <c r="BD344" s="11" t="s">
        <v>83</v>
      </c>
      <c r="BE344" s="12" t="n">
        <v>1831326</v>
      </c>
      <c r="BF344" s="13" t="n">
        <f aca="false">IFERROR(P344/BE344-1,"")</f>
        <v>-0.00155515730132161</v>
      </c>
      <c r="BG344" s="17" t="n">
        <v>-0.027</v>
      </c>
      <c r="BH344" s="17" t="n">
        <v>-0.028</v>
      </c>
      <c r="BI344" s="14" t="n">
        <f aca="false">P344*(1+IFERROR(Q344,0))^4</f>
        <v>4089313.26550014</v>
      </c>
      <c r="BJ344" s="12" t="n">
        <v>-1346724</v>
      </c>
      <c r="BK344" s="11" t="s">
        <v>102</v>
      </c>
      <c r="BL344" s="11" t="s">
        <v>111</v>
      </c>
      <c r="BM344" s="14" t="n">
        <f aca="false">O344</f>
        <v>23106270</v>
      </c>
      <c r="BN344" s="11" t="s">
        <v>406</v>
      </c>
      <c r="BO344" s="13" t="n">
        <f aca="false">IFERROR(1-L344/M344,"")</f>
        <v>0.110703337507016</v>
      </c>
      <c r="BP344" s="11" t="s">
        <v>142</v>
      </c>
      <c r="BQ344" s="12" t="n">
        <v>2160836</v>
      </c>
      <c r="BR344" s="11" t="s">
        <v>88</v>
      </c>
      <c r="BS344" s="11" t="s">
        <v>89</v>
      </c>
      <c r="BT344" s="19" t="str">
        <f aca="false">IF(OR(Z344&lt;6,AH344&lt;0.9,S344&lt;0.02,AK344&lt;1),"REVIEW",IF(AND(S344&gt;0.25,AH344&gt;1.2),"ACCELERATING","STABLE"))</f>
        <v>STABLE</v>
      </c>
    </row>
    <row r="345" customFormat="false" ht="15" hidden="false" customHeight="false" outlineLevel="0" collapsed="false">
      <c r="A345" s="11" t="s">
        <v>403</v>
      </c>
      <c r="B345" s="11" t="s">
        <v>93</v>
      </c>
      <c r="C345" s="11" t="s">
        <v>74</v>
      </c>
      <c r="D345" s="11" t="s">
        <v>165</v>
      </c>
      <c r="E345" s="11" t="s">
        <v>404</v>
      </c>
      <c r="F345" s="11" t="s">
        <v>405</v>
      </c>
      <c r="G345" s="11" t="s">
        <v>78</v>
      </c>
      <c r="H345" s="11" t="s">
        <v>79</v>
      </c>
      <c r="I345" s="11" t="s">
        <v>78</v>
      </c>
      <c r="J345" s="12" t="n">
        <v>2564000</v>
      </c>
      <c r="K345" s="13" t="n">
        <f aca="false">IFERROR(J345/M345,"")</f>
        <v>0.110703337507016</v>
      </c>
      <c r="L345" s="12" t="n">
        <v>20597000</v>
      </c>
      <c r="M345" s="14" t="n">
        <f aca="false">L345+J345</f>
        <v>23161000</v>
      </c>
      <c r="N345" s="12" t="n">
        <v>7952000</v>
      </c>
      <c r="O345" s="12" t="n">
        <v>23106270</v>
      </c>
      <c r="P345" s="12" t="n">
        <v>2340516</v>
      </c>
      <c r="Q345" s="13" t="n">
        <f aca="false">IFERROR(P345/P344-1,"")</f>
        <v>0.280035089292844</v>
      </c>
      <c r="R345" s="12" t="n">
        <v>2505699</v>
      </c>
      <c r="S345" s="13" t="n">
        <f aca="false">IFERROR(R345/R344-1,"")</f>
        <v>0.266101787408808</v>
      </c>
      <c r="T345" s="12" t="n">
        <v>1834080</v>
      </c>
      <c r="U345" s="13" t="n">
        <f aca="false">IFERROR(T345/P345,"")</f>
        <v>0.783622073081321</v>
      </c>
      <c r="V345" s="14" t="n">
        <f aca="false">T345-AV345</f>
        <v>-1624290</v>
      </c>
      <c r="W345" s="14" t="n">
        <f aca="false">V345-AA345*0.1</f>
        <v>-1682390</v>
      </c>
      <c r="X345" s="12" t="n">
        <v>3024000</v>
      </c>
      <c r="Y345" s="12" t="n">
        <v>126000</v>
      </c>
      <c r="Z345" s="15" t="n">
        <f aca="false">IFERROR(X345/Y345,"")</f>
        <v>24</v>
      </c>
      <c r="AA345" s="12" t="n">
        <v>581000</v>
      </c>
      <c r="AB345" s="14" t="n">
        <f aca="false">W345-0.02*P345</f>
        <v>-1729200.32</v>
      </c>
      <c r="AC345" s="16" t="n">
        <v>14</v>
      </c>
      <c r="AD345" s="13" t="n">
        <f aca="false">IFERROR(AC345/AC344-1,"")</f>
        <v>0.166666666666667</v>
      </c>
      <c r="AE345" s="17" t="n">
        <v>0.055</v>
      </c>
      <c r="AF345" s="17" t="n">
        <v>0.051</v>
      </c>
      <c r="AG345" s="13" t="n">
        <f aca="false">1-AF345</f>
        <v>0.949</v>
      </c>
      <c r="AH345" s="17" t="n">
        <v>1.086</v>
      </c>
      <c r="AI345" s="12" t="n">
        <v>106900</v>
      </c>
      <c r="AJ345" s="14" t="n">
        <f aca="false">IFERROR(AM345*U345*MIN(1/AE345,5),"")</f>
        <v>245038.622252529</v>
      </c>
      <c r="AK345" s="18" t="n">
        <f aca="false">IFERROR(AJ345/AI345,"")</f>
        <v>2.29222284614152</v>
      </c>
      <c r="AL345" s="15" t="n">
        <f aca="false">IFERROR(AI345/(AM345*U345/12),"")</f>
        <v>26.1754654880076</v>
      </c>
      <c r="AM345" s="12" t="n">
        <v>62540</v>
      </c>
      <c r="AN345" s="12" t="n">
        <v>3686073</v>
      </c>
      <c r="AO345" s="12" t="n">
        <v>7725747</v>
      </c>
      <c r="AP345" s="17" t="n">
        <v>0.257</v>
      </c>
      <c r="AQ345" s="16" t="n">
        <v>54</v>
      </c>
      <c r="AR345" s="16" t="n">
        <v>2</v>
      </c>
      <c r="AS345" s="13" t="n">
        <f aca="false">IFERROR(AR345/AR344-1,"")</f>
        <v>0</v>
      </c>
      <c r="AT345" s="11" t="s">
        <v>134</v>
      </c>
      <c r="AU345" s="14" t="n">
        <f aca="false">IFERROR(P345/AR345,"")</f>
        <v>1170258</v>
      </c>
      <c r="AV345" s="12" t="n">
        <v>3458370</v>
      </c>
      <c r="AW345" s="12" t="n">
        <v>1727328</v>
      </c>
      <c r="AX345" s="12" t="n">
        <v>706309</v>
      </c>
      <c r="AY345" s="16" t="n">
        <v>19479</v>
      </c>
      <c r="AZ345" s="13" t="n">
        <f aca="false">IFERROR(AY345/AY344-1,"")</f>
        <v>0.205756731662024</v>
      </c>
      <c r="BA345" s="17" t="n">
        <v>0.961</v>
      </c>
      <c r="BB345" s="11" t="s">
        <v>107</v>
      </c>
      <c r="BC345" s="11" t="s">
        <v>100</v>
      </c>
      <c r="BD345" s="11" t="s">
        <v>83</v>
      </c>
      <c r="BE345" s="12" t="n">
        <v>2293223</v>
      </c>
      <c r="BF345" s="13" t="n">
        <f aca="false">IFERROR(P345/BE345-1,"")</f>
        <v>0.0206229398536471</v>
      </c>
      <c r="BG345" s="17" t="n">
        <v>0.062</v>
      </c>
      <c r="BH345" s="17" t="n">
        <v>-0.006</v>
      </c>
      <c r="BI345" s="14" t="n">
        <f aca="false">P345*(1+IFERROR(Q345,0))^4</f>
        <v>6283463.75732233</v>
      </c>
      <c r="BJ345" s="12" t="n">
        <v>-1086885</v>
      </c>
      <c r="BK345" s="11" t="s">
        <v>102</v>
      </c>
      <c r="BL345" s="11" t="s">
        <v>111</v>
      </c>
      <c r="BM345" s="14" t="n">
        <f aca="false">O345</f>
        <v>23106270</v>
      </c>
      <c r="BN345" s="11" t="s">
        <v>406</v>
      </c>
      <c r="BO345" s="13" t="n">
        <f aca="false">IFERROR(1-L345/M345,"")</f>
        <v>0.110703337507016</v>
      </c>
      <c r="BP345" s="11" t="s">
        <v>142</v>
      </c>
      <c r="BQ345" s="12" t="n">
        <v>1615425</v>
      </c>
      <c r="BR345" s="11" t="s">
        <v>88</v>
      </c>
      <c r="BS345" s="11" t="s">
        <v>89</v>
      </c>
      <c r="BT345" s="19" t="str">
        <f aca="false">IF(OR(Z345&lt;6,AH345&lt;0.9,S345&lt;0.02,AK345&lt;1),"REVIEW",IF(AND(S345&gt;0.25,AH345&gt;1.2),"ACCELERATING","STABLE"))</f>
        <v>STABLE</v>
      </c>
    </row>
    <row r="346" customFormat="false" ht="15" hidden="false" customHeight="false" outlineLevel="0" collapsed="false">
      <c r="A346" s="3" t="s">
        <v>407</v>
      </c>
      <c r="B346" s="3" t="s">
        <v>73</v>
      </c>
      <c r="C346" s="3" t="s">
        <v>74</v>
      </c>
      <c r="D346" s="3" t="s">
        <v>75</v>
      </c>
      <c r="E346" s="3" t="s">
        <v>105</v>
      </c>
      <c r="F346" s="3" t="s">
        <v>408</v>
      </c>
      <c r="G346" s="3" t="s">
        <v>78</v>
      </c>
      <c r="H346" s="3" t="s">
        <v>79</v>
      </c>
      <c r="I346" s="3" t="s">
        <v>78</v>
      </c>
      <c r="J346" s="4" t="n">
        <v>2721000</v>
      </c>
      <c r="K346" s="5" t="n">
        <f aca="false">IFERROR(J346/M346,"")</f>
        <v>0.112442662919955</v>
      </c>
      <c r="L346" s="4" t="n">
        <v>21478000</v>
      </c>
      <c r="M346" s="6" t="n">
        <f aca="false">L346+J346</f>
        <v>24199000</v>
      </c>
      <c r="N346" s="4" t="n">
        <v>4493000</v>
      </c>
      <c r="O346" s="4" t="n">
        <v>27164843</v>
      </c>
      <c r="P346" s="4" t="n">
        <v>1154821</v>
      </c>
      <c r="Q346" s="7"/>
      <c r="R346" s="4" t="n">
        <v>1293987</v>
      </c>
      <c r="S346" s="7"/>
      <c r="T346" s="4" t="n">
        <v>902784</v>
      </c>
      <c r="U346" s="5" t="n">
        <f aca="false">IFERROR(T346/P346,"")</f>
        <v>0.781752323520269</v>
      </c>
      <c r="V346" s="6" t="n">
        <f aca="false">T346-AV346</f>
        <v>-2017837</v>
      </c>
      <c r="W346" s="6" t="n">
        <f aca="false">V346-AA346*0.1</f>
        <v>-2137937</v>
      </c>
      <c r="X346" s="4" t="n">
        <v>3107038</v>
      </c>
      <c r="Y346" s="4" t="n">
        <v>161980</v>
      </c>
      <c r="Z346" s="8" t="n">
        <f aca="false">IFERROR(X346/Y346,"")</f>
        <v>19.1816150141993</v>
      </c>
      <c r="AA346" s="4" t="n">
        <v>1201000</v>
      </c>
      <c r="AB346" s="6" t="n">
        <f aca="false">W346-0.02*P346</f>
        <v>-2161033.42</v>
      </c>
      <c r="AC346" s="9" t="n">
        <v>14</v>
      </c>
      <c r="AD346" s="7"/>
      <c r="AE346" s="7" t="n">
        <v>0.077</v>
      </c>
      <c r="AF346" s="7" t="n">
        <v>0.059</v>
      </c>
      <c r="AG346" s="5" t="n">
        <f aca="false">1-AF346</f>
        <v>0.941</v>
      </c>
      <c r="AH346" s="7" t="n">
        <v>1.143</v>
      </c>
      <c r="AI346" s="4" t="n">
        <v>74306</v>
      </c>
      <c r="AJ346" s="6" t="n">
        <f aca="false">IFERROR(AM346*U346*MIN(1/AE346,5),"")</f>
        <v>171985.511174459</v>
      </c>
      <c r="AK346" s="10" t="n">
        <f aca="false">IFERROR(AJ346/AI346,"")</f>
        <v>2.31455752125614</v>
      </c>
      <c r="AL346" s="8" t="n">
        <f aca="false">IFERROR(AI346/(AM346*U346/12),"")</f>
        <v>25.92288134945</v>
      </c>
      <c r="AM346" s="4" t="n">
        <v>44000</v>
      </c>
      <c r="AN346" s="4" t="n">
        <v>1651150</v>
      </c>
      <c r="AO346" s="4" t="n">
        <v>3602919</v>
      </c>
      <c r="AP346" s="7" t="n">
        <v>0.329</v>
      </c>
      <c r="AQ346" s="9" t="n">
        <v>87</v>
      </c>
      <c r="AR346" s="9" t="n">
        <v>2</v>
      </c>
      <c r="AS346" s="7"/>
      <c r="AT346" s="3" t="s">
        <v>201</v>
      </c>
      <c r="AU346" s="6" t="n">
        <f aca="false">IFERROR(P346/AR346,"")</f>
        <v>577410.5</v>
      </c>
      <c r="AV346" s="4" t="n">
        <v>2920621</v>
      </c>
      <c r="AW346" s="4" t="n">
        <v>1362379</v>
      </c>
      <c r="AX346" s="4" t="n">
        <v>819595</v>
      </c>
      <c r="AY346" s="9" t="n">
        <v>11035</v>
      </c>
      <c r="AZ346" s="7"/>
      <c r="BA346" s="7" t="n">
        <v>0.92</v>
      </c>
      <c r="BB346" s="3" t="s">
        <v>161</v>
      </c>
      <c r="BC346" s="3" t="s">
        <v>108</v>
      </c>
      <c r="BD346" s="3" t="s">
        <v>175</v>
      </c>
      <c r="BE346" s="4" t="n">
        <v>1113773</v>
      </c>
      <c r="BF346" s="5" t="n">
        <f aca="false">IFERROR(P346/BE346-1,"")</f>
        <v>0.0368549067000188</v>
      </c>
      <c r="BG346" s="7" t="n">
        <v>-0.058</v>
      </c>
      <c r="BH346" s="7" t="n">
        <v>0.082</v>
      </c>
      <c r="BI346" s="6" t="n">
        <f aca="false">P346</f>
        <v>1154821</v>
      </c>
      <c r="BJ346" s="4" t="n">
        <v>-1938936</v>
      </c>
      <c r="BK346" s="3" t="s">
        <v>102</v>
      </c>
      <c r="BL346" s="3" t="s">
        <v>162</v>
      </c>
      <c r="BM346" s="6" t="n">
        <f aca="false">O346</f>
        <v>27164843</v>
      </c>
      <c r="BN346" s="3" t="s">
        <v>409</v>
      </c>
      <c r="BO346" s="5" t="n">
        <f aca="false">IFERROR(1-L346/M346,"")</f>
        <v>0.112442662919955</v>
      </c>
      <c r="BP346" s="3" t="s">
        <v>198</v>
      </c>
      <c r="BQ346" s="4" t="n">
        <v>1996455</v>
      </c>
      <c r="BR346" s="3" t="s">
        <v>88</v>
      </c>
      <c r="BS346" s="3" t="s">
        <v>89</v>
      </c>
      <c r="BT346" s="3" t="s">
        <v>90</v>
      </c>
    </row>
    <row r="347" customFormat="false" ht="15" hidden="false" customHeight="false" outlineLevel="0" collapsed="false">
      <c r="A347" s="11" t="s">
        <v>407</v>
      </c>
      <c r="B347" s="11" t="s">
        <v>91</v>
      </c>
      <c r="C347" s="11" t="s">
        <v>74</v>
      </c>
      <c r="D347" s="11" t="s">
        <v>75</v>
      </c>
      <c r="E347" s="11" t="s">
        <v>105</v>
      </c>
      <c r="F347" s="11" t="s">
        <v>408</v>
      </c>
      <c r="G347" s="11" t="s">
        <v>78</v>
      </c>
      <c r="H347" s="11" t="s">
        <v>79</v>
      </c>
      <c r="I347" s="11" t="s">
        <v>78</v>
      </c>
      <c r="J347" s="12" t="n">
        <v>2721000</v>
      </c>
      <c r="K347" s="13" t="n">
        <f aca="false">IFERROR(J347/M347,"")</f>
        <v>0.112442662919955</v>
      </c>
      <c r="L347" s="12" t="n">
        <v>21478000</v>
      </c>
      <c r="M347" s="14" t="n">
        <f aca="false">L347+J347</f>
        <v>24199000</v>
      </c>
      <c r="N347" s="12" t="n">
        <v>4493000</v>
      </c>
      <c r="O347" s="12" t="n">
        <v>27164843</v>
      </c>
      <c r="P347" s="12" t="n">
        <v>1494643</v>
      </c>
      <c r="Q347" s="13" t="n">
        <f aca="false">IFERROR(P347/P346-1,"")</f>
        <v>0.294263786335718</v>
      </c>
      <c r="R347" s="12" t="n">
        <v>1646099</v>
      </c>
      <c r="S347" s="13" t="n">
        <f aca="false">IFERROR(R347/R346-1,"")</f>
        <v>0.272114016601403</v>
      </c>
      <c r="T347" s="12" t="n">
        <v>1173170</v>
      </c>
      <c r="U347" s="13" t="n">
        <f aca="false">IFERROR(T347/P347,"")</f>
        <v>0.78491653190762</v>
      </c>
      <c r="V347" s="14" t="n">
        <f aca="false">T347-AV347</f>
        <v>-1513370</v>
      </c>
      <c r="W347" s="14" t="n">
        <f aca="false">V347-AA347*0.1</f>
        <v>-1633470</v>
      </c>
      <c r="X347" s="12" t="n">
        <v>2698528</v>
      </c>
      <c r="Y347" s="12" t="n">
        <v>167320</v>
      </c>
      <c r="Z347" s="15" t="n">
        <f aca="false">IFERROR(X347/Y347,"")</f>
        <v>16.1279464499163</v>
      </c>
      <c r="AA347" s="12" t="n">
        <v>1201000</v>
      </c>
      <c r="AB347" s="14" t="n">
        <f aca="false">W347-0.02*P347</f>
        <v>-1663362.86</v>
      </c>
      <c r="AC347" s="16" t="n">
        <v>16</v>
      </c>
      <c r="AD347" s="13" t="n">
        <f aca="false">IFERROR(AC347/AC346-1,"")</f>
        <v>0.142857142857143</v>
      </c>
      <c r="AE347" s="17" t="n">
        <v>0.075</v>
      </c>
      <c r="AF347" s="17" t="n">
        <v>0.061</v>
      </c>
      <c r="AG347" s="13" t="n">
        <f aca="false">1-AF347</f>
        <v>0.939</v>
      </c>
      <c r="AH347" s="17" t="n">
        <v>1.138</v>
      </c>
      <c r="AI347" s="12" t="n">
        <v>72904</v>
      </c>
      <c r="AJ347" s="14" t="n">
        <f aca="false">IFERROR(AM347*U347*MIN(1/AE347,5),"")</f>
        <v>176135.26976007</v>
      </c>
      <c r="AK347" s="18" t="n">
        <f aca="false">IFERROR(AJ347/AI347,"")</f>
        <v>2.41598910567417</v>
      </c>
      <c r="AL347" s="15" t="n">
        <f aca="false">IFERROR(AI347/(AM347*U347/12),"")</f>
        <v>24.8345490710552</v>
      </c>
      <c r="AM347" s="12" t="n">
        <v>44880</v>
      </c>
      <c r="AN347" s="12" t="n">
        <v>2197714</v>
      </c>
      <c r="AO347" s="12" t="n">
        <v>2705815</v>
      </c>
      <c r="AP347" s="17" t="n">
        <v>0.329</v>
      </c>
      <c r="AQ347" s="16" t="n">
        <v>87</v>
      </c>
      <c r="AR347" s="16" t="n">
        <v>2</v>
      </c>
      <c r="AS347" s="13" t="n">
        <f aca="false">IFERROR(AR347/AR346-1,"")</f>
        <v>0</v>
      </c>
      <c r="AT347" s="11" t="s">
        <v>201</v>
      </c>
      <c r="AU347" s="14" t="n">
        <f aca="false">IFERROR(P347/AR347,"")</f>
        <v>747321.5</v>
      </c>
      <c r="AV347" s="12" t="n">
        <v>2686540</v>
      </c>
      <c r="AW347" s="12" t="n">
        <v>1009887</v>
      </c>
      <c r="AX347" s="12" t="n">
        <v>708841</v>
      </c>
      <c r="AY347" s="16" t="n">
        <v>12711</v>
      </c>
      <c r="AZ347" s="13" t="n">
        <f aca="false">IFERROR(AY347/AY346-1,"")</f>
        <v>0.151880380607159</v>
      </c>
      <c r="BA347" s="17" t="n">
        <v>0.945</v>
      </c>
      <c r="BB347" s="11" t="s">
        <v>161</v>
      </c>
      <c r="BC347" s="11" t="s">
        <v>108</v>
      </c>
      <c r="BD347" s="11" t="s">
        <v>175</v>
      </c>
      <c r="BE347" s="12" t="n">
        <v>1832618</v>
      </c>
      <c r="BF347" s="13" t="n">
        <f aca="false">IFERROR(P347/BE347-1,"")</f>
        <v>-0.184421958094922</v>
      </c>
      <c r="BG347" s="17" t="n">
        <v>0.084</v>
      </c>
      <c r="BH347" s="17" t="n">
        <v>0.095</v>
      </c>
      <c r="BI347" s="14" t="n">
        <f aca="false">P347*(1+IFERROR(Q347,0))^4</f>
        <v>4194002.36871036</v>
      </c>
      <c r="BJ347" s="12" t="n">
        <v>-1897815</v>
      </c>
      <c r="BK347" s="11" t="s">
        <v>102</v>
      </c>
      <c r="BL347" s="11" t="s">
        <v>162</v>
      </c>
      <c r="BM347" s="14" t="n">
        <f aca="false">O347</f>
        <v>27164843</v>
      </c>
      <c r="BN347" s="11" t="s">
        <v>409</v>
      </c>
      <c r="BO347" s="13" t="n">
        <f aca="false">IFERROR(1-L347/M347,"")</f>
        <v>0.112442662919955</v>
      </c>
      <c r="BP347" s="11" t="s">
        <v>198</v>
      </c>
      <c r="BQ347" s="12" t="n">
        <v>3162879</v>
      </c>
      <c r="BR347" s="11" t="s">
        <v>88</v>
      </c>
      <c r="BS347" s="11" t="s">
        <v>89</v>
      </c>
      <c r="BT347" s="19" t="str">
        <f aca="false">IF(OR(Z347&lt;6,AH347&lt;0.9,S347&lt;0.02,AK347&lt;1),"REVIEW",IF(AND(S347&gt;0.25,AH347&gt;1.2),"ACCELERATING","STABLE"))</f>
        <v>STABLE</v>
      </c>
    </row>
    <row r="348" customFormat="false" ht="15" hidden="false" customHeight="false" outlineLevel="0" collapsed="false">
      <c r="A348" s="11" t="s">
        <v>407</v>
      </c>
      <c r="B348" s="11" t="s">
        <v>92</v>
      </c>
      <c r="C348" s="11" t="s">
        <v>74</v>
      </c>
      <c r="D348" s="11" t="s">
        <v>75</v>
      </c>
      <c r="E348" s="11" t="s">
        <v>105</v>
      </c>
      <c r="F348" s="11" t="s">
        <v>408</v>
      </c>
      <c r="G348" s="11" t="s">
        <v>78</v>
      </c>
      <c r="H348" s="11" t="s">
        <v>79</v>
      </c>
      <c r="I348" s="11" t="s">
        <v>78</v>
      </c>
      <c r="J348" s="12" t="n">
        <v>2721000</v>
      </c>
      <c r="K348" s="13" t="n">
        <f aca="false">IFERROR(J348/M348,"")</f>
        <v>0.112442662919955</v>
      </c>
      <c r="L348" s="12" t="n">
        <v>21478000</v>
      </c>
      <c r="M348" s="14" t="n">
        <f aca="false">L348+J348</f>
        <v>24199000</v>
      </c>
      <c r="N348" s="12" t="n">
        <v>4493000</v>
      </c>
      <c r="O348" s="12" t="n">
        <v>27164843</v>
      </c>
      <c r="P348" s="12" t="n">
        <v>1768809</v>
      </c>
      <c r="Q348" s="13" t="n">
        <f aca="false">IFERROR(P348/P347-1,"")</f>
        <v>0.183432431691046</v>
      </c>
      <c r="R348" s="12" t="n">
        <v>1955014</v>
      </c>
      <c r="S348" s="13" t="n">
        <f aca="false">IFERROR(R348/R347-1,"")</f>
        <v>0.187664897433265</v>
      </c>
      <c r="T348" s="12" t="n">
        <v>1393966</v>
      </c>
      <c r="U348" s="13" t="n">
        <f aca="false">IFERROR(T348/P348,"")</f>
        <v>0.788081697910854</v>
      </c>
      <c r="V348" s="14" t="n">
        <f aca="false">T348-AV348</f>
        <v>-1979855</v>
      </c>
      <c r="W348" s="14" t="n">
        <f aca="false">V348-AA348*0.1</f>
        <v>-2099955</v>
      </c>
      <c r="X348" s="12" t="n">
        <v>2261182</v>
      </c>
      <c r="Y348" s="12" t="n">
        <v>172660</v>
      </c>
      <c r="Z348" s="15" t="n">
        <f aca="false">IFERROR(X348/Y348,"")</f>
        <v>13.0961542916715</v>
      </c>
      <c r="AA348" s="12" t="n">
        <v>1201000</v>
      </c>
      <c r="AB348" s="14" t="n">
        <f aca="false">W348-0.02*P348</f>
        <v>-2135331.18</v>
      </c>
      <c r="AC348" s="16" t="n">
        <v>19</v>
      </c>
      <c r="AD348" s="13" t="n">
        <f aca="false">IFERROR(AC348/AC347-1,"")</f>
        <v>0.1875</v>
      </c>
      <c r="AE348" s="17" t="n">
        <v>0.073</v>
      </c>
      <c r="AF348" s="17" t="n">
        <v>0.063</v>
      </c>
      <c r="AG348" s="13" t="n">
        <f aca="false">1-AF348</f>
        <v>0.937</v>
      </c>
      <c r="AH348" s="17" t="n">
        <v>1.133</v>
      </c>
      <c r="AI348" s="12" t="n">
        <v>71502</v>
      </c>
      <c r="AJ348" s="14" t="n">
        <f aca="false">IFERROR(AM348*U348*MIN(1/AE348,5),"")</f>
        <v>180313.092482003</v>
      </c>
      <c r="AK348" s="18" t="n">
        <f aca="false">IFERROR(AJ348/AI348,"")</f>
        <v>2.52179089370931</v>
      </c>
      <c r="AL348" s="15" t="n">
        <f aca="false">IFERROR(AI348/(AM348*U348/12),"")</f>
        <v>23.79261506165</v>
      </c>
      <c r="AM348" s="12" t="n">
        <v>45760</v>
      </c>
      <c r="AN348" s="12" t="n">
        <v>1825692</v>
      </c>
      <c r="AO348" s="12" t="n">
        <v>4463767</v>
      </c>
      <c r="AP348" s="17" t="n">
        <v>0.329</v>
      </c>
      <c r="AQ348" s="16" t="n">
        <v>87</v>
      </c>
      <c r="AR348" s="16" t="n">
        <v>3</v>
      </c>
      <c r="AS348" s="13" t="n">
        <f aca="false">IFERROR(AR348/AR347-1,"")</f>
        <v>0.5</v>
      </c>
      <c r="AT348" s="11" t="s">
        <v>201</v>
      </c>
      <c r="AU348" s="14" t="n">
        <f aca="false">IFERROR(P348/AR348,"")</f>
        <v>589603</v>
      </c>
      <c r="AV348" s="12" t="n">
        <v>3373821</v>
      </c>
      <c r="AW348" s="12" t="n">
        <v>1043162</v>
      </c>
      <c r="AX348" s="12" t="n">
        <v>700473</v>
      </c>
      <c r="AY348" s="16" t="n">
        <v>15225</v>
      </c>
      <c r="AZ348" s="13" t="n">
        <f aca="false">IFERROR(AY348/AY347-1,"")</f>
        <v>0.197781449138541</v>
      </c>
      <c r="BA348" s="17" t="n">
        <v>0.92</v>
      </c>
      <c r="BB348" s="11" t="s">
        <v>161</v>
      </c>
      <c r="BC348" s="11" t="s">
        <v>108</v>
      </c>
      <c r="BD348" s="11" t="s">
        <v>175</v>
      </c>
      <c r="BE348" s="12" t="n">
        <v>2012828</v>
      </c>
      <c r="BF348" s="13" t="n">
        <f aca="false">IFERROR(P348/BE348-1,"")</f>
        <v>-0.121231918474902</v>
      </c>
      <c r="BG348" s="17" t="n">
        <v>0.034</v>
      </c>
      <c r="BH348" s="17" t="n">
        <v>0.009</v>
      </c>
      <c r="BI348" s="14" t="n">
        <f aca="false">P348*(1+IFERROR(Q348,0))^4</f>
        <v>3469403.45557141</v>
      </c>
      <c r="BJ348" s="12" t="n">
        <v>-1267766</v>
      </c>
      <c r="BK348" s="11" t="s">
        <v>102</v>
      </c>
      <c r="BL348" s="11" t="s">
        <v>162</v>
      </c>
      <c r="BM348" s="14" t="n">
        <f aca="false">O348</f>
        <v>27164843</v>
      </c>
      <c r="BN348" s="11" t="s">
        <v>409</v>
      </c>
      <c r="BO348" s="13" t="n">
        <f aca="false">IFERROR(1-L348/M348,"")</f>
        <v>0.112442662919955</v>
      </c>
      <c r="BP348" s="11" t="s">
        <v>198</v>
      </c>
      <c r="BQ348" s="12" t="n">
        <v>2259352</v>
      </c>
      <c r="BR348" s="11" t="s">
        <v>88</v>
      </c>
      <c r="BS348" s="11" t="s">
        <v>89</v>
      </c>
      <c r="BT348" s="19" t="str">
        <f aca="false">IF(OR(Z348&lt;6,AH348&lt;0.9,S348&lt;0.02,AK348&lt;1),"REVIEW",IF(AND(S348&gt;0.25,AH348&gt;1.2),"ACCELERATING","STABLE"))</f>
        <v>STABLE</v>
      </c>
    </row>
    <row r="349" customFormat="false" ht="15" hidden="false" customHeight="false" outlineLevel="0" collapsed="false">
      <c r="A349" s="11" t="s">
        <v>407</v>
      </c>
      <c r="B349" s="11" t="s">
        <v>93</v>
      </c>
      <c r="C349" s="11" t="s">
        <v>74</v>
      </c>
      <c r="D349" s="11" t="s">
        <v>75</v>
      </c>
      <c r="E349" s="11" t="s">
        <v>105</v>
      </c>
      <c r="F349" s="11" t="s">
        <v>408</v>
      </c>
      <c r="G349" s="11" t="s">
        <v>78</v>
      </c>
      <c r="H349" s="11" t="s">
        <v>79</v>
      </c>
      <c r="I349" s="11" t="s">
        <v>78</v>
      </c>
      <c r="J349" s="12" t="n">
        <v>2721000</v>
      </c>
      <c r="K349" s="13" t="n">
        <f aca="false">IFERROR(J349/M349,"")</f>
        <v>0.112442662919955</v>
      </c>
      <c r="L349" s="12" t="n">
        <v>21478000</v>
      </c>
      <c r="M349" s="14" t="n">
        <f aca="false">L349+J349</f>
        <v>24199000</v>
      </c>
      <c r="N349" s="12" t="n">
        <v>4493000</v>
      </c>
      <c r="O349" s="12" t="n">
        <v>27164843</v>
      </c>
      <c r="P349" s="12" t="n">
        <v>2052335</v>
      </c>
      <c r="Q349" s="13" t="n">
        <f aca="false">IFERROR(P349/P348-1,"")</f>
        <v>0.160292038315047</v>
      </c>
      <c r="R349" s="12" t="n">
        <v>2320931</v>
      </c>
      <c r="S349" s="13" t="n">
        <f aca="false">IFERROR(R349/R348-1,"")</f>
        <v>0.187168480634921</v>
      </c>
      <c r="T349" s="12" t="n">
        <v>1623904</v>
      </c>
      <c r="U349" s="13" t="n">
        <f aca="false">IFERROR(T349/P349,"")</f>
        <v>0.791247043002239</v>
      </c>
      <c r="V349" s="14" t="n">
        <f aca="false">T349-AV349</f>
        <v>-1732650</v>
      </c>
      <c r="W349" s="14" t="n">
        <f aca="false">V349-AA349*0.1</f>
        <v>-1852750</v>
      </c>
      <c r="X349" s="12" t="n">
        <v>1795000</v>
      </c>
      <c r="Y349" s="12" t="n">
        <v>178000</v>
      </c>
      <c r="Z349" s="15" t="n">
        <f aca="false">IFERROR(X349/Y349,"")</f>
        <v>10.0842696629213</v>
      </c>
      <c r="AA349" s="12" t="n">
        <v>1201000</v>
      </c>
      <c r="AB349" s="14" t="n">
        <f aca="false">W349-0.02*P349</f>
        <v>-1893796.7</v>
      </c>
      <c r="AC349" s="16" t="n">
        <v>23</v>
      </c>
      <c r="AD349" s="13" t="n">
        <f aca="false">IFERROR(AC349/AC348-1,"")</f>
        <v>0.210526315789474</v>
      </c>
      <c r="AE349" s="17" t="n">
        <v>0.071</v>
      </c>
      <c r="AF349" s="17" t="n">
        <v>0.053</v>
      </c>
      <c r="AG349" s="13" t="n">
        <f aca="false">1-AF349</f>
        <v>0.947</v>
      </c>
      <c r="AH349" s="17" t="n">
        <v>1.128</v>
      </c>
      <c r="AI349" s="12" t="n">
        <v>70100</v>
      </c>
      <c r="AJ349" s="14" t="n">
        <f aca="false">IFERROR(AM349*U349*MIN(1/AE349,5),"")</f>
        <v>184518.810428122</v>
      </c>
      <c r="AK349" s="18" t="n">
        <f aca="false">IFERROR(AJ349/AI349,"")</f>
        <v>2.63222268799033</v>
      </c>
      <c r="AL349" s="15" t="n">
        <f aca="false">IFERROR(AI349/(AM349*U349/12),"")</f>
        <v>22.7944239952621</v>
      </c>
      <c r="AM349" s="12" t="n">
        <v>46640</v>
      </c>
      <c r="AN349" s="12" t="n">
        <v>2663193</v>
      </c>
      <c r="AO349" s="12" t="n">
        <v>6798391</v>
      </c>
      <c r="AP349" s="17" t="n">
        <v>0.329</v>
      </c>
      <c r="AQ349" s="16" t="n">
        <v>87</v>
      </c>
      <c r="AR349" s="16" t="n">
        <v>3</v>
      </c>
      <c r="AS349" s="13" t="n">
        <f aca="false">IFERROR(AR349/AR348-1,"")</f>
        <v>0</v>
      </c>
      <c r="AT349" s="11" t="s">
        <v>201</v>
      </c>
      <c r="AU349" s="14" t="n">
        <f aca="false">IFERROR(P349/AR349,"")</f>
        <v>684111.666666667</v>
      </c>
      <c r="AV349" s="12" t="n">
        <v>3356554</v>
      </c>
      <c r="AW349" s="12" t="n">
        <v>1096142</v>
      </c>
      <c r="AX349" s="12" t="n">
        <v>731694</v>
      </c>
      <c r="AY349" s="16" t="n">
        <v>19057</v>
      </c>
      <c r="AZ349" s="13" t="n">
        <f aca="false">IFERROR(AY349/AY348-1,"")</f>
        <v>0.251691297208539</v>
      </c>
      <c r="BA349" s="17" t="n">
        <v>0.938</v>
      </c>
      <c r="BB349" s="11" t="s">
        <v>161</v>
      </c>
      <c r="BC349" s="11" t="s">
        <v>108</v>
      </c>
      <c r="BD349" s="11" t="s">
        <v>175</v>
      </c>
      <c r="BE349" s="12" t="n">
        <v>2529195</v>
      </c>
      <c r="BF349" s="13" t="n">
        <f aca="false">IFERROR(P349/BE349-1,"")</f>
        <v>-0.188542204140053</v>
      </c>
      <c r="BG349" s="17" t="n">
        <v>-0.052</v>
      </c>
      <c r="BH349" s="17" t="n">
        <v>-0.03</v>
      </c>
      <c r="BI349" s="14" t="n">
        <f aca="false">P349*(1+IFERROR(Q349,0))^4</f>
        <v>3719782.10166422</v>
      </c>
      <c r="BJ349" s="12" t="n">
        <v>-2004170</v>
      </c>
      <c r="BK349" s="11" t="s">
        <v>102</v>
      </c>
      <c r="BL349" s="11" t="s">
        <v>162</v>
      </c>
      <c r="BM349" s="14" t="n">
        <f aca="false">O349</f>
        <v>27164843</v>
      </c>
      <c r="BN349" s="11" t="s">
        <v>409</v>
      </c>
      <c r="BO349" s="13" t="n">
        <f aca="false">IFERROR(1-L349/M349,"")</f>
        <v>0.112442662919955</v>
      </c>
      <c r="BP349" s="11" t="s">
        <v>198</v>
      </c>
      <c r="BQ349" s="12" t="n">
        <v>2739827</v>
      </c>
      <c r="BR349" s="11" t="s">
        <v>88</v>
      </c>
      <c r="BS349" s="11" t="s">
        <v>89</v>
      </c>
      <c r="BT349" s="19" t="str">
        <f aca="false">IF(OR(Z349&lt;6,AH349&lt;0.9,S349&lt;0.02,AK349&lt;1),"REVIEW",IF(AND(S349&gt;0.25,AH349&gt;1.2),"ACCELERATING","STABLE"))</f>
        <v>STABLE</v>
      </c>
    </row>
    <row r="350" customFormat="false" ht="15" hidden="false" customHeight="false" outlineLevel="0" collapsed="false">
      <c r="A350" s="3" t="s">
        <v>410</v>
      </c>
      <c r="B350" s="3" t="s">
        <v>73</v>
      </c>
      <c r="C350" s="3" t="s">
        <v>74</v>
      </c>
      <c r="D350" s="3" t="s">
        <v>95</v>
      </c>
      <c r="E350" s="3" t="s">
        <v>105</v>
      </c>
      <c r="F350" s="3" t="s">
        <v>411</v>
      </c>
      <c r="G350" s="3" t="s">
        <v>78</v>
      </c>
      <c r="H350" s="3" t="s">
        <v>79</v>
      </c>
      <c r="I350" s="3" t="s">
        <v>78</v>
      </c>
      <c r="J350" s="4" t="n">
        <v>3026000</v>
      </c>
      <c r="K350" s="5" t="n">
        <f aca="false">IFERROR(J350/M350,"")</f>
        <v>0.112893597970452</v>
      </c>
      <c r="L350" s="4" t="n">
        <v>23778000</v>
      </c>
      <c r="M350" s="6" t="n">
        <f aca="false">L350+J350</f>
        <v>26804000</v>
      </c>
      <c r="N350" s="4" t="n">
        <v>3026000</v>
      </c>
      <c r="O350" s="4" t="n">
        <v>31601430</v>
      </c>
      <c r="P350" s="4" t="n">
        <v>876851</v>
      </c>
      <c r="Q350" s="7"/>
      <c r="R350" s="4" t="n">
        <v>921442</v>
      </c>
      <c r="S350" s="7"/>
      <c r="T350" s="4" t="n">
        <v>498062</v>
      </c>
      <c r="U350" s="5" t="n">
        <f aca="false">IFERROR(T350/P350,"")</f>
        <v>0.568012125207133</v>
      </c>
      <c r="V350" s="6" t="n">
        <f aca="false">T350-AV350</f>
        <v>-2067265</v>
      </c>
      <c r="W350" s="6" t="n">
        <f aca="false">V350-AA350*0.1</f>
        <v>-2158365</v>
      </c>
      <c r="X350" s="4" t="n">
        <v>5518522</v>
      </c>
      <c r="Y350" s="4" t="n">
        <v>165620</v>
      </c>
      <c r="Z350" s="8" t="n">
        <f aca="false">IFERROR(X350/Y350,"")</f>
        <v>33.3203840115928</v>
      </c>
      <c r="AA350" s="4" t="n">
        <v>911000</v>
      </c>
      <c r="AB350" s="6" t="n">
        <f aca="false">W350-0.02*P350</f>
        <v>-2175902.02</v>
      </c>
      <c r="AC350" s="9" t="n">
        <v>31</v>
      </c>
      <c r="AD350" s="7"/>
      <c r="AE350" s="7" t="n">
        <v>0.087</v>
      </c>
      <c r="AF350" s="7" t="n">
        <v>0.055</v>
      </c>
      <c r="AG350" s="5" t="n">
        <f aca="false">1-AF350</f>
        <v>0.945</v>
      </c>
      <c r="AH350" s="7" t="n">
        <v>1.097</v>
      </c>
      <c r="AI350" s="4" t="n">
        <v>15158</v>
      </c>
      <c r="AJ350" s="6" t="n">
        <f aca="false">IFERROR(AM350*U350*MIN(1/AE350,5),"")</f>
        <v>45440.9700165707</v>
      </c>
      <c r="AK350" s="10" t="n">
        <f aca="false">IFERROR(AJ350/AI350,"")</f>
        <v>2.99782095372547</v>
      </c>
      <c r="AL350" s="8" t="n">
        <f aca="false">IFERROR(AI350/(AM350*U350/12),"")</f>
        <v>20.0145375344837</v>
      </c>
      <c r="AM350" s="4" t="n">
        <v>16000</v>
      </c>
      <c r="AN350" s="4" t="n">
        <v>896938</v>
      </c>
      <c r="AO350" s="4" t="n">
        <v>3585401</v>
      </c>
      <c r="AP350" s="7" t="n">
        <v>0.141</v>
      </c>
      <c r="AQ350" s="9" t="n">
        <v>61</v>
      </c>
      <c r="AR350" s="9" t="n">
        <v>3</v>
      </c>
      <c r="AS350" s="7"/>
      <c r="AT350" s="3" t="s">
        <v>201</v>
      </c>
      <c r="AU350" s="6" t="n">
        <f aca="false">IFERROR(P350/AR350,"")</f>
        <v>292283.666666667</v>
      </c>
      <c r="AV350" s="4" t="n">
        <v>2565327</v>
      </c>
      <c r="AW350" s="4" t="n">
        <v>1234991</v>
      </c>
      <c r="AX350" s="4" t="n">
        <v>798875</v>
      </c>
      <c r="AY350" s="9" t="n">
        <v>24305</v>
      </c>
      <c r="AZ350" s="7"/>
      <c r="BA350" s="7" t="n">
        <v>0.91</v>
      </c>
      <c r="BB350" s="3" t="s">
        <v>81</v>
      </c>
      <c r="BC350" s="3" t="s">
        <v>82</v>
      </c>
      <c r="BD350" s="3" t="s">
        <v>101</v>
      </c>
      <c r="BE350" s="4" t="n">
        <v>796930</v>
      </c>
      <c r="BF350" s="5" t="n">
        <f aca="false">IFERROR(P350/BE350-1,"")</f>
        <v>0.100286097900694</v>
      </c>
      <c r="BG350" s="7" t="n">
        <v>0.073</v>
      </c>
      <c r="BH350" s="7" t="n">
        <v>0.091</v>
      </c>
      <c r="BI350" s="6" t="n">
        <f aca="false">P350</f>
        <v>876851</v>
      </c>
      <c r="BJ350" s="4" t="n">
        <v>-1890751</v>
      </c>
      <c r="BK350" s="3" t="s">
        <v>110</v>
      </c>
      <c r="BL350" s="3" t="s">
        <v>128</v>
      </c>
      <c r="BM350" s="6" t="n">
        <f aca="false">O350</f>
        <v>31601430</v>
      </c>
      <c r="BN350" s="3" t="s">
        <v>412</v>
      </c>
      <c r="BO350" s="5" t="n">
        <f aca="false">IFERROR(1-L350/M350,"")</f>
        <v>0.112893597970452</v>
      </c>
      <c r="BP350" s="3" t="s">
        <v>198</v>
      </c>
      <c r="BQ350" s="4" t="n">
        <v>2907146</v>
      </c>
      <c r="BR350" s="3" t="s">
        <v>88</v>
      </c>
      <c r="BS350" s="3" t="s">
        <v>89</v>
      </c>
      <c r="BT350" s="3" t="s">
        <v>90</v>
      </c>
    </row>
    <row r="351" customFormat="false" ht="15" hidden="false" customHeight="false" outlineLevel="0" collapsed="false">
      <c r="A351" s="11" t="s">
        <v>410</v>
      </c>
      <c r="B351" s="11" t="s">
        <v>91</v>
      </c>
      <c r="C351" s="11" t="s">
        <v>74</v>
      </c>
      <c r="D351" s="11" t="s">
        <v>95</v>
      </c>
      <c r="E351" s="11" t="s">
        <v>105</v>
      </c>
      <c r="F351" s="11" t="s">
        <v>411</v>
      </c>
      <c r="G351" s="11" t="s">
        <v>78</v>
      </c>
      <c r="H351" s="11" t="s">
        <v>79</v>
      </c>
      <c r="I351" s="11" t="s">
        <v>78</v>
      </c>
      <c r="J351" s="12" t="n">
        <v>3026000</v>
      </c>
      <c r="K351" s="13" t="n">
        <f aca="false">IFERROR(J351/M351,"")</f>
        <v>0.112893597970452</v>
      </c>
      <c r="L351" s="12" t="n">
        <v>23778000</v>
      </c>
      <c r="M351" s="14" t="n">
        <f aca="false">L351+J351</f>
        <v>26804000</v>
      </c>
      <c r="N351" s="12" t="n">
        <v>3026000</v>
      </c>
      <c r="O351" s="12" t="n">
        <v>31601430</v>
      </c>
      <c r="P351" s="12" t="n">
        <v>1113529</v>
      </c>
      <c r="Q351" s="13" t="n">
        <f aca="false">IFERROR(P351/P350-1,"")</f>
        <v>0.269918150290072</v>
      </c>
      <c r="R351" s="12" t="n">
        <v>1113109</v>
      </c>
      <c r="S351" s="13" t="n">
        <f aca="false">IFERROR(R351/R350-1,"")</f>
        <v>0.208007666244864</v>
      </c>
      <c r="T351" s="12" t="n">
        <v>635059</v>
      </c>
      <c r="U351" s="13" t="n">
        <f aca="false">IFERROR(T351/P351,"")</f>
        <v>0.570312043961136</v>
      </c>
      <c r="V351" s="14" t="n">
        <f aca="false">T351-AV351</f>
        <v>-2152981</v>
      </c>
      <c r="W351" s="14" t="n">
        <f aca="false">V351-AA351*0.1</f>
        <v>-2244081</v>
      </c>
      <c r="X351" s="12" t="n">
        <v>5100832</v>
      </c>
      <c r="Y351" s="12" t="n">
        <v>171080</v>
      </c>
      <c r="Z351" s="15" t="n">
        <f aca="false">IFERROR(X351/Y351,"")</f>
        <v>29.8154781388824</v>
      </c>
      <c r="AA351" s="12" t="n">
        <v>911000</v>
      </c>
      <c r="AB351" s="14" t="n">
        <f aca="false">W351-0.02*P351</f>
        <v>-2266351.58</v>
      </c>
      <c r="AC351" s="16" t="n">
        <v>37</v>
      </c>
      <c r="AD351" s="13" t="n">
        <f aca="false">IFERROR(AC351/AC350-1,"")</f>
        <v>0.193548387096774</v>
      </c>
      <c r="AE351" s="17" t="n">
        <v>0.085</v>
      </c>
      <c r="AF351" s="17" t="n">
        <v>0.07</v>
      </c>
      <c r="AG351" s="13" t="n">
        <f aca="false">1-AF351</f>
        <v>0.93</v>
      </c>
      <c r="AH351" s="17" t="n">
        <v>1.092</v>
      </c>
      <c r="AI351" s="12" t="n">
        <v>14872</v>
      </c>
      <c r="AJ351" s="14" t="n">
        <f aca="false">IFERROR(AM351*U351*MIN(1/AE351,5),"")</f>
        <v>46537.4627872287</v>
      </c>
      <c r="AK351" s="18" t="n">
        <f aca="false">IFERROR(AJ351/AI351,"")</f>
        <v>3.12920002603743</v>
      </c>
      <c r="AL351" s="15" t="n">
        <f aca="false">IFERROR(AI351/(AM351*U351/12),"")</f>
        <v>19.1742296755568</v>
      </c>
      <c r="AM351" s="12" t="n">
        <v>16320</v>
      </c>
      <c r="AN351" s="12" t="n">
        <v>1311486</v>
      </c>
      <c r="AO351" s="12" t="n">
        <v>3474401</v>
      </c>
      <c r="AP351" s="17" t="n">
        <v>0.141</v>
      </c>
      <c r="AQ351" s="16" t="n">
        <v>61</v>
      </c>
      <c r="AR351" s="16" t="n">
        <v>3</v>
      </c>
      <c r="AS351" s="13" t="n">
        <f aca="false">IFERROR(AR351/AR350-1,"")</f>
        <v>0</v>
      </c>
      <c r="AT351" s="11" t="s">
        <v>201</v>
      </c>
      <c r="AU351" s="14" t="n">
        <f aca="false">IFERROR(P351/AR351,"")</f>
        <v>371176.333333333</v>
      </c>
      <c r="AV351" s="12" t="n">
        <v>2788040</v>
      </c>
      <c r="AW351" s="12" t="n">
        <v>910534</v>
      </c>
      <c r="AX351" s="12" t="n">
        <v>815404</v>
      </c>
      <c r="AY351" s="16" t="n">
        <v>28029</v>
      </c>
      <c r="AZ351" s="13" t="n">
        <f aca="false">IFERROR(AY351/AY350-1,"")</f>
        <v>0.153219502160049</v>
      </c>
      <c r="BA351" s="17" t="n">
        <v>0.933</v>
      </c>
      <c r="BB351" s="11" t="s">
        <v>81</v>
      </c>
      <c r="BC351" s="11" t="s">
        <v>82</v>
      </c>
      <c r="BD351" s="11" t="s">
        <v>101</v>
      </c>
      <c r="BE351" s="12" t="n">
        <v>1179529</v>
      </c>
      <c r="BF351" s="13" t="n">
        <f aca="false">IFERROR(P351/BE351-1,"")</f>
        <v>-0.055954537785845</v>
      </c>
      <c r="BG351" s="17" t="n">
        <v>-0.022</v>
      </c>
      <c r="BH351" s="17" t="n">
        <v>0.082</v>
      </c>
      <c r="BI351" s="14" t="n">
        <f aca="false">P351*(1+IFERROR(Q351,0))^4</f>
        <v>2896039.31656701</v>
      </c>
      <c r="BJ351" s="12" t="n">
        <v>-1421633</v>
      </c>
      <c r="BK351" s="11" t="s">
        <v>110</v>
      </c>
      <c r="BL351" s="11" t="s">
        <v>128</v>
      </c>
      <c r="BM351" s="14" t="n">
        <f aca="false">O351</f>
        <v>31601430</v>
      </c>
      <c r="BN351" s="11" t="s">
        <v>412</v>
      </c>
      <c r="BO351" s="13" t="n">
        <f aca="false">IFERROR(1-L351/M351,"")</f>
        <v>0.112893597970452</v>
      </c>
      <c r="BP351" s="11" t="s">
        <v>198</v>
      </c>
      <c r="BQ351" s="12" t="n">
        <v>3384512</v>
      </c>
      <c r="BR351" s="11" t="s">
        <v>88</v>
      </c>
      <c r="BS351" s="11" t="s">
        <v>89</v>
      </c>
      <c r="BT351" s="19" t="str">
        <f aca="false">IF(OR(Z351&lt;6,AH351&lt;0.9,S351&lt;0.02,AK351&lt;1),"REVIEW",IF(AND(S351&gt;0.25,AH351&gt;1.2),"ACCELERATING","STABLE"))</f>
        <v>STABLE</v>
      </c>
    </row>
    <row r="352" customFormat="false" ht="15" hidden="false" customHeight="false" outlineLevel="0" collapsed="false">
      <c r="A352" s="11" t="s">
        <v>410</v>
      </c>
      <c r="B352" s="11" t="s">
        <v>92</v>
      </c>
      <c r="C352" s="11" t="s">
        <v>74</v>
      </c>
      <c r="D352" s="11" t="s">
        <v>95</v>
      </c>
      <c r="E352" s="11" t="s">
        <v>105</v>
      </c>
      <c r="F352" s="11" t="s">
        <v>411</v>
      </c>
      <c r="G352" s="11" t="s">
        <v>78</v>
      </c>
      <c r="H352" s="11" t="s">
        <v>79</v>
      </c>
      <c r="I352" s="11" t="s">
        <v>78</v>
      </c>
      <c r="J352" s="12" t="n">
        <v>3026000</v>
      </c>
      <c r="K352" s="13" t="n">
        <f aca="false">IFERROR(J352/M352,"")</f>
        <v>0.112893597970452</v>
      </c>
      <c r="L352" s="12" t="n">
        <v>23778000</v>
      </c>
      <c r="M352" s="14" t="n">
        <f aca="false">L352+J352</f>
        <v>26804000</v>
      </c>
      <c r="N352" s="12" t="n">
        <v>3026000</v>
      </c>
      <c r="O352" s="12" t="n">
        <v>31601430</v>
      </c>
      <c r="P352" s="12" t="n">
        <v>1353152</v>
      </c>
      <c r="Q352" s="13" t="n">
        <f aca="false">IFERROR(P352/P351-1,"")</f>
        <v>0.215192419775327</v>
      </c>
      <c r="R352" s="12" t="n">
        <v>1294176</v>
      </c>
      <c r="S352" s="13" t="n">
        <f aca="false">IFERROR(R352/R351-1,"")</f>
        <v>0.162667807016204</v>
      </c>
      <c r="T352" s="12" t="n">
        <v>774831</v>
      </c>
      <c r="U352" s="13" t="n">
        <f aca="false">IFERROR(T352/P352,"")</f>
        <v>0.572611946034148</v>
      </c>
      <c r="V352" s="14" t="n">
        <f aca="false">T352-AV352</f>
        <v>-1640137</v>
      </c>
      <c r="W352" s="14" t="n">
        <f aca="false">V352-AA352*0.1</f>
        <v>-1731237</v>
      </c>
      <c r="X352" s="12" t="n">
        <v>4653658</v>
      </c>
      <c r="Y352" s="12" t="n">
        <v>176540</v>
      </c>
      <c r="Z352" s="15" t="n">
        <f aca="false">IFERROR(X352/Y352,"")</f>
        <v>26.3603602582984</v>
      </c>
      <c r="AA352" s="12" t="n">
        <v>911000</v>
      </c>
      <c r="AB352" s="14" t="n">
        <f aca="false">W352-0.02*P352</f>
        <v>-1758300.04</v>
      </c>
      <c r="AC352" s="16" t="n">
        <v>43</v>
      </c>
      <c r="AD352" s="13" t="n">
        <f aca="false">IFERROR(AC352/AC351-1,"")</f>
        <v>0.162162162162162</v>
      </c>
      <c r="AE352" s="17" t="n">
        <v>0.082</v>
      </c>
      <c r="AF352" s="17" t="n">
        <v>0.053</v>
      </c>
      <c r="AG352" s="13" t="n">
        <f aca="false">1-AF352</f>
        <v>0.947</v>
      </c>
      <c r="AH352" s="17" t="n">
        <v>1.087</v>
      </c>
      <c r="AI352" s="12" t="n">
        <v>14586</v>
      </c>
      <c r="AJ352" s="14" t="n">
        <f aca="false">IFERROR(AM352*U352*MIN(1/AE352,5),"")</f>
        <v>47641.3139100412</v>
      </c>
      <c r="AK352" s="18" t="n">
        <f aca="false">IFERROR(AJ352/AI352,"")</f>
        <v>3.26623569930352</v>
      </c>
      <c r="AL352" s="15" t="n">
        <f aca="false">IFERROR(AI352/(AM352*U352/12),"")</f>
        <v>18.3697704402637</v>
      </c>
      <c r="AM352" s="12" t="n">
        <v>16640</v>
      </c>
      <c r="AN352" s="12" t="n">
        <v>1808384</v>
      </c>
      <c r="AO352" s="12" t="n">
        <v>3579029</v>
      </c>
      <c r="AP352" s="17" t="n">
        <v>0.141</v>
      </c>
      <c r="AQ352" s="16" t="n">
        <v>61</v>
      </c>
      <c r="AR352" s="16" t="n">
        <v>3</v>
      </c>
      <c r="AS352" s="13" t="n">
        <f aca="false">IFERROR(AR352/AR351-1,"")</f>
        <v>0</v>
      </c>
      <c r="AT352" s="11" t="s">
        <v>201</v>
      </c>
      <c r="AU352" s="14" t="n">
        <f aca="false">IFERROR(P352/AR352,"")</f>
        <v>451050.666666667</v>
      </c>
      <c r="AV352" s="12" t="n">
        <v>2414968</v>
      </c>
      <c r="AW352" s="12" t="n">
        <v>1020076</v>
      </c>
      <c r="AX352" s="12" t="n">
        <v>435588</v>
      </c>
      <c r="AY352" s="16" t="n">
        <v>34572</v>
      </c>
      <c r="AZ352" s="13" t="n">
        <f aca="false">IFERROR(AY352/AY351-1,"")</f>
        <v>0.233436797602483</v>
      </c>
      <c r="BA352" s="17" t="n">
        <v>0.94</v>
      </c>
      <c r="BB352" s="11" t="s">
        <v>81</v>
      </c>
      <c r="BC352" s="11" t="s">
        <v>82</v>
      </c>
      <c r="BD352" s="11" t="s">
        <v>101</v>
      </c>
      <c r="BE352" s="12" t="n">
        <v>1645764</v>
      </c>
      <c r="BF352" s="13" t="n">
        <f aca="false">IFERROR(P352/BE352-1,"")</f>
        <v>-0.177797059602713</v>
      </c>
      <c r="BG352" s="17" t="n">
        <v>-0.056</v>
      </c>
      <c r="BH352" s="17" t="n">
        <v>-0.013</v>
      </c>
      <c r="BI352" s="14" t="n">
        <f aca="false">P352*(1+IFERROR(Q352,0))^4</f>
        <v>2950711.78286573</v>
      </c>
      <c r="BJ352" s="12" t="n">
        <v>-1882966</v>
      </c>
      <c r="BK352" s="11" t="s">
        <v>110</v>
      </c>
      <c r="BL352" s="11" t="s">
        <v>128</v>
      </c>
      <c r="BM352" s="14" t="n">
        <f aca="false">O352</f>
        <v>31601430</v>
      </c>
      <c r="BN352" s="11" t="s">
        <v>412</v>
      </c>
      <c r="BO352" s="13" t="n">
        <f aca="false">IFERROR(1-L352/M352,"")</f>
        <v>0.112893597970452</v>
      </c>
      <c r="BP352" s="11" t="s">
        <v>198</v>
      </c>
      <c r="BQ352" s="12" t="n">
        <v>3259539</v>
      </c>
      <c r="BR352" s="11" t="s">
        <v>88</v>
      </c>
      <c r="BS352" s="11" t="s">
        <v>89</v>
      </c>
      <c r="BT352" s="19" t="str">
        <f aca="false">IF(OR(Z352&lt;6,AH352&lt;0.9,S352&lt;0.02,AK352&lt;1),"REVIEW",IF(AND(S352&gt;0.25,AH352&gt;1.2),"ACCELERATING","STABLE"))</f>
        <v>STABLE</v>
      </c>
    </row>
    <row r="353" customFormat="false" ht="15" hidden="false" customHeight="false" outlineLevel="0" collapsed="false">
      <c r="A353" s="11" t="s">
        <v>410</v>
      </c>
      <c r="B353" s="11" t="s">
        <v>93</v>
      </c>
      <c r="C353" s="11" t="s">
        <v>74</v>
      </c>
      <c r="D353" s="11" t="s">
        <v>95</v>
      </c>
      <c r="E353" s="11" t="s">
        <v>105</v>
      </c>
      <c r="F353" s="11" t="s">
        <v>411</v>
      </c>
      <c r="G353" s="11" t="s">
        <v>78</v>
      </c>
      <c r="H353" s="11" t="s">
        <v>79</v>
      </c>
      <c r="I353" s="11" t="s">
        <v>78</v>
      </c>
      <c r="J353" s="12" t="n">
        <v>3026000</v>
      </c>
      <c r="K353" s="13" t="n">
        <f aca="false">IFERROR(J353/M353,"")</f>
        <v>0.112893597970452</v>
      </c>
      <c r="L353" s="12" t="n">
        <v>23778000</v>
      </c>
      <c r="M353" s="14" t="n">
        <f aca="false">L353+J353</f>
        <v>26804000</v>
      </c>
      <c r="N353" s="12" t="n">
        <v>3026000</v>
      </c>
      <c r="O353" s="12" t="n">
        <v>31601430</v>
      </c>
      <c r="P353" s="12" t="n">
        <v>1605439</v>
      </c>
      <c r="Q353" s="13" t="n">
        <f aca="false">IFERROR(P353/P352-1,"")</f>
        <v>0.186443947169276</v>
      </c>
      <c r="R353" s="12" t="n">
        <v>1673273</v>
      </c>
      <c r="S353" s="13" t="n">
        <f aca="false">IFERROR(R353/R352-1,"")</f>
        <v>0.292925382637292</v>
      </c>
      <c r="T353" s="12" t="n">
        <v>922985</v>
      </c>
      <c r="U353" s="13" t="n">
        <f aca="false">IFERROR(T353/P353,"")</f>
        <v>0.574911285947333</v>
      </c>
      <c r="V353" s="14" t="n">
        <f aca="false">T353-AV353</f>
        <v>-1925469</v>
      </c>
      <c r="W353" s="14" t="n">
        <f aca="false">V353-AA353*0.1</f>
        <v>-2016569</v>
      </c>
      <c r="X353" s="12" t="n">
        <v>4177000</v>
      </c>
      <c r="Y353" s="12" t="n">
        <v>182000</v>
      </c>
      <c r="Z353" s="15" t="n">
        <f aca="false">IFERROR(X353/Y353,"")</f>
        <v>22.9505494505495</v>
      </c>
      <c r="AA353" s="12" t="n">
        <v>911000</v>
      </c>
      <c r="AB353" s="14" t="n">
        <f aca="false">W353-0.02*P353</f>
        <v>-2048677.78</v>
      </c>
      <c r="AC353" s="16" t="n">
        <v>47</v>
      </c>
      <c r="AD353" s="13" t="n">
        <f aca="false">IFERROR(AC353/AC352-1,"")</f>
        <v>0.0930232558139534</v>
      </c>
      <c r="AE353" s="17" t="n">
        <v>0.08</v>
      </c>
      <c r="AF353" s="17" t="n">
        <v>0.055</v>
      </c>
      <c r="AG353" s="13" t="n">
        <f aca="false">1-AF353</f>
        <v>0.945</v>
      </c>
      <c r="AH353" s="17" t="n">
        <v>1.082</v>
      </c>
      <c r="AI353" s="12" t="n">
        <v>14300</v>
      </c>
      <c r="AJ353" s="14" t="n">
        <f aca="false">IFERROR(AM353*U353*MIN(1/AE353,5),"")</f>
        <v>48752.4770483338</v>
      </c>
      <c r="AK353" s="18" t="n">
        <f aca="false">IFERROR(AJ353/AI353,"")</f>
        <v>3.40926412925411</v>
      </c>
      <c r="AL353" s="15" t="n">
        <f aca="false">IFERROR(AI353/(AM353*U353/12),"")</f>
        <v>17.5991057674745</v>
      </c>
      <c r="AM353" s="12" t="n">
        <v>16960</v>
      </c>
      <c r="AN353" s="12" t="n">
        <v>2151474</v>
      </c>
      <c r="AO353" s="12" t="n">
        <v>6526951</v>
      </c>
      <c r="AP353" s="17" t="n">
        <v>0.141</v>
      </c>
      <c r="AQ353" s="16" t="n">
        <v>61</v>
      </c>
      <c r="AR353" s="16" t="n">
        <v>3</v>
      </c>
      <c r="AS353" s="13" t="n">
        <f aca="false">IFERROR(AR353/AR352-1,"")</f>
        <v>0</v>
      </c>
      <c r="AT353" s="11" t="s">
        <v>201</v>
      </c>
      <c r="AU353" s="14" t="n">
        <f aca="false">IFERROR(P353/AR353,"")</f>
        <v>535146.333333333</v>
      </c>
      <c r="AV353" s="12" t="n">
        <v>2848454</v>
      </c>
      <c r="AW353" s="12" t="n">
        <v>1000383</v>
      </c>
      <c r="AX353" s="12" t="n">
        <v>632384</v>
      </c>
      <c r="AY353" s="16" t="n">
        <v>40790</v>
      </c>
      <c r="AZ353" s="13" t="n">
        <f aca="false">IFERROR(AY353/AY352-1,"")</f>
        <v>0.179856531297003</v>
      </c>
      <c r="BA353" s="17" t="n">
        <v>0.933</v>
      </c>
      <c r="BB353" s="11" t="s">
        <v>81</v>
      </c>
      <c r="BC353" s="11" t="s">
        <v>82</v>
      </c>
      <c r="BD353" s="11" t="s">
        <v>101</v>
      </c>
      <c r="BE353" s="12" t="n">
        <v>1982994</v>
      </c>
      <c r="BF353" s="13" t="n">
        <f aca="false">IFERROR(P353/BE353-1,"")</f>
        <v>-0.19039644093729</v>
      </c>
      <c r="BG353" s="17" t="n">
        <v>0.056</v>
      </c>
      <c r="BH353" s="17" t="n">
        <v>0.023</v>
      </c>
      <c r="BI353" s="14" t="n">
        <f aca="false">P353*(1+IFERROR(Q353,0))^4</f>
        <v>3181139.46162386</v>
      </c>
      <c r="BJ353" s="12" t="n">
        <v>-1363611</v>
      </c>
      <c r="BK353" s="11" t="s">
        <v>110</v>
      </c>
      <c r="BL353" s="11" t="s">
        <v>128</v>
      </c>
      <c r="BM353" s="14" t="n">
        <f aca="false">O353</f>
        <v>31601430</v>
      </c>
      <c r="BN353" s="11" t="s">
        <v>412</v>
      </c>
      <c r="BO353" s="13" t="n">
        <f aca="false">IFERROR(1-L353/M353,"")</f>
        <v>0.112893597970452</v>
      </c>
      <c r="BP353" s="11" t="s">
        <v>198</v>
      </c>
      <c r="BQ353" s="12" t="n">
        <v>3124385</v>
      </c>
      <c r="BR353" s="11" t="s">
        <v>88</v>
      </c>
      <c r="BS353" s="11" t="s">
        <v>89</v>
      </c>
      <c r="BT353" s="19" t="str">
        <f aca="false">IF(OR(Z353&lt;6,AH353&lt;0.9,S353&lt;0.02,AK353&lt;1),"REVIEW",IF(AND(S353&gt;0.25,AH353&gt;1.2),"ACCELERATING","STABLE"))</f>
        <v>STABLE</v>
      </c>
    </row>
    <row r="354" customFormat="false" ht="15" hidden="false" customHeight="false" outlineLevel="0" collapsed="false">
      <c r="A354" s="3" t="s">
        <v>413</v>
      </c>
      <c r="B354" s="3" t="s">
        <v>73</v>
      </c>
      <c r="C354" s="3" t="s">
        <v>74</v>
      </c>
      <c r="D354" s="3" t="s">
        <v>115</v>
      </c>
      <c r="E354" s="3" t="s">
        <v>414</v>
      </c>
      <c r="F354" s="3" t="s">
        <v>415</v>
      </c>
      <c r="G354" s="3" t="s">
        <v>78</v>
      </c>
      <c r="H354" s="3" t="s">
        <v>79</v>
      </c>
      <c r="I354" s="3" t="s">
        <v>78</v>
      </c>
      <c r="J354" s="4" t="n">
        <v>4061000</v>
      </c>
      <c r="K354" s="5" t="n">
        <f aca="false">IFERROR(J354/M354,"")</f>
        <v>0.196107784431138</v>
      </c>
      <c r="L354" s="4" t="n">
        <v>16647000</v>
      </c>
      <c r="M354" s="6" t="n">
        <f aca="false">L354+J354</f>
        <v>20708000</v>
      </c>
      <c r="N354" s="4" t="n">
        <v>7336000</v>
      </c>
      <c r="O354" s="4" t="n">
        <v>19991708</v>
      </c>
      <c r="P354" s="4" t="n">
        <v>888130</v>
      </c>
      <c r="Q354" s="7"/>
      <c r="R354" s="4" t="n">
        <v>1068759</v>
      </c>
      <c r="S354" s="7"/>
      <c r="T354" s="4" t="n">
        <v>619059</v>
      </c>
      <c r="U354" s="5" t="n">
        <f aca="false">IFERROR(T354/P354,"")</f>
        <v>0.697036469886165</v>
      </c>
      <c r="V354" s="6" t="n">
        <f aca="false">T354-AV354</f>
        <v>-948604</v>
      </c>
      <c r="W354" s="6" t="n">
        <f aca="false">V354-AA354*0.1</f>
        <v>-948604</v>
      </c>
      <c r="X354" s="4" t="n">
        <v>2460294</v>
      </c>
      <c r="Y354" s="4" t="n">
        <v>103740</v>
      </c>
      <c r="Z354" s="8" t="n">
        <f aca="false">IFERROR(X354/Y354,"")</f>
        <v>23.715962984384</v>
      </c>
      <c r="AA354" s="4" t="n">
        <v>0</v>
      </c>
      <c r="AB354" s="6" t="n">
        <f aca="false">W354-0.02*P354</f>
        <v>-966366.6</v>
      </c>
      <c r="AC354" s="9" t="n">
        <v>10</v>
      </c>
      <c r="AD354" s="7"/>
      <c r="AE354" s="7" t="n">
        <v>0.131</v>
      </c>
      <c r="AF354" s="7" t="n">
        <v>0.108</v>
      </c>
      <c r="AG354" s="5" t="n">
        <f aca="false">1-AF354</f>
        <v>0.892</v>
      </c>
      <c r="AH354" s="7" t="n">
        <v>1.075</v>
      </c>
      <c r="AI354" s="4" t="n">
        <v>34026</v>
      </c>
      <c r="AJ354" s="6" t="n">
        <f aca="false">IFERROR(AM354*U354*MIN(1/AE354,5),"")</f>
        <v>90614.7410852015</v>
      </c>
      <c r="AK354" s="10" t="n">
        <f aca="false">IFERROR(AJ354/AI354,"")</f>
        <v>2.66310295318878</v>
      </c>
      <c r="AL354" s="8" t="n">
        <f aca="false">IFERROR(AI354/(AM354*U354/12),"")</f>
        <v>22.5301090700066</v>
      </c>
      <c r="AM354" s="4" t="n">
        <v>26000</v>
      </c>
      <c r="AN354" s="4" t="n">
        <v>1235346</v>
      </c>
      <c r="AO354" s="4" t="n">
        <v>2929146</v>
      </c>
      <c r="AP354" s="7" t="n">
        <v>0.182</v>
      </c>
      <c r="AQ354" s="9" t="n">
        <v>39</v>
      </c>
      <c r="AR354" s="9" t="n">
        <v>3</v>
      </c>
      <c r="AS354" s="7"/>
      <c r="AT354" s="3" t="s">
        <v>80</v>
      </c>
      <c r="AU354" s="6" t="n">
        <f aca="false">IFERROR(P354/AR354,"")</f>
        <v>296043.333333333</v>
      </c>
      <c r="AV354" s="4" t="n">
        <v>1567663</v>
      </c>
      <c r="AW354" s="4" t="n">
        <v>699689</v>
      </c>
      <c r="AX354" s="4" t="n">
        <v>507429</v>
      </c>
      <c r="AY354" s="9" t="n">
        <v>9425</v>
      </c>
      <c r="AZ354" s="7"/>
      <c r="BA354" s="7" t="n">
        <v>0.857</v>
      </c>
      <c r="BB354" s="3" t="s">
        <v>81</v>
      </c>
      <c r="BC354" s="3" t="s">
        <v>82</v>
      </c>
      <c r="BD354" s="3" t="s">
        <v>157</v>
      </c>
      <c r="BE354" s="4" t="n">
        <v>885733</v>
      </c>
      <c r="BF354" s="5" t="n">
        <f aca="false">IFERROR(P354/BE354-1,"")</f>
        <v>0.00270623314249319</v>
      </c>
      <c r="BG354" s="7" t="n">
        <v>0.036</v>
      </c>
      <c r="BH354" s="7" t="n">
        <v>-0.03</v>
      </c>
      <c r="BI354" s="6" t="n">
        <f aca="false">P354</f>
        <v>888130</v>
      </c>
      <c r="BJ354" s="4" t="n">
        <v>-838071</v>
      </c>
      <c r="BK354" s="3" t="s">
        <v>110</v>
      </c>
      <c r="BL354" s="3" t="s">
        <v>162</v>
      </c>
      <c r="BM354" s="6" t="n">
        <f aca="false">O354</f>
        <v>19991708</v>
      </c>
      <c r="BN354" s="3" t="s">
        <v>416</v>
      </c>
      <c r="BO354" s="5" t="n">
        <f aca="false">IFERROR(1-L354/M354,"")</f>
        <v>0.196107784431138</v>
      </c>
      <c r="BP354" s="3" t="s">
        <v>142</v>
      </c>
      <c r="BQ354" s="4" t="n">
        <v>1563952</v>
      </c>
      <c r="BR354" s="3" t="s">
        <v>88</v>
      </c>
      <c r="BS354" s="3" t="s">
        <v>89</v>
      </c>
      <c r="BT354" s="3" t="s">
        <v>90</v>
      </c>
    </row>
    <row r="355" customFormat="false" ht="15" hidden="false" customHeight="false" outlineLevel="0" collapsed="false">
      <c r="A355" s="11" t="s">
        <v>413</v>
      </c>
      <c r="B355" s="11" t="s">
        <v>91</v>
      </c>
      <c r="C355" s="11" t="s">
        <v>74</v>
      </c>
      <c r="D355" s="11" t="s">
        <v>115</v>
      </c>
      <c r="E355" s="11" t="s">
        <v>414</v>
      </c>
      <c r="F355" s="11" t="s">
        <v>415</v>
      </c>
      <c r="G355" s="11" t="s">
        <v>78</v>
      </c>
      <c r="H355" s="11" t="s">
        <v>79</v>
      </c>
      <c r="I355" s="11" t="s">
        <v>78</v>
      </c>
      <c r="J355" s="12" t="n">
        <v>4061000</v>
      </c>
      <c r="K355" s="13" t="n">
        <f aca="false">IFERROR(J355/M355,"")</f>
        <v>0.196107784431138</v>
      </c>
      <c r="L355" s="12" t="n">
        <v>16647000</v>
      </c>
      <c r="M355" s="14" t="n">
        <f aca="false">L355+J355</f>
        <v>20708000</v>
      </c>
      <c r="N355" s="12" t="n">
        <v>7336000</v>
      </c>
      <c r="O355" s="12" t="n">
        <v>19991708</v>
      </c>
      <c r="P355" s="12" t="n">
        <v>1194973</v>
      </c>
      <c r="Q355" s="13" t="n">
        <f aca="false">IFERROR(P355/P354-1,"")</f>
        <v>0.345493339938973</v>
      </c>
      <c r="R355" s="12" t="n">
        <v>1309599</v>
      </c>
      <c r="S355" s="13" t="n">
        <f aca="false">IFERROR(R355/R354-1,"")</f>
        <v>0.225345470774983</v>
      </c>
      <c r="T355" s="12" t="n">
        <v>836312</v>
      </c>
      <c r="U355" s="13" t="n">
        <f aca="false">IFERROR(T355/P355,"")</f>
        <v>0.699858490526564</v>
      </c>
      <c r="V355" s="14" t="n">
        <f aca="false">T355-AV355</f>
        <v>-1291910</v>
      </c>
      <c r="W355" s="14" t="n">
        <f aca="false">V355-AA355*0.1</f>
        <v>-1291910</v>
      </c>
      <c r="X355" s="12" t="n">
        <v>2198664</v>
      </c>
      <c r="Y355" s="12" t="n">
        <v>107160</v>
      </c>
      <c r="Z355" s="15" t="n">
        <f aca="false">IFERROR(X355/Y355,"")</f>
        <v>20.5175811870101</v>
      </c>
      <c r="AA355" s="12" t="n">
        <v>0</v>
      </c>
      <c r="AB355" s="14" t="n">
        <f aca="false">W355-0.02*P355</f>
        <v>-1315809.46</v>
      </c>
      <c r="AC355" s="16" t="n">
        <v>12</v>
      </c>
      <c r="AD355" s="13" t="n">
        <f aca="false">IFERROR(AC355/AC354-1,"")</f>
        <v>0.2</v>
      </c>
      <c r="AE355" s="17" t="n">
        <v>0.127</v>
      </c>
      <c r="AF355" s="17" t="n">
        <v>0.127</v>
      </c>
      <c r="AG355" s="13" t="n">
        <f aca="false">1-AF355</f>
        <v>0.873</v>
      </c>
      <c r="AH355" s="17" t="n">
        <v>1.07</v>
      </c>
      <c r="AI355" s="12" t="n">
        <v>33384</v>
      </c>
      <c r="AJ355" s="14" t="n">
        <f aca="false">IFERROR(AM355*U355*MIN(1/AE355,5),"")</f>
        <v>92801.2358438224</v>
      </c>
      <c r="AK355" s="18" t="n">
        <f aca="false">IFERROR(AJ355/AI355,"")</f>
        <v>2.77981176143729</v>
      </c>
      <c r="AL355" s="15" t="n">
        <f aca="false">IFERROR(AI355/(AM355*U355/12),"")</f>
        <v>21.5841953157926</v>
      </c>
      <c r="AM355" s="12" t="n">
        <v>26520</v>
      </c>
      <c r="AN355" s="12" t="n">
        <v>1427578</v>
      </c>
      <c r="AO355" s="12" t="n">
        <v>3955850</v>
      </c>
      <c r="AP355" s="17" t="n">
        <v>0.182</v>
      </c>
      <c r="AQ355" s="16" t="n">
        <v>39</v>
      </c>
      <c r="AR355" s="16" t="n">
        <v>3</v>
      </c>
      <c r="AS355" s="13" t="n">
        <f aca="false">IFERROR(AR355/AR354-1,"")</f>
        <v>0</v>
      </c>
      <c r="AT355" s="11" t="s">
        <v>80</v>
      </c>
      <c r="AU355" s="14" t="n">
        <f aca="false">IFERROR(P355/AR355,"")</f>
        <v>398324.333333333</v>
      </c>
      <c r="AV355" s="12" t="n">
        <v>2128222</v>
      </c>
      <c r="AW355" s="12" t="n">
        <v>746245</v>
      </c>
      <c r="AX355" s="12" t="n">
        <v>499973</v>
      </c>
      <c r="AY355" s="16" t="n">
        <v>11641</v>
      </c>
      <c r="AZ355" s="13" t="n">
        <f aca="false">IFERROR(AY355/AY354-1,"")</f>
        <v>0.235119363395226</v>
      </c>
      <c r="BA355" s="17" t="n">
        <v>0.886</v>
      </c>
      <c r="BB355" s="11" t="s">
        <v>81</v>
      </c>
      <c r="BC355" s="11" t="s">
        <v>82</v>
      </c>
      <c r="BD355" s="11" t="s">
        <v>157</v>
      </c>
      <c r="BE355" s="12" t="n">
        <v>1424314</v>
      </c>
      <c r="BF355" s="13" t="n">
        <f aca="false">IFERROR(P355/BE355-1,"")</f>
        <v>-0.161018567534968</v>
      </c>
      <c r="BG355" s="17" t="n">
        <v>-0.005</v>
      </c>
      <c r="BH355" s="17" t="n">
        <v>-0.05</v>
      </c>
      <c r="BI355" s="14" t="n">
        <f aca="false">P355*(1+IFERROR(Q355,0))^4</f>
        <v>3916375.29411843</v>
      </c>
      <c r="BJ355" s="12" t="n">
        <v>-1236107</v>
      </c>
      <c r="BK355" s="11" t="s">
        <v>110</v>
      </c>
      <c r="BL355" s="11" t="s">
        <v>162</v>
      </c>
      <c r="BM355" s="14" t="n">
        <f aca="false">O355</f>
        <v>19991708</v>
      </c>
      <c r="BN355" s="11" t="s">
        <v>416</v>
      </c>
      <c r="BO355" s="13" t="n">
        <f aca="false">IFERROR(1-L355/M355,"")</f>
        <v>0.196107784431138</v>
      </c>
      <c r="BP355" s="11" t="s">
        <v>142</v>
      </c>
      <c r="BQ355" s="12" t="n">
        <v>1391373</v>
      </c>
      <c r="BR355" s="11" t="s">
        <v>88</v>
      </c>
      <c r="BS355" s="11" t="s">
        <v>89</v>
      </c>
      <c r="BT355" s="19" t="str">
        <f aca="false">IF(OR(Z355&lt;6,AH355&lt;0.9,S355&lt;0.02,AK355&lt;1),"REVIEW",IF(AND(S355&gt;0.25,AH355&gt;1.2),"ACCELERATING","STABLE"))</f>
        <v>STABLE</v>
      </c>
    </row>
    <row r="356" customFormat="false" ht="15" hidden="false" customHeight="false" outlineLevel="0" collapsed="false">
      <c r="A356" s="11" t="s">
        <v>413</v>
      </c>
      <c r="B356" s="11" t="s">
        <v>92</v>
      </c>
      <c r="C356" s="11" t="s">
        <v>74</v>
      </c>
      <c r="D356" s="11" t="s">
        <v>115</v>
      </c>
      <c r="E356" s="11" t="s">
        <v>414</v>
      </c>
      <c r="F356" s="11" t="s">
        <v>415</v>
      </c>
      <c r="G356" s="11" t="s">
        <v>78</v>
      </c>
      <c r="H356" s="11" t="s">
        <v>79</v>
      </c>
      <c r="I356" s="11" t="s">
        <v>78</v>
      </c>
      <c r="J356" s="12" t="n">
        <v>4061000</v>
      </c>
      <c r="K356" s="13" t="n">
        <f aca="false">IFERROR(J356/M356,"")</f>
        <v>0.196107784431138</v>
      </c>
      <c r="L356" s="12" t="n">
        <v>16647000</v>
      </c>
      <c r="M356" s="14" t="n">
        <f aca="false">L356+J356</f>
        <v>20708000</v>
      </c>
      <c r="N356" s="12" t="n">
        <v>7336000</v>
      </c>
      <c r="O356" s="12" t="n">
        <v>19991708</v>
      </c>
      <c r="P356" s="12" t="n">
        <v>1362664</v>
      </c>
      <c r="Q356" s="13" t="n">
        <f aca="false">IFERROR(P356/P355-1,"")</f>
        <v>0.140330367297002</v>
      </c>
      <c r="R356" s="12" t="n">
        <v>1773956</v>
      </c>
      <c r="S356" s="13" t="n">
        <f aca="false">IFERROR(R356/R355-1,"")</f>
        <v>0.354579531597077</v>
      </c>
      <c r="T356" s="12" t="n">
        <v>957517</v>
      </c>
      <c r="U356" s="13" t="n">
        <f aca="false">IFERROR(T356/P356,"")</f>
        <v>0.702680191154973</v>
      </c>
      <c r="V356" s="14" t="n">
        <f aca="false">T356-AV356</f>
        <v>-1025944</v>
      </c>
      <c r="W356" s="14" t="n">
        <f aca="false">V356-AA356*0.1</f>
        <v>-1025944</v>
      </c>
      <c r="X356" s="12" t="n">
        <v>1918566</v>
      </c>
      <c r="Y356" s="12" t="n">
        <v>110580</v>
      </c>
      <c r="Z356" s="15" t="n">
        <f aca="false">IFERROR(X356/Y356,"")</f>
        <v>17.3500271296799</v>
      </c>
      <c r="AA356" s="12" t="n">
        <v>0</v>
      </c>
      <c r="AB356" s="14" t="n">
        <f aca="false">W356-0.02*P356</f>
        <v>-1053197.28</v>
      </c>
      <c r="AC356" s="16" t="n">
        <v>13</v>
      </c>
      <c r="AD356" s="13" t="n">
        <f aca="false">IFERROR(AC356/AC355-1,"")</f>
        <v>0.0833333333333333</v>
      </c>
      <c r="AE356" s="17" t="n">
        <v>0.124</v>
      </c>
      <c r="AF356" s="17" t="n">
        <v>0.119</v>
      </c>
      <c r="AG356" s="13" t="n">
        <f aca="false">1-AF356</f>
        <v>0.881</v>
      </c>
      <c r="AH356" s="17" t="n">
        <v>1.065</v>
      </c>
      <c r="AI356" s="12" t="n">
        <v>32742</v>
      </c>
      <c r="AJ356" s="14" t="n">
        <f aca="false">IFERROR(AM356*U356*MIN(1/AE356,5),"")</f>
        <v>95002.3618441523</v>
      </c>
      <c r="AK356" s="18" t="n">
        <f aca="false">IFERROR(AJ356/AI356,"")</f>
        <v>2.90154425032534</v>
      </c>
      <c r="AL356" s="15" t="n">
        <f aca="false">IFERROR(AI356/(AM356*U356/12),"")</f>
        <v>20.6786437922745</v>
      </c>
      <c r="AM356" s="12" t="n">
        <v>27040</v>
      </c>
      <c r="AN356" s="12" t="n">
        <v>2549598</v>
      </c>
      <c r="AO356" s="12" t="n">
        <v>6241507</v>
      </c>
      <c r="AP356" s="17" t="n">
        <v>0.182</v>
      </c>
      <c r="AQ356" s="16" t="n">
        <v>39</v>
      </c>
      <c r="AR356" s="16" t="n">
        <v>4</v>
      </c>
      <c r="AS356" s="13" t="n">
        <f aca="false">IFERROR(AR356/AR355-1,"")</f>
        <v>0.333333333333333</v>
      </c>
      <c r="AT356" s="11" t="s">
        <v>80</v>
      </c>
      <c r="AU356" s="14" t="n">
        <f aca="false">IFERROR(P356/AR356,"")</f>
        <v>340666</v>
      </c>
      <c r="AV356" s="12" t="n">
        <v>1983461</v>
      </c>
      <c r="AW356" s="12" t="n">
        <v>797681</v>
      </c>
      <c r="AX356" s="12" t="n">
        <v>638781</v>
      </c>
      <c r="AY356" s="16" t="n">
        <v>14196</v>
      </c>
      <c r="AZ356" s="13" t="n">
        <f aca="false">IFERROR(AY356/AY355-1,"")</f>
        <v>0.219482862297054</v>
      </c>
      <c r="BA356" s="17" t="n">
        <v>0.874</v>
      </c>
      <c r="BB356" s="11" t="s">
        <v>81</v>
      </c>
      <c r="BC356" s="11" t="s">
        <v>82</v>
      </c>
      <c r="BD356" s="11" t="s">
        <v>157</v>
      </c>
      <c r="BE356" s="12" t="n">
        <v>1619247</v>
      </c>
      <c r="BF356" s="13" t="n">
        <f aca="false">IFERROR(P356/BE356-1,"")</f>
        <v>-0.158458221630178</v>
      </c>
      <c r="BG356" s="17" t="n">
        <v>0.087</v>
      </c>
      <c r="BH356" s="17" t="n">
        <v>-0.032</v>
      </c>
      <c r="BI356" s="14" t="n">
        <f aca="false">P356*(1+IFERROR(Q356,0))^4</f>
        <v>2304154.21105941</v>
      </c>
      <c r="BJ356" s="12" t="n">
        <v>-804539</v>
      </c>
      <c r="BK356" s="11" t="s">
        <v>110</v>
      </c>
      <c r="BL356" s="11" t="s">
        <v>162</v>
      </c>
      <c r="BM356" s="14" t="n">
        <f aca="false">O356</f>
        <v>19991708</v>
      </c>
      <c r="BN356" s="11" t="s">
        <v>416</v>
      </c>
      <c r="BO356" s="13" t="n">
        <f aca="false">IFERROR(1-L356/M356,"")</f>
        <v>0.196107784431138</v>
      </c>
      <c r="BP356" s="11" t="s">
        <v>142</v>
      </c>
      <c r="BQ356" s="12" t="n">
        <v>1911201</v>
      </c>
      <c r="BR356" s="11" t="s">
        <v>88</v>
      </c>
      <c r="BS356" s="11" t="s">
        <v>89</v>
      </c>
      <c r="BT356" s="19" t="str">
        <f aca="false">IF(OR(Z356&lt;6,AH356&lt;0.9,S356&lt;0.02,AK356&lt;1),"REVIEW",IF(AND(S356&gt;0.25,AH356&gt;1.2),"ACCELERATING","STABLE"))</f>
        <v>STABLE</v>
      </c>
    </row>
    <row r="357" customFormat="false" ht="15" hidden="false" customHeight="false" outlineLevel="0" collapsed="false">
      <c r="A357" s="11" t="s">
        <v>413</v>
      </c>
      <c r="B357" s="11" t="s">
        <v>93</v>
      </c>
      <c r="C357" s="11" t="s">
        <v>74</v>
      </c>
      <c r="D357" s="11" t="s">
        <v>115</v>
      </c>
      <c r="E357" s="11" t="s">
        <v>414</v>
      </c>
      <c r="F357" s="11" t="s">
        <v>415</v>
      </c>
      <c r="G357" s="11" t="s">
        <v>78</v>
      </c>
      <c r="H357" s="11" t="s">
        <v>79</v>
      </c>
      <c r="I357" s="11" t="s">
        <v>78</v>
      </c>
      <c r="J357" s="12" t="n">
        <v>4061000</v>
      </c>
      <c r="K357" s="13" t="n">
        <f aca="false">IFERROR(J357/M357,"")</f>
        <v>0.196107784431138</v>
      </c>
      <c r="L357" s="12" t="n">
        <v>16647000</v>
      </c>
      <c r="M357" s="14" t="n">
        <f aca="false">L357+J357</f>
        <v>20708000</v>
      </c>
      <c r="N357" s="12" t="n">
        <v>7336000</v>
      </c>
      <c r="O357" s="12" t="n">
        <v>19991708</v>
      </c>
      <c r="P357" s="12" t="n">
        <v>1717161</v>
      </c>
      <c r="Q357" s="13" t="n">
        <f aca="false">IFERROR(P357/P356-1,"")</f>
        <v>0.260149970939278</v>
      </c>
      <c r="R357" s="12" t="n">
        <v>2014494</v>
      </c>
      <c r="S357" s="13" t="n">
        <f aca="false">IFERROR(R357/R356-1,"")</f>
        <v>0.135594118456151</v>
      </c>
      <c r="T357" s="12" t="n">
        <v>1211461</v>
      </c>
      <c r="U357" s="13" t="n">
        <f aca="false">IFERROR(T357/P357,"")</f>
        <v>0.705502279634816</v>
      </c>
      <c r="V357" s="14" t="n">
        <f aca="false">T357-AV357</f>
        <v>-1287733</v>
      </c>
      <c r="W357" s="14" t="n">
        <f aca="false">V357-AA357*0.1</f>
        <v>-1287733</v>
      </c>
      <c r="X357" s="12" t="n">
        <v>1620000</v>
      </c>
      <c r="Y357" s="12" t="n">
        <v>114000</v>
      </c>
      <c r="Z357" s="15" t="n">
        <f aca="false">IFERROR(X357/Y357,"")</f>
        <v>14.2105263157895</v>
      </c>
      <c r="AA357" s="12" t="n">
        <v>0</v>
      </c>
      <c r="AB357" s="14" t="n">
        <f aca="false">W357-0.02*P357</f>
        <v>-1322076.22</v>
      </c>
      <c r="AC357" s="16" t="n">
        <v>16</v>
      </c>
      <c r="AD357" s="13" t="n">
        <f aca="false">IFERROR(AC357/AC356-1,"")</f>
        <v>0.230769230769231</v>
      </c>
      <c r="AE357" s="17" t="n">
        <v>0.12</v>
      </c>
      <c r="AF357" s="17" t="n">
        <v>0.127</v>
      </c>
      <c r="AG357" s="13" t="n">
        <f aca="false">1-AF357</f>
        <v>0.873</v>
      </c>
      <c r="AH357" s="17" t="n">
        <v>1.06</v>
      </c>
      <c r="AI357" s="12" t="n">
        <v>32100</v>
      </c>
      <c r="AJ357" s="14" t="n">
        <f aca="false">IFERROR(AM357*U357*MIN(1/AE357,5),"")</f>
        <v>97218.2141336776</v>
      </c>
      <c r="AK357" s="18" t="n">
        <f aca="false">IFERROR(AJ357/AI357,"")</f>
        <v>3.0286048016722</v>
      </c>
      <c r="AL357" s="15" t="n">
        <f aca="false">IFERROR(AI357/(AM357*U357/12),"")</f>
        <v>19.8111024478571</v>
      </c>
      <c r="AM357" s="12" t="n">
        <v>27560</v>
      </c>
      <c r="AN357" s="12" t="n">
        <v>2078665</v>
      </c>
      <c r="AO357" s="12" t="n">
        <v>7884741</v>
      </c>
      <c r="AP357" s="17" t="n">
        <v>0.182</v>
      </c>
      <c r="AQ357" s="16" t="n">
        <v>39</v>
      </c>
      <c r="AR357" s="16" t="n">
        <v>4</v>
      </c>
      <c r="AS357" s="13" t="n">
        <f aca="false">IFERROR(AR357/AR356-1,"")</f>
        <v>0</v>
      </c>
      <c r="AT357" s="11" t="s">
        <v>80</v>
      </c>
      <c r="AU357" s="14" t="n">
        <f aca="false">IFERROR(P357/AR357,"")</f>
        <v>429290.25</v>
      </c>
      <c r="AV357" s="12" t="n">
        <v>2499194</v>
      </c>
      <c r="AW357" s="12" t="n">
        <v>1023894</v>
      </c>
      <c r="AX357" s="12" t="n">
        <v>663647</v>
      </c>
      <c r="AY357" s="16" t="n">
        <v>16959</v>
      </c>
      <c r="AZ357" s="13" t="n">
        <f aca="false">IFERROR(AY357/AY356-1,"")</f>
        <v>0.194632290786137</v>
      </c>
      <c r="BA357" s="17" t="n">
        <v>0.895</v>
      </c>
      <c r="BB357" s="11" t="s">
        <v>81</v>
      </c>
      <c r="BC357" s="11" t="s">
        <v>82</v>
      </c>
      <c r="BD357" s="11" t="s">
        <v>157</v>
      </c>
      <c r="BE357" s="12" t="n">
        <v>2018284</v>
      </c>
      <c r="BF357" s="13" t="n">
        <f aca="false">IFERROR(P357/BE357-1,"")</f>
        <v>-0.149197536124748</v>
      </c>
      <c r="BG357" s="17" t="n">
        <v>0.018</v>
      </c>
      <c r="BH357" s="17" t="n">
        <v>-0.062</v>
      </c>
      <c r="BI357" s="14" t="n">
        <f aca="false">P357*(1+IFERROR(Q357,0))^4</f>
        <v>4330120.19141517</v>
      </c>
      <c r="BJ357" s="12" t="n">
        <v>-957624</v>
      </c>
      <c r="BK357" s="11" t="s">
        <v>110</v>
      </c>
      <c r="BL357" s="11" t="s">
        <v>162</v>
      </c>
      <c r="BM357" s="14" t="n">
        <f aca="false">O357</f>
        <v>19991708</v>
      </c>
      <c r="BN357" s="11" t="s">
        <v>416</v>
      </c>
      <c r="BO357" s="13" t="n">
        <f aca="false">IFERROR(1-L357/M357,"")</f>
        <v>0.196107784431138</v>
      </c>
      <c r="BP357" s="11" t="s">
        <v>142</v>
      </c>
      <c r="BQ357" s="12" t="n">
        <v>2070797</v>
      </c>
      <c r="BR357" s="11" t="s">
        <v>88</v>
      </c>
      <c r="BS357" s="11" t="s">
        <v>89</v>
      </c>
      <c r="BT357" s="19" t="str">
        <f aca="false">IF(OR(Z357&lt;6,AH357&lt;0.9,S357&lt;0.02,AK357&lt;1),"REVIEW",IF(AND(S357&gt;0.25,AH357&gt;1.2),"ACCELERATING","STABLE"))</f>
        <v>STABLE</v>
      </c>
    </row>
    <row r="358" customFormat="false" ht="15" hidden="false" customHeight="false" outlineLevel="0" collapsed="false">
      <c r="A358" s="3" t="s">
        <v>417</v>
      </c>
      <c r="B358" s="3" t="s">
        <v>73</v>
      </c>
      <c r="C358" s="3" t="s">
        <v>74</v>
      </c>
      <c r="D358" s="3" t="s">
        <v>210</v>
      </c>
      <c r="E358" s="3" t="s">
        <v>105</v>
      </c>
      <c r="F358" s="3" t="s">
        <v>418</v>
      </c>
      <c r="G358" s="3" t="s">
        <v>78</v>
      </c>
      <c r="H358" s="3" t="s">
        <v>79</v>
      </c>
      <c r="I358" s="3" t="s">
        <v>78</v>
      </c>
      <c r="J358" s="4" t="n">
        <v>4418000</v>
      </c>
      <c r="K358" s="5" t="n">
        <f aca="false">IFERROR(J358/M358,"")</f>
        <v>0.147981912577458</v>
      </c>
      <c r="L358" s="4" t="n">
        <v>25437000</v>
      </c>
      <c r="M358" s="6" t="n">
        <f aca="false">L358+J358</f>
        <v>29855000</v>
      </c>
      <c r="N358" s="4" t="n">
        <v>7747000</v>
      </c>
      <c r="O358" s="4" t="n">
        <v>61899530</v>
      </c>
      <c r="P358" s="4" t="n">
        <v>361613</v>
      </c>
      <c r="Q358" s="7"/>
      <c r="R358" s="4" t="n">
        <v>439504</v>
      </c>
      <c r="S358" s="7"/>
      <c r="T358" s="4" t="n">
        <v>275127</v>
      </c>
      <c r="U358" s="5" t="n">
        <f aca="false">IFERROR(T358/P358,"")</f>
        <v>0.760832713425679</v>
      </c>
      <c r="V358" s="6" t="n">
        <f aca="false">T358-AV358</f>
        <v>-1173370</v>
      </c>
      <c r="W358" s="6" t="n">
        <f aca="false">V358-AA358*0.1</f>
        <v>-1311170</v>
      </c>
      <c r="X358" s="4" t="n">
        <v>3513552</v>
      </c>
      <c r="Y358" s="4" t="n">
        <v>101920</v>
      </c>
      <c r="Z358" s="8" t="n">
        <f aca="false">IFERROR(X358/Y358,"")</f>
        <v>34.4736263736264</v>
      </c>
      <c r="AA358" s="4" t="n">
        <v>1378000</v>
      </c>
      <c r="AB358" s="6" t="n">
        <f aca="false">W358-0.02*P358</f>
        <v>-1318402.26</v>
      </c>
      <c r="AC358" s="9" t="n">
        <v>32</v>
      </c>
      <c r="AD358" s="7"/>
      <c r="AE358" s="7" t="n">
        <v>0.071</v>
      </c>
      <c r="AF358" s="7" t="n">
        <v>0.06</v>
      </c>
      <c r="AG358" s="5" t="n">
        <f aca="false">1-AF358</f>
        <v>0.94</v>
      </c>
      <c r="AH358" s="7" t="n">
        <v>1.134</v>
      </c>
      <c r="AI358" s="4" t="n">
        <v>58194</v>
      </c>
      <c r="AJ358" s="6" t="n">
        <f aca="false">IFERROR(AM358*U358*MIN(1/AE358,5),"")</f>
        <v>129341.561282365</v>
      </c>
      <c r="AK358" s="10" t="n">
        <f aca="false">IFERROR(AJ358/AI358,"")</f>
        <v>2.22259272918798</v>
      </c>
      <c r="AL358" s="8" t="n">
        <f aca="false">IFERROR(AI358/(AM358*U358/12),"")</f>
        <v>26.9954990907942</v>
      </c>
      <c r="AM358" s="4" t="n">
        <v>34000</v>
      </c>
      <c r="AN358" s="4" t="n">
        <v>606888</v>
      </c>
      <c r="AO358" s="4" t="n">
        <v>923067</v>
      </c>
      <c r="AP358" s="7" t="n">
        <v>0.198</v>
      </c>
      <c r="AQ358" s="9" t="n">
        <v>81</v>
      </c>
      <c r="AR358" s="9" t="n">
        <v>2</v>
      </c>
      <c r="AS358" s="7"/>
      <c r="AT358" s="3" t="s">
        <v>201</v>
      </c>
      <c r="AU358" s="6" t="n">
        <f aca="false">IFERROR(P358/AR358,"")</f>
        <v>180806.5</v>
      </c>
      <c r="AV358" s="4" t="n">
        <v>1448497</v>
      </c>
      <c r="AW358" s="4" t="n">
        <v>539691</v>
      </c>
      <c r="AX358" s="4" t="n">
        <v>287643</v>
      </c>
      <c r="AY358" s="9" t="n">
        <v>4423</v>
      </c>
      <c r="AZ358" s="7"/>
      <c r="BA358" s="7" t="n">
        <v>0.93</v>
      </c>
      <c r="BB358" s="3" t="s">
        <v>81</v>
      </c>
      <c r="BC358" s="3" t="s">
        <v>126</v>
      </c>
      <c r="BD358" s="3" t="s">
        <v>157</v>
      </c>
      <c r="BE358" s="4" t="n">
        <v>433113</v>
      </c>
      <c r="BF358" s="5" t="n">
        <f aca="false">IFERROR(P358/BE358-1,"")</f>
        <v>-0.165083938833515</v>
      </c>
      <c r="BG358" s="7" t="n">
        <v>-0.003</v>
      </c>
      <c r="BH358" s="7" t="n">
        <v>-0.058</v>
      </c>
      <c r="BI358" s="6" t="n">
        <f aca="false">P358</f>
        <v>361613</v>
      </c>
      <c r="BJ358" s="4" t="n">
        <v>-866362</v>
      </c>
      <c r="BK358" s="3" t="s">
        <v>127</v>
      </c>
      <c r="BL358" s="3" t="s">
        <v>162</v>
      </c>
      <c r="BM358" s="6" t="n">
        <f aca="false">O358</f>
        <v>61899530</v>
      </c>
      <c r="BN358" s="3" t="s">
        <v>419</v>
      </c>
      <c r="BO358" s="5" t="n">
        <f aca="false">IFERROR(1-L358/M358,"")</f>
        <v>0.147981912577458</v>
      </c>
      <c r="BP358" s="3" t="s">
        <v>142</v>
      </c>
      <c r="BQ358" s="4" t="n">
        <v>1456451</v>
      </c>
      <c r="BR358" s="3" t="s">
        <v>88</v>
      </c>
      <c r="BS358" s="3" t="s">
        <v>89</v>
      </c>
      <c r="BT358" s="3" t="s">
        <v>90</v>
      </c>
    </row>
    <row r="359" customFormat="false" ht="15" hidden="false" customHeight="false" outlineLevel="0" collapsed="false">
      <c r="A359" s="11" t="s">
        <v>417</v>
      </c>
      <c r="B359" s="11" t="s">
        <v>91</v>
      </c>
      <c r="C359" s="11" t="s">
        <v>74</v>
      </c>
      <c r="D359" s="11" t="s">
        <v>210</v>
      </c>
      <c r="E359" s="11" t="s">
        <v>105</v>
      </c>
      <c r="F359" s="11" t="s">
        <v>418</v>
      </c>
      <c r="G359" s="11" t="s">
        <v>78</v>
      </c>
      <c r="H359" s="11" t="s">
        <v>79</v>
      </c>
      <c r="I359" s="11" t="s">
        <v>78</v>
      </c>
      <c r="J359" s="12" t="n">
        <v>4418000</v>
      </c>
      <c r="K359" s="13" t="n">
        <f aca="false">IFERROR(J359/M359,"")</f>
        <v>0.147981912577458</v>
      </c>
      <c r="L359" s="12" t="n">
        <v>25437000</v>
      </c>
      <c r="M359" s="14" t="n">
        <f aca="false">L359+J359</f>
        <v>29855000</v>
      </c>
      <c r="N359" s="12" t="n">
        <v>7747000</v>
      </c>
      <c r="O359" s="12" t="n">
        <v>61899530</v>
      </c>
      <c r="P359" s="12" t="n">
        <v>461927</v>
      </c>
      <c r="Q359" s="13" t="n">
        <f aca="false">IFERROR(P359/P358-1,"")</f>
        <v>0.277407062246103</v>
      </c>
      <c r="R359" s="12" t="n">
        <v>545969</v>
      </c>
      <c r="S359" s="13" t="n">
        <f aca="false">IFERROR(R359/R358-1,"")</f>
        <v>0.242238978484838</v>
      </c>
      <c r="T359" s="12" t="n">
        <v>352871</v>
      </c>
      <c r="U359" s="13" t="n">
        <f aca="false">IFERROR(T359/P359,"")</f>
        <v>0.763910747802142</v>
      </c>
      <c r="V359" s="14" t="n">
        <f aca="false">T359-AV359</f>
        <v>-1016039</v>
      </c>
      <c r="W359" s="14" t="n">
        <f aca="false">V359-AA359*0.1</f>
        <v>-1153839</v>
      </c>
      <c r="X359" s="12" t="n">
        <v>3256512</v>
      </c>
      <c r="Y359" s="12" t="n">
        <v>105280</v>
      </c>
      <c r="Z359" s="15" t="n">
        <f aca="false">IFERROR(X359/Y359,"")</f>
        <v>30.931914893617</v>
      </c>
      <c r="AA359" s="12" t="n">
        <v>1378000</v>
      </c>
      <c r="AB359" s="14" t="n">
        <f aca="false">W359-0.02*P359</f>
        <v>-1163077.54</v>
      </c>
      <c r="AC359" s="16" t="n">
        <v>35</v>
      </c>
      <c r="AD359" s="13" t="n">
        <f aca="false">IFERROR(AC359/AC358-1,"")</f>
        <v>0.09375</v>
      </c>
      <c r="AE359" s="17" t="n">
        <v>0.069</v>
      </c>
      <c r="AF359" s="17" t="n">
        <v>0.064</v>
      </c>
      <c r="AG359" s="13" t="n">
        <f aca="false">1-AF359</f>
        <v>0.936</v>
      </c>
      <c r="AH359" s="17" t="n">
        <v>1.129</v>
      </c>
      <c r="AI359" s="12" t="n">
        <v>57096</v>
      </c>
      <c r="AJ359" s="14" t="n">
        <f aca="false">IFERROR(AM359*U359*MIN(1/AE359,5),"")</f>
        <v>132462.123668891</v>
      </c>
      <c r="AK359" s="18" t="n">
        <f aca="false">IFERROR(AJ359/AI359,"")</f>
        <v>2.31998955564123</v>
      </c>
      <c r="AL359" s="15" t="n">
        <f aca="false">IFERROR(AI359/(AM359*U359/12),"")</f>
        <v>25.8621853939409</v>
      </c>
      <c r="AM359" s="12" t="n">
        <v>34680</v>
      </c>
      <c r="AN359" s="12" t="n">
        <v>519231</v>
      </c>
      <c r="AO359" s="12" t="n">
        <v>919311</v>
      </c>
      <c r="AP359" s="17" t="n">
        <v>0.198</v>
      </c>
      <c r="AQ359" s="16" t="n">
        <v>81</v>
      </c>
      <c r="AR359" s="16" t="n">
        <v>2</v>
      </c>
      <c r="AS359" s="13" t="n">
        <f aca="false">IFERROR(AR359/AR358-1,"")</f>
        <v>0</v>
      </c>
      <c r="AT359" s="11" t="s">
        <v>201</v>
      </c>
      <c r="AU359" s="14" t="n">
        <f aca="false">IFERROR(P359/AR359,"")</f>
        <v>230963.5</v>
      </c>
      <c r="AV359" s="12" t="n">
        <v>1368910</v>
      </c>
      <c r="AW359" s="12" t="n">
        <v>435274</v>
      </c>
      <c r="AX359" s="12" t="n">
        <v>411404</v>
      </c>
      <c r="AY359" s="16" t="n">
        <v>5316</v>
      </c>
      <c r="AZ359" s="13" t="n">
        <f aca="false">IFERROR(AY359/AY358-1,"")</f>
        <v>0.201899163463712</v>
      </c>
      <c r="BA359" s="17" t="n">
        <v>0.947</v>
      </c>
      <c r="BB359" s="11" t="s">
        <v>81</v>
      </c>
      <c r="BC359" s="11" t="s">
        <v>126</v>
      </c>
      <c r="BD359" s="11" t="s">
        <v>157</v>
      </c>
      <c r="BE359" s="12" t="n">
        <v>474190</v>
      </c>
      <c r="BF359" s="13" t="n">
        <f aca="false">IFERROR(P359/BE359-1,"")</f>
        <v>-0.0258609418165714</v>
      </c>
      <c r="BG359" s="17" t="n">
        <v>0.052</v>
      </c>
      <c r="BH359" s="17" t="n">
        <v>-0.051</v>
      </c>
      <c r="BI359" s="14" t="n">
        <f aca="false">P359*(1+IFERROR(Q359,0))^4</f>
        <v>1229958.89966092</v>
      </c>
      <c r="BJ359" s="12" t="n">
        <v>-741996</v>
      </c>
      <c r="BK359" s="11" t="s">
        <v>127</v>
      </c>
      <c r="BL359" s="11" t="s">
        <v>162</v>
      </c>
      <c r="BM359" s="14" t="n">
        <f aca="false">O359</f>
        <v>61899530</v>
      </c>
      <c r="BN359" s="11" t="s">
        <v>419</v>
      </c>
      <c r="BO359" s="13" t="n">
        <f aca="false">IFERROR(1-L359/M359,"")</f>
        <v>0.147981912577458</v>
      </c>
      <c r="BP359" s="11" t="s">
        <v>142</v>
      </c>
      <c r="BQ359" s="12" t="n">
        <v>1563563</v>
      </c>
      <c r="BR359" s="11" t="s">
        <v>88</v>
      </c>
      <c r="BS359" s="11" t="s">
        <v>89</v>
      </c>
      <c r="BT359" s="19" t="str">
        <f aca="false">IF(OR(Z359&lt;6,AH359&lt;0.9,S359&lt;0.02,AK359&lt;1),"REVIEW",IF(AND(S359&gt;0.25,AH359&gt;1.2),"ACCELERATING","STABLE"))</f>
        <v>STABLE</v>
      </c>
    </row>
    <row r="360" customFormat="false" ht="15" hidden="false" customHeight="false" outlineLevel="0" collapsed="false">
      <c r="A360" s="11" t="s">
        <v>417</v>
      </c>
      <c r="B360" s="11" t="s">
        <v>92</v>
      </c>
      <c r="C360" s="11" t="s">
        <v>74</v>
      </c>
      <c r="D360" s="11" t="s">
        <v>210</v>
      </c>
      <c r="E360" s="11" t="s">
        <v>105</v>
      </c>
      <c r="F360" s="11" t="s">
        <v>418</v>
      </c>
      <c r="G360" s="11" t="s">
        <v>78</v>
      </c>
      <c r="H360" s="11" t="s">
        <v>79</v>
      </c>
      <c r="I360" s="11" t="s">
        <v>78</v>
      </c>
      <c r="J360" s="12" t="n">
        <v>4418000</v>
      </c>
      <c r="K360" s="13" t="n">
        <f aca="false">IFERROR(J360/M360,"")</f>
        <v>0.147981912577458</v>
      </c>
      <c r="L360" s="12" t="n">
        <v>25437000</v>
      </c>
      <c r="M360" s="14" t="n">
        <f aca="false">L360+J360</f>
        <v>29855000</v>
      </c>
      <c r="N360" s="12" t="n">
        <v>7747000</v>
      </c>
      <c r="O360" s="12" t="n">
        <v>61899530</v>
      </c>
      <c r="P360" s="12" t="n">
        <v>564729</v>
      </c>
      <c r="Q360" s="13" t="n">
        <f aca="false">IFERROR(P360/P359-1,"")</f>
        <v>0.222550316391984</v>
      </c>
      <c r="R360" s="12" t="n">
        <v>642143</v>
      </c>
      <c r="S360" s="13" t="n">
        <f aca="false">IFERROR(R360/R359-1,"")</f>
        <v>0.176152858495629</v>
      </c>
      <c r="T360" s="12" t="n">
        <v>433143</v>
      </c>
      <c r="U360" s="13" t="n">
        <f aca="false">IFERROR(T360/P360,"")</f>
        <v>0.766992663737828</v>
      </c>
      <c r="V360" s="14" t="n">
        <f aca="false">T360-AV360</f>
        <v>-1266069</v>
      </c>
      <c r="W360" s="14" t="n">
        <f aca="false">V360-AA360*0.1</f>
        <v>-1403869</v>
      </c>
      <c r="X360" s="12" t="n">
        <v>2981328</v>
      </c>
      <c r="Y360" s="12" t="n">
        <v>108640</v>
      </c>
      <c r="Z360" s="15" t="n">
        <f aca="false">IFERROR(X360/Y360,"")</f>
        <v>27.4422680412371</v>
      </c>
      <c r="AA360" s="12" t="n">
        <v>1378000</v>
      </c>
      <c r="AB360" s="14" t="n">
        <f aca="false">W360-0.02*P360</f>
        <v>-1415163.58</v>
      </c>
      <c r="AC360" s="16" t="n">
        <v>45</v>
      </c>
      <c r="AD360" s="13" t="n">
        <f aca="false">IFERROR(AC360/AC359-1,"")</f>
        <v>0.285714285714286</v>
      </c>
      <c r="AE360" s="17" t="n">
        <v>0.067</v>
      </c>
      <c r="AF360" s="17" t="n">
        <v>0.06</v>
      </c>
      <c r="AG360" s="13" t="n">
        <f aca="false">1-AF360</f>
        <v>0.94</v>
      </c>
      <c r="AH360" s="17" t="n">
        <v>1.124</v>
      </c>
      <c r="AI360" s="12" t="n">
        <v>55998</v>
      </c>
      <c r="AJ360" s="14" t="n">
        <f aca="false">IFERROR(AM360*U360*MIN(1/AE360,5),"")</f>
        <v>135604.302948848</v>
      </c>
      <c r="AK360" s="18" t="n">
        <f aca="false">IFERROR(AJ360/AI360,"")</f>
        <v>2.42159189522569</v>
      </c>
      <c r="AL360" s="15" t="n">
        <f aca="false">IFERROR(AI360/(AM360*U360/12),"")</f>
        <v>24.7770898631985</v>
      </c>
      <c r="AM360" s="12" t="n">
        <v>35360</v>
      </c>
      <c r="AN360" s="12" t="n">
        <v>582590</v>
      </c>
      <c r="AO360" s="12" t="n">
        <v>1053524</v>
      </c>
      <c r="AP360" s="17" t="n">
        <v>0.198</v>
      </c>
      <c r="AQ360" s="16" t="n">
        <v>81</v>
      </c>
      <c r="AR360" s="16" t="n">
        <v>2</v>
      </c>
      <c r="AS360" s="13" t="n">
        <f aca="false">IFERROR(AR360/AR359-1,"")</f>
        <v>0</v>
      </c>
      <c r="AT360" s="11" t="s">
        <v>201</v>
      </c>
      <c r="AU360" s="14" t="n">
        <f aca="false">IFERROR(P360/AR360,"")</f>
        <v>282364.5</v>
      </c>
      <c r="AV360" s="12" t="n">
        <v>1699212</v>
      </c>
      <c r="AW360" s="12" t="n">
        <v>736492</v>
      </c>
      <c r="AX360" s="12" t="n">
        <v>441586</v>
      </c>
      <c r="AY360" s="16" t="n">
        <v>5991</v>
      </c>
      <c r="AZ360" s="13" t="n">
        <f aca="false">IFERROR(AY360/AY359-1,"")</f>
        <v>0.126975169300226</v>
      </c>
      <c r="BA360" s="17" t="n">
        <v>0.933</v>
      </c>
      <c r="BB360" s="11" t="s">
        <v>81</v>
      </c>
      <c r="BC360" s="11" t="s">
        <v>126</v>
      </c>
      <c r="BD360" s="11" t="s">
        <v>157</v>
      </c>
      <c r="BE360" s="12" t="n">
        <v>530789</v>
      </c>
      <c r="BF360" s="13" t="n">
        <f aca="false">IFERROR(P360/BE360-1,"")</f>
        <v>0.0639425459080727</v>
      </c>
      <c r="BG360" s="17" t="n">
        <v>-0.009</v>
      </c>
      <c r="BH360" s="17" t="n">
        <v>0.027</v>
      </c>
      <c r="BI360" s="14" t="n">
        <f aca="false">P360*(1+IFERROR(Q360,0))^4</f>
        <v>1261557.52882974</v>
      </c>
      <c r="BJ360" s="12" t="n">
        <v>-1221905</v>
      </c>
      <c r="BK360" s="11" t="s">
        <v>127</v>
      </c>
      <c r="BL360" s="11" t="s">
        <v>162</v>
      </c>
      <c r="BM360" s="14" t="n">
        <f aca="false">O360</f>
        <v>61899530</v>
      </c>
      <c r="BN360" s="11" t="s">
        <v>419</v>
      </c>
      <c r="BO360" s="13" t="n">
        <f aca="false">IFERROR(1-L360/M360,"")</f>
        <v>0.147981912577458</v>
      </c>
      <c r="BP360" s="11" t="s">
        <v>142</v>
      </c>
      <c r="BQ360" s="12" t="n">
        <v>1530666</v>
      </c>
      <c r="BR360" s="11" t="s">
        <v>88</v>
      </c>
      <c r="BS360" s="11" t="s">
        <v>89</v>
      </c>
      <c r="BT360" s="19" t="str">
        <f aca="false">IF(OR(Z360&lt;6,AH360&lt;0.9,S360&lt;0.02,AK360&lt;1),"REVIEW",IF(AND(S360&gt;0.25,AH360&gt;1.2),"ACCELERATING","STABLE"))</f>
        <v>STABLE</v>
      </c>
    </row>
    <row r="361" customFormat="false" ht="15" hidden="false" customHeight="false" outlineLevel="0" collapsed="false">
      <c r="A361" s="11" t="s">
        <v>417</v>
      </c>
      <c r="B361" s="11" t="s">
        <v>93</v>
      </c>
      <c r="C361" s="11" t="s">
        <v>74</v>
      </c>
      <c r="D361" s="11" t="s">
        <v>210</v>
      </c>
      <c r="E361" s="11" t="s">
        <v>105</v>
      </c>
      <c r="F361" s="11" t="s">
        <v>418</v>
      </c>
      <c r="G361" s="11" t="s">
        <v>78</v>
      </c>
      <c r="H361" s="11" t="s">
        <v>79</v>
      </c>
      <c r="I361" s="11" t="s">
        <v>78</v>
      </c>
      <c r="J361" s="12" t="n">
        <v>4418000</v>
      </c>
      <c r="K361" s="13" t="n">
        <f aca="false">IFERROR(J361/M361,"")</f>
        <v>0.147981912577458</v>
      </c>
      <c r="L361" s="12" t="n">
        <v>25437000</v>
      </c>
      <c r="M361" s="14" t="n">
        <f aca="false">L361+J361</f>
        <v>29855000</v>
      </c>
      <c r="N361" s="12" t="n">
        <v>7747000</v>
      </c>
      <c r="O361" s="12" t="n">
        <v>61899530</v>
      </c>
      <c r="P361" s="12" t="n">
        <v>697099</v>
      </c>
      <c r="Q361" s="13" t="n">
        <f aca="false">IFERROR(P361/P360-1,"")</f>
        <v>0.234395612762936</v>
      </c>
      <c r="R361" s="12" t="n">
        <v>835859</v>
      </c>
      <c r="S361" s="13" t="n">
        <f aca="false">IFERROR(R361/R360-1,"")</f>
        <v>0.301671123098749</v>
      </c>
      <c r="T361" s="12" t="n">
        <v>536817</v>
      </c>
      <c r="U361" s="13" t="n">
        <f aca="false">IFERROR(T361/P361,"")</f>
        <v>0.770072830401421</v>
      </c>
      <c r="V361" s="14" t="n">
        <f aca="false">T361-AV361</f>
        <v>-1239325</v>
      </c>
      <c r="W361" s="14" t="n">
        <f aca="false">V361-AA361*0.1</f>
        <v>-1377125</v>
      </c>
      <c r="X361" s="12" t="n">
        <v>2688000</v>
      </c>
      <c r="Y361" s="12" t="n">
        <v>112000</v>
      </c>
      <c r="Z361" s="15" t="n">
        <f aca="false">IFERROR(X361/Y361,"")</f>
        <v>24</v>
      </c>
      <c r="AA361" s="12" t="n">
        <v>1378000</v>
      </c>
      <c r="AB361" s="14" t="n">
        <f aca="false">W361-0.02*P361</f>
        <v>-1391066.98</v>
      </c>
      <c r="AC361" s="16" t="n">
        <v>52</v>
      </c>
      <c r="AD361" s="13" t="n">
        <f aca="false">IFERROR(AC361/AC360-1,"")</f>
        <v>0.155555555555555</v>
      </c>
      <c r="AE361" s="17" t="n">
        <v>0.065</v>
      </c>
      <c r="AF361" s="17" t="n">
        <v>0.062</v>
      </c>
      <c r="AG361" s="13" t="n">
        <f aca="false">1-AF361</f>
        <v>0.938</v>
      </c>
      <c r="AH361" s="17" t="n">
        <v>1.119</v>
      </c>
      <c r="AI361" s="12" t="n">
        <v>54900</v>
      </c>
      <c r="AJ361" s="14" t="n">
        <f aca="false">IFERROR(AM361*U361*MIN(1/AE361,5),"")</f>
        <v>138767.124038336</v>
      </c>
      <c r="AK361" s="18" t="n">
        <f aca="false">IFERROR(AJ361/AI361,"")</f>
        <v>2.52763431763818</v>
      </c>
      <c r="AL361" s="15" t="n">
        <f aca="false">IFERROR(AI361/(AM361*U361/12),"")</f>
        <v>23.7376109278592</v>
      </c>
      <c r="AM361" s="12" t="n">
        <v>36040</v>
      </c>
      <c r="AN361" s="12" t="n">
        <v>767019</v>
      </c>
      <c r="AO361" s="12" t="n">
        <v>1796920</v>
      </c>
      <c r="AP361" s="17" t="n">
        <v>0.198</v>
      </c>
      <c r="AQ361" s="16" t="n">
        <v>81</v>
      </c>
      <c r="AR361" s="16" t="n">
        <v>2</v>
      </c>
      <c r="AS361" s="13" t="n">
        <f aca="false">IFERROR(AR361/AR360-1,"")</f>
        <v>0</v>
      </c>
      <c r="AT361" s="11" t="s">
        <v>201</v>
      </c>
      <c r="AU361" s="14" t="n">
        <f aca="false">IFERROR(P361/AR361,"")</f>
        <v>348549.5</v>
      </c>
      <c r="AV361" s="12" t="n">
        <v>1776142</v>
      </c>
      <c r="AW361" s="12" t="n">
        <v>753684</v>
      </c>
      <c r="AX361" s="12" t="n">
        <v>320408</v>
      </c>
      <c r="AY361" s="16" t="n">
        <v>7390</v>
      </c>
      <c r="AZ361" s="13" t="n">
        <f aca="false">IFERROR(AY361/AY360-1,"")</f>
        <v>0.233516942079786</v>
      </c>
      <c r="BA361" s="17" t="n">
        <v>0.952</v>
      </c>
      <c r="BB361" s="11" t="s">
        <v>81</v>
      </c>
      <c r="BC361" s="11" t="s">
        <v>126</v>
      </c>
      <c r="BD361" s="11" t="s">
        <v>157</v>
      </c>
      <c r="BE361" s="12" t="n">
        <v>867168</v>
      </c>
      <c r="BF361" s="13" t="n">
        <f aca="false">IFERROR(P361/BE361-1,"")</f>
        <v>-0.19612001365364</v>
      </c>
      <c r="BG361" s="17" t="n">
        <v>-0.048</v>
      </c>
      <c r="BH361" s="17" t="n">
        <v>0.041</v>
      </c>
      <c r="BI361" s="14" t="n">
        <f aca="false">P361*(1+IFERROR(Q361,0))^4</f>
        <v>1618497.14540722</v>
      </c>
      <c r="BJ361" s="12" t="n">
        <v>-1096350</v>
      </c>
      <c r="BK361" s="11" t="s">
        <v>127</v>
      </c>
      <c r="BL361" s="11" t="s">
        <v>162</v>
      </c>
      <c r="BM361" s="14" t="n">
        <f aca="false">O361</f>
        <v>61899530</v>
      </c>
      <c r="BN361" s="11" t="s">
        <v>419</v>
      </c>
      <c r="BO361" s="13" t="n">
        <f aca="false">IFERROR(1-L361/M361,"")</f>
        <v>0.147981912577458</v>
      </c>
      <c r="BP361" s="11" t="s">
        <v>142</v>
      </c>
      <c r="BQ361" s="12" t="n">
        <v>2166726</v>
      </c>
      <c r="BR361" s="11" t="s">
        <v>88</v>
      </c>
      <c r="BS361" s="11" t="s">
        <v>89</v>
      </c>
      <c r="BT361" s="19" t="str">
        <f aca="false">IF(OR(Z361&lt;6,AH361&lt;0.9,S361&lt;0.02,AK361&lt;1),"REVIEW",IF(AND(S361&gt;0.25,AH361&gt;1.2),"ACCELERATING","STABLE"))</f>
        <v>STABLE</v>
      </c>
    </row>
    <row r="362" customFormat="false" ht="15" hidden="false" customHeight="false" outlineLevel="0" collapsed="false">
      <c r="A362" s="3" t="s">
        <v>420</v>
      </c>
      <c r="B362" s="3" t="s">
        <v>73</v>
      </c>
      <c r="C362" s="3" t="s">
        <v>74</v>
      </c>
      <c r="D362" s="3" t="s">
        <v>115</v>
      </c>
      <c r="E362" s="3" t="s">
        <v>105</v>
      </c>
      <c r="F362" s="3" t="s">
        <v>421</v>
      </c>
      <c r="G362" s="3" t="s">
        <v>78</v>
      </c>
      <c r="H362" s="3" t="s">
        <v>79</v>
      </c>
      <c r="I362" s="3" t="s">
        <v>78</v>
      </c>
      <c r="J362" s="4" t="n">
        <v>5314000</v>
      </c>
      <c r="K362" s="5" t="n">
        <f aca="false">IFERROR(J362/M362,"")</f>
        <v>0.178705945655098</v>
      </c>
      <c r="L362" s="4" t="n">
        <v>24422000</v>
      </c>
      <c r="M362" s="6" t="n">
        <f aca="false">L362+J362</f>
        <v>29736000</v>
      </c>
      <c r="N362" s="4" t="n">
        <v>7513000</v>
      </c>
      <c r="O362" s="4" t="n">
        <v>41530281</v>
      </c>
      <c r="P362" s="4" t="n">
        <v>1129037</v>
      </c>
      <c r="Q362" s="7"/>
      <c r="R362" s="4" t="n">
        <v>1236859</v>
      </c>
      <c r="S362" s="7"/>
      <c r="T362" s="4" t="n">
        <v>652316</v>
      </c>
      <c r="U362" s="5" t="n">
        <f aca="false">IFERROR(T362/P362,"")</f>
        <v>0.577763173394672</v>
      </c>
      <c r="V362" s="6" t="n">
        <f aca="false">T362-AV362</f>
        <v>-1648195</v>
      </c>
      <c r="W362" s="6" t="n">
        <f aca="false">V362-AA362*0.1</f>
        <v>-1784895</v>
      </c>
      <c r="X362" s="4" t="n">
        <v>5890345</v>
      </c>
      <c r="Y362" s="4" t="n">
        <v>177450</v>
      </c>
      <c r="Z362" s="8" t="n">
        <f aca="false">IFERROR(X362/Y362,"")</f>
        <v>33.1943927867005</v>
      </c>
      <c r="AA362" s="4" t="n">
        <v>1367000</v>
      </c>
      <c r="AB362" s="6" t="n">
        <f aca="false">W362-0.02*P362</f>
        <v>-1807475.74</v>
      </c>
      <c r="AC362" s="9" t="n">
        <v>49</v>
      </c>
      <c r="AD362" s="7"/>
      <c r="AE362" s="7" t="n">
        <v>0.145</v>
      </c>
      <c r="AF362" s="7" t="n">
        <v>0.113</v>
      </c>
      <c r="AG362" s="5" t="n">
        <f aca="false">1-AF362</f>
        <v>0.887</v>
      </c>
      <c r="AH362" s="7" t="n">
        <v>1.121</v>
      </c>
      <c r="AI362" s="4" t="n">
        <v>59784</v>
      </c>
      <c r="AJ362" s="6" t="n">
        <f aca="false">IFERROR(AM362*U362*MIN(1/AE362,5),"")</f>
        <v>155996.056816561</v>
      </c>
      <c r="AK362" s="10" t="n">
        <f aca="false">IFERROR(AJ362/AI362,"")</f>
        <v>2.60932786057409</v>
      </c>
      <c r="AL362" s="8" t="n">
        <f aca="false">IFERROR(AI362/(AM362*U362/12),"")</f>
        <v>22.9944273797771</v>
      </c>
      <c r="AM362" s="4" t="n">
        <v>54000</v>
      </c>
      <c r="AN362" s="4" t="n">
        <v>1160399</v>
      </c>
      <c r="AO362" s="4" t="n">
        <v>3875664</v>
      </c>
      <c r="AP362" s="7" t="n">
        <v>0.345</v>
      </c>
      <c r="AQ362" s="9" t="n">
        <v>26</v>
      </c>
      <c r="AR362" s="9" t="n">
        <v>4</v>
      </c>
      <c r="AS362" s="7"/>
      <c r="AT362" s="3" t="s">
        <v>218</v>
      </c>
      <c r="AU362" s="6" t="n">
        <f aca="false">IFERROR(P362/AR362,"")</f>
        <v>282259.25</v>
      </c>
      <c r="AV362" s="4" t="n">
        <v>2300511</v>
      </c>
      <c r="AW362" s="4" t="n">
        <v>926609</v>
      </c>
      <c r="AX362" s="4" t="n">
        <v>619015</v>
      </c>
      <c r="AY362" s="9" t="n">
        <v>18689</v>
      </c>
      <c r="AZ362" s="7"/>
      <c r="BA362" s="7" t="n">
        <v>0.854</v>
      </c>
      <c r="BB362" s="3" t="s">
        <v>107</v>
      </c>
      <c r="BC362" s="3" t="s">
        <v>82</v>
      </c>
      <c r="BD362" s="3" t="s">
        <v>83</v>
      </c>
      <c r="BE362" s="4" t="n">
        <v>1124340</v>
      </c>
      <c r="BF362" s="5" t="n">
        <f aca="false">IFERROR(P362/BE362-1,"")</f>
        <v>0.00417756194745356</v>
      </c>
      <c r="BG362" s="7" t="n">
        <v>0.012</v>
      </c>
      <c r="BH362" s="7" t="n">
        <v>0.032</v>
      </c>
      <c r="BI362" s="6" t="n">
        <f aca="false">P362</f>
        <v>1129037</v>
      </c>
      <c r="BJ362" s="4" t="n">
        <v>-1355316</v>
      </c>
      <c r="BK362" s="3" t="s">
        <v>102</v>
      </c>
      <c r="BL362" s="3" t="s">
        <v>128</v>
      </c>
      <c r="BM362" s="6" t="n">
        <f aca="false">O362</f>
        <v>41530281</v>
      </c>
      <c r="BN362" s="3" t="s">
        <v>422</v>
      </c>
      <c r="BO362" s="5" t="n">
        <f aca="false">IFERROR(1-L362/M362,"")</f>
        <v>0.178705945655098</v>
      </c>
      <c r="BP362" s="3" t="s">
        <v>142</v>
      </c>
      <c r="BQ362" s="4" t="n">
        <v>2952525</v>
      </c>
      <c r="BR362" s="3" t="s">
        <v>88</v>
      </c>
      <c r="BS362" s="3" t="s">
        <v>89</v>
      </c>
      <c r="BT362" s="3" t="s">
        <v>90</v>
      </c>
    </row>
    <row r="363" customFormat="false" ht="15" hidden="false" customHeight="false" outlineLevel="0" collapsed="false">
      <c r="A363" s="11" t="s">
        <v>420</v>
      </c>
      <c r="B363" s="11" t="s">
        <v>91</v>
      </c>
      <c r="C363" s="11" t="s">
        <v>74</v>
      </c>
      <c r="D363" s="11" t="s">
        <v>115</v>
      </c>
      <c r="E363" s="11" t="s">
        <v>105</v>
      </c>
      <c r="F363" s="11" t="s">
        <v>421</v>
      </c>
      <c r="G363" s="11" t="s">
        <v>78</v>
      </c>
      <c r="H363" s="11" t="s">
        <v>79</v>
      </c>
      <c r="I363" s="11" t="s">
        <v>78</v>
      </c>
      <c r="J363" s="12" t="n">
        <v>5314000</v>
      </c>
      <c r="K363" s="13" t="n">
        <f aca="false">IFERROR(J363/M363,"")</f>
        <v>0.178705945655098</v>
      </c>
      <c r="L363" s="12" t="n">
        <v>24422000</v>
      </c>
      <c r="M363" s="14" t="n">
        <f aca="false">L363+J363</f>
        <v>29736000</v>
      </c>
      <c r="N363" s="12" t="n">
        <v>7513000</v>
      </c>
      <c r="O363" s="12" t="n">
        <v>41530281</v>
      </c>
      <c r="P363" s="12" t="n">
        <v>1219091</v>
      </c>
      <c r="Q363" s="13" t="n">
        <f aca="false">IFERROR(P363/P362-1,"")</f>
        <v>0.0797617792862413</v>
      </c>
      <c r="R363" s="12" t="n">
        <v>1339031</v>
      </c>
      <c r="S363" s="13" t="n">
        <f aca="false">IFERROR(R363/R362-1,"")</f>
        <v>0.0826060205730808</v>
      </c>
      <c r="T363" s="12" t="n">
        <v>707197</v>
      </c>
      <c r="U363" s="13" t="n">
        <f aca="false">IFERROR(T363/P363,"")</f>
        <v>0.5801018955927</v>
      </c>
      <c r="V363" s="14" t="n">
        <f aca="false">T363-AV363</f>
        <v>-2021117</v>
      </c>
      <c r="W363" s="14" t="n">
        <f aca="false">V363-AA363*0.1</f>
        <v>-2157817</v>
      </c>
      <c r="X363" s="12" t="n">
        <v>5442820</v>
      </c>
      <c r="Y363" s="12" t="n">
        <v>183300</v>
      </c>
      <c r="Z363" s="15" t="n">
        <f aca="false">IFERROR(X363/Y363,"")</f>
        <v>29.6935079105292</v>
      </c>
      <c r="AA363" s="12" t="n">
        <v>1367000</v>
      </c>
      <c r="AB363" s="14" t="n">
        <f aca="false">W363-0.02*P363</f>
        <v>-2182198.82</v>
      </c>
      <c r="AC363" s="16" t="n">
        <v>51</v>
      </c>
      <c r="AD363" s="13" t="n">
        <f aca="false">IFERROR(AC363/AC362-1,"")</f>
        <v>0.0408163265306123</v>
      </c>
      <c r="AE363" s="17" t="n">
        <v>0.141</v>
      </c>
      <c r="AF363" s="17" t="n">
        <v>0.114</v>
      </c>
      <c r="AG363" s="13" t="n">
        <f aca="false">1-AF363</f>
        <v>0.886</v>
      </c>
      <c r="AH363" s="17" t="n">
        <v>1.116</v>
      </c>
      <c r="AI363" s="12" t="n">
        <v>58656</v>
      </c>
      <c r="AJ363" s="14" t="n">
        <f aca="false">IFERROR(AM363*U363*MIN(1/AE363,5),"")</f>
        <v>159760.06204623</v>
      </c>
      <c r="AK363" s="18" t="n">
        <f aca="false">IFERROR(AJ363/AI363,"")</f>
        <v>2.72367808998618</v>
      </c>
      <c r="AL363" s="15" t="n">
        <f aca="false">IFERROR(AI363/(AM363*U363/12),"")</f>
        <v>22.0290350098988</v>
      </c>
      <c r="AM363" s="12" t="n">
        <v>55080</v>
      </c>
      <c r="AN363" s="12" t="n">
        <v>1983237</v>
      </c>
      <c r="AO363" s="12" t="n">
        <v>3774750</v>
      </c>
      <c r="AP363" s="17" t="n">
        <v>0.345</v>
      </c>
      <c r="AQ363" s="16" t="n">
        <v>26</v>
      </c>
      <c r="AR363" s="16" t="n">
        <v>4</v>
      </c>
      <c r="AS363" s="13" t="n">
        <f aca="false">IFERROR(AR363/AR362-1,"")</f>
        <v>0</v>
      </c>
      <c r="AT363" s="11" t="s">
        <v>218</v>
      </c>
      <c r="AU363" s="14" t="n">
        <f aca="false">IFERROR(P363/AR363,"")</f>
        <v>304772.75</v>
      </c>
      <c r="AV363" s="12" t="n">
        <v>2728314</v>
      </c>
      <c r="AW363" s="12" t="n">
        <v>1110422</v>
      </c>
      <c r="AX363" s="12" t="n">
        <v>824055</v>
      </c>
      <c r="AY363" s="16" t="n">
        <v>19676</v>
      </c>
      <c r="AZ363" s="13" t="n">
        <f aca="false">IFERROR(AY363/AY362-1,"")</f>
        <v>0.0528118144362995</v>
      </c>
      <c r="BA363" s="17" t="n">
        <v>0.858</v>
      </c>
      <c r="BB363" s="11" t="s">
        <v>107</v>
      </c>
      <c r="BC363" s="11" t="s">
        <v>82</v>
      </c>
      <c r="BD363" s="11" t="s">
        <v>83</v>
      </c>
      <c r="BE363" s="12" t="n">
        <v>1347192</v>
      </c>
      <c r="BF363" s="13" t="n">
        <f aca="false">IFERROR(P363/BE363-1,"")</f>
        <v>-0.0950874114454361</v>
      </c>
      <c r="BG363" s="17" t="n">
        <v>0.044</v>
      </c>
      <c r="BH363" s="17" t="n">
        <v>-0.056</v>
      </c>
      <c r="BI363" s="14" t="n">
        <f aca="false">P363*(1+IFERROR(Q363,0))^4</f>
        <v>1657096.98523532</v>
      </c>
      <c r="BJ363" s="12" t="n">
        <v>-1511989</v>
      </c>
      <c r="BK363" s="11" t="s">
        <v>102</v>
      </c>
      <c r="BL363" s="11" t="s">
        <v>128</v>
      </c>
      <c r="BM363" s="14" t="n">
        <f aca="false">O363</f>
        <v>41530281</v>
      </c>
      <c r="BN363" s="11" t="s">
        <v>422</v>
      </c>
      <c r="BO363" s="13" t="n">
        <f aca="false">IFERROR(1-L363/M363,"")</f>
        <v>0.178705945655098</v>
      </c>
      <c r="BP363" s="11" t="s">
        <v>142</v>
      </c>
      <c r="BQ363" s="12" t="n">
        <v>2882857</v>
      </c>
      <c r="BR363" s="11" t="s">
        <v>88</v>
      </c>
      <c r="BS363" s="11" t="s">
        <v>89</v>
      </c>
      <c r="BT363" s="19" t="str">
        <f aca="false">IF(OR(Z363&lt;6,AH363&lt;0.9,S363&lt;0.02,AK363&lt;1),"REVIEW",IF(AND(S363&gt;0.25,AH363&gt;1.2),"ACCELERATING","STABLE"))</f>
        <v>STABLE</v>
      </c>
    </row>
    <row r="364" customFormat="false" ht="15" hidden="false" customHeight="false" outlineLevel="0" collapsed="false">
      <c r="A364" s="11" t="s">
        <v>420</v>
      </c>
      <c r="B364" s="11" t="s">
        <v>92</v>
      </c>
      <c r="C364" s="11" t="s">
        <v>74</v>
      </c>
      <c r="D364" s="11" t="s">
        <v>115</v>
      </c>
      <c r="E364" s="11" t="s">
        <v>105</v>
      </c>
      <c r="F364" s="11" t="s">
        <v>421</v>
      </c>
      <c r="G364" s="11" t="s">
        <v>78</v>
      </c>
      <c r="H364" s="11" t="s">
        <v>79</v>
      </c>
      <c r="I364" s="11" t="s">
        <v>78</v>
      </c>
      <c r="J364" s="12" t="n">
        <v>5314000</v>
      </c>
      <c r="K364" s="13" t="n">
        <f aca="false">IFERROR(J364/M364,"")</f>
        <v>0.178705945655098</v>
      </c>
      <c r="L364" s="12" t="n">
        <v>24422000</v>
      </c>
      <c r="M364" s="14" t="n">
        <f aca="false">L364+J364</f>
        <v>29736000</v>
      </c>
      <c r="N364" s="12" t="n">
        <v>7513000</v>
      </c>
      <c r="O364" s="12" t="n">
        <v>41530281</v>
      </c>
      <c r="P364" s="12" t="n">
        <v>1468781</v>
      </c>
      <c r="Q364" s="13" t="n">
        <f aca="false">IFERROR(P364/P363-1,"")</f>
        <v>0.204816539536425</v>
      </c>
      <c r="R364" s="12" t="n">
        <v>1490360</v>
      </c>
      <c r="S364" s="13" t="n">
        <f aca="false">IFERROR(R364/R363-1,"")</f>
        <v>0.113013813720519</v>
      </c>
      <c r="T364" s="12" t="n">
        <v>855478</v>
      </c>
      <c r="U364" s="13" t="n">
        <f aca="false">IFERROR(T364/P364,"")</f>
        <v>0.582440813164114</v>
      </c>
      <c r="V364" s="14" t="n">
        <f aca="false">T364-AV364</f>
        <v>-2185895</v>
      </c>
      <c r="W364" s="14" t="n">
        <f aca="false">V364-AA364*0.1</f>
        <v>-2322595</v>
      </c>
      <c r="X364" s="12" t="n">
        <v>4963705</v>
      </c>
      <c r="Y364" s="12" t="n">
        <v>189150</v>
      </c>
      <c r="Z364" s="15" t="n">
        <f aca="false">IFERROR(X364/Y364,"")</f>
        <v>26.2421623050489</v>
      </c>
      <c r="AA364" s="12" t="n">
        <v>1367000</v>
      </c>
      <c r="AB364" s="14" t="n">
        <f aca="false">W364-0.02*P364</f>
        <v>-2351970.62</v>
      </c>
      <c r="AC364" s="16" t="n">
        <v>58</v>
      </c>
      <c r="AD364" s="13" t="n">
        <f aca="false">IFERROR(AC364/AC363-1,"")</f>
        <v>0.137254901960784</v>
      </c>
      <c r="AE364" s="17" t="n">
        <v>0.137</v>
      </c>
      <c r="AF364" s="17" t="n">
        <v>0.107</v>
      </c>
      <c r="AG364" s="13" t="n">
        <f aca="false">1-AF364</f>
        <v>0.893</v>
      </c>
      <c r="AH364" s="17" t="n">
        <v>1.111</v>
      </c>
      <c r="AI364" s="12" t="n">
        <v>57528</v>
      </c>
      <c r="AJ364" s="14" t="n">
        <f aca="false">IFERROR(AM364*U364*MIN(1/AE364,5),"")</f>
        <v>163549.380336483</v>
      </c>
      <c r="AK364" s="18" t="n">
        <f aca="false">IFERROR(AJ364/AI364,"")</f>
        <v>2.8429526549938</v>
      </c>
      <c r="AL364" s="15" t="n">
        <f aca="false">IFERROR(AI364/(AM364*U364/12),"")</f>
        <v>21.1048185746628</v>
      </c>
      <c r="AM364" s="12" t="n">
        <v>56160</v>
      </c>
      <c r="AN364" s="12" t="n">
        <v>2105673</v>
      </c>
      <c r="AO364" s="12" t="n">
        <v>5339803</v>
      </c>
      <c r="AP364" s="17" t="n">
        <v>0.345</v>
      </c>
      <c r="AQ364" s="16" t="n">
        <v>26</v>
      </c>
      <c r="AR364" s="16" t="n">
        <v>5</v>
      </c>
      <c r="AS364" s="13" t="n">
        <f aca="false">IFERROR(AR364/AR363-1,"")</f>
        <v>0.25</v>
      </c>
      <c r="AT364" s="11" t="s">
        <v>218</v>
      </c>
      <c r="AU364" s="14" t="n">
        <f aca="false">IFERROR(P364/AR364,"")</f>
        <v>293756.2</v>
      </c>
      <c r="AV364" s="12" t="n">
        <v>3041373</v>
      </c>
      <c r="AW364" s="12" t="n">
        <v>1354791</v>
      </c>
      <c r="AX364" s="12" t="n">
        <v>604179</v>
      </c>
      <c r="AY364" s="16" t="n">
        <v>22110</v>
      </c>
      <c r="AZ364" s="13" t="n">
        <f aca="false">IFERROR(AY364/AY363-1,"")</f>
        <v>0.123704004879041</v>
      </c>
      <c r="BA364" s="17" t="n">
        <v>0.858</v>
      </c>
      <c r="BB364" s="11" t="s">
        <v>107</v>
      </c>
      <c r="BC364" s="11" t="s">
        <v>82</v>
      </c>
      <c r="BD364" s="11" t="s">
        <v>83</v>
      </c>
      <c r="BE364" s="12" t="n">
        <v>1564864</v>
      </c>
      <c r="BF364" s="13" t="n">
        <f aca="false">IFERROR(P364/BE364-1,"")</f>
        <v>-0.0614002239172222</v>
      </c>
      <c r="BG364" s="17" t="n">
        <v>0.058</v>
      </c>
      <c r="BH364" s="17" t="n">
        <v>0.086</v>
      </c>
      <c r="BI364" s="14" t="n">
        <f aca="false">P364*(1+IFERROR(Q364,0))^4</f>
        <v>3094858.01378907</v>
      </c>
      <c r="BJ364" s="12" t="n">
        <v>-1137895</v>
      </c>
      <c r="BK364" s="11" t="s">
        <v>102</v>
      </c>
      <c r="BL364" s="11" t="s">
        <v>128</v>
      </c>
      <c r="BM364" s="14" t="n">
        <f aca="false">O364</f>
        <v>41530281</v>
      </c>
      <c r="BN364" s="11" t="s">
        <v>422</v>
      </c>
      <c r="BO364" s="13" t="n">
        <f aca="false">IFERROR(1-L364/M364,"")</f>
        <v>0.178705945655098</v>
      </c>
      <c r="BP364" s="11" t="s">
        <v>142</v>
      </c>
      <c r="BQ364" s="12" t="n">
        <v>2582494</v>
      </c>
      <c r="BR364" s="11" t="s">
        <v>88</v>
      </c>
      <c r="BS364" s="11" t="s">
        <v>89</v>
      </c>
      <c r="BT364" s="19" t="str">
        <f aca="false">IF(OR(Z364&lt;6,AH364&lt;0.9,S364&lt;0.02,AK364&lt;1),"REVIEW",IF(AND(S364&gt;0.25,AH364&gt;1.2),"ACCELERATING","STABLE"))</f>
        <v>STABLE</v>
      </c>
    </row>
    <row r="365" customFormat="false" ht="15" hidden="false" customHeight="false" outlineLevel="0" collapsed="false">
      <c r="A365" s="11" t="s">
        <v>420</v>
      </c>
      <c r="B365" s="11" t="s">
        <v>93</v>
      </c>
      <c r="C365" s="11" t="s">
        <v>74</v>
      </c>
      <c r="D365" s="11" t="s">
        <v>115</v>
      </c>
      <c r="E365" s="11" t="s">
        <v>105</v>
      </c>
      <c r="F365" s="11" t="s">
        <v>421</v>
      </c>
      <c r="G365" s="11" t="s">
        <v>78</v>
      </c>
      <c r="H365" s="11" t="s">
        <v>79</v>
      </c>
      <c r="I365" s="11" t="s">
        <v>78</v>
      </c>
      <c r="J365" s="12" t="n">
        <v>5314000</v>
      </c>
      <c r="K365" s="13" t="n">
        <f aca="false">IFERROR(J365/M365,"")</f>
        <v>0.178705945655098</v>
      </c>
      <c r="L365" s="12" t="n">
        <v>24422000</v>
      </c>
      <c r="M365" s="14" t="n">
        <f aca="false">L365+J365</f>
        <v>29736000</v>
      </c>
      <c r="N365" s="12" t="n">
        <v>7513000</v>
      </c>
      <c r="O365" s="12" t="n">
        <v>41530281</v>
      </c>
      <c r="P365" s="12" t="n">
        <v>1607838</v>
      </c>
      <c r="Q365" s="13" t="n">
        <f aca="false">IFERROR(P365/P364-1,"")</f>
        <v>0.0946751081338879</v>
      </c>
      <c r="R365" s="12" t="n">
        <v>1571148</v>
      </c>
      <c r="S365" s="13" t="n">
        <f aca="false">IFERROR(R365/R364-1,"")</f>
        <v>0.0542070372259051</v>
      </c>
      <c r="T365" s="12" t="n">
        <v>940232</v>
      </c>
      <c r="U365" s="13" t="n">
        <f aca="false">IFERROR(T365/P365,"")</f>
        <v>0.584780307468787</v>
      </c>
      <c r="V365" s="14" t="n">
        <f aca="false">T365-AV365</f>
        <v>-1994950</v>
      </c>
      <c r="W365" s="14" t="n">
        <f aca="false">V365-AA365*0.1</f>
        <v>-2131650</v>
      </c>
      <c r="X365" s="12" t="n">
        <v>4453000</v>
      </c>
      <c r="Y365" s="12" t="n">
        <v>195000</v>
      </c>
      <c r="Z365" s="15" t="n">
        <f aca="false">IFERROR(X365/Y365,"")</f>
        <v>22.8358974358974</v>
      </c>
      <c r="AA365" s="12" t="n">
        <v>1367000</v>
      </c>
      <c r="AB365" s="14" t="n">
        <f aca="false">W365-0.02*P365</f>
        <v>-2163806.76</v>
      </c>
      <c r="AC365" s="16" t="n">
        <v>62</v>
      </c>
      <c r="AD365" s="13" t="n">
        <f aca="false">IFERROR(AC365/AC364-1,"")</f>
        <v>0.0689655172413792</v>
      </c>
      <c r="AE365" s="17" t="n">
        <v>0.133</v>
      </c>
      <c r="AF365" s="17" t="n">
        <v>0.146</v>
      </c>
      <c r="AG365" s="13" t="n">
        <f aca="false">1-AF365</f>
        <v>0.854</v>
      </c>
      <c r="AH365" s="17" t="n">
        <v>1.106</v>
      </c>
      <c r="AI365" s="12" t="n">
        <v>56400</v>
      </c>
      <c r="AJ365" s="14" t="n">
        <f aca="false">IFERROR(AM365*U365*MIN(1/AE365,5),"")</f>
        <v>167364.123997567</v>
      </c>
      <c r="AK365" s="18" t="n">
        <f aca="false">IFERROR(AJ365/AI365,"")</f>
        <v>2.96744900704906</v>
      </c>
      <c r="AL365" s="15" t="n">
        <f aca="false">IFERROR(AI365/(AM365*U365/12),"")</f>
        <v>20.2193870416888</v>
      </c>
      <c r="AM365" s="12" t="n">
        <v>57240</v>
      </c>
      <c r="AN365" s="12" t="n">
        <v>2224463</v>
      </c>
      <c r="AO365" s="12" t="n">
        <v>3074617</v>
      </c>
      <c r="AP365" s="17" t="n">
        <v>0.345</v>
      </c>
      <c r="AQ365" s="16" t="n">
        <v>26</v>
      </c>
      <c r="AR365" s="16" t="n">
        <v>5</v>
      </c>
      <c r="AS365" s="13" t="n">
        <f aca="false">IFERROR(AR365/AR364-1,"")</f>
        <v>0</v>
      </c>
      <c r="AT365" s="11" t="s">
        <v>218</v>
      </c>
      <c r="AU365" s="14" t="n">
        <f aca="false">IFERROR(P365/AR365,"")</f>
        <v>321567.6</v>
      </c>
      <c r="AV365" s="12" t="n">
        <v>2935182</v>
      </c>
      <c r="AW365" s="12" t="n">
        <v>1201928</v>
      </c>
      <c r="AX365" s="12" t="n">
        <v>776042</v>
      </c>
      <c r="AY365" s="16" t="n">
        <v>24280</v>
      </c>
      <c r="AZ365" s="13" t="n">
        <f aca="false">IFERROR(AY365/AY364-1,"")</f>
        <v>0.0981456354590684</v>
      </c>
      <c r="BA365" s="17" t="n">
        <v>0.881</v>
      </c>
      <c r="BB365" s="11" t="s">
        <v>107</v>
      </c>
      <c r="BC365" s="11" t="s">
        <v>82</v>
      </c>
      <c r="BD365" s="11" t="s">
        <v>83</v>
      </c>
      <c r="BE365" s="12" t="n">
        <v>1516271</v>
      </c>
      <c r="BF365" s="13" t="n">
        <f aca="false">IFERROR(P365/BE365-1,"")</f>
        <v>0.0603896005397453</v>
      </c>
      <c r="BG365" s="17" t="n">
        <v>0.013</v>
      </c>
      <c r="BH365" s="17" t="n">
        <v>-0.025</v>
      </c>
      <c r="BI365" s="14" t="n">
        <f aca="false">P365*(1+IFERROR(Q365,0))^4</f>
        <v>2308783.7639858</v>
      </c>
      <c r="BJ365" s="12" t="n">
        <v>-1384865</v>
      </c>
      <c r="BK365" s="11" t="s">
        <v>102</v>
      </c>
      <c r="BL365" s="11" t="s">
        <v>128</v>
      </c>
      <c r="BM365" s="14" t="n">
        <f aca="false">O365</f>
        <v>41530281</v>
      </c>
      <c r="BN365" s="11" t="s">
        <v>422</v>
      </c>
      <c r="BO365" s="13" t="n">
        <f aca="false">IFERROR(1-L365/M365,"")</f>
        <v>0.178705945655098</v>
      </c>
      <c r="BP365" s="11" t="s">
        <v>142</v>
      </c>
      <c r="BQ365" s="12" t="n">
        <v>2784991</v>
      </c>
      <c r="BR365" s="11" t="s">
        <v>88</v>
      </c>
      <c r="BS365" s="11" t="s">
        <v>89</v>
      </c>
      <c r="BT365" s="19" t="str">
        <f aca="false">IF(OR(Z365&lt;6,AH365&lt;0.9,S365&lt;0.02,AK365&lt;1),"REVIEW",IF(AND(S365&gt;0.25,AH365&gt;1.2),"ACCELERATING","STABLE"))</f>
        <v>STABLE</v>
      </c>
    </row>
    <row r="366" customFormat="false" ht="15" hidden="false" customHeight="false" outlineLevel="0" collapsed="false">
      <c r="A366" s="3" t="s">
        <v>423</v>
      </c>
      <c r="B366" s="3" t="s">
        <v>73</v>
      </c>
      <c r="C366" s="3" t="s">
        <v>74</v>
      </c>
      <c r="D366" s="3" t="s">
        <v>165</v>
      </c>
      <c r="E366" s="3" t="s">
        <v>105</v>
      </c>
      <c r="F366" s="3" t="s">
        <v>424</v>
      </c>
      <c r="G366" s="3" t="s">
        <v>78</v>
      </c>
      <c r="H366" s="3" t="s">
        <v>79</v>
      </c>
      <c r="I366" s="3" t="s">
        <v>78</v>
      </c>
      <c r="J366" s="4" t="n">
        <v>2286000</v>
      </c>
      <c r="K366" s="5" t="n">
        <f aca="false">IFERROR(J366/M366,"")</f>
        <v>0.162369486469209</v>
      </c>
      <c r="L366" s="4" t="n">
        <v>11793000</v>
      </c>
      <c r="M366" s="6" t="n">
        <f aca="false">L366+J366</f>
        <v>14079000</v>
      </c>
      <c r="N366" s="4" t="n">
        <v>7048000</v>
      </c>
      <c r="O366" s="4" t="n">
        <v>9506519</v>
      </c>
      <c r="P366" s="4" t="n">
        <v>243223</v>
      </c>
      <c r="Q366" s="7"/>
      <c r="R366" s="4" t="n">
        <v>280713</v>
      </c>
      <c r="S366" s="7"/>
      <c r="T366" s="4" t="n">
        <v>119771</v>
      </c>
      <c r="U366" s="5" t="n">
        <f aca="false">IFERROR(T366/P366,"")</f>
        <v>0.492432870246646</v>
      </c>
      <c r="V366" s="6" t="n">
        <f aca="false">T366-AV366</f>
        <v>-2004159</v>
      </c>
      <c r="W366" s="6" t="n">
        <f aca="false">V366-AA366*0.1</f>
        <v>-2004159</v>
      </c>
      <c r="X366" s="4" t="n">
        <v>2385272</v>
      </c>
      <c r="Y366" s="4" t="n">
        <v>179580</v>
      </c>
      <c r="Z366" s="8" t="n">
        <f aca="false">IFERROR(X366/Y366,"")</f>
        <v>13.2825036195567</v>
      </c>
      <c r="AA366" s="4" t="n">
        <v>0</v>
      </c>
      <c r="AB366" s="6" t="n">
        <f aca="false">W366-0.02*P366</f>
        <v>-2009023.46</v>
      </c>
      <c r="AC366" s="9" t="n">
        <v>54</v>
      </c>
      <c r="AD366" s="7"/>
      <c r="AE366" s="7" t="n">
        <v>0.184</v>
      </c>
      <c r="AF366" s="7" t="n">
        <v>0.171</v>
      </c>
      <c r="AG366" s="5" t="n">
        <f aca="false">1-AF366</f>
        <v>0.829</v>
      </c>
      <c r="AH366" s="7" t="n">
        <v>0.976</v>
      </c>
      <c r="AI366" s="4" t="n">
        <v>135964</v>
      </c>
      <c r="AJ366" s="6" t="n">
        <f aca="false">IFERROR(AM366*U366*MIN(1/AE366,5),"")</f>
        <v>140343.368020294</v>
      </c>
      <c r="AK366" s="10" t="n">
        <f aca="false">IFERROR(AJ366/AI366,"")</f>
        <v>1.03220976155669</v>
      </c>
      <c r="AL366" s="8" t="n">
        <f aca="false">IFERROR(AI366/(AM366*U366/12),"")</f>
        <v>58.1277199989981</v>
      </c>
      <c r="AM366" s="4" t="n">
        <v>57000</v>
      </c>
      <c r="AN366" s="4" t="n">
        <v>325261</v>
      </c>
      <c r="AO366" s="4" t="n">
        <v>911717</v>
      </c>
      <c r="AP366" s="7" t="n">
        <v>0.122</v>
      </c>
      <c r="AQ366" s="9" t="n">
        <v>58</v>
      </c>
      <c r="AR366" s="9" t="n">
        <v>5</v>
      </c>
      <c r="AS366" s="7"/>
      <c r="AT366" s="3" t="s">
        <v>170</v>
      </c>
      <c r="AU366" s="6" t="n">
        <f aca="false">IFERROR(P366/AR366,"")</f>
        <v>48644.6</v>
      </c>
      <c r="AV366" s="4" t="n">
        <v>2123930</v>
      </c>
      <c r="AW366" s="4" t="n">
        <v>1041130</v>
      </c>
      <c r="AX366" s="4" t="n">
        <v>475621</v>
      </c>
      <c r="AY366" s="9" t="n">
        <v>50084</v>
      </c>
      <c r="AZ366" s="7"/>
      <c r="BA366" s="7" t="n">
        <v>0.838</v>
      </c>
      <c r="BB366" s="3" t="s">
        <v>171</v>
      </c>
      <c r="BC366" s="3" t="s">
        <v>120</v>
      </c>
      <c r="BD366" s="3" t="s">
        <v>101</v>
      </c>
      <c r="BE366" s="4" t="n">
        <v>353268</v>
      </c>
      <c r="BF366" s="5" t="n">
        <f aca="false">IFERROR(P366/BE366-1,"")</f>
        <v>-0.311505712377006</v>
      </c>
      <c r="BG366" s="7" t="n">
        <v>0.133</v>
      </c>
      <c r="BH366" s="7" t="n">
        <v>0.353</v>
      </c>
      <c r="BI366" s="6" t="n">
        <f aca="false">P366</f>
        <v>243223</v>
      </c>
      <c r="BJ366" s="4" t="n">
        <v>-1178493</v>
      </c>
      <c r="BK366" s="3" t="s">
        <v>139</v>
      </c>
      <c r="BL366" s="3" t="s">
        <v>148</v>
      </c>
      <c r="BM366" s="6" t="n">
        <f aca="false">O366</f>
        <v>9506519</v>
      </c>
      <c r="BN366" s="3" t="s">
        <v>425</v>
      </c>
      <c r="BO366" s="5" t="n">
        <f aca="false">IFERROR(1-L366/M366,"")</f>
        <v>0.162369486469209</v>
      </c>
      <c r="BP366" s="3" t="s">
        <v>142</v>
      </c>
      <c r="BQ366" s="4" t="n">
        <v>2818328</v>
      </c>
      <c r="BR366" s="3" t="s">
        <v>88</v>
      </c>
      <c r="BS366" s="3" t="s">
        <v>89</v>
      </c>
      <c r="BT366" s="3" t="s">
        <v>90</v>
      </c>
    </row>
    <row r="367" customFormat="false" ht="15" hidden="false" customHeight="false" outlineLevel="0" collapsed="false">
      <c r="A367" s="11" t="s">
        <v>423</v>
      </c>
      <c r="B367" s="11" t="s">
        <v>91</v>
      </c>
      <c r="C367" s="11" t="s">
        <v>74</v>
      </c>
      <c r="D367" s="11" t="s">
        <v>165</v>
      </c>
      <c r="E367" s="11" t="s">
        <v>105</v>
      </c>
      <c r="F367" s="11" t="s">
        <v>424</v>
      </c>
      <c r="G367" s="11" t="s">
        <v>78</v>
      </c>
      <c r="H367" s="11" t="s">
        <v>79</v>
      </c>
      <c r="I367" s="11" t="s">
        <v>78</v>
      </c>
      <c r="J367" s="12" t="n">
        <v>2286000</v>
      </c>
      <c r="K367" s="13" t="n">
        <f aca="false">IFERROR(J367/M367,"")</f>
        <v>0.162369486469209</v>
      </c>
      <c r="L367" s="12" t="n">
        <v>11793000</v>
      </c>
      <c r="M367" s="14" t="n">
        <f aca="false">L367+J367</f>
        <v>14079000</v>
      </c>
      <c r="N367" s="12" t="n">
        <v>7048000</v>
      </c>
      <c r="O367" s="12" t="n">
        <v>9506519</v>
      </c>
      <c r="P367" s="12" t="n">
        <v>213426</v>
      </c>
      <c r="Q367" s="13" t="n">
        <f aca="false">IFERROR(P367/P366-1,"")</f>
        <v>-0.122508973246774</v>
      </c>
      <c r="R367" s="12" t="n">
        <v>248798</v>
      </c>
      <c r="S367" s="13" t="n">
        <f aca="false">IFERROR(R367/R366-1,"")</f>
        <v>-0.113692632688903</v>
      </c>
      <c r="T367" s="12" t="n">
        <v>103115</v>
      </c>
      <c r="U367" s="13" t="n">
        <f aca="false">IFERROR(T367/P367,"")</f>
        <v>0.483141697825007</v>
      </c>
      <c r="V367" s="14" t="n">
        <f aca="false">T367-AV367</f>
        <v>-2463299</v>
      </c>
      <c r="W367" s="14" t="n">
        <f aca="false">V367-AA367*0.1</f>
        <v>-2463299</v>
      </c>
      <c r="X367" s="12" t="n">
        <v>1879382</v>
      </c>
      <c r="Y367" s="12" t="n">
        <v>192720</v>
      </c>
      <c r="Z367" s="15" t="n">
        <f aca="false">IFERROR(X367/Y367,"")</f>
        <v>9.75187837276878</v>
      </c>
      <c r="AA367" s="12" t="n">
        <v>0</v>
      </c>
      <c r="AB367" s="14" t="n">
        <f aca="false">W367-0.02*P367</f>
        <v>-2467567.52</v>
      </c>
      <c r="AC367" s="16" t="n">
        <v>48</v>
      </c>
      <c r="AD367" s="13" t="n">
        <f aca="false">IFERROR(AC367/AC366-1,"")</f>
        <v>-0.111111111111111</v>
      </c>
      <c r="AE367" s="17" t="n">
        <v>0.218</v>
      </c>
      <c r="AF367" s="17" t="n">
        <v>0.196</v>
      </c>
      <c r="AG367" s="13" t="n">
        <f aca="false">1-AF367</f>
        <v>0.804</v>
      </c>
      <c r="AH367" s="17" t="n">
        <v>0.936</v>
      </c>
      <c r="AI367" s="12" t="n">
        <v>150276</v>
      </c>
      <c r="AJ367" s="14" t="n">
        <f aca="false">IFERROR(AM367*U367*MIN(1/AE367,5),"")</f>
        <v>128852.561062137</v>
      </c>
      <c r="AK367" s="18" t="n">
        <f aca="false">IFERROR(AJ367/AI367,"")</f>
        <v>0.857439385278669</v>
      </c>
      <c r="AL367" s="15" t="n">
        <f aca="false">IFERROR(AI367/(AM367*U367/12),"")</f>
        <v>64.1979742296804</v>
      </c>
      <c r="AM367" s="12" t="n">
        <v>58140</v>
      </c>
      <c r="AN367" s="12" t="n">
        <v>314944</v>
      </c>
      <c r="AO367" s="12" t="n">
        <v>643873</v>
      </c>
      <c r="AP367" s="17" t="n">
        <v>0.122</v>
      </c>
      <c r="AQ367" s="16" t="n">
        <v>58</v>
      </c>
      <c r="AR367" s="16" t="n">
        <v>5</v>
      </c>
      <c r="AS367" s="13" t="n">
        <f aca="false">IFERROR(AR367/AR366-1,"")</f>
        <v>0</v>
      </c>
      <c r="AT367" s="11" t="s">
        <v>170</v>
      </c>
      <c r="AU367" s="14" t="n">
        <f aca="false">IFERROR(P367/AR367,"")</f>
        <v>42685.2</v>
      </c>
      <c r="AV367" s="12" t="n">
        <v>2566414</v>
      </c>
      <c r="AW367" s="12" t="n">
        <v>965133</v>
      </c>
      <c r="AX367" s="12" t="n">
        <v>829729</v>
      </c>
      <c r="AY367" s="16" t="n">
        <v>44638</v>
      </c>
      <c r="AZ367" s="13" t="n">
        <f aca="false">IFERROR(AY367/AY366-1,"")</f>
        <v>-0.108737321300216</v>
      </c>
      <c r="BA367" s="17" t="n">
        <v>0.796</v>
      </c>
      <c r="BB367" s="11" t="s">
        <v>171</v>
      </c>
      <c r="BC367" s="11" t="s">
        <v>120</v>
      </c>
      <c r="BD367" s="11" t="s">
        <v>101</v>
      </c>
      <c r="BE367" s="12" t="n">
        <v>336360</v>
      </c>
      <c r="BF367" s="13" t="n">
        <f aca="false">IFERROR(P367/BE367-1,"")</f>
        <v>-0.365483410631466</v>
      </c>
      <c r="BG367" s="17" t="n">
        <v>0.3</v>
      </c>
      <c r="BH367" s="17" t="n">
        <v>0.265</v>
      </c>
      <c r="BI367" s="14" t="n">
        <f aca="false">P367*(1+IFERROR(Q367,0))^4</f>
        <v>126537.153664885</v>
      </c>
      <c r="BJ367" s="12" t="n">
        <v>-2084121</v>
      </c>
      <c r="BK367" s="11" t="s">
        <v>139</v>
      </c>
      <c r="BL367" s="11" t="s">
        <v>148</v>
      </c>
      <c r="BM367" s="14" t="n">
        <f aca="false">O367</f>
        <v>9506519</v>
      </c>
      <c r="BN367" s="11" t="s">
        <v>425</v>
      </c>
      <c r="BO367" s="13" t="n">
        <f aca="false">IFERROR(1-L367/M367,"")</f>
        <v>0.162369486469209</v>
      </c>
      <c r="BP367" s="11" t="s">
        <v>142</v>
      </c>
      <c r="BQ367" s="12" t="n">
        <v>2608474</v>
      </c>
      <c r="BR367" s="11" t="s">
        <v>88</v>
      </c>
      <c r="BS367" s="11" t="s">
        <v>89</v>
      </c>
      <c r="BT367" s="19" t="str">
        <f aca="false">IF(OR(Z367&lt;6,AH367&lt;0.9,S367&lt;0.02,AK367&lt;1),"REVIEW",IF(AND(S367&gt;0.25,AH367&gt;1.2),"ACCELERATING","STABLE"))</f>
        <v>REVIEW</v>
      </c>
    </row>
    <row r="368" customFormat="false" ht="15" hidden="false" customHeight="false" outlineLevel="0" collapsed="false">
      <c r="A368" s="11" t="s">
        <v>423</v>
      </c>
      <c r="B368" s="11" t="s">
        <v>92</v>
      </c>
      <c r="C368" s="11" t="s">
        <v>74</v>
      </c>
      <c r="D368" s="11" t="s">
        <v>165</v>
      </c>
      <c r="E368" s="11" t="s">
        <v>105</v>
      </c>
      <c r="F368" s="11" t="s">
        <v>424</v>
      </c>
      <c r="G368" s="11" t="s">
        <v>78</v>
      </c>
      <c r="H368" s="11" t="s">
        <v>79</v>
      </c>
      <c r="I368" s="11" t="s">
        <v>78</v>
      </c>
      <c r="J368" s="12" t="n">
        <v>2286000</v>
      </c>
      <c r="K368" s="13" t="n">
        <f aca="false">IFERROR(J368/M368,"")</f>
        <v>0.162369486469209</v>
      </c>
      <c r="L368" s="12" t="n">
        <v>11793000</v>
      </c>
      <c r="M368" s="14" t="n">
        <f aca="false">L368+J368</f>
        <v>14079000</v>
      </c>
      <c r="N368" s="12" t="n">
        <v>7048000</v>
      </c>
      <c r="O368" s="12" t="n">
        <v>9506519</v>
      </c>
      <c r="P368" s="12" t="n">
        <v>189435</v>
      </c>
      <c r="Q368" s="13" t="n">
        <f aca="false">IFERROR(P368/P367-1,"")</f>
        <v>-0.112408984847207</v>
      </c>
      <c r="R368" s="12" t="n">
        <v>214131</v>
      </c>
      <c r="S368" s="13" t="n">
        <f aca="false">IFERROR(R368/R367-1,"")</f>
        <v>-0.139337936800135</v>
      </c>
      <c r="T368" s="12" t="n">
        <v>89764</v>
      </c>
      <c r="U368" s="13" t="n">
        <f aca="false">IFERROR(T368/P368,"")</f>
        <v>0.473851189062211</v>
      </c>
      <c r="V368" s="14" t="n">
        <f aca="false">T368-AV368</f>
        <v>-1864216</v>
      </c>
      <c r="W368" s="14" t="n">
        <f aca="false">V368-AA368*0.1</f>
        <v>-1864216</v>
      </c>
      <c r="X368" s="12" t="n">
        <v>1286768</v>
      </c>
      <c r="Y368" s="12" t="n">
        <v>205860</v>
      </c>
      <c r="Z368" s="15" t="n">
        <f aca="false">IFERROR(X368/Y368,"")</f>
        <v>6.25069464684737</v>
      </c>
      <c r="AA368" s="12" t="n">
        <v>0</v>
      </c>
      <c r="AB368" s="14" t="n">
        <f aca="false">W368-0.02*P368</f>
        <v>-1868004.7</v>
      </c>
      <c r="AC368" s="16" t="n">
        <v>43</v>
      </c>
      <c r="AD368" s="13" t="n">
        <f aca="false">IFERROR(AC368/AC367-1,"")</f>
        <v>-0.104166666666667</v>
      </c>
      <c r="AE368" s="17" t="n">
        <v>0.253</v>
      </c>
      <c r="AF368" s="17" t="n">
        <v>0.171</v>
      </c>
      <c r="AG368" s="13" t="n">
        <f aca="false">1-AF368</f>
        <v>0.829</v>
      </c>
      <c r="AH368" s="17" t="n">
        <v>0.896</v>
      </c>
      <c r="AI368" s="12" t="n">
        <v>164588</v>
      </c>
      <c r="AJ368" s="14" t="n">
        <f aca="false">IFERROR(AM368*U368*MIN(1/AE368,5),"")</f>
        <v>111027.266749438</v>
      </c>
      <c r="AK368" s="18" t="n">
        <f aca="false">IFERROR(AJ368/AI368,"")</f>
        <v>0.674576923891403</v>
      </c>
      <c r="AL368" s="15" t="n">
        <f aca="false">IFERROR(AI368/(AM368*U368/12),"")</f>
        <v>70.3119664484125</v>
      </c>
      <c r="AM368" s="12" t="n">
        <v>59280</v>
      </c>
      <c r="AN368" s="12" t="n">
        <v>299009</v>
      </c>
      <c r="AO368" s="12" t="n">
        <v>566460</v>
      </c>
      <c r="AP368" s="17" t="n">
        <v>0.122</v>
      </c>
      <c r="AQ368" s="16" t="n">
        <v>58</v>
      </c>
      <c r="AR368" s="16" t="n">
        <v>4</v>
      </c>
      <c r="AS368" s="13" t="n">
        <f aca="false">IFERROR(AR368/AR367-1,"")</f>
        <v>-0.2</v>
      </c>
      <c r="AT368" s="11" t="s">
        <v>170</v>
      </c>
      <c r="AU368" s="14" t="n">
        <f aca="false">IFERROR(P368/AR368,"")</f>
        <v>47358.75</v>
      </c>
      <c r="AV368" s="12" t="n">
        <v>1953980</v>
      </c>
      <c r="AW368" s="12" t="n">
        <v>692469</v>
      </c>
      <c r="AX368" s="12" t="n">
        <v>396669</v>
      </c>
      <c r="AY368" s="16" t="n">
        <v>39660</v>
      </c>
      <c r="AZ368" s="13" t="n">
        <f aca="false">IFERROR(AY368/AY367-1,"")</f>
        <v>-0.111519333303463</v>
      </c>
      <c r="BA368" s="17" t="n">
        <v>0.812</v>
      </c>
      <c r="BB368" s="11" t="s">
        <v>171</v>
      </c>
      <c r="BC368" s="11" t="s">
        <v>120</v>
      </c>
      <c r="BD368" s="11" t="s">
        <v>101</v>
      </c>
      <c r="BE368" s="12" t="n">
        <v>258150</v>
      </c>
      <c r="BF368" s="13" t="n">
        <f aca="false">IFERROR(P368/BE368-1,"")</f>
        <v>-0.266182452062754</v>
      </c>
      <c r="BG368" s="17" t="n">
        <v>0.193</v>
      </c>
      <c r="BH368" s="17" t="n">
        <v>0.324</v>
      </c>
      <c r="BI368" s="14" t="n">
        <f aca="false">P368*(1+IFERROR(Q368,0))^4</f>
        <v>117574.140237333</v>
      </c>
      <c r="BJ368" s="12" t="n">
        <v>-2027505</v>
      </c>
      <c r="BK368" s="11" t="s">
        <v>139</v>
      </c>
      <c r="BL368" s="11" t="s">
        <v>148</v>
      </c>
      <c r="BM368" s="14" t="n">
        <f aca="false">O368</f>
        <v>9506519</v>
      </c>
      <c r="BN368" s="11" t="s">
        <v>425</v>
      </c>
      <c r="BO368" s="13" t="n">
        <f aca="false">IFERROR(1-L368/M368,"")</f>
        <v>0.162369486469209</v>
      </c>
      <c r="BP368" s="11" t="s">
        <v>142</v>
      </c>
      <c r="BQ368" s="12" t="n">
        <v>2696367</v>
      </c>
      <c r="BR368" s="11" t="s">
        <v>88</v>
      </c>
      <c r="BS368" s="11" t="s">
        <v>89</v>
      </c>
      <c r="BT368" s="19" t="str">
        <f aca="false">IF(OR(Z368&lt;6,AH368&lt;0.9,S368&lt;0.02,AK368&lt;1),"REVIEW",IF(AND(S368&gt;0.25,AH368&gt;1.2),"ACCELERATING","STABLE"))</f>
        <v>REVIEW</v>
      </c>
    </row>
    <row r="369" customFormat="false" ht="15" hidden="false" customHeight="false" outlineLevel="0" collapsed="false">
      <c r="A369" s="11" t="s">
        <v>423</v>
      </c>
      <c r="B369" s="11" t="s">
        <v>93</v>
      </c>
      <c r="C369" s="11" t="s">
        <v>74</v>
      </c>
      <c r="D369" s="11" t="s">
        <v>165</v>
      </c>
      <c r="E369" s="11" t="s">
        <v>105</v>
      </c>
      <c r="F369" s="11" t="s">
        <v>424</v>
      </c>
      <c r="G369" s="11" t="s">
        <v>78</v>
      </c>
      <c r="H369" s="11" t="s">
        <v>79</v>
      </c>
      <c r="I369" s="11" t="s">
        <v>78</v>
      </c>
      <c r="J369" s="12" t="n">
        <v>2286000</v>
      </c>
      <c r="K369" s="13" t="n">
        <f aca="false">IFERROR(J369/M369,"")</f>
        <v>0.162369486469209</v>
      </c>
      <c r="L369" s="12" t="n">
        <v>11793000</v>
      </c>
      <c r="M369" s="14" t="n">
        <f aca="false">L369+J369</f>
        <v>14079000</v>
      </c>
      <c r="N369" s="12" t="n">
        <v>7048000</v>
      </c>
      <c r="O369" s="12" t="n">
        <v>9506519</v>
      </c>
      <c r="P369" s="12" t="n">
        <v>165964</v>
      </c>
      <c r="Q369" s="13" t="n">
        <f aca="false">IFERROR(P369/P368-1,"")</f>
        <v>-0.123900018475994</v>
      </c>
      <c r="R369" s="12" t="n">
        <v>185929</v>
      </c>
      <c r="S369" s="13" t="n">
        <f aca="false">IFERROR(R369/R368-1,"")</f>
        <v>-0.131704423927409</v>
      </c>
      <c r="T369" s="12" t="n">
        <v>77100</v>
      </c>
      <c r="U369" s="13" t="n">
        <f aca="false">IFERROR(T369/P369,"")</f>
        <v>0.464558578968933</v>
      </c>
      <c r="V369" s="14" t="n">
        <f aca="false">T369-AV369</f>
        <v>-2815209</v>
      </c>
      <c r="W369" s="14" t="n">
        <f aca="false">V369-AA369*0.1</f>
        <v>-2815209</v>
      </c>
      <c r="X369" s="12" t="n">
        <v>607430</v>
      </c>
      <c r="Y369" s="12" t="n">
        <v>219000</v>
      </c>
      <c r="Z369" s="15" t="n">
        <f aca="false">IFERROR(X369/Y369,"")</f>
        <v>2.77365296803653</v>
      </c>
      <c r="AA369" s="12" t="n">
        <v>0</v>
      </c>
      <c r="AB369" s="14" t="n">
        <f aca="false">W369-0.02*P369</f>
        <v>-2818528.28</v>
      </c>
      <c r="AC369" s="16" t="n">
        <v>39</v>
      </c>
      <c r="AD369" s="13" t="n">
        <f aca="false">IFERROR(AC369/AC368-1,"")</f>
        <v>-0.0930232558139535</v>
      </c>
      <c r="AE369" s="17" t="n">
        <v>0.287</v>
      </c>
      <c r="AF369" s="17" t="n">
        <v>0.176</v>
      </c>
      <c r="AG369" s="13" t="n">
        <f aca="false">1-AF369</f>
        <v>0.824</v>
      </c>
      <c r="AH369" s="17" t="n">
        <v>0.856</v>
      </c>
      <c r="AI369" s="12" t="n">
        <v>178900</v>
      </c>
      <c r="AJ369" s="14" t="n">
        <f aca="false">IFERROR(AM369*U369*MIN(1/AE369,5),"")</f>
        <v>97800.102234505</v>
      </c>
      <c r="AK369" s="18" t="n">
        <f aca="false">IFERROR(AJ369/AI369,"")</f>
        <v>0.546674691081638</v>
      </c>
      <c r="AL369" s="15" t="n">
        <f aca="false">IFERROR(AI369/(AM369*U369/12),"")</f>
        <v>76.4839627149512</v>
      </c>
      <c r="AM369" s="12" t="n">
        <v>60420</v>
      </c>
      <c r="AN369" s="12" t="n">
        <v>227958</v>
      </c>
      <c r="AO369" s="12" t="n">
        <v>489499</v>
      </c>
      <c r="AP369" s="17" t="n">
        <v>0.122</v>
      </c>
      <c r="AQ369" s="16" t="n">
        <v>58</v>
      </c>
      <c r="AR369" s="16" t="n">
        <v>4</v>
      </c>
      <c r="AS369" s="13" t="n">
        <f aca="false">IFERROR(AR369/AR368-1,"")</f>
        <v>0</v>
      </c>
      <c r="AT369" s="11" t="s">
        <v>170</v>
      </c>
      <c r="AU369" s="14" t="n">
        <f aca="false">IFERROR(P369/AR369,"")</f>
        <v>41491</v>
      </c>
      <c r="AV369" s="12" t="n">
        <v>2892309</v>
      </c>
      <c r="AW369" s="12" t="n">
        <v>1227301</v>
      </c>
      <c r="AX369" s="12" t="n">
        <v>630396</v>
      </c>
      <c r="AY369" s="16" t="n">
        <v>34698</v>
      </c>
      <c r="AZ369" s="13" t="n">
        <f aca="false">IFERROR(AY369/AY368-1,"")</f>
        <v>-0.125113464447806</v>
      </c>
      <c r="BA369" s="17" t="n">
        <v>0.7</v>
      </c>
      <c r="BB369" s="11" t="s">
        <v>171</v>
      </c>
      <c r="BC369" s="11" t="s">
        <v>120</v>
      </c>
      <c r="BD369" s="11" t="s">
        <v>101</v>
      </c>
      <c r="BE369" s="12" t="n">
        <v>240615</v>
      </c>
      <c r="BF369" s="13" t="n">
        <f aca="false">IFERROR(P369/BE369-1,"")</f>
        <v>-0.310250815618311</v>
      </c>
      <c r="BG369" s="17" t="n">
        <v>0.19</v>
      </c>
      <c r="BH369" s="17" t="n">
        <v>0.274</v>
      </c>
      <c r="BI369" s="14" t="n">
        <f aca="false">P369*(1+IFERROR(Q369,0))^4</f>
        <v>97775.1696525824</v>
      </c>
      <c r="BJ369" s="12" t="n">
        <v>-1974277</v>
      </c>
      <c r="BK369" s="11" t="s">
        <v>139</v>
      </c>
      <c r="BL369" s="11" t="s">
        <v>148</v>
      </c>
      <c r="BM369" s="14" t="n">
        <f aca="false">O369</f>
        <v>9506519</v>
      </c>
      <c r="BN369" s="11" t="s">
        <v>425</v>
      </c>
      <c r="BO369" s="13" t="n">
        <f aca="false">IFERROR(1-L369/M369,"")</f>
        <v>0.162369486469209</v>
      </c>
      <c r="BP369" s="11" t="s">
        <v>142</v>
      </c>
      <c r="BQ369" s="12" t="n">
        <v>2973926</v>
      </c>
      <c r="BR369" s="11" t="s">
        <v>88</v>
      </c>
      <c r="BS369" s="11" t="s">
        <v>89</v>
      </c>
      <c r="BT369" s="19" t="str">
        <f aca="false">IF(OR(Z369&lt;6,AH369&lt;0.9,S369&lt;0.02,AK369&lt;1),"REVIEW",IF(AND(S369&gt;0.25,AH369&gt;1.2),"ACCELERATING","STABLE"))</f>
        <v>REVIEW</v>
      </c>
    </row>
    <row r="370" customFormat="false" ht="15" hidden="false" customHeight="false" outlineLevel="0" collapsed="false">
      <c r="A370" s="3" t="s">
        <v>426</v>
      </c>
      <c r="B370" s="3" t="s">
        <v>73</v>
      </c>
      <c r="C370" s="3" t="s">
        <v>74</v>
      </c>
      <c r="D370" s="3" t="s">
        <v>115</v>
      </c>
      <c r="E370" s="3" t="s">
        <v>105</v>
      </c>
      <c r="F370" s="3" t="s">
        <v>427</v>
      </c>
      <c r="G370" s="3" t="s">
        <v>78</v>
      </c>
      <c r="H370" s="3" t="s">
        <v>79</v>
      </c>
      <c r="I370" s="3" t="s">
        <v>78</v>
      </c>
      <c r="J370" s="4" t="n">
        <v>1911000</v>
      </c>
      <c r="K370" s="5" t="n">
        <f aca="false">IFERROR(J370/M370,"")</f>
        <v>0.18122332859175</v>
      </c>
      <c r="L370" s="4" t="n">
        <v>8634000</v>
      </c>
      <c r="M370" s="6" t="n">
        <f aca="false">L370+J370</f>
        <v>10545000</v>
      </c>
      <c r="N370" s="4" t="n">
        <v>5611000</v>
      </c>
      <c r="O370" s="4" t="n">
        <v>21874499</v>
      </c>
      <c r="P370" s="4" t="n">
        <v>1055068</v>
      </c>
      <c r="Q370" s="7"/>
      <c r="R370" s="4" t="n">
        <v>1317006</v>
      </c>
      <c r="S370" s="7"/>
      <c r="T370" s="4" t="n">
        <v>643487</v>
      </c>
      <c r="U370" s="5" t="n">
        <f aca="false">IFERROR(T370/P370,"")</f>
        <v>0.609900973207414</v>
      </c>
      <c r="V370" s="6" t="n">
        <f aca="false">T370-AV370</f>
        <v>-2157729</v>
      </c>
      <c r="W370" s="6" t="n">
        <f aca="false">V370-AA370*0.1</f>
        <v>-2157729</v>
      </c>
      <c r="X370" s="4" t="n">
        <v>5562765</v>
      </c>
      <c r="Y370" s="4" t="n">
        <v>195650</v>
      </c>
      <c r="Z370" s="8" t="n">
        <f aca="false">IFERROR(X370/Y370,"")</f>
        <v>28.4322259136213</v>
      </c>
      <c r="AA370" s="4" t="n">
        <v>0</v>
      </c>
      <c r="AB370" s="6" t="n">
        <f aca="false">W370-0.02*P370</f>
        <v>-2178830.36</v>
      </c>
      <c r="AC370" s="9" t="n">
        <v>24</v>
      </c>
      <c r="AD370" s="7"/>
      <c r="AE370" s="7" t="n">
        <v>0.084</v>
      </c>
      <c r="AF370" s="7" t="n">
        <v>0.079</v>
      </c>
      <c r="AG370" s="5" t="n">
        <f aca="false">1-AF370</f>
        <v>0.921</v>
      </c>
      <c r="AH370" s="7" t="n">
        <v>1.042</v>
      </c>
      <c r="AI370" s="4" t="n">
        <v>40916</v>
      </c>
      <c r="AJ370" s="6" t="n">
        <f aca="false">IFERROR(AM370*U370*MIN(1/AE370,5),"")</f>
        <v>97584.1557131863</v>
      </c>
      <c r="AK370" s="10" t="n">
        <f aca="false">IFERROR(AJ370/AI370,"")</f>
        <v>2.38498767507054</v>
      </c>
      <c r="AL370" s="8" t="n">
        <f aca="false">IFERROR(AI370/(AM370*U370/12),"")</f>
        <v>25.1573627097362</v>
      </c>
      <c r="AM370" s="4" t="n">
        <v>32000</v>
      </c>
      <c r="AN370" s="4" t="n">
        <v>1560006</v>
      </c>
      <c r="AO370" s="4" t="n">
        <v>4527240</v>
      </c>
      <c r="AP370" s="7" t="n">
        <v>0.367</v>
      </c>
      <c r="AQ370" s="9" t="n">
        <v>33</v>
      </c>
      <c r="AR370" s="9" t="n">
        <v>6</v>
      </c>
      <c r="AS370" s="7"/>
      <c r="AT370" s="3" t="s">
        <v>153</v>
      </c>
      <c r="AU370" s="6" t="n">
        <f aca="false">IFERROR(P370/AR370,"")</f>
        <v>175844.666666667</v>
      </c>
      <c r="AV370" s="4" t="n">
        <v>2801216</v>
      </c>
      <c r="AW370" s="4" t="n">
        <v>860624</v>
      </c>
      <c r="AX370" s="4" t="n">
        <v>510346</v>
      </c>
      <c r="AY370" s="9" t="n">
        <v>23434</v>
      </c>
      <c r="AZ370" s="7"/>
      <c r="BA370" s="7" t="n">
        <v>0.938</v>
      </c>
      <c r="BB370" s="3" t="s">
        <v>81</v>
      </c>
      <c r="BC370" s="3" t="s">
        <v>82</v>
      </c>
      <c r="BD370" s="3" t="s">
        <v>175</v>
      </c>
      <c r="BE370" s="4" t="n">
        <v>1064758</v>
      </c>
      <c r="BF370" s="5" t="n">
        <f aca="false">IFERROR(P370/BE370-1,"")</f>
        <v>-0.00910065949257954</v>
      </c>
      <c r="BG370" s="7" t="n">
        <v>0.089</v>
      </c>
      <c r="BH370" s="7" t="n">
        <v>-0.055</v>
      </c>
      <c r="BI370" s="6" t="n">
        <f aca="false">P370</f>
        <v>1055068</v>
      </c>
      <c r="BJ370" s="4" t="n">
        <v>-1816761</v>
      </c>
      <c r="BK370" s="3" t="s">
        <v>127</v>
      </c>
      <c r="BL370" s="3" t="s">
        <v>128</v>
      </c>
      <c r="BM370" s="6" t="n">
        <f aca="false">O370</f>
        <v>21874499</v>
      </c>
      <c r="BN370" s="3" t="s">
        <v>428</v>
      </c>
      <c r="BO370" s="5" t="n">
        <f aca="false">IFERROR(1-L370/M370,"")</f>
        <v>0.18122332859175</v>
      </c>
      <c r="BP370" s="3" t="s">
        <v>198</v>
      </c>
      <c r="BQ370" s="4" t="n">
        <v>2481403</v>
      </c>
      <c r="BR370" s="3" t="s">
        <v>88</v>
      </c>
      <c r="BS370" s="3" t="s">
        <v>89</v>
      </c>
      <c r="BT370" s="3" t="s">
        <v>90</v>
      </c>
    </row>
    <row r="371" customFormat="false" ht="15" hidden="false" customHeight="false" outlineLevel="0" collapsed="false">
      <c r="A371" s="11" t="s">
        <v>426</v>
      </c>
      <c r="B371" s="11" t="s">
        <v>91</v>
      </c>
      <c r="C371" s="11" t="s">
        <v>74</v>
      </c>
      <c r="D371" s="11" t="s">
        <v>115</v>
      </c>
      <c r="E371" s="11" t="s">
        <v>105</v>
      </c>
      <c r="F371" s="11" t="s">
        <v>427</v>
      </c>
      <c r="G371" s="11" t="s">
        <v>78</v>
      </c>
      <c r="H371" s="11" t="s">
        <v>79</v>
      </c>
      <c r="I371" s="11" t="s">
        <v>78</v>
      </c>
      <c r="J371" s="12" t="n">
        <v>1911000</v>
      </c>
      <c r="K371" s="13" t="n">
        <f aca="false">IFERROR(J371/M371,"")</f>
        <v>0.18122332859175</v>
      </c>
      <c r="L371" s="12" t="n">
        <v>8634000</v>
      </c>
      <c r="M371" s="14" t="n">
        <f aca="false">L371+J371</f>
        <v>10545000</v>
      </c>
      <c r="N371" s="12" t="n">
        <v>5611000</v>
      </c>
      <c r="O371" s="12" t="n">
        <v>21874499</v>
      </c>
      <c r="P371" s="12" t="n">
        <v>1367826</v>
      </c>
      <c r="Q371" s="13" t="n">
        <f aca="false">IFERROR(P371/P370-1,"")</f>
        <v>0.296433973923956</v>
      </c>
      <c r="R371" s="12" t="n">
        <v>1482804</v>
      </c>
      <c r="S371" s="13" t="n">
        <f aca="false">IFERROR(R371/R370-1,"")</f>
        <v>0.125890087061107</v>
      </c>
      <c r="T371" s="12" t="n">
        <v>837617</v>
      </c>
      <c r="U371" s="13" t="n">
        <f aca="false">IFERROR(T371/P371,"")</f>
        <v>0.612371017951114</v>
      </c>
      <c r="V371" s="14" t="n">
        <f aca="false">T371-AV371</f>
        <v>-2135017</v>
      </c>
      <c r="W371" s="14" t="n">
        <f aca="false">V371-AA371*0.1</f>
        <v>-2135017</v>
      </c>
      <c r="X371" s="12" t="n">
        <v>5069340</v>
      </c>
      <c r="Y371" s="12" t="n">
        <v>202100</v>
      </c>
      <c r="Z371" s="15" t="n">
        <f aca="false">IFERROR(X371/Y371,"")</f>
        <v>25.0833250865908</v>
      </c>
      <c r="AA371" s="12" t="n">
        <v>0</v>
      </c>
      <c r="AB371" s="14" t="n">
        <f aca="false">W371-0.02*P371</f>
        <v>-2162373.52</v>
      </c>
      <c r="AC371" s="16" t="n">
        <v>29</v>
      </c>
      <c r="AD371" s="13" t="n">
        <f aca="false">IFERROR(AC371/AC370-1,"")</f>
        <v>0.208333333333333</v>
      </c>
      <c r="AE371" s="17" t="n">
        <v>0.082</v>
      </c>
      <c r="AF371" s="17" t="n">
        <v>0.076</v>
      </c>
      <c r="AG371" s="13" t="n">
        <f aca="false">1-AF371</f>
        <v>0.924</v>
      </c>
      <c r="AH371" s="17" t="n">
        <v>1.037</v>
      </c>
      <c r="AI371" s="12" t="n">
        <v>40144</v>
      </c>
      <c r="AJ371" s="14" t="n">
        <f aca="false">IFERROR(AM371*U371*MIN(1/AE371,5),"")</f>
        <v>99938.9501296218</v>
      </c>
      <c r="AK371" s="18" t="n">
        <f aca="false">IFERROR(AJ371/AI371,"")</f>
        <v>2.48951151179807</v>
      </c>
      <c r="AL371" s="15" t="n">
        <f aca="false">IFERROR(AI371/(AM371*U371/12),"")</f>
        <v>24.1011136986728</v>
      </c>
      <c r="AM371" s="12" t="n">
        <v>32640</v>
      </c>
      <c r="AN371" s="12" t="n">
        <v>2034210</v>
      </c>
      <c r="AO371" s="12" t="n">
        <v>5778701</v>
      </c>
      <c r="AP371" s="17" t="n">
        <v>0.367</v>
      </c>
      <c r="AQ371" s="16" t="n">
        <v>33</v>
      </c>
      <c r="AR371" s="16" t="n">
        <v>6</v>
      </c>
      <c r="AS371" s="13" t="n">
        <f aca="false">IFERROR(AR371/AR370-1,"")</f>
        <v>0</v>
      </c>
      <c r="AT371" s="11" t="s">
        <v>153</v>
      </c>
      <c r="AU371" s="14" t="n">
        <f aca="false">IFERROR(P371/AR371,"")</f>
        <v>227971</v>
      </c>
      <c r="AV371" s="12" t="n">
        <v>2972634</v>
      </c>
      <c r="AW371" s="12" t="n">
        <v>1354399</v>
      </c>
      <c r="AX371" s="12" t="n">
        <v>564155</v>
      </c>
      <c r="AY371" s="16" t="n">
        <v>28447</v>
      </c>
      <c r="AZ371" s="13" t="n">
        <f aca="false">IFERROR(AY371/AY370-1,"")</f>
        <v>0.21391994537851</v>
      </c>
      <c r="BA371" s="17" t="n">
        <v>0.924</v>
      </c>
      <c r="BB371" s="11" t="s">
        <v>81</v>
      </c>
      <c r="BC371" s="11" t="s">
        <v>82</v>
      </c>
      <c r="BD371" s="11" t="s">
        <v>175</v>
      </c>
      <c r="BE371" s="12" t="n">
        <v>1371481</v>
      </c>
      <c r="BF371" s="13" t="n">
        <f aca="false">IFERROR(P371/BE371-1,"")</f>
        <v>-0.00266500228585009</v>
      </c>
      <c r="BG371" s="17" t="n">
        <v>0.05</v>
      </c>
      <c r="BH371" s="17" t="n">
        <v>0.098</v>
      </c>
      <c r="BI371" s="14" t="n">
        <f aca="false">P371*(1+IFERROR(Q371,0))^4</f>
        <v>3863958.63603136</v>
      </c>
      <c r="BJ371" s="12" t="n">
        <v>-1811403</v>
      </c>
      <c r="BK371" s="11" t="s">
        <v>127</v>
      </c>
      <c r="BL371" s="11" t="s">
        <v>128</v>
      </c>
      <c r="BM371" s="14" t="n">
        <f aca="false">O371</f>
        <v>21874499</v>
      </c>
      <c r="BN371" s="11" t="s">
        <v>428</v>
      </c>
      <c r="BO371" s="13" t="n">
        <f aca="false">IFERROR(1-L371/M371,"")</f>
        <v>0.18122332859175</v>
      </c>
      <c r="BP371" s="11" t="s">
        <v>198</v>
      </c>
      <c r="BQ371" s="12" t="n">
        <v>3294854</v>
      </c>
      <c r="BR371" s="11" t="s">
        <v>88</v>
      </c>
      <c r="BS371" s="11" t="s">
        <v>89</v>
      </c>
      <c r="BT371" s="19" t="str">
        <f aca="false">IF(OR(Z371&lt;6,AH371&lt;0.9,S371&lt;0.02,AK371&lt;1),"REVIEW",IF(AND(S371&gt;0.25,AH371&gt;1.2),"ACCELERATING","STABLE"))</f>
        <v>STABLE</v>
      </c>
    </row>
    <row r="372" customFormat="false" ht="15" hidden="false" customHeight="false" outlineLevel="0" collapsed="false">
      <c r="A372" s="11" t="s">
        <v>426</v>
      </c>
      <c r="B372" s="11" t="s">
        <v>92</v>
      </c>
      <c r="C372" s="11" t="s">
        <v>74</v>
      </c>
      <c r="D372" s="11" t="s">
        <v>115</v>
      </c>
      <c r="E372" s="11" t="s">
        <v>105</v>
      </c>
      <c r="F372" s="11" t="s">
        <v>427</v>
      </c>
      <c r="G372" s="11" t="s">
        <v>78</v>
      </c>
      <c r="H372" s="11" t="s">
        <v>79</v>
      </c>
      <c r="I372" s="11" t="s">
        <v>78</v>
      </c>
      <c r="J372" s="12" t="n">
        <v>1911000</v>
      </c>
      <c r="K372" s="13" t="n">
        <f aca="false">IFERROR(J372/M372,"")</f>
        <v>0.18122332859175</v>
      </c>
      <c r="L372" s="12" t="n">
        <v>8634000</v>
      </c>
      <c r="M372" s="14" t="n">
        <f aca="false">L372+J372</f>
        <v>10545000</v>
      </c>
      <c r="N372" s="12" t="n">
        <v>5611000</v>
      </c>
      <c r="O372" s="12" t="n">
        <v>21874499</v>
      </c>
      <c r="P372" s="12" t="n">
        <v>1538352</v>
      </c>
      <c r="Q372" s="13" t="n">
        <f aca="false">IFERROR(P372/P371-1,"")</f>
        <v>0.124669365840392</v>
      </c>
      <c r="R372" s="12" t="n">
        <v>1908782</v>
      </c>
      <c r="S372" s="13" t="n">
        <f aca="false">IFERROR(R372/R371-1,"")</f>
        <v>0.287278696307806</v>
      </c>
      <c r="T372" s="12" t="n">
        <v>945840</v>
      </c>
      <c r="U372" s="13" t="n">
        <f aca="false">IFERROR(T372/P372,"")</f>
        <v>0.614839776592093</v>
      </c>
      <c r="V372" s="14" t="n">
        <f aca="false">T372-AV372</f>
        <v>-2022662</v>
      </c>
      <c r="W372" s="14" t="n">
        <f aca="false">V372-AA372*0.1</f>
        <v>-2022662</v>
      </c>
      <c r="X372" s="12" t="n">
        <v>4541085</v>
      </c>
      <c r="Y372" s="12" t="n">
        <v>208550</v>
      </c>
      <c r="Z372" s="15" t="n">
        <f aca="false">IFERROR(X372/Y372,"")</f>
        <v>21.7745624550468</v>
      </c>
      <c r="AA372" s="12" t="n">
        <v>0</v>
      </c>
      <c r="AB372" s="14" t="n">
        <f aca="false">W372-0.02*P372</f>
        <v>-2053429.04</v>
      </c>
      <c r="AC372" s="16" t="n">
        <v>33</v>
      </c>
      <c r="AD372" s="13" t="n">
        <f aca="false">IFERROR(AC372/AC371-1,"")</f>
        <v>0.137931034482759</v>
      </c>
      <c r="AE372" s="17" t="n">
        <v>0.079</v>
      </c>
      <c r="AF372" s="17" t="n">
        <v>0.068</v>
      </c>
      <c r="AG372" s="13" t="n">
        <f aca="false">1-AF372</f>
        <v>0.932</v>
      </c>
      <c r="AH372" s="17" t="n">
        <v>1.032</v>
      </c>
      <c r="AI372" s="12" t="n">
        <v>39372</v>
      </c>
      <c r="AJ372" s="14" t="n">
        <f aca="false">IFERROR(AM372*U372*MIN(1/AE372,5),"")</f>
        <v>102309.338824924</v>
      </c>
      <c r="AK372" s="18" t="n">
        <f aca="false">IFERROR(AJ372/AI372,"")</f>
        <v>2.59853039786966</v>
      </c>
      <c r="AL372" s="15" t="n">
        <f aca="false">IFERROR(AI372/(AM372*U372/12),"")</f>
        <v>23.0899742597545</v>
      </c>
      <c r="AM372" s="12" t="n">
        <v>33280</v>
      </c>
      <c r="AN372" s="12" t="n">
        <v>2554184</v>
      </c>
      <c r="AO372" s="12" t="n">
        <v>3447174</v>
      </c>
      <c r="AP372" s="17" t="n">
        <v>0.367</v>
      </c>
      <c r="AQ372" s="16" t="n">
        <v>33</v>
      </c>
      <c r="AR372" s="16" t="n">
        <v>6</v>
      </c>
      <c r="AS372" s="13" t="n">
        <f aca="false">IFERROR(AR372/AR371-1,"")</f>
        <v>0</v>
      </c>
      <c r="AT372" s="11" t="s">
        <v>153</v>
      </c>
      <c r="AU372" s="14" t="n">
        <f aca="false">IFERROR(P372/AR372,"")</f>
        <v>256392</v>
      </c>
      <c r="AV372" s="12" t="n">
        <v>2968502</v>
      </c>
      <c r="AW372" s="12" t="n">
        <v>1127861</v>
      </c>
      <c r="AX372" s="12" t="n">
        <v>781634</v>
      </c>
      <c r="AY372" s="16" t="n">
        <v>34754</v>
      </c>
      <c r="AZ372" s="13" t="n">
        <f aca="false">IFERROR(AY372/AY371-1,"")</f>
        <v>0.221710549442824</v>
      </c>
      <c r="BA372" s="17" t="n">
        <v>0.933</v>
      </c>
      <c r="BB372" s="11" t="s">
        <v>81</v>
      </c>
      <c r="BC372" s="11" t="s">
        <v>82</v>
      </c>
      <c r="BD372" s="11" t="s">
        <v>175</v>
      </c>
      <c r="BE372" s="12" t="n">
        <v>1416963</v>
      </c>
      <c r="BF372" s="13" t="n">
        <f aca="false">IFERROR(P372/BE372-1,"")</f>
        <v>0.0856684331206954</v>
      </c>
      <c r="BG372" s="17" t="n">
        <v>0.039</v>
      </c>
      <c r="BH372" s="17" t="n">
        <v>0.06</v>
      </c>
      <c r="BI372" s="14" t="n">
        <f aca="false">P372*(1+IFERROR(Q372,0))^4</f>
        <v>2461246.90942044</v>
      </c>
      <c r="BJ372" s="12" t="n">
        <v>-1829130</v>
      </c>
      <c r="BK372" s="11" t="s">
        <v>127</v>
      </c>
      <c r="BL372" s="11" t="s">
        <v>128</v>
      </c>
      <c r="BM372" s="14" t="n">
        <f aca="false">O372</f>
        <v>21874499</v>
      </c>
      <c r="BN372" s="11" t="s">
        <v>428</v>
      </c>
      <c r="BO372" s="13" t="n">
        <f aca="false">IFERROR(1-L372/M372,"")</f>
        <v>0.18122332859175</v>
      </c>
      <c r="BP372" s="11" t="s">
        <v>198</v>
      </c>
      <c r="BQ372" s="12" t="n">
        <v>3120576</v>
      </c>
      <c r="BR372" s="11" t="s">
        <v>88</v>
      </c>
      <c r="BS372" s="11" t="s">
        <v>89</v>
      </c>
      <c r="BT372" s="19" t="str">
        <f aca="false">IF(OR(Z372&lt;6,AH372&lt;0.9,S372&lt;0.02,AK372&lt;1),"REVIEW",IF(AND(S372&gt;0.25,AH372&gt;1.2),"ACCELERATING","STABLE"))</f>
        <v>STABLE</v>
      </c>
    </row>
    <row r="373" customFormat="false" ht="15" hidden="false" customHeight="false" outlineLevel="0" collapsed="false">
      <c r="A373" s="11" t="s">
        <v>426</v>
      </c>
      <c r="B373" s="11" t="s">
        <v>93</v>
      </c>
      <c r="C373" s="11" t="s">
        <v>74</v>
      </c>
      <c r="D373" s="11" t="s">
        <v>115</v>
      </c>
      <c r="E373" s="11" t="s">
        <v>105</v>
      </c>
      <c r="F373" s="11" t="s">
        <v>427</v>
      </c>
      <c r="G373" s="11" t="s">
        <v>78</v>
      </c>
      <c r="H373" s="11" t="s">
        <v>79</v>
      </c>
      <c r="I373" s="11" t="s">
        <v>78</v>
      </c>
      <c r="J373" s="12" t="n">
        <v>1911000</v>
      </c>
      <c r="K373" s="13" t="n">
        <f aca="false">IFERROR(J373/M373,"")</f>
        <v>0.18122332859175</v>
      </c>
      <c r="L373" s="12" t="n">
        <v>8634000</v>
      </c>
      <c r="M373" s="14" t="n">
        <f aca="false">L373+J373</f>
        <v>10545000</v>
      </c>
      <c r="N373" s="12" t="n">
        <v>5611000</v>
      </c>
      <c r="O373" s="12" t="n">
        <v>21874499</v>
      </c>
      <c r="P373" s="12" t="n">
        <v>1925047</v>
      </c>
      <c r="Q373" s="13" t="n">
        <f aca="false">IFERROR(P373/P372-1,"")</f>
        <v>0.251369647518903</v>
      </c>
      <c r="R373" s="12" t="n">
        <v>2334062</v>
      </c>
      <c r="S373" s="13" t="n">
        <f aca="false">IFERROR(R373/R372-1,"")</f>
        <v>0.222801765733331</v>
      </c>
      <c r="T373" s="12" t="n">
        <v>1188349</v>
      </c>
      <c r="U373" s="13" t="n">
        <f aca="false">IFERROR(T373/P373,"")</f>
        <v>0.617309083882108</v>
      </c>
      <c r="V373" s="14" t="n">
        <f aca="false">T373-AV373</f>
        <v>-2470019</v>
      </c>
      <c r="W373" s="14" t="n">
        <f aca="false">V373-AA373*0.1</f>
        <v>-2470019</v>
      </c>
      <c r="X373" s="12" t="n">
        <v>3978000</v>
      </c>
      <c r="Y373" s="12" t="n">
        <v>215000</v>
      </c>
      <c r="Z373" s="15" t="n">
        <f aca="false">IFERROR(X373/Y373,"")</f>
        <v>18.5023255813954</v>
      </c>
      <c r="AA373" s="12" t="n">
        <v>0</v>
      </c>
      <c r="AB373" s="14" t="n">
        <f aca="false">W373-0.02*P373</f>
        <v>-2508519.94</v>
      </c>
      <c r="AC373" s="16" t="n">
        <v>37</v>
      </c>
      <c r="AD373" s="13" t="n">
        <f aca="false">IFERROR(AC373/AC372-1,"")</f>
        <v>0.121212121212121</v>
      </c>
      <c r="AE373" s="17" t="n">
        <v>0.077</v>
      </c>
      <c r="AF373" s="17" t="n">
        <v>0.049</v>
      </c>
      <c r="AG373" s="13" t="n">
        <f aca="false">1-AF373</f>
        <v>0.951</v>
      </c>
      <c r="AH373" s="17" t="n">
        <v>1.027</v>
      </c>
      <c r="AI373" s="12" t="n">
        <v>38600</v>
      </c>
      <c r="AJ373" s="14" t="n">
        <f aca="false">IFERROR(AM373*U373*MIN(1/AE373,5),"")</f>
        <v>104695.620626405</v>
      </c>
      <c r="AK373" s="18" t="n">
        <f aca="false">IFERROR(AJ373/AI373,"")</f>
        <v>2.71232177788615</v>
      </c>
      <c r="AL373" s="15" t="n">
        <f aca="false">IFERROR(AI373/(AM373*U373/12),"")</f>
        <v>22.1212691241822</v>
      </c>
      <c r="AM373" s="12" t="n">
        <v>33920</v>
      </c>
      <c r="AN373" s="12" t="n">
        <v>2378758</v>
      </c>
      <c r="AO373" s="12" t="n">
        <v>7697022</v>
      </c>
      <c r="AP373" s="17" t="n">
        <v>0.367</v>
      </c>
      <c r="AQ373" s="16" t="n">
        <v>33</v>
      </c>
      <c r="AR373" s="16" t="n">
        <v>7</v>
      </c>
      <c r="AS373" s="13" t="n">
        <f aca="false">IFERROR(AR373/AR372-1,"")</f>
        <v>0.166666666666667</v>
      </c>
      <c r="AT373" s="11" t="s">
        <v>153</v>
      </c>
      <c r="AU373" s="14" t="n">
        <f aca="false">IFERROR(P373/AR373,"")</f>
        <v>275006.714285714</v>
      </c>
      <c r="AV373" s="12" t="n">
        <v>3658368</v>
      </c>
      <c r="AW373" s="12" t="n">
        <v>1526683</v>
      </c>
      <c r="AX373" s="12" t="n">
        <v>1017319</v>
      </c>
      <c r="AY373" s="16" t="n">
        <v>38834</v>
      </c>
      <c r="AZ373" s="13" t="n">
        <f aca="false">IFERROR(AY373/AY372-1,"")</f>
        <v>0.117396558669506</v>
      </c>
      <c r="BA373" s="17" t="n">
        <v>0.942</v>
      </c>
      <c r="BB373" s="11" t="s">
        <v>81</v>
      </c>
      <c r="BC373" s="11" t="s">
        <v>82</v>
      </c>
      <c r="BD373" s="11" t="s">
        <v>175</v>
      </c>
      <c r="BE373" s="12" t="n">
        <v>1898970</v>
      </c>
      <c r="BF373" s="13" t="n">
        <f aca="false">IFERROR(P373/BE373-1,"")</f>
        <v>0.0137321811297704</v>
      </c>
      <c r="BG373" s="17" t="n">
        <v>-0.037</v>
      </c>
      <c r="BH373" s="17" t="n">
        <v>0.09</v>
      </c>
      <c r="BI373" s="14" t="n">
        <f aca="false">P373*(1+IFERROR(Q373,0))^4</f>
        <v>4720454.37521738</v>
      </c>
      <c r="BJ373" s="12" t="n">
        <v>-2164345</v>
      </c>
      <c r="BK373" s="11" t="s">
        <v>127</v>
      </c>
      <c r="BL373" s="11" t="s">
        <v>128</v>
      </c>
      <c r="BM373" s="14" t="n">
        <f aca="false">O373</f>
        <v>21874499</v>
      </c>
      <c r="BN373" s="11" t="s">
        <v>428</v>
      </c>
      <c r="BO373" s="13" t="n">
        <f aca="false">IFERROR(1-L373/M373,"")</f>
        <v>0.18122332859175</v>
      </c>
      <c r="BP373" s="11" t="s">
        <v>198</v>
      </c>
      <c r="BQ373" s="12" t="n">
        <v>3811489</v>
      </c>
      <c r="BR373" s="11" t="s">
        <v>88</v>
      </c>
      <c r="BS373" s="11" t="s">
        <v>89</v>
      </c>
      <c r="BT373" s="19" t="str">
        <f aca="false">IF(OR(Z373&lt;6,AH373&lt;0.9,S373&lt;0.02,AK373&lt;1),"REVIEW",IF(AND(S373&gt;0.25,AH373&gt;1.2),"ACCELERATING","STABLE"))</f>
        <v>STABLE</v>
      </c>
    </row>
    <row r="374" customFormat="false" ht="15" hidden="false" customHeight="false" outlineLevel="0" collapsed="false">
      <c r="A374" s="3" t="s">
        <v>429</v>
      </c>
      <c r="B374" s="3" t="s">
        <v>73</v>
      </c>
      <c r="C374" s="3" t="s">
        <v>74</v>
      </c>
      <c r="D374" s="3" t="s">
        <v>132</v>
      </c>
      <c r="E374" s="3" t="s">
        <v>105</v>
      </c>
      <c r="F374" s="3" t="s">
        <v>430</v>
      </c>
      <c r="G374" s="3" t="s">
        <v>78</v>
      </c>
      <c r="H374" s="3" t="s">
        <v>79</v>
      </c>
      <c r="I374" s="3" t="s">
        <v>78</v>
      </c>
      <c r="J374" s="4" t="n">
        <v>1844000</v>
      </c>
      <c r="K374" s="5" t="n">
        <f aca="false">IFERROR(J374/M374,"")</f>
        <v>0.122103032710899</v>
      </c>
      <c r="L374" s="4" t="n">
        <v>13258000</v>
      </c>
      <c r="M374" s="6" t="n">
        <f aca="false">L374+J374</f>
        <v>15102000</v>
      </c>
      <c r="N374" s="4" t="n">
        <v>2890000</v>
      </c>
      <c r="O374" s="4" t="n">
        <v>10543239</v>
      </c>
      <c r="P374" s="4" t="n">
        <v>1088745</v>
      </c>
      <c r="Q374" s="7"/>
      <c r="R374" s="4" t="n">
        <v>1348894</v>
      </c>
      <c r="S374" s="7"/>
      <c r="T374" s="4" t="n">
        <v>610741</v>
      </c>
      <c r="U374" s="5" t="n">
        <f aca="false">IFERROR(T374/P374,"")</f>
        <v>0.56095871852454</v>
      </c>
      <c r="V374" s="6" t="n">
        <f aca="false">T374-AV374</f>
        <v>-2438988</v>
      </c>
      <c r="W374" s="6" t="n">
        <f aca="false">V374-AA374*0.1</f>
        <v>-2438988</v>
      </c>
      <c r="X374" s="4" t="n">
        <v>2630258</v>
      </c>
      <c r="Y374" s="4" t="n">
        <v>195980</v>
      </c>
      <c r="Z374" s="8" t="n">
        <f aca="false">IFERROR(X374/Y374,"")</f>
        <v>13.4210531686907</v>
      </c>
      <c r="AA374" s="4" t="n">
        <v>0</v>
      </c>
      <c r="AB374" s="6" t="n">
        <f aca="false">W374-0.02*P374</f>
        <v>-2460762.9</v>
      </c>
      <c r="AC374" s="9" t="n">
        <v>98</v>
      </c>
      <c r="AD374" s="7"/>
      <c r="AE374" s="7" t="n">
        <v>0.215</v>
      </c>
      <c r="AF374" s="7" t="n">
        <v>0.205</v>
      </c>
      <c r="AG374" s="5" t="n">
        <f aca="false">1-AF374</f>
        <v>0.795</v>
      </c>
      <c r="AH374" s="7" t="n">
        <v>0.903</v>
      </c>
      <c r="AI374" s="4" t="n">
        <v>30780</v>
      </c>
      <c r="AJ374" s="6" t="n">
        <f aca="false">IFERROR(AM374*U374*MIN(1/AE374,5),"")</f>
        <v>54791.3166930946</v>
      </c>
      <c r="AK374" s="10" t="n">
        <f aca="false">IFERROR(AJ374/AI374,"")</f>
        <v>1.7800947593598</v>
      </c>
      <c r="AL374" s="8" t="n">
        <f aca="false">IFERROR(AI374/(AM374*U374/12),"")</f>
        <v>31.3544844705039</v>
      </c>
      <c r="AM374" s="4" t="n">
        <v>21000</v>
      </c>
      <c r="AN374" s="4" t="n">
        <v>1242373</v>
      </c>
      <c r="AO374" s="4" t="n">
        <v>2788142</v>
      </c>
      <c r="AP374" s="7" t="n">
        <v>0.243</v>
      </c>
      <c r="AQ374" s="9" t="n">
        <v>23</v>
      </c>
      <c r="AR374" s="9" t="n">
        <v>3</v>
      </c>
      <c r="AS374" s="7"/>
      <c r="AT374" s="3" t="s">
        <v>170</v>
      </c>
      <c r="AU374" s="6" t="n">
        <f aca="false">IFERROR(P374/AR374,"")</f>
        <v>362915</v>
      </c>
      <c r="AV374" s="4" t="n">
        <v>3049729</v>
      </c>
      <c r="AW374" s="4" t="n">
        <v>1427722</v>
      </c>
      <c r="AX374" s="4" t="n">
        <v>964423</v>
      </c>
      <c r="AY374" s="9" t="n">
        <v>52623</v>
      </c>
      <c r="AZ374" s="7"/>
      <c r="BA374" s="7" t="n">
        <v>0.816</v>
      </c>
      <c r="BB374" s="3" t="s">
        <v>119</v>
      </c>
      <c r="BC374" s="3" t="s">
        <v>120</v>
      </c>
      <c r="BD374" s="3" t="s">
        <v>157</v>
      </c>
      <c r="BE374" s="4" t="n">
        <v>1763044</v>
      </c>
      <c r="BF374" s="5" t="n">
        <f aca="false">IFERROR(P374/BE374-1,"")</f>
        <v>-0.382462944770522</v>
      </c>
      <c r="BG374" s="7" t="n">
        <v>0.31</v>
      </c>
      <c r="BH374" s="7" t="n">
        <v>0.286</v>
      </c>
      <c r="BI374" s="6" t="n">
        <f aca="false">P374</f>
        <v>1088745</v>
      </c>
      <c r="BJ374" s="4" t="n">
        <v>-1229930</v>
      </c>
      <c r="BK374" s="3" t="s">
        <v>147</v>
      </c>
      <c r="BL374" s="3" t="s">
        <v>140</v>
      </c>
      <c r="BM374" s="6" t="n">
        <f aca="false">O374</f>
        <v>10543239</v>
      </c>
      <c r="BN374" s="3" t="s">
        <v>431</v>
      </c>
      <c r="BO374" s="5" t="n">
        <f aca="false">IFERROR(1-L374/M374,"")</f>
        <v>0.122103032710899</v>
      </c>
      <c r="BP374" s="3" t="s">
        <v>113</v>
      </c>
      <c r="BQ374" s="4" t="n">
        <v>2539822</v>
      </c>
      <c r="BR374" s="3" t="s">
        <v>88</v>
      </c>
      <c r="BS374" s="3" t="s">
        <v>89</v>
      </c>
      <c r="BT374" s="3" t="s">
        <v>90</v>
      </c>
    </row>
    <row r="375" customFormat="false" ht="15" hidden="false" customHeight="false" outlineLevel="0" collapsed="false">
      <c r="A375" s="11" t="s">
        <v>429</v>
      </c>
      <c r="B375" s="11" t="s">
        <v>91</v>
      </c>
      <c r="C375" s="11" t="s">
        <v>74</v>
      </c>
      <c r="D375" s="11" t="s">
        <v>132</v>
      </c>
      <c r="E375" s="11" t="s">
        <v>105</v>
      </c>
      <c r="F375" s="11" t="s">
        <v>430</v>
      </c>
      <c r="G375" s="11" t="s">
        <v>78</v>
      </c>
      <c r="H375" s="11" t="s">
        <v>79</v>
      </c>
      <c r="I375" s="11" t="s">
        <v>78</v>
      </c>
      <c r="J375" s="12" t="n">
        <v>1844000</v>
      </c>
      <c r="K375" s="13" t="n">
        <f aca="false">IFERROR(J375/M375,"")</f>
        <v>0.122103032710899</v>
      </c>
      <c r="L375" s="12" t="n">
        <v>13258000</v>
      </c>
      <c r="M375" s="14" t="n">
        <f aca="false">L375+J375</f>
        <v>15102000</v>
      </c>
      <c r="N375" s="12" t="n">
        <v>2890000</v>
      </c>
      <c r="O375" s="12" t="n">
        <v>10543239</v>
      </c>
      <c r="P375" s="12" t="n">
        <v>993719</v>
      </c>
      <c r="Q375" s="13" t="n">
        <f aca="false">IFERROR(P375/P374-1,"")</f>
        <v>-0.0872803089796049</v>
      </c>
      <c r="R375" s="12" t="n">
        <v>1205551</v>
      </c>
      <c r="S375" s="13" t="n">
        <f aca="false">IFERROR(R375/R374-1,"")</f>
        <v>-0.106267060273083</v>
      </c>
      <c r="T375" s="12" t="n">
        <v>546917</v>
      </c>
      <c r="U375" s="13" t="n">
        <f aca="false">IFERROR(T375/P375,"")</f>
        <v>0.550373898456203</v>
      </c>
      <c r="V375" s="14" t="n">
        <f aca="false">T375-AV375</f>
        <v>-2221000</v>
      </c>
      <c r="W375" s="14" t="n">
        <f aca="false">V375-AA375*0.1</f>
        <v>-2221000</v>
      </c>
      <c r="X375" s="12" t="n">
        <v>2078168</v>
      </c>
      <c r="Y375" s="12" t="n">
        <v>210320</v>
      </c>
      <c r="Z375" s="15" t="n">
        <f aca="false">IFERROR(X375/Y375,"")</f>
        <v>9.8809813617345</v>
      </c>
      <c r="AA375" s="12" t="n">
        <v>0</v>
      </c>
      <c r="AB375" s="14" t="n">
        <f aca="false">W375-0.02*P375</f>
        <v>-2240874.38</v>
      </c>
      <c r="AC375" s="16" t="n">
        <v>91</v>
      </c>
      <c r="AD375" s="13" t="n">
        <f aca="false">IFERROR(AC375/AC374-1,"")</f>
        <v>-0.0714285714285714</v>
      </c>
      <c r="AE375" s="17" t="n">
        <v>0.255</v>
      </c>
      <c r="AF375" s="17" t="n">
        <v>0.266</v>
      </c>
      <c r="AG375" s="13" t="n">
        <f aca="false">1-AF375</f>
        <v>0.734</v>
      </c>
      <c r="AH375" s="17" t="n">
        <v>0.863</v>
      </c>
      <c r="AI375" s="12" t="n">
        <v>34020</v>
      </c>
      <c r="AJ375" s="14" t="n">
        <f aca="false">IFERROR(AM375*U375*MIN(1/AE375,5),"")</f>
        <v>46231.4074703211</v>
      </c>
      <c r="AK375" s="18" t="n">
        <f aca="false">IFERROR(AJ375/AI375,"")</f>
        <v>1.35894789742272</v>
      </c>
      <c r="AL375" s="15" t="n">
        <f aca="false">IFERROR(AI375/(AM375*U375/12),"")</f>
        <v>34.6288651821456</v>
      </c>
      <c r="AM375" s="12" t="n">
        <v>21420</v>
      </c>
      <c r="AN375" s="12" t="n">
        <v>1323509</v>
      </c>
      <c r="AO375" s="12" t="n">
        <v>2995983</v>
      </c>
      <c r="AP375" s="17" t="n">
        <v>0.243</v>
      </c>
      <c r="AQ375" s="16" t="n">
        <v>23</v>
      </c>
      <c r="AR375" s="16" t="n">
        <v>2</v>
      </c>
      <c r="AS375" s="13" t="n">
        <f aca="false">IFERROR(AR375/AR374-1,"")</f>
        <v>-0.333333333333333</v>
      </c>
      <c r="AT375" s="11" t="s">
        <v>170</v>
      </c>
      <c r="AU375" s="14" t="n">
        <f aca="false">IFERROR(P375/AR375,"")</f>
        <v>496859.5</v>
      </c>
      <c r="AV375" s="12" t="n">
        <v>2767917</v>
      </c>
      <c r="AW375" s="12" t="n">
        <v>1222149</v>
      </c>
      <c r="AX375" s="12" t="n">
        <v>883587</v>
      </c>
      <c r="AY375" s="16" t="n">
        <v>47286</v>
      </c>
      <c r="AZ375" s="13" t="n">
        <f aca="false">IFERROR(AY375/AY374-1,"")</f>
        <v>-0.101419531383615</v>
      </c>
      <c r="BA375" s="17" t="n">
        <v>0.769</v>
      </c>
      <c r="BB375" s="11" t="s">
        <v>119</v>
      </c>
      <c r="BC375" s="11" t="s">
        <v>120</v>
      </c>
      <c r="BD375" s="11" t="s">
        <v>157</v>
      </c>
      <c r="BE375" s="12" t="n">
        <v>1291280</v>
      </c>
      <c r="BF375" s="13" t="n">
        <f aca="false">IFERROR(P375/BE375-1,"")</f>
        <v>-0.230438789418252</v>
      </c>
      <c r="BG375" s="17" t="n">
        <v>0.141</v>
      </c>
      <c r="BH375" s="17" t="n">
        <v>0.247</v>
      </c>
      <c r="BI375" s="14" t="n">
        <f aca="false">P375*(1+IFERROR(Q375,0))^4</f>
        <v>689625.440008353</v>
      </c>
      <c r="BJ375" s="12" t="n">
        <v>-2499517</v>
      </c>
      <c r="BK375" s="11" t="s">
        <v>147</v>
      </c>
      <c r="BL375" s="11" t="s">
        <v>140</v>
      </c>
      <c r="BM375" s="14" t="n">
        <f aca="false">O375</f>
        <v>10543239</v>
      </c>
      <c r="BN375" s="11" t="s">
        <v>431</v>
      </c>
      <c r="BO375" s="13" t="n">
        <f aca="false">IFERROR(1-L375/M375,"")</f>
        <v>0.122103032710899</v>
      </c>
      <c r="BP375" s="11" t="s">
        <v>113</v>
      </c>
      <c r="BQ375" s="12" t="n">
        <v>3777227</v>
      </c>
      <c r="BR375" s="11" t="s">
        <v>88</v>
      </c>
      <c r="BS375" s="11" t="s">
        <v>89</v>
      </c>
      <c r="BT375" s="19" t="str">
        <f aca="false">IF(OR(Z375&lt;6,AH375&lt;0.9,S375&lt;0.02,AK375&lt;1),"REVIEW",IF(AND(S375&gt;0.25,AH375&gt;1.2),"ACCELERATING","STABLE"))</f>
        <v>REVIEW</v>
      </c>
    </row>
    <row r="376" customFormat="false" ht="15" hidden="false" customHeight="false" outlineLevel="0" collapsed="false">
      <c r="A376" s="11" t="s">
        <v>429</v>
      </c>
      <c r="B376" s="11" t="s">
        <v>92</v>
      </c>
      <c r="C376" s="11" t="s">
        <v>74</v>
      </c>
      <c r="D376" s="11" t="s">
        <v>132</v>
      </c>
      <c r="E376" s="11" t="s">
        <v>105</v>
      </c>
      <c r="F376" s="11" t="s">
        <v>430</v>
      </c>
      <c r="G376" s="11" t="s">
        <v>78</v>
      </c>
      <c r="H376" s="11" t="s">
        <v>79</v>
      </c>
      <c r="I376" s="11" t="s">
        <v>78</v>
      </c>
      <c r="J376" s="12" t="n">
        <v>1844000</v>
      </c>
      <c r="K376" s="13" t="n">
        <f aca="false">IFERROR(J376/M376,"")</f>
        <v>0.122103032710899</v>
      </c>
      <c r="L376" s="12" t="n">
        <v>13258000</v>
      </c>
      <c r="M376" s="14" t="n">
        <f aca="false">L376+J376</f>
        <v>15102000</v>
      </c>
      <c r="N376" s="12" t="n">
        <v>2890000</v>
      </c>
      <c r="O376" s="12" t="n">
        <v>10543239</v>
      </c>
      <c r="P376" s="12" t="n">
        <v>892714</v>
      </c>
      <c r="Q376" s="13" t="n">
        <f aca="false">IFERROR(P376/P375-1,"")</f>
        <v>-0.10164342233569</v>
      </c>
      <c r="R376" s="12" t="n">
        <v>1088159</v>
      </c>
      <c r="S376" s="13" t="n">
        <f aca="false">IFERROR(R376/R375-1,"")</f>
        <v>-0.0973762205000037</v>
      </c>
      <c r="T376" s="12" t="n">
        <v>481878</v>
      </c>
      <c r="U376" s="13" t="n">
        <f aca="false">IFERROR(T376/P376,"")</f>
        <v>0.539789899116626</v>
      </c>
      <c r="V376" s="14" t="n">
        <f aca="false">T376-AV376</f>
        <v>-2703151</v>
      </c>
      <c r="W376" s="14" t="n">
        <f aca="false">V376-AA376*0.1</f>
        <v>-2703151</v>
      </c>
      <c r="X376" s="12" t="n">
        <v>1431434</v>
      </c>
      <c r="Y376" s="12" t="n">
        <v>224660</v>
      </c>
      <c r="Z376" s="15" t="n">
        <f aca="false">IFERROR(X376/Y376,"")</f>
        <v>6.37155701949613</v>
      </c>
      <c r="AA376" s="12" t="n">
        <v>0</v>
      </c>
      <c r="AB376" s="14" t="n">
        <f aca="false">W376-0.02*P376</f>
        <v>-2721005.28</v>
      </c>
      <c r="AC376" s="16" t="n">
        <v>84</v>
      </c>
      <c r="AD376" s="13" t="n">
        <f aca="false">IFERROR(AC376/AC375-1,"")</f>
        <v>-0.0769230769230769</v>
      </c>
      <c r="AE376" s="17" t="n">
        <v>0.296</v>
      </c>
      <c r="AF376" s="17" t="n">
        <v>0.279</v>
      </c>
      <c r="AG376" s="13" t="n">
        <f aca="false">1-AF376</f>
        <v>0.721</v>
      </c>
      <c r="AH376" s="17" t="n">
        <v>0.823</v>
      </c>
      <c r="AI376" s="12" t="n">
        <v>37260</v>
      </c>
      <c r="AJ376" s="14" t="n">
        <f aca="false">IFERROR(AM376*U376*MIN(1/AE376,5),"")</f>
        <v>39827.7412050916</v>
      </c>
      <c r="AK376" s="18" t="n">
        <f aca="false">IFERROR(AJ376/AI376,"")</f>
        <v>1.06891414935834</v>
      </c>
      <c r="AL376" s="15" t="n">
        <f aca="false">IFERROR(AI376/(AM376*U376/12),"")</f>
        <v>37.9268443259703</v>
      </c>
      <c r="AM376" s="12" t="n">
        <v>21840</v>
      </c>
      <c r="AN376" s="12" t="n">
        <v>1345363</v>
      </c>
      <c r="AO376" s="12" t="n">
        <v>3460912</v>
      </c>
      <c r="AP376" s="17" t="n">
        <v>0.243</v>
      </c>
      <c r="AQ376" s="16" t="n">
        <v>23</v>
      </c>
      <c r="AR376" s="16" t="n">
        <v>2</v>
      </c>
      <c r="AS376" s="13" t="n">
        <f aca="false">IFERROR(AR376/AR375-1,"")</f>
        <v>0</v>
      </c>
      <c r="AT376" s="11" t="s">
        <v>170</v>
      </c>
      <c r="AU376" s="14" t="n">
        <f aca="false">IFERROR(P376/AR376,"")</f>
        <v>446357</v>
      </c>
      <c r="AV376" s="12" t="n">
        <v>3185029</v>
      </c>
      <c r="AW376" s="12" t="n">
        <v>1476534</v>
      </c>
      <c r="AX376" s="12" t="n">
        <v>646331</v>
      </c>
      <c r="AY376" s="16" t="n">
        <v>43820</v>
      </c>
      <c r="AZ376" s="13" t="n">
        <f aca="false">IFERROR(AY376/AY375-1,"")</f>
        <v>-0.0732986507634394</v>
      </c>
      <c r="BA376" s="17" t="n">
        <v>0.769</v>
      </c>
      <c r="BB376" s="11" t="s">
        <v>119</v>
      </c>
      <c r="BC376" s="11" t="s">
        <v>120</v>
      </c>
      <c r="BD376" s="11" t="s">
        <v>157</v>
      </c>
      <c r="BE376" s="12" t="n">
        <v>1489323</v>
      </c>
      <c r="BF376" s="13" t="n">
        <f aca="false">IFERROR(P376/BE376-1,"")</f>
        <v>-0.400590738207897</v>
      </c>
      <c r="BG376" s="17" t="n">
        <v>0.209</v>
      </c>
      <c r="BH376" s="17" t="n">
        <v>0.299</v>
      </c>
      <c r="BI376" s="14" t="n">
        <f aca="false">P376*(1+IFERROR(Q376,0))^4</f>
        <v>581443.277499928</v>
      </c>
      <c r="BJ376" s="12" t="n">
        <v>-1598011</v>
      </c>
      <c r="BK376" s="11" t="s">
        <v>147</v>
      </c>
      <c r="BL376" s="11" t="s">
        <v>140</v>
      </c>
      <c r="BM376" s="14" t="n">
        <f aca="false">O376</f>
        <v>10543239</v>
      </c>
      <c r="BN376" s="11" t="s">
        <v>431</v>
      </c>
      <c r="BO376" s="13" t="n">
        <f aca="false">IFERROR(1-L376/M376,"")</f>
        <v>0.122103032710899</v>
      </c>
      <c r="BP376" s="11" t="s">
        <v>113</v>
      </c>
      <c r="BQ376" s="12" t="n">
        <v>3383137</v>
      </c>
      <c r="BR376" s="11" t="s">
        <v>88</v>
      </c>
      <c r="BS376" s="11" t="s">
        <v>89</v>
      </c>
      <c r="BT376" s="19" t="str">
        <f aca="false">IF(OR(Z376&lt;6,AH376&lt;0.9,S376&lt;0.02,AK376&lt;1),"REVIEW",IF(AND(S376&gt;0.25,AH376&gt;1.2),"ACCELERATING","STABLE"))</f>
        <v>REVIEW</v>
      </c>
    </row>
    <row r="377" customFormat="false" ht="15" hidden="false" customHeight="false" outlineLevel="0" collapsed="false">
      <c r="A377" s="11" t="s">
        <v>429</v>
      </c>
      <c r="B377" s="11" t="s">
        <v>93</v>
      </c>
      <c r="C377" s="11" t="s">
        <v>74</v>
      </c>
      <c r="D377" s="11" t="s">
        <v>132</v>
      </c>
      <c r="E377" s="11" t="s">
        <v>105</v>
      </c>
      <c r="F377" s="11" t="s">
        <v>430</v>
      </c>
      <c r="G377" s="11" t="s">
        <v>78</v>
      </c>
      <c r="H377" s="11" t="s">
        <v>79</v>
      </c>
      <c r="I377" s="11" t="s">
        <v>78</v>
      </c>
      <c r="J377" s="12" t="n">
        <v>1844000</v>
      </c>
      <c r="K377" s="13" t="n">
        <f aca="false">IFERROR(J377/M377,"")</f>
        <v>0.122103032710899</v>
      </c>
      <c r="L377" s="12" t="n">
        <v>13258000</v>
      </c>
      <c r="M377" s="14" t="n">
        <f aca="false">L377+J377</f>
        <v>15102000</v>
      </c>
      <c r="N377" s="12" t="n">
        <v>2890000</v>
      </c>
      <c r="O377" s="12" t="n">
        <v>10543239</v>
      </c>
      <c r="P377" s="12" t="n">
        <v>800593</v>
      </c>
      <c r="Q377" s="13" t="n">
        <f aca="false">IFERROR(P377/P376-1,"")</f>
        <v>-0.103192063751661</v>
      </c>
      <c r="R377" s="12" t="n">
        <v>998838</v>
      </c>
      <c r="S377" s="13" t="n">
        <f aca="false">IFERROR(R377/R376-1,"")</f>
        <v>-0.0820845115465663</v>
      </c>
      <c r="T377" s="12" t="n">
        <v>423679</v>
      </c>
      <c r="U377" s="13" t="n">
        <f aca="false">IFERROR(T377/P377,"")</f>
        <v>0.529206475699887</v>
      </c>
      <c r="V377" s="14" t="n">
        <f aca="false">T377-AV377</f>
        <v>-2847764</v>
      </c>
      <c r="W377" s="14" t="n">
        <f aca="false">V377-AA377*0.1</f>
        <v>-2847764</v>
      </c>
      <c r="X377" s="12" t="n">
        <v>690056</v>
      </c>
      <c r="Y377" s="12" t="n">
        <v>239000</v>
      </c>
      <c r="Z377" s="15" t="n">
        <f aca="false">IFERROR(X377/Y377,"")</f>
        <v>2.88726359832636</v>
      </c>
      <c r="AA377" s="12" t="n">
        <v>0</v>
      </c>
      <c r="AB377" s="14" t="n">
        <f aca="false">W377-0.02*P377</f>
        <v>-2863775.86</v>
      </c>
      <c r="AC377" s="16" t="n">
        <v>78</v>
      </c>
      <c r="AD377" s="13" t="n">
        <f aca="false">IFERROR(AC377/AC376-1,"")</f>
        <v>-0.0714285714285714</v>
      </c>
      <c r="AE377" s="17" t="n">
        <v>0.336</v>
      </c>
      <c r="AF377" s="17" t="n">
        <v>0.279</v>
      </c>
      <c r="AG377" s="13" t="n">
        <f aca="false">1-AF377</f>
        <v>0.721</v>
      </c>
      <c r="AH377" s="17" t="n">
        <v>0.783</v>
      </c>
      <c r="AI377" s="12" t="n">
        <v>40500</v>
      </c>
      <c r="AJ377" s="14" t="n">
        <f aca="false">IFERROR(AM377*U377*MIN(1/AE377,5),"")</f>
        <v>35059.9290151175</v>
      </c>
      <c r="AK377" s="18" t="n">
        <f aca="false">IFERROR(AJ377/AI377,"")</f>
        <v>0.865677259632532</v>
      </c>
      <c r="AL377" s="15" t="n">
        <f aca="false">IFERROR(AI377/(AM377*U377/12),"")</f>
        <v>41.2558899022552</v>
      </c>
      <c r="AM377" s="12" t="n">
        <v>22260</v>
      </c>
      <c r="AN377" s="12" t="n">
        <v>958836</v>
      </c>
      <c r="AO377" s="12" t="n">
        <v>2742565</v>
      </c>
      <c r="AP377" s="17" t="n">
        <v>0.243</v>
      </c>
      <c r="AQ377" s="16" t="n">
        <v>23</v>
      </c>
      <c r="AR377" s="16" t="n">
        <v>2</v>
      </c>
      <c r="AS377" s="13" t="n">
        <f aca="false">IFERROR(AR377/AR376-1,"")</f>
        <v>0</v>
      </c>
      <c r="AT377" s="11" t="s">
        <v>170</v>
      </c>
      <c r="AU377" s="14" t="n">
        <f aca="false">IFERROR(P377/AR377,"")</f>
        <v>400296.5</v>
      </c>
      <c r="AV377" s="12" t="n">
        <v>3271443</v>
      </c>
      <c r="AW377" s="12" t="n">
        <v>1315611</v>
      </c>
      <c r="AX377" s="12" t="n">
        <v>1026368</v>
      </c>
      <c r="AY377" s="16" t="n">
        <v>39615</v>
      </c>
      <c r="AZ377" s="13" t="n">
        <f aca="false">IFERROR(AY377/AY376-1,"")</f>
        <v>-0.095960748516659</v>
      </c>
      <c r="BA377" s="17" t="n">
        <v>0.726</v>
      </c>
      <c r="BB377" s="11" t="s">
        <v>119</v>
      </c>
      <c r="BC377" s="11" t="s">
        <v>120</v>
      </c>
      <c r="BD377" s="11" t="s">
        <v>157</v>
      </c>
      <c r="BE377" s="12" t="n">
        <v>1319481</v>
      </c>
      <c r="BF377" s="13" t="n">
        <f aca="false">IFERROR(P377/BE377-1,"")</f>
        <v>-0.393251589071764</v>
      </c>
      <c r="BG377" s="17" t="n">
        <v>0.146</v>
      </c>
      <c r="BH377" s="17" t="n">
        <v>0.288</v>
      </c>
      <c r="BI377" s="14" t="n">
        <f aca="false">P377*(1+IFERROR(Q377,0))^4</f>
        <v>517856.652894947</v>
      </c>
      <c r="BJ377" s="12" t="n">
        <v>-2606982</v>
      </c>
      <c r="BK377" s="11" t="s">
        <v>147</v>
      </c>
      <c r="BL377" s="11" t="s">
        <v>140</v>
      </c>
      <c r="BM377" s="14" t="n">
        <f aca="false">O377</f>
        <v>10543239</v>
      </c>
      <c r="BN377" s="11" t="s">
        <v>431</v>
      </c>
      <c r="BO377" s="13" t="n">
        <f aca="false">IFERROR(1-L377/M377,"")</f>
        <v>0.122103032710899</v>
      </c>
      <c r="BP377" s="11" t="s">
        <v>113</v>
      </c>
      <c r="BQ377" s="12" t="n">
        <v>4373536</v>
      </c>
      <c r="BR377" s="11" t="s">
        <v>88</v>
      </c>
      <c r="BS377" s="11" t="s">
        <v>89</v>
      </c>
      <c r="BT377" s="19" t="str">
        <f aca="false">IF(OR(Z377&lt;6,AH377&lt;0.9,S377&lt;0.02,AK377&lt;1),"REVIEW",IF(AND(S377&gt;0.25,AH377&gt;1.2),"ACCELERATING","STABLE"))</f>
        <v>REVIEW</v>
      </c>
    </row>
    <row r="378" customFormat="false" ht="15" hidden="false" customHeight="false" outlineLevel="0" collapsed="false">
      <c r="A378" s="3" t="s">
        <v>432</v>
      </c>
      <c r="B378" s="3" t="s">
        <v>73</v>
      </c>
      <c r="C378" s="3" t="s">
        <v>74</v>
      </c>
      <c r="D378" s="3" t="s">
        <v>95</v>
      </c>
      <c r="E378" s="3" t="s">
        <v>105</v>
      </c>
      <c r="F378" s="3" t="s">
        <v>433</v>
      </c>
      <c r="G378" s="3" t="s">
        <v>78</v>
      </c>
      <c r="H378" s="3" t="s">
        <v>79</v>
      </c>
      <c r="I378" s="3" t="s">
        <v>78</v>
      </c>
      <c r="J378" s="4" t="n">
        <v>3060000</v>
      </c>
      <c r="K378" s="5" t="n">
        <f aca="false">IFERROR(J378/M378,"")</f>
        <v>0.180701547183182</v>
      </c>
      <c r="L378" s="4" t="n">
        <v>13874000</v>
      </c>
      <c r="M378" s="6" t="n">
        <f aca="false">L378+J378</f>
        <v>16934000</v>
      </c>
      <c r="N378" s="4" t="n">
        <v>5908000</v>
      </c>
      <c r="O378" s="4" t="n">
        <v>31239233</v>
      </c>
      <c r="P378" s="4" t="n">
        <v>661043</v>
      </c>
      <c r="Q378" s="7"/>
      <c r="R378" s="4" t="n">
        <v>804622</v>
      </c>
      <c r="S378" s="7"/>
      <c r="T378" s="4" t="n">
        <v>518935</v>
      </c>
      <c r="U378" s="5" t="n">
        <f aca="false">IFERROR(T378/P378,"")</f>
        <v>0.785024574800732</v>
      </c>
      <c r="V378" s="6" t="n">
        <f aca="false">T378-AV378</f>
        <v>-1063139</v>
      </c>
      <c r="W378" s="6" t="n">
        <f aca="false">V378-AA378*0.1</f>
        <v>-1063139</v>
      </c>
      <c r="X378" s="4" t="n">
        <v>3513552</v>
      </c>
      <c r="Y378" s="4" t="n">
        <v>101920</v>
      </c>
      <c r="Z378" s="8" t="n">
        <f aca="false">IFERROR(X378/Y378,"")</f>
        <v>34.4736263736264</v>
      </c>
      <c r="AA378" s="4" t="n">
        <v>0</v>
      </c>
      <c r="AB378" s="6" t="n">
        <f aca="false">W378-0.02*P378</f>
        <v>-1076359.86</v>
      </c>
      <c r="AC378" s="9" t="n">
        <v>22</v>
      </c>
      <c r="AD378" s="7"/>
      <c r="AE378" s="7" t="n">
        <v>0.145</v>
      </c>
      <c r="AF378" s="7" t="n">
        <v>0.106</v>
      </c>
      <c r="AG378" s="5" t="n">
        <f aca="false">1-AF378</f>
        <v>0.894</v>
      </c>
      <c r="AH378" s="7" t="n">
        <v>1.109</v>
      </c>
      <c r="AI378" s="4" t="n">
        <v>65720</v>
      </c>
      <c r="AJ378" s="6" t="n">
        <f aca="false">IFERROR(AM378*U378*MIN(1/AE378,5),"")</f>
        <v>137379.300590128</v>
      </c>
      <c r="AK378" s="10" t="n">
        <f aca="false">IFERROR(AJ378/AI378,"")</f>
        <v>2.09037280264954</v>
      </c>
      <c r="AL378" s="8" t="n">
        <f aca="false">IFERROR(AI378/(AM378*U378/12),"")</f>
        <v>28.7030140862673</v>
      </c>
      <c r="AM378" s="4" t="n">
        <v>35000</v>
      </c>
      <c r="AN378" s="4" t="n">
        <v>910362</v>
      </c>
      <c r="AO378" s="4" t="n">
        <v>2346983</v>
      </c>
      <c r="AP378" s="7" t="n">
        <v>0.358</v>
      </c>
      <c r="AQ378" s="9" t="n">
        <v>24</v>
      </c>
      <c r="AR378" s="9" t="n">
        <v>1</v>
      </c>
      <c r="AS378" s="7"/>
      <c r="AT378" s="3" t="s">
        <v>218</v>
      </c>
      <c r="AU378" s="6" t="n">
        <f aca="false">IFERROR(P378/AR378,"")</f>
        <v>661043</v>
      </c>
      <c r="AV378" s="4" t="n">
        <v>1582074</v>
      </c>
      <c r="AW378" s="4" t="n">
        <v>600569</v>
      </c>
      <c r="AX378" s="4" t="n">
        <v>526390</v>
      </c>
      <c r="AY378" s="9" t="n">
        <v>3337</v>
      </c>
      <c r="AZ378" s="7"/>
      <c r="BA378" s="7" t="n">
        <v>0.858</v>
      </c>
      <c r="BB378" s="3" t="s">
        <v>81</v>
      </c>
      <c r="BC378" s="3" t="s">
        <v>108</v>
      </c>
      <c r="BD378" s="3" t="s">
        <v>83</v>
      </c>
      <c r="BE378" s="4" t="n">
        <v>716369</v>
      </c>
      <c r="BF378" s="5" t="n">
        <f aca="false">IFERROR(P378/BE378-1,"")</f>
        <v>-0.0772311476348083</v>
      </c>
      <c r="BG378" s="7" t="n">
        <v>0.073</v>
      </c>
      <c r="BH378" s="7" t="n">
        <v>0.009</v>
      </c>
      <c r="BI378" s="6" t="n">
        <f aca="false">P378</f>
        <v>661043</v>
      </c>
      <c r="BJ378" s="4" t="n">
        <v>-1105754</v>
      </c>
      <c r="BK378" s="3" t="s">
        <v>102</v>
      </c>
      <c r="BL378" s="3" t="s">
        <v>162</v>
      </c>
      <c r="BM378" s="6" t="n">
        <f aca="false">O378</f>
        <v>31239233</v>
      </c>
      <c r="BN378" s="3" t="s">
        <v>434</v>
      </c>
      <c r="BO378" s="5" t="n">
        <f aca="false">IFERROR(1-L378/M378,"")</f>
        <v>0.180701547183182</v>
      </c>
      <c r="BP378" s="3" t="s">
        <v>142</v>
      </c>
      <c r="BQ378" s="4" t="n">
        <v>1961127</v>
      </c>
      <c r="BR378" s="3" t="s">
        <v>88</v>
      </c>
      <c r="BS378" s="3" t="s">
        <v>89</v>
      </c>
      <c r="BT378" s="3" t="s">
        <v>90</v>
      </c>
    </row>
    <row r="379" customFormat="false" ht="15" hidden="false" customHeight="false" outlineLevel="0" collapsed="false">
      <c r="A379" s="11" t="s">
        <v>432</v>
      </c>
      <c r="B379" s="11" t="s">
        <v>91</v>
      </c>
      <c r="C379" s="11" t="s">
        <v>74</v>
      </c>
      <c r="D379" s="11" t="s">
        <v>95</v>
      </c>
      <c r="E379" s="11" t="s">
        <v>105</v>
      </c>
      <c r="F379" s="11" t="s">
        <v>433</v>
      </c>
      <c r="G379" s="11" t="s">
        <v>78</v>
      </c>
      <c r="H379" s="11" t="s">
        <v>79</v>
      </c>
      <c r="I379" s="11" t="s">
        <v>78</v>
      </c>
      <c r="J379" s="12" t="n">
        <v>3060000</v>
      </c>
      <c r="K379" s="13" t="n">
        <f aca="false">IFERROR(J379/M379,"")</f>
        <v>0.180701547183182</v>
      </c>
      <c r="L379" s="12" t="n">
        <v>13874000</v>
      </c>
      <c r="M379" s="14" t="n">
        <f aca="false">L379+J379</f>
        <v>16934000</v>
      </c>
      <c r="N379" s="12" t="n">
        <v>5908000</v>
      </c>
      <c r="O379" s="12" t="n">
        <v>31239233</v>
      </c>
      <c r="P379" s="12" t="n">
        <v>810526</v>
      </c>
      <c r="Q379" s="13" t="n">
        <f aca="false">IFERROR(P379/P378-1,"")</f>
        <v>0.226132036796396</v>
      </c>
      <c r="R379" s="12" t="n">
        <v>931020</v>
      </c>
      <c r="S379" s="13" t="n">
        <f aca="false">IFERROR(R379/R378-1,"")</f>
        <v>0.157089913027484</v>
      </c>
      <c r="T379" s="12" t="n">
        <v>638859</v>
      </c>
      <c r="U379" s="13" t="n">
        <f aca="false">IFERROR(T379/P379,"")</f>
        <v>0.788202969429728</v>
      </c>
      <c r="V379" s="14" t="n">
        <f aca="false">T379-AV379</f>
        <v>-1237753</v>
      </c>
      <c r="W379" s="14" t="n">
        <f aca="false">V379-AA379*0.1</f>
        <v>-1237753</v>
      </c>
      <c r="X379" s="12" t="n">
        <v>3256512</v>
      </c>
      <c r="Y379" s="12" t="n">
        <v>105280</v>
      </c>
      <c r="Z379" s="15" t="n">
        <f aca="false">IFERROR(X379/Y379,"")</f>
        <v>30.931914893617</v>
      </c>
      <c r="AA379" s="12" t="n">
        <v>0</v>
      </c>
      <c r="AB379" s="14" t="n">
        <f aca="false">W379-0.02*P379</f>
        <v>-1253963.52</v>
      </c>
      <c r="AC379" s="16" t="n">
        <v>26</v>
      </c>
      <c r="AD379" s="13" t="n">
        <f aca="false">IFERROR(AC379/AC378-1,"")</f>
        <v>0.181818181818182</v>
      </c>
      <c r="AE379" s="17" t="n">
        <v>0.141</v>
      </c>
      <c r="AF379" s="17" t="n">
        <v>0.126</v>
      </c>
      <c r="AG379" s="13" t="n">
        <f aca="false">1-AF379</f>
        <v>0.874</v>
      </c>
      <c r="AH379" s="17" t="n">
        <v>1.104</v>
      </c>
      <c r="AI379" s="12" t="n">
        <v>64480</v>
      </c>
      <c r="AJ379" s="14" t="n">
        <f aca="false">IFERROR(AM379*U379*MIN(1/AE379,5),"")</f>
        <v>140694.230043207</v>
      </c>
      <c r="AK379" s="18" t="n">
        <f aca="false">IFERROR(AJ379/AI379,"")</f>
        <v>2.18198247585618</v>
      </c>
      <c r="AL379" s="15" t="n">
        <f aca="false">IFERROR(AI379/(AM379*U379/12),"")</f>
        <v>27.4979293664844</v>
      </c>
      <c r="AM379" s="12" t="n">
        <v>35700</v>
      </c>
      <c r="AN379" s="12" t="n">
        <v>1088229</v>
      </c>
      <c r="AO379" s="12" t="n">
        <v>2002267</v>
      </c>
      <c r="AP379" s="17" t="n">
        <v>0.358</v>
      </c>
      <c r="AQ379" s="16" t="n">
        <v>24</v>
      </c>
      <c r="AR379" s="16" t="n">
        <v>2</v>
      </c>
      <c r="AS379" s="13" t="n">
        <f aca="false">IFERROR(AR379/AR378-1,"")</f>
        <v>1</v>
      </c>
      <c r="AT379" s="11" t="s">
        <v>218</v>
      </c>
      <c r="AU379" s="14" t="n">
        <f aca="false">IFERROR(P379/AR379,"")</f>
        <v>405263</v>
      </c>
      <c r="AV379" s="12" t="n">
        <v>1876612</v>
      </c>
      <c r="AW379" s="12" t="n">
        <v>590942</v>
      </c>
      <c r="AX379" s="12" t="n">
        <v>446233</v>
      </c>
      <c r="AY379" s="16" t="n">
        <v>3957</v>
      </c>
      <c r="AZ379" s="13" t="n">
        <f aca="false">IFERROR(AY379/AY378-1,"")</f>
        <v>0.185795624812706</v>
      </c>
      <c r="BA379" s="17" t="n">
        <v>0.879</v>
      </c>
      <c r="BB379" s="11" t="s">
        <v>81</v>
      </c>
      <c r="BC379" s="11" t="s">
        <v>108</v>
      </c>
      <c r="BD379" s="11" t="s">
        <v>83</v>
      </c>
      <c r="BE379" s="12" t="n">
        <v>890252</v>
      </c>
      <c r="BF379" s="13" t="n">
        <f aca="false">IFERROR(P379/BE379-1,"")</f>
        <v>-0.0895544182995377</v>
      </c>
      <c r="BG379" s="17" t="n">
        <v>0.074</v>
      </c>
      <c r="BH379" s="17" t="n">
        <v>-0.013</v>
      </c>
      <c r="BI379" s="14" t="n">
        <f aca="false">P379*(1+IFERROR(Q379,0))^4</f>
        <v>1831959.67839186</v>
      </c>
      <c r="BJ379" s="12" t="n">
        <v>-1238239</v>
      </c>
      <c r="BK379" s="11" t="s">
        <v>102</v>
      </c>
      <c r="BL379" s="11" t="s">
        <v>162</v>
      </c>
      <c r="BM379" s="14" t="n">
        <f aca="false">O379</f>
        <v>31239233</v>
      </c>
      <c r="BN379" s="11" t="s">
        <v>434</v>
      </c>
      <c r="BO379" s="13" t="n">
        <f aca="false">IFERROR(1-L379/M379,"")</f>
        <v>0.180701547183182</v>
      </c>
      <c r="BP379" s="11" t="s">
        <v>142</v>
      </c>
      <c r="BQ379" s="12" t="n">
        <v>1456664</v>
      </c>
      <c r="BR379" s="11" t="s">
        <v>88</v>
      </c>
      <c r="BS379" s="11" t="s">
        <v>89</v>
      </c>
      <c r="BT379" s="19" t="str">
        <f aca="false">IF(OR(Z379&lt;6,AH379&lt;0.9,S379&lt;0.02,AK379&lt;1),"REVIEW",IF(AND(S379&gt;0.25,AH379&gt;1.2),"ACCELERATING","STABLE"))</f>
        <v>STABLE</v>
      </c>
    </row>
    <row r="380" customFormat="false" ht="15" hidden="false" customHeight="false" outlineLevel="0" collapsed="false">
      <c r="A380" s="11" t="s">
        <v>432</v>
      </c>
      <c r="B380" s="11" t="s">
        <v>92</v>
      </c>
      <c r="C380" s="11" t="s">
        <v>74</v>
      </c>
      <c r="D380" s="11" t="s">
        <v>95</v>
      </c>
      <c r="E380" s="11" t="s">
        <v>105</v>
      </c>
      <c r="F380" s="11" t="s">
        <v>433</v>
      </c>
      <c r="G380" s="11" t="s">
        <v>78</v>
      </c>
      <c r="H380" s="11" t="s">
        <v>79</v>
      </c>
      <c r="I380" s="11" t="s">
        <v>78</v>
      </c>
      <c r="J380" s="12" t="n">
        <v>3060000</v>
      </c>
      <c r="K380" s="13" t="n">
        <f aca="false">IFERROR(J380/M380,"")</f>
        <v>0.180701547183182</v>
      </c>
      <c r="L380" s="12" t="n">
        <v>13874000</v>
      </c>
      <c r="M380" s="14" t="n">
        <f aca="false">L380+J380</f>
        <v>16934000</v>
      </c>
      <c r="N380" s="12" t="n">
        <v>5908000</v>
      </c>
      <c r="O380" s="12" t="n">
        <v>31239233</v>
      </c>
      <c r="P380" s="12" t="n">
        <v>960205</v>
      </c>
      <c r="Q380" s="13" t="n">
        <f aca="false">IFERROR(P380/P379-1,"")</f>
        <v>0.184668968052845</v>
      </c>
      <c r="R380" s="12" t="n">
        <v>1111676</v>
      </c>
      <c r="S380" s="13" t="n">
        <f aca="false">IFERROR(R380/R379-1,"")</f>
        <v>0.194040944340616</v>
      </c>
      <c r="T380" s="12" t="n">
        <v>759888</v>
      </c>
      <c r="U380" s="13" t="n">
        <f aca="false">IFERROR(T380/P380,"")</f>
        <v>0.791381007180758</v>
      </c>
      <c r="V380" s="14" t="n">
        <f aca="false">T380-AV380</f>
        <v>-1123995</v>
      </c>
      <c r="W380" s="14" t="n">
        <f aca="false">V380-AA380*0.1</f>
        <v>-1123995</v>
      </c>
      <c r="X380" s="12" t="n">
        <v>2981328</v>
      </c>
      <c r="Y380" s="12" t="n">
        <v>108640</v>
      </c>
      <c r="Z380" s="15" t="n">
        <f aca="false">IFERROR(X380/Y380,"")</f>
        <v>27.4422680412371</v>
      </c>
      <c r="AA380" s="12" t="n">
        <v>0</v>
      </c>
      <c r="AB380" s="14" t="n">
        <f aca="false">W380-0.02*P380</f>
        <v>-1143199.1</v>
      </c>
      <c r="AC380" s="16" t="n">
        <v>30</v>
      </c>
      <c r="AD380" s="13" t="n">
        <f aca="false">IFERROR(AC380/AC379-1,"")</f>
        <v>0.153846153846154</v>
      </c>
      <c r="AE380" s="17" t="n">
        <v>0.137</v>
      </c>
      <c r="AF380" s="17" t="n">
        <v>0.145</v>
      </c>
      <c r="AG380" s="13" t="n">
        <f aca="false">1-AF380</f>
        <v>0.855</v>
      </c>
      <c r="AH380" s="17" t="n">
        <v>1.099</v>
      </c>
      <c r="AI380" s="12" t="n">
        <v>63240</v>
      </c>
      <c r="AJ380" s="14" t="n">
        <f aca="false">IFERROR(AM380*U380*MIN(1/AE380,5),"")</f>
        <v>144031.343306898</v>
      </c>
      <c r="AK380" s="18" t="n">
        <f aca="false">IFERROR(AJ380/AI380,"")</f>
        <v>2.2775354729111</v>
      </c>
      <c r="AL380" s="15" t="n">
        <f aca="false">IFERROR(AI380/(AM380*U380/12),"")</f>
        <v>26.3442658582653</v>
      </c>
      <c r="AM380" s="12" t="n">
        <v>36400</v>
      </c>
      <c r="AN380" s="12" t="n">
        <v>1442048</v>
      </c>
      <c r="AO380" s="12" t="n">
        <v>3997373</v>
      </c>
      <c r="AP380" s="17" t="n">
        <v>0.358</v>
      </c>
      <c r="AQ380" s="16" t="n">
        <v>24</v>
      </c>
      <c r="AR380" s="16" t="n">
        <v>2</v>
      </c>
      <c r="AS380" s="13" t="n">
        <f aca="false">IFERROR(AR380/AR379-1,"")</f>
        <v>0</v>
      </c>
      <c r="AT380" s="11" t="s">
        <v>218</v>
      </c>
      <c r="AU380" s="14" t="n">
        <f aca="false">IFERROR(P380/AR380,"")</f>
        <v>480102.5</v>
      </c>
      <c r="AV380" s="12" t="n">
        <v>1883883</v>
      </c>
      <c r="AW380" s="12" t="n">
        <v>921132</v>
      </c>
      <c r="AX380" s="12" t="n">
        <v>430926</v>
      </c>
      <c r="AY380" s="16" t="n">
        <v>4495</v>
      </c>
      <c r="AZ380" s="13" t="n">
        <f aca="false">IFERROR(AY380/AY379-1,"")</f>
        <v>0.135961587060905</v>
      </c>
      <c r="BA380" s="17" t="n">
        <v>0.865</v>
      </c>
      <c r="BB380" s="11" t="s">
        <v>81</v>
      </c>
      <c r="BC380" s="11" t="s">
        <v>108</v>
      </c>
      <c r="BD380" s="11" t="s">
        <v>83</v>
      </c>
      <c r="BE380" s="12" t="n">
        <v>866854</v>
      </c>
      <c r="BF380" s="13" t="n">
        <f aca="false">IFERROR(P380/BE380-1,"")</f>
        <v>0.107689414826488</v>
      </c>
      <c r="BG380" s="17" t="n">
        <v>-0.022</v>
      </c>
      <c r="BH380" s="17" t="n">
        <v>0</v>
      </c>
      <c r="BI380" s="14" t="n">
        <f aca="false">P380*(1+IFERROR(Q380,0))^4</f>
        <v>1891263.37696643</v>
      </c>
      <c r="BJ380" s="12" t="n">
        <v>-951166</v>
      </c>
      <c r="BK380" s="11" t="s">
        <v>102</v>
      </c>
      <c r="BL380" s="11" t="s">
        <v>162</v>
      </c>
      <c r="BM380" s="14" t="n">
        <f aca="false">O380</f>
        <v>31239233</v>
      </c>
      <c r="BN380" s="11" t="s">
        <v>434</v>
      </c>
      <c r="BO380" s="13" t="n">
        <f aca="false">IFERROR(1-L380/M380,"")</f>
        <v>0.180701547183182</v>
      </c>
      <c r="BP380" s="11" t="s">
        <v>142</v>
      </c>
      <c r="BQ380" s="12" t="n">
        <v>1449540</v>
      </c>
      <c r="BR380" s="11" t="s">
        <v>88</v>
      </c>
      <c r="BS380" s="11" t="s">
        <v>89</v>
      </c>
      <c r="BT380" s="19" t="str">
        <f aca="false">IF(OR(Z380&lt;6,AH380&lt;0.9,S380&lt;0.02,AK380&lt;1),"REVIEW",IF(AND(S380&gt;0.25,AH380&gt;1.2),"ACCELERATING","STABLE"))</f>
        <v>STABLE</v>
      </c>
    </row>
    <row r="381" customFormat="false" ht="15" hidden="false" customHeight="false" outlineLevel="0" collapsed="false">
      <c r="A381" s="11" t="s">
        <v>432</v>
      </c>
      <c r="B381" s="11" t="s">
        <v>93</v>
      </c>
      <c r="C381" s="11" t="s">
        <v>74</v>
      </c>
      <c r="D381" s="11" t="s">
        <v>95</v>
      </c>
      <c r="E381" s="11" t="s">
        <v>105</v>
      </c>
      <c r="F381" s="11" t="s">
        <v>433</v>
      </c>
      <c r="G381" s="11" t="s">
        <v>78</v>
      </c>
      <c r="H381" s="11" t="s">
        <v>79</v>
      </c>
      <c r="I381" s="11" t="s">
        <v>78</v>
      </c>
      <c r="J381" s="12" t="n">
        <v>3060000</v>
      </c>
      <c r="K381" s="13" t="n">
        <f aca="false">IFERROR(J381/M381,"")</f>
        <v>0.180701547183182</v>
      </c>
      <c r="L381" s="12" t="n">
        <v>13874000</v>
      </c>
      <c r="M381" s="14" t="n">
        <f aca="false">L381+J381</f>
        <v>16934000</v>
      </c>
      <c r="N381" s="12" t="n">
        <v>5908000</v>
      </c>
      <c r="O381" s="12" t="n">
        <v>31239233</v>
      </c>
      <c r="P381" s="12" t="n">
        <v>1139695</v>
      </c>
      <c r="Q381" s="13" t="n">
        <f aca="false">IFERROR(P381/P380-1,"")</f>
        <v>0.186928832905473</v>
      </c>
      <c r="R381" s="12" t="n">
        <v>1385101</v>
      </c>
      <c r="S381" s="13" t="n">
        <f aca="false">IFERROR(R381/R380-1,"")</f>
        <v>0.245957455229761</v>
      </c>
      <c r="T381" s="12" t="n">
        <v>905556</v>
      </c>
      <c r="U381" s="13" t="n">
        <f aca="false">IFERROR(T381/P381,"")</f>
        <v>0.794559948056278</v>
      </c>
      <c r="V381" s="14" t="n">
        <f aca="false">T381-AV381</f>
        <v>-1238189</v>
      </c>
      <c r="W381" s="14" t="n">
        <f aca="false">V381-AA381*0.1</f>
        <v>-1238189</v>
      </c>
      <c r="X381" s="12" t="n">
        <v>2688000</v>
      </c>
      <c r="Y381" s="12" t="n">
        <v>112000</v>
      </c>
      <c r="Z381" s="15" t="n">
        <f aca="false">IFERROR(X381/Y381,"")</f>
        <v>24</v>
      </c>
      <c r="AA381" s="12" t="n">
        <v>0</v>
      </c>
      <c r="AB381" s="14" t="n">
        <f aca="false">W381-0.02*P381</f>
        <v>-1260982.9</v>
      </c>
      <c r="AC381" s="16" t="n">
        <v>34</v>
      </c>
      <c r="AD381" s="13" t="n">
        <f aca="false">IFERROR(AC381/AC380-1,"")</f>
        <v>0.133333333333333</v>
      </c>
      <c r="AE381" s="17" t="n">
        <v>0.133</v>
      </c>
      <c r="AF381" s="17" t="n">
        <v>0.125</v>
      </c>
      <c r="AG381" s="13" t="n">
        <f aca="false">1-AF381</f>
        <v>0.875</v>
      </c>
      <c r="AH381" s="17" t="n">
        <v>1.094</v>
      </c>
      <c r="AI381" s="12" t="n">
        <v>62000</v>
      </c>
      <c r="AJ381" s="14" t="n">
        <f aca="false">IFERROR(AM381*U381*MIN(1/AE381,5),"")</f>
        <v>147390.87036444</v>
      </c>
      <c r="AK381" s="18" t="n">
        <f aca="false">IFERROR(AJ381/AI381,"")</f>
        <v>2.37727210265225</v>
      </c>
      <c r="AL381" s="15" t="n">
        <f aca="false">IFERROR(AI381/(AM381*U381/12),"")</f>
        <v>25.2390123676039</v>
      </c>
      <c r="AM381" s="12" t="n">
        <v>37100</v>
      </c>
      <c r="AN381" s="12" t="n">
        <v>1281312</v>
      </c>
      <c r="AO381" s="12" t="n">
        <v>3083957</v>
      </c>
      <c r="AP381" s="17" t="n">
        <v>0.358</v>
      </c>
      <c r="AQ381" s="16" t="n">
        <v>24</v>
      </c>
      <c r="AR381" s="16" t="n">
        <v>2</v>
      </c>
      <c r="AS381" s="13" t="n">
        <f aca="false">IFERROR(AR381/AR380-1,"")</f>
        <v>0</v>
      </c>
      <c r="AT381" s="11" t="s">
        <v>218</v>
      </c>
      <c r="AU381" s="14" t="n">
        <f aca="false">IFERROR(P381/AR381,"")</f>
        <v>569847.5</v>
      </c>
      <c r="AV381" s="12" t="n">
        <v>2143745</v>
      </c>
      <c r="AW381" s="12" t="n">
        <v>907842</v>
      </c>
      <c r="AX381" s="12" t="n">
        <v>412524</v>
      </c>
      <c r="AY381" s="16" t="n">
        <v>5375</v>
      </c>
      <c r="AZ381" s="13" t="n">
        <f aca="false">IFERROR(AY381/AY380-1,"")</f>
        <v>0.195773081201335</v>
      </c>
      <c r="BA381" s="17" t="n">
        <v>0.896</v>
      </c>
      <c r="BB381" s="11" t="s">
        <v>81</v>
      </c>
      <c r="BC381" s="11" t="s">
        <v>108</v>
      </c>
      <c r="BD381" s="11" t="s">
        <v>83</v>
      </c>
      <c r="BE381" s="12" t="n">
        <v>1118051</v>
      </c>
      <c r="BF381" s="13" t="n">
        <f aca="false">IFERROR(P381/BE381-1,"")</f>
        <v>0.0193586875732861</v>
      </c>
      <c r="BG381" s="17" t="n">
        <v>-0.031</v>
      </c>
      <c r="BH381" s="17" t="n">
        <v>-0.059</v>
      </c>
      <c r="BI381" s="14" t="n">
        <f aca="false">P381*(1+IFERROR(Q381,0))^4</f>
        <v>2261972.71741365</v>
      </c>
      <c r="BJ381" s="12" t="n">
        <v>-1306756</v>
      </c>
      <c r="BK381" s="11" t="s">
        <v>102</v>
      </c>
      <c r="BL381" s="11" t="s">
        <v>162</v>
      </c>
      <c r="BM381" s="14" t="n">
        <f aca="false">O381</f>
        <v>31239233</v>
      </c>
      <c r="BN381" s="11" t="s">
        <v>434</v>
      </c>
      <c r="BO381" s="13" t="n">
        <f aca="false">IFERROR(1-L381/M381,"")</f>
        <v>0.180701547183182</v>
      </c>
      <c r="BP381" s="11" t="s">
        <v>142</v>
      </c>
      <c r="BQ381" s="12" t="n">
        <v>2172166</v>
      </c>
      <c r="BR381" s="11" t="s">
        <v>88</v>
      </c>
      <c r="BS381" s="11" t="s">
        <v>89</v>
      </c>
      <c r="BT381" s="19" t="str">
        <f aca="false">IF(OR(Z381&lt;6,AH381&lt;0.9,S381&lt;0.02,AK381&lt;1),"REVIEW",IF(AND(S381&gt;0.25,AH381&gt;1.2),"ACCELERATING","STABLE"))</f>
        <v>STABLE</v>
      </c>
    </row>
    <row r="382" customFormat="false" ht="15" hidden="false" customHeight="false" outlineLevel="0" collapsed="false">
      <c r="A382" s="3" t="s">
        <v>435</v>
      </c>
      <c r="B382" s="3" t="s">
        <v>73</v>
      </c>
      <c r="C382" s="3" t="s">
        <v>74</v>
      </c>
      <c r="D382" s="3" t="s">
        <v>151</v>
      </c>
      <c r="E382" s="3" t="s">
        <v>105</v>
      </c>
      <c r="F382" s="3" t="s">
        <v>436</v>
      </c>
      <c r="G382" s="3" t="s">
        <v>78</v>
      </c>
      <c r="H382" s="3" t="s">
        <v>79</v>
      </c>
      <c r="I382" s="3" t="s">
        <v>78</v>
      </c>
      <c r="J382" s="4" t="n">
        <v>4375000</v>
      </c>
      <c r="K382" s="5" t="n">
        <f aca="false">IFERROR(J382/M382,"")</f>
        <v>0.190581982923854</v>
      </c>
      <c r="L382" s="4" t="n">
        <v>18581000</v>
      </c>
      <c r="M382" s="6" t="n">
        <f aca="false">L382+J382</f>
        <v>22956000</v>
      </c>
      <c r="N382" s="4" t="n">
        <v>4375000</v>
      </c>
      <c r="O382" s="4" t="n">
        <v>13990675</v>
      </c>
      <c r="P382" s="4" t="n">
        <v>157941</v>
      </c>
      <c r="Q382" s="7"/>
      <c r="R382" s="4" t="n">
        <v>173977</v>
      </c>
      <c r="S382" s="7"/>
      <c r="T382" s="4" t="n">
        <v>102541</v>
      </c>
      <c r="U382" s="5" t="n">
        <f aca="false">IFERROR(T382/P382,"")</f>
        <v>0.649236107153937</v>
      </c>
      <c r="V382" s="6" t="n">
        <f aca="false">T382-AV382</f>
        <v>-1644237</v>
      </c>
      <c r="W382" s="6" t="n">
        <f aca="false">V382-AA382*0.1</f>
        <v>-1644237</v>
      </c>
      <c r="X382" s="4" t="n">
        <v>1946517</v>
      </c>
      <c r="Y382" s="4" t="n">
        <v>138580</v>
      </c>
      <c r="Z382" s="8" t="n">
        <f aca="false">IFERROR(X382/Y382,"")</f>
        <v>14.0461610622023</v>
      </c>
      <c r="AA382" s="4" t="n">
        <v>0</v>
      </c>
      <c r="AB382" s="6" t="n">
        <f aca="false">W382-0.02*P382</f>
        <v>-1647395.82</v>
      </c>
      <c r="AC382" s="9" t="n">
        <v>71</v>
      </c>
      <c r="AD382" s="7"/>
      <c r="AE382" s="7" t="n">
        <v>0.187</v>
      </c>
      <c r="AF382" s="7" t="n">
        <v>0.177</v>
      </c>
      <c r="AG382" s="5" t="n">
        <f aca="false">1-AF382</f>
        <v>0.823</v>
      </c>
      <c r="AH382" s="7" t="n">
        <v>0.962</v>
      </c>
      <c r="AI382" s="4" t="n">
        <v>19456</v>
      </c>
      <c r="AJ382" s="6" t="n">
        <f aca="false">IFERROR(AM382*U382*MIN(1/AE382,5),"")</f>
        <v>35707.9858934665</v>
      </c>
      <c r="AK382" s="10" t="n">
        <f aca="false">IFERROR(AJ382/AI382,"")</f>
        <v>1.83531999863623</v>
      </c>
      <c r="AL382" s="8" t="n">
        <f aca="false">IFERROR(AI382/(AM382*U382/12),"")</f>
        <v>32.6918466777369</v>
      </c>
      <c r="AM382" s="4" t="n">
        <v>11000</v>
      </c>
      <c r="AN382" s="4" t="n">
        <v>235578</v>
      </c>
      <c r="AO382" s="4" t="n">
        <v>674659</v>
      </c>
      <c r="AP382" s="7" t="n">
        <v>0.267</v>
      </c>
      <c r="AQ382" s="9" t="n">
        <v>60</v>
      </c>
      <c r="AR382" s="9" t="n">
        <v>2</v>
      </c>
      <c r="AS382" s="7"/>
      <c r="AT382" s="3" t="s">
        <v>145</v>
      </c>
      <c r="AU382" s="6" t="n">
        <f aca="false">IFERROR(P382/AR382,"")</f>
        <v>78970.5</v>
      </c>
      <c r="AV382" s="4" t="n">
        <v>1746778</v>
      </c>
      <c r="AW382" s="4" t="n">
        <v>740017</v>
      </c>
      <c r="AX382" s="4" t="n">
        <v>564766</v>
      </c>
      <c r="AY382" s="9" t="n">
        <v>32015</v>
      </c>
      <c r="AZ382" s="7"/>
      <c r="BA382" s="7" t="n">
        <v>0.805</v>
      </c>
      <c r="BB382" s="3" t="s">
        <v>119</v>
      </c>
      <c r="BC382" s="3" t="s">
        <v>120</v>
      </c>
      <c r="BD382" s="3" t="s">
        <v>101</v>
      </c>
      <c r="BE382" s="4" t="n">
        <v>239796</v>
      </c>
      <c r="BF382" s="5" t="n">
        <f aca="false">IFERROR(P382/BE382-1,"")</f>
        <v>-0.341352649752289</v>
      </c>
      <c r="BG382" s="7" t="n">
        <v>0.28</v>
      </c>
      <c r="BH382" s="7" t="n">
        <v>0.181</v>
      </c>
      <c r="BI382" s="6" t="n">
        <f aca="false">P382</f>
        <v>157941</v>
      </c>
      <c r="BJ382" s="4" t="n">
        <v>-1514408</v>
      </c>
      <c r="BK382" s="3" t="s">
        <v>121</v>
      </c>
      <c r="BL382" s="3" t="s">
        <v>148</v>
      </c>
      <c r="BM382" s="6" t="n">
        <f aca="false">O382</f>
        <v>13990675</v>
      </c>
      <c r="BN382" s="3" t="s">
        <v>437</v>
      </c>
      <c r="BO382" s="5" t="n">
        <f aca="false">IFERROR(1-L382/M382,"")</f>
        <v>0.190581982923854</v>
      </c>
      <c r="BP382" s="3" t="s">
        <v>142</v>
      </c>
      <c r="BQ382" s="4" t="n">
        <v>2423837</v>
      </c>
      <c r="BR382" s="3" t="s">
        <v>88</v>
      </c>
      <c r="BS382" s="3" t="s">
        <v>89</v>
      </c>
      <c r="BT382" s="3" t="s">
        <v>90</v>
      </c>
    </row>
    <row r="383" customFormat="false" ht="15" hidden="false" customHeight="false" outlineLevel="0" collapsed="false">
      <c r="A383" s="11" t="s">
        <v>435</v>
      </c>
      <c r="B383" s="11" t="s">
        <v>91</v>
      </c>
      <c r="C383" s="11" t="s">
        <v>74</v>
      </c>
      <c r="D383" s="11" t="s">
        <v>151</v>
      </c>
      <c r="E383" s="11" t="s">
        <v>105</v>
      </c>
      <c r="F383" s="11" t="s">
        <v>436</v>
      </c>
      <c r="G383" s="11" t="s">
        <v>78</v>
      </c>
      <c r="H383" s="11" t="s">
        <v>79</v>
      </c>
      <c r="I383" s="11" t="s">
        <v>78</v>
      </c>
      <c r="J383" s="12" t="n">
        <v>4375000</v>
      </c>
      <c r="K383" s="13" t="n">
        <f aca="false">IFERROR(J383/M383,"")</f>
        <v>0.190581982923854</v>
      </c>
      <c r="L383" s="12" t="n">
        <v>18581000</v>
      </c>
      <c r="M383" s="14" t="n">
        <f aca="false">L383+J383</f>
        <v>22956000</v>
      </c>
      <c r="N383" s="12" t="n">
        <v>4375000</v>
      </c>
      <c r="O383" s="12" t="n">
        <v>13990675</v>
      </c>
      <c r="P383" s="12" t="n">
        <v>149398</v>
      </c>
      <c r="Q383" s="13" t="n">
        <f aca="false">IFERROR(P383/P382-1,"")</f>
        <v>-0.0540898183498901</v>
      </c>
      <c r="R383" s="12" t="n">
        <v>164254</v>
      </c>
      <c r="S383" s="13" t="n">
        <f aca="false">IFERROR(R383/R382-1,"")</f>
        <v>-0.055886697666933</v>
      </c>
      <c r="T383" s="12" t="n">
        <v>95164</v>
      </c>
      <c r="U383" s="13" t="n">
        <f aca="false">IFERROR(T383/P383,"")</f>
        <v>0.636983092143134</v>
      </c>
      <c r="V383" s="14" t="n">
        <f aca="false">T383-AV383</f>
        <v>-1417234</v>
      </c>
      <c r="W383" s="14" t="n">
        <f aca="false">V383-AA383*0.1</f>
        <v>-1417234</v>
      </c>
      <c r="X383" s="12" t="n">
        <v>1556127</v>
      </c>
      <c r="Y383" s="12" t="n">
        <v>148720</v>
      </c>
      <c r="Z383" s="15" t="n">
        <f aca="false">IFERROR(X383/Y383,"")</f>
        <v>10.4634682625067</v>
      </c>
      <c r="AA383" s="12" t="n">
        <v>0</v>
      </c>
      <c r="AB383" s="14" t="n">
        <f aca="false">W383-0.02*P383</f>
        <v>-1420221.96</v>
      </c>
      <c r="AC383" s="16" t="n">
        <v>67</v>
      </c>
      <c r="AD383" s="13" t="n">
        <f aca="false">IFERROR(AC383/AC382-1,"")</f>
        <v>-0.0563380281690141</v>
      </c>
      <c r="AE383" s="17" t="n">
        <v>0.222</v>
      </c>
      <c r="AF383" s="17" t="n">
        <v>0.227</v>
      </c>
      <c r="AG383" s="13" t="n">
        <f aca="false">1-AF383</f>
        <v>0.773</v>
      </c>
      <c r="AH383" s="17" t="n">
        <v>0.922</v>
      </c>
      <c r="AI383" s="12" t="n">
        <v>21504</v>
      </c>
      <c r="AJ383" s="14" t="n">
        <f aca="false">IFERROR(AM383*U383*MIN(1/AE383,5),"")</f>
        <v>32193.469792099</v>
      </c>
      <c r="AK383" s="18" t="n">
        <f aca="false">IFERROR(AJ383/AI383,"")</f>
        <v>1.49709215923079</v>
      </c>
      <c r="AL383" s="15" t="n">
        <f aca="false">IFERROR(AI383/(AM383*U383/12),"")</f>
        <v>36.1060297596022</v>
      </c>
      <c r="AM383" s="12" t="n">
        <v>11220</v>
      </c>
      <c r="AN383" s="12" t="n">
        <v>226107</v>
      </c>
      <c r="AO383" s="12" t="n">
        <v>302173</v>
      </c>
      <c r="AP383" s="17" t="n">
        <v>0.267</v>
      </c>
      <c r="AQ383" s="16" t="n">
        <v>60</v>
      </c>
      <c r="AR383" s="16" t="n">
        <v>2</v>
      </c>
      <c r="AS383" s="13" t="n">
        <f aca="false">IFERROR(AR383/AR382-1,"")</f>
        <v>0</v>
      </c>
      <c r="AT383" s="11" t="s">
        <v>145</v>
      </c>
      <c r="AU383" s="14" t="n">
        <f aca="false">IFERROR(P383/AR383,"")</f>
        <v>74699</v>
      </c>
      <c r="AV383" s="12" t="n">
        <v>1512398</v>
      </c>
      <c r="AW383" s="12" t="n">
        <v>714465</v>
      </c>
      <c r="AX383" s="12" t="n">
        <v>411206</v>
      </c>
      <c r="AY383" s="16" t="n">
        <v>30285</v>
      </c>
      <c r="AZ383" s="13" t="n">
        <f aca="false">IFERROR(AY383/AY382-1,"")</f>
        <v>-0.0540371700765266</v>
      </c>
      <c r="BA383" s="17" t="n">
        <v>0.768</v>
      </c>
      <c r="BB383" s="11" t="s">
        <v>119</v>
      </c>
      <c r="BC383" s="11" t="s">
        <v>120</v>
      </c>
      <c r="BD383" s="11" t="s">
        <v>101</v>
      </c>
      <c r="BE383" s="12" t="n">
        <v>208866</v>
      </c>
      <c r="BF383" s="13" t="n">
        <f aca="false">IFERROR(P383/BE383-1,"")</f>
        <v>-0.284718431913284</v>
      </c>
      <c r="BG383" s="17" t="n">
        <v>0.179</v>
      </c>
      <c r="BH383" s="17" t="n">
        <v>0.274</v>
      </c>
      <c r="BI383" s="14" t="n">
        <f aca="false">P383*(1+IFERROR(Q383,0))^4</f>
        <v>119603.63647582</v>
      </c>
      <c r="BJ383" s="12" t="n">
        <v>-1001804</v>
      </c>
      <c r="BK383" s="11" t="s">
        <v>121</v>
      </c>
      <c r="BL383" s="11" t="s">
        <v>148</v>
      </c>
      <c r="BM383" s="14" t="n">
        <f aca="false">O383</f>
        <v>13990675</v>
      </c>
      <c r="BN383" s="11" t="s">
        <v>437</v>
      </c>
      <c r="BO383" s="13" t="n">
        <f aca="false">IFERROR(1-L383/M383,"")</f>
        <v>0.190581982923854</v>
      </c>
      <c r="BP383" s="11" t="s">
        <v>142</v>
      </c>
      <c r="BQ383" s="12" t="n">
        <v>2635092</v>
      </c>
      <c r="BR383" s="11" t="s">
        <v>88</v>
      </c>
      <c r="BS383" s="11" t="s">
        <v>89</v>
      </c>
      <c r="BT383" s="19" t="str">
        <f aca="false">IF(OR(Z383&lt;6,AH383&lt;0.9,S383&lt;0.02,AK383&lt;1),"REVIEW",IF(AND(S383&gt;0.25,AH383&gt;1.2),"ACCELERATING","STABLE"))</f>
        <v>REVIEW</v>
      </c>
    </row>
    <row r="384" customFormat="false" ht="15" hidden="false" customHeight="false" outlineLevel="0" collapsed="false">
      <c r="A384" s="11" t="s">
        <v>435</v>
      </c>
      <c r="B384" s="11" t="s">
        <v>92</v>
      </c>
      <c r="C384" s="11" t="s">
        <v>74</v>
      </c>
      <c r="D384" s="11" t="s">
        <v>151</v>
      </c>
      <c r="E384" s="11" t="s">
        <v>105</v>
      </c>
      <c r="F384" s="11" t="s">
        <v>436</v>
      </c>
      <c r="G384" s="11" t="s">
        <v>78</v>
      </c>
      <c r="H384" s="11" t="s">
        <v>79</v>
      </c>
      <c r="I384" s="11" t="s">
        <v>78</v>
      </c>
      <c r="J384" s="12" t="n">
        <v>4375000</v>
      </c>
      <c r="K384" s="13" t="n">
        <f aca="false">IFERROR(J384/M384,"")</f>
        <v>0.190581982923854</v>
      </c>
      <c r="L384" s="12" t="n">
        <v>18581000</v>
      </c>
      <c r="M384" s="14" t="n">
        <f aca="false">L384+J384</f>
        <v>22956000</v>
      </c>
      <c r="N384" s="12" t="n">
        <v>4375000</v>
      </c>
      <c r="O384" s="12" t="n">
        <v>13990675</v>
      </c>
      <c r="P384" s="12" t="n">
        <v>143400</v>
      </c>
      <c r="Q384" s="13" t="n">
        <f aca="false">IFERROR(P384/P383-1,"")</f>
        <v>-0.0401477931431479</v>
      </c>
      <c r="R384" s="12" t="n">
        <v>156739</v>
      </c>
      <c r="S384" s="13" t="n">
        <f aca="false">IFERROR(R384/R383-1,"")</f>
        <v>-0.0457523104460166</v>
      </c>
      <c r="T384" s="12" t="n">
        <v>89587</v>
      </c>
      <c r="U384" s="13" t="n">
        <f aca="false">IFERROR(T384/P384,"")</f>
        <v>0.624735006973501</v>
      </c>
      <c r="V384" s="14" t="n">
        <f aca="false">T384-AV384</f>
        <v>-1919079</v>
      </c>
      <c r="W384" s="14" t="n">
        <f aca="false">V384-AA384*0.1</f>
        <v>-1919079</v>
      </c>
      <c r="X384" s="12" t="n">
        <v>1098813</v>
      </c>
      <c r="Y384" s="12" t="n">
        <v>158860</v>
      </c>
      <c r="Z384" s="15" t="n">
        <f aca="false">IFERROR(X384/Y384,"")</f>
        <v>6.91686390532544</v>
      </c>
      <c r="AA384" s="12" t="n">
        <v>0</v>
      </c>
      <c r="AB384" s="14" t="n">
        <f aca="false">W384-0.02*P384</f>
        <v>-1921947</v>
      </c>
      <c r="AC384" s="16" t="n">
        <v>66</v>
      </c>
      <c r="AD384" s="13" t="n">
        <f aca="false">IFERROR(AC384/AC383-1,"")</f>
        <v>-0.0149253731343284</v>
      </c>
      <c r="AE384" s="17" t="n">
        <v>0.257</v>
      </c>
      <c r="AF384" s="17" t="n">
        <v>0.245</v>
      </c>
      <c r="AG384" s="13" t="n">
        <f aca="false">1-AF384</f>
        <v>0.755</v>
      </c>
      <c r="AH384" s="17" t="n">
        <v>0.882</v>
      </c>
      <c r="AI384" s="12" t="n">
        <v>23552</v>
      </c>
      <c r="AJ384" s="14" t="n">
        <f aca="false">IFERROR(AM384*U384*MIN(1/AE384,5),"")</f>
        <v>27809.2158746181</v>
      </c>
      <c r="AK384" s="18" t="n">
        <f aca="false">IFERROR(AJ384/AI384,"")</f>
        <v>1.18075814685029</v>
      </c>
      <c r="AL384" s="15" t="n">
        <f aca="false">IFERROR(AI384/(AM384*U384/12),"")</f>
        <v>39.5445986364312</v>
      </c>
      <c r="AM384" s="12" t="n">
        <v>11440</v>
      </c>
      <c r="AN384" s="12" t="n">
        <v>146486</v>
      </c>
      <c r="AO384" s="12" t="n">
        <v>236566</v>
      </c>
      <c r="AP384" s="17" t="n">
        <v>0.267</v>
      </c>
      <c r="AQ384" s="16" t="n">
        <v>60</v>
      </c>
      <c r="AR384" s="16" t="n">
        <v>2</v>
      </c>
      <c r="AS384" s="13" t="n">
        <f aca="false">IFERROR(AR384/AR383-1,"")</f>
        <v>0</v>
      </c>
      <c r="AT384" s="11" t="s">
        <v>145</v>
      </c>
      <c r="AU384" s="14" t="n">
        <f aca="false">IFERROR(P384/AR384,"")</f>
        <v>71700</v>
      </c>
      <c r="AV384" s="12" t="n">
        <v>2008666</v>
      </c>
      <c r="AW384" s="12" t="n">
        <v>965714</v>
      </c>
      <c r="AX384" s="12" t="n">
        <v>498279</v>
      </c>
      <c r="AY384" s="16" t="n">
        <v>29760</v>
      </c>
      <c r="AZ384" s="13" t="n">
        <f aca="false">IFERROR(AY384/AY383-1,"")</f>
        <v>-0.0173353145121348</v>
      </c>
      <c r="BA384" s="17" t="n">
        <v>0.792</v>
      </c>
      <c r="BB384" s="11" t="s">
        <v>119</v>
      </c>
      <c r="BC384" s="11" t="s">
        <v>120</v>
      </c>
      <c r="BD384" s="11" t="s">
        <v>101</v>
      </c>
      <c r="BE384" s="12" t="n">
        <v>229403</v>
      </c>
      <c r="BF384" s="13" t="n">
        <f aca="false">IFERROR(P384/BE384-1,"")</f>
        <v>-0.374899194866676</v>
      </c>
      <c r="BG384" s="17" t="n">
        <v>0.273</v>
      </c>
      <c r="BH384" s="17" t="n">
        <v>0.276</v>
      </c>
      <c r="BI384" s="14" t="n">
        <f aca="false">P384*(1+IFERROR(Q384,0))^4</f>
        <v>121721.311282724</v>
      </c>
      <c r="BJ384" s="12" t="n">
        <v>-1794067</v>
      </c>
      <c r="BK384" s="11" t="s">
        <v>121</v>
      </c>
      <c r="BL384" s="11" t="s">
        <v>148</v>
      </c>
      <c r="BM384" s="14" t="n">
        <f aca="false">O384</f>
        <v>13990675</v>
      </c>
      <c r="BN384" s="11" t="s">
        <v>437</v>
      </c>
      <c r="BO384" s="13" t="n">
        <f aca="false">IFERROR(1-L384/M384,"")</f>
        <v>0.190581982923854</v>
      </c>
      <c r="BP384" s="11" t="s">
        <v>142</v>
      </c>
      <c r="BQ384" s="12" t="n">
        <v>2358410</v>
      </c>
      <c r="BR384" s="11" t="s">
        <v>88</v>
      </c>
      <c r="BS384" s="11" t="s">
        <v>89</v>
      </c>
      <c r="BT384" s="19" t="str">
        <f aca="false">IF(OR(Z384&lt;6,AH384&lt;0.9,S384&lt;0.02,AK384&lt;1),"REVIEW",IF(AND(S384&gt;0.25,AH384&gt;1.2),"ACCELERATING","STABLE"))</f>
        <v>REVIEW</v>
      </c>
    </row>
    <row r="385" customFormat="false" ht="15" hidden="false" customHeight="false" outlineLevel="0" collapsed="false">
      <c r="A385" s="11" t="s">
        <v>435</v>
      </c>
      <c r="B385" s="11" t="s">
        <v>93</v>
      </c>
      <c r="C385" s="11" t="s">
        <v>74</v>
      </c>
      <c r="D385" s="11" t="s">
        <v>151</v>
      </c>
      <c r="E385" s="11" t="s">
        <v>105</v>
      </c>
      <c r="F385" s="11" t="s">
        <v>436</v>
      </c>
      <c r="G385" s="11" t="s">
        <v>78</v>
      </c>
      <c r="H385" s="11" t="s">
        <v>79</v>
      </c>
      <c r="I385" s="11" t="s">
        <v>78</v>
      </c>
      <c r="J385" s="12" t="n">
        <v>4375000</v>
      </c>
      <c r="K385" s="13" t="n">
        <f aca="false">IFERROR(J385/M385,"")</f>
        <v>0.190581982923854</v>
      </c>
      <c r="L385" s="12" t="n">
        <v>18581000</v>
      </c>
      <c r="M385" s="14" t="n">
        <f aca="false">L385+J385</f>
        <v>22956000</v>
      </c>
      <c r="N385" s="12" t="n">
        <v>4375000</v>
      </c>
      <c r="O385" s="12" t="n">
        <v>13990675</v>
      </c>
      <c r="P385" s="12" t="n">
        <v>139590</v>
      </c>
      <c r="Q385" s="13" t="n">
        <f aca="false">IFERROR(P385/P384-1,"")</f>
        <v>-0.0265690376569038</v>
      </c>
      <c r="R385" s="12" t="n">
        <v>149402</v>
      </c>
      <c r="S385" s="13" t="n">
        <f aca="false">IFERROR(R385/R384-1,"")</f>
        <v>-0.0468103024773668</v>
      </c>
      <c r="T385" s="12" t="n">
        <v>85497</v>
      </c>
      <c r="U385" s="13" t="n">
        <f aca="false">IFERROR(T385/P385,"")</f>
        <v>0.612486567805717</v>
      </c>
      <c r="V385" s="14" t="n">
        <f aca="false">T385-AV385</f>
        <v>-2119488</v>
      </c>
      <c r="W385" s="14" t="n">
        <f aca="false">V385-AA385*0.1</f>
        <v>-2119488</v>
      </c>
      <c r="X385" s="12" t="n">
        <v>574575</v>
      </c>
      <c r="Y385" s="12" t="n">
        <v>169000</v>
      </c>
      <c r="Z385" s="15" t="n">
        <f aca="false">IFERROR(X385/Y385,"")</f>
        <v>3.39985207100592</v>
      </c>
      <c r="AA385" s="12" t="n">
        <v>0</v>
      </c>
      <c r="AB385" s="14" t="n">
        <f aca="false">W385-0.02*P385</f>
        <v>-2122279.8</v>
      </c>
      <c r="AC385" s="16" t="n">
        <v>64</v>
      </c>
      <c r="AD385" s="13" t="n">
        <f aca="false">IFERROR(AC385/AC384-1,"")</f>
        <v>-0.0303030303030303</v>
      </c>
      <c r="AE385" s="17" t="n">
        <v>0.292</v>
      </c>
      <c r="AF385" s="17" t="n">
        <v>0.235</v>
      </c>
      <c r="AG385" s="13" t="n">
        <f aca="false">1-AF385</f>
        <v>0.765</v>
      </c>
      <c r="AH385" s="17" t="n">
        <v>0.842</v>
      </c>
      <c r="AI385" s="12" t="n">
        <v>25600</v>
      </c>
      <c r="AJ385" s="14" t="n">
        <f aca="false">IFERROR(AM385*U385*MIN(1/AE385,5),"")</f>
        <v>24457.5115774475</v>
      </c>
      <c r="AK385" s="18" t="n">
        <f aca="false">IFERROR(AJ385/AI385,"")</f>
        <v>0.955371545994042</v>
      </c>
      <c r="AL385" s="15" t="n">
        <f aca="false">IFERROR(AI385/(AM385*U385/12),"")</f>
        <v>43.0156106106338</v>
      </c>
      <c r="AM385" s="12" t="n">
        <v>11660</v>
      </c>
      <c r="AN385" s="12" t="n">
        <v>186149</v>
      </c>
      <c r="AO385" s="12" t="n">
        <v>437433</v>
      </c>
      <c r="AP385" s="17" t="n">
        <v>0.267</v>
      </c>
      <c r="AQ385" s="16" t="n">
        <v>60</v>
      </c>
      <c r="AR385" s="16" t="n">
        <v>2</v>
      </c>
      <c r="AS385" s="13" t="n">
        <f aca="false">IFERROR(AR385/AR384-1,"")</f>
        <v>0</v>
      </c>
      <c r="AT385" s="11" t="s">
        <v>145</v>
      </c>
      <c r="AU385" s="14" t="n">
        <f aca="false">IFERROR(P385/AR385,"")</f>
        <v>69795</v>
      </c>
      <c r="AV385" s="12" t="n">
        <v>2204985</v>
      </c>
      <c r="AW385" s="12" t="n">
        <v>743049</v>
      </c>
      <c r="AX385" s="12" t="n">
        <v>633939</v>
      </c>
      <c r="AY385" s="16" t="n">
        <v>27877</v>
      </c>
      <c r="AZ385" s="13" t="n">
        <f aca="false">IFERROR(AY385/AY384-1,"")</f>
        <v>-0.0632728494623656</v>
      </c>
      <c r="BA385" s="17" t="n">
        <v>0.72</v>
      </c>
      <c r="BB385" s="11" t="s">
        <v>119</v>
      </c>
      <c r="BC385" s="11" t="s">
        <v>120</v>
      </c>
      <c r="BD385" s="11" t="s">
        <v>101</v>
      </c>
      <c r="BE385" s="12" t="n">
        <v>221931</v>
      </c>
      <c r="BF385" s="13" t="n">
        <f aca="false">IFERROR(P385/BE385-1,"")</f>
        <v>-0.371020722657042</v>
      </c>
      <c r="BG385" s="17" t="n">
        <v>0.235</v>
      </c>
      <c r="BH385" s="17" t="n">
        <v>0.243</v>
      </c>
      <c r="BI385" s="14" t="n">
        <f aca="false">P385*(1+IFERROR(Q385,0))^4</f>
        <v>125335.740413128</v>
      </c>
      <c r="BJ385" s="12" t="n">
        <v>-1096951</v>
      </c>
      <c r="BK385" s="11" t="s">
        <v>121</v>
      </c>
      <c r="BL385" s="11" t="s">
        <v>148</v>
      </c>
      <c r="BM385" s="14" t="n">
        <f aca="false">O385</f>
        <v>13990675</v>
      </c>
      <c r="BN385" s="11" t="s">
        <v>437</v>
      </c>
      <c r="BO385" s="13" t="n">
        <f aca="false">IFERROR(1-L385/M385,"")</f>
        <v>0.190581982923854</v>
      </c>
      <c r="BP385" s="11" t="s">
        <v>142</v>
      </c>
      <c r="BQ385" s="12" t="n">
        <v>2723352</v>
      </c>
      <c r="BR385" s="11" t="s">
        <v>88</v>
      </c>
      <c r="BS385" s="11" t="s">
        <v>89</v>
      </c>
      <c r="BT385" s="19" t="str">
        <f aca="false">IF(OR(Z385&lt;6,AH385&lt;0.9,S385&lt;0.02,AK385&lt;1),"REVIEW",IF(AND(S385&gt;0.25,AH385&gt;1.2),"ACCELERATING","STABLE"))</f>
        <v>REVIEW</v>
      </c>
    </row>
    <row r="386" customFormat="false" ht="15" hidden="false" customHeight="false" outlineLevel="0" collapsed="false">
      <c r="A386" s="3" t="s">
        <v>438</v>
      </c>
      <c r="B386" s="3" t="s">
        <v>73</v>
      </c>
      <c r="C386" s="3" t="s">
        <v>74</v>
      </c>
      <c r="D386" s="3" t="s">
        <v>115</v>
      </c>
      <c r="E386" s="3" t="s">
        <v>187</v>
      </c>
      <c r="F386" s="3" t="s">
        <v>439</v>
      </c>
      <c r="G386" s="3" t="s">
        <v>78</v>
      </c>
      <c r="H386" s="3" t="s">
        <v>79</v>
      </c>
      <c r="I386" s="3" t="s">
        <v>78</v>
      </c>
      <c r="J386" s="4" t="n">
        <v>1940000</v>
      </c>
      <c r="K386" s="5" t="n">
        <f aca="false">IFERROR(J386/M386,"")</f>
        <v>0.166695308472246</v>
      </c>
      <c r="L386" s="4" t="n">
        <v>9698000</v>
      </c>
      <c r="M386" s="6" t="n">
        <f aca="false">L386+J386</f>
        <v>11638000</v>
      </c>
      <c r="N386" s="4" t="n">
        <v>5588000</v>
      </c>
      <c r="O386" s="4" t="n">
        <v>13845506</v>
      </c>
      <c r="P386" s="4" t="n">
        <v>159487</v>
      </c>
      <c r="Q386" s="7"/>
      <c r="R386" s="4" t="n">
        <v>188698</v>
      </c>
      <c r="S386" s="7"/>
      <c r="T386" s="4" t="n">
        <v>123485</v>
      </c>
      <c r="U386" s="5" t="n">
        <f aca="false">IFERROR(T386/P386,"")</f>
        <v>0.774263733094233</v>
      </c>
      <c r="V386" s="6" t="n">
        <f aca="false">T386-AV386</f>
        <v>-964699</v>
      </c>
      <c r="W386" s="6" t="n">
        <f aca="false">V386-AA386*0.1</f>
        <v>-964699</v>
      </c>
      <c r="X386" s="4" t="n">
        <v>2666535</v>
      </c>
      <c r="Y386" s="4" t="n">
        <v>77350</v>
      </c>
      <c r="Z386" s="8" t="n">
        <f aca="false">IFERROR(X386/Y386,"")</f>
        <v>34.4736263736264</v>
      </c>
      <c r="AA386" s="4" t="n">
        <v>0</v>
      </c>
      <c r="AB386" s="6" t="n">
        <f aca="false">W386-0.02*P386</f>
        <v>-967888.74</v>
      </c>
      <c r="AC386" s="9" t="n">
        <v>20</v>
      </c>
      <c r="AD386" s="7"/>
      <c r="AE386" s="7" t="n">
        <v>0.096</v>
      </c>
      <c r="AF386" s="7" t="n">
        <v>0.061</v>
      </c>
      <c r="AG386" s="5" t="n">
        <f aca="false">1-AF386</f>
        <v>0.939</v>
      </c>
      <c r="AH386" s="7" t="n">
        <v>1.118</v>
      </c>
      <c r="AI386" s="4" t="n">
        <v>12720</v>
      </c>
      <c r="AJ386" s="6" t="n">
        <f aca="false">IFERROR(AM386*U386*MIN(1/AE386,5),"")</f>
        <v>42584.5053201828</v>
      </c>
      <c r="AK386" s="10" t="n">
        <f aca="false">IFERROR(AJ386/AI386,"")</f>
        <v>3.34783846856783</v>
      </c>
      <c r="AL386" s="8" t="n">
        <f aca="false">IFERROR(AI386/(AM386*U386/12),"")</f>
        <v>17.9220116392495</v>
      </c>
      <c r="AM386" s="4" t="n">
        <v>11000</v>
      </c>
      <c r="AN386" s="4" t="n">
        <v>213910</v>
      </c>
      <c r="AO386" s="4" t="n">
        <v>507237</v>
      </c>
      <c r="AP386" s="7" t="n">
        <v>0.239</v>
      </c>
      <c r="AQ386" s="9" t="n">
        <v>87</v>
      </c>
      <c r="AR386" s="9" t="n">
        <v>3</v>
      </c>
      <c r="AS386" s="7"/>
      <c r="AT386" s="3" t="s">
        <v>153</v>
      </c>
      <c r="AU386" s="6" t="n">
        <f aca="false">IFERROR(P386/AR386,"")</f>
        <v>53162.3333333333</v>
      </c>
      <c r="AV386" s="4" t="n">
        <v>1088184</v>
      </c>
      <c r="AW386" s="4" t="n">
        <v>336948</v>
      </c>
      <c r="AX386" s="4" t="n">
        <v>249497</v>
      </c>
      <c r="AY386" s="9" t="n">
        <v>16163</v>
      </c>
      <c r="AZ386" s="7"/>
      <c r="BA386" s="7" t="n">
        <v>0.897</v>
      </c>
      <c r="BB386" s="3" t="s">
        <v>107</v>
      </c>
      <c r="BC386" s="3" t="s">
        <v>108</v>
      </c>
      <c r="BD386" s="3" t="s">
        <v>101</v>
      </c>
      <c r="BE386" s="4" t="n">
        <v>182369</v>
      </c>
      <c r="BF386" s="5" t="n">
        <f aca="false">IFERROR(P386/BE386-1,"")</f>
        <v>-0.125470885951011</v>
      </c>
      <c r="BG386" s="7" t="n">
        <v>-0.041</v>
      </c>
      <c r="BH386" s="7" t="n">
        <v>0.082</v>
      </c>
      <c r="BI386" s="6" t="n">
        <f aca="false">P386</f>
        <v>159487</v>
      </c>
      <c r="BJ386" s="4" t="n">
        <v>-817516</v>
      </c>
      <c r="BK386" s="3" t="s">
        <v>84</v>
      </c>
      <c r="BL386" s="3" t="s">
        <v>85</v>
      </c>
      <c r="BM386" s="6" t="n">
        <f aca="false">O386</f>
        <v>13845506</v>
      </c>
      <c r="BN386" s="3" t="s">
        <v>440</v>
      </c>
      <c r="BO386" s="5" t="n">
        <f aca="false">IFERROR(1-L386/M386,"")</f>
        <v>0.166695308472246</v>
      </c>
      <c r="BP386" s="3" t="s">
        <v>142</v>
      </c>
      <c r="BQ386" s="4" t="n">
        <v>1101210</v>
      </c>
      <c r="BR386" s="3" t="s">
        <v>88</v>
      </c>
      <c r="BS386" s="3" t="s">
        <v>89</v>
      </c>
      <c r="BT386" s="3" t="s">
        <v>90</v>
      </c>
    </row>
    <row r="387" customFormat="false" ht="15" hidden="false" customHeight="false" outlineLevel="0" collapsed="false">
      <c r="A387" s="11" t="s">
        <v>438</v>
      </c>
      <c r="B387" s="11" t="s">
        <v>91</v>
      </c>
      <c r="C387" s="11" t="s">
        <v>74</v>
      </c>
      <c r="D387" s="11" t="s">
        <v>115</v>
      </c>
      <c r="E387" s="11" t="s">
        <v>187</v>
      </c>
      <c r="F387" s="11" t="s">
        <v>439</v>
      </c>
      <c r="G387" s="11" t="s">
        <v>78</v>
      </c>
      <c r="H387" s="11" t="s">
        <v>79</v>
      </c>
      <c r="I387" s="11" t="s">
        <v>78</v>
      </c>
      <c r="J387" s="12" t="n">
        <v>1940000</v>
      </c>
      <c r="K387" s="13" t="n">
        <f aca="false">IFERROR(J387/M387,"")</f>
        <v>0.166695308472246</v>
      </c>
      <c r="L387" s="12" t="n">
        <v>9698000</v>
      </c>
      <c r="M387" s="14" t="n">
        <f aca="false">L387+J387</f>
        <v>11638000</v>
      </c>
      <c r="N387" s="12" t="n">
        <v>5588000</v>
      </c>
      <c r="O387" s="12" t="n">
        <v>13845506</v>
      </c>
      <c r="P387" s="12" t="n">
        <v>215609</v>
      </c>
      <c r="Q387" s="13" t="n">
        <f aca="false">IFERROR(P387/P386-1,"")</f>
        <v>0.351890749716278</v>
      </c>
      <c r="R387" s="12" t="n">
        <v>237115</v>
      </c>
      <c r="S387" s="13" t="n">
        <f aca="false">IFERROR(R387/R386-1,"")</f>
        <v>0.256584595491208</v>
      </c>
      <c r="T387" s="12" t="n">
        <v>167615</v>
      </c>
      <c r="U387" s="13" t="n">
        <f aca="false">IFERROR(T387/P387,"")</f>
        <v>0.777402613063462</v>
      </c>
      <c r="V387" s="14" t="n">
        <f aca="false">T387-AV387</f>
        <v>-865338</v>
      </c>
      <c r="W387" s="14" t="n">
        <f aca="false">V387-AA387*0.1</f>
        <v>-865338</v>
      </c>
      <c r="X387" s="12" t="n">
        <v>2471460</v>
      </c>
      <c r="Y387" s="12" t="n">
        <v>79900</v>
      </c>
      <c r="Z387" s="15" t="n">
        <f aca="false">IFERROR(X387/Y387,"")</f>
        <v>30.931914893617</v>
      </c>
      <c r="AA387" s="12" t="n">
        <v>0</v>
      </c>
      <c r="AB387" s="14" t="n">
        <f aca="false">W387-0.02*P387</f>
        <v>-869650.18</v>
      </c>
      <c r="AC387" s="16" t="n">
        <v>22</v>
      </c>
      <c r="AD387" s="13" t="n">
        <f aca="false">IFERROR(AC387/AC386-1,"")</f>
        <v>0.1</v>
      </c>
      <c r="AE387" s="17" t="n">
        <v>0.093</v>
      </c>
      <c r="AF387" s="17" t="n">
        <v>0.073</v>
      </c>
      <c r="AG387" s="13" t="n">
        <f aca="false">1-AF387</f>
        <v>0.927</v>
      </c>
      <c r="AH387" s="17" t="n">
        <v>1.113</v>
      </c>
      <c r="AI387" s="12" t="n">
        <v>12480</v>
      </c>
      <c r="AJ387" s="14" t="n">
        <f aca="false">IFERROR(AM387*U387*MIN(1/AE387,5),"")</f>
        <v>43612.2865928602</v>
      </c>
      <c r="AK387" s="18" t="n">
        <f aca="false">IFERROR(AJ387/AI387,"")</f>
        <v>3.49457424622277</v>
      </c>
      <c r="AL387" s="15" t="n">
        <f aca="false">IFERROR(AI387/(AM387*U387/12),"")</f>
        <v>17.1694735245225</v>
      </c>
      <c r="AM387" s="12" t="n">
        <v>11220</v>
      </c>
      <c r="AN387" s="12" t="n">
        <v>268426</v>
      </c>
      <c r="AO387" s="12" t="n">
        <v>932913</v>
      </c>
      <c r="AP387" s="17" t="n">
        <v>0.239</v>
      </c>
      <c r="AQ387" s="16" t="n">
        <v>87</v>
      </c>
      <c r="AR387" s="16" t="n">
        <v>3</v>
      </c>
      <c r="AS387" s="13" t="n">
        <f aca="false">IFERROR(AR387/AR386-1,"")</f>
        <v>0</v>
      </c>
      <c r="AT387" s="11" t="s">
        <v>153</v>
      </c>
      <c r="AU387" s="14" t="n">
        <f aca="false">IFERROR(P387/AR387,"")</f>
        <v>71869.6666666667</v>
      </c>
      <c r="AV387" s="12" t="n">
        <v>1032953</v>
      </c>
      <c r="AW387" s="12" t="n">
        <v>404138</v>
      </c>
      <c r="AX387" s="12" t="n">
        <v>344200</v>
      </c>
      <c r="AY387" s="16" t="n">
        <v>21721</v>
      </c>
      <c r="AZ387" s="13" t="n">
        <f aca="false">IFERROR(AY387/AY386-1,"")</f>
        <v>0.343871805976613</v>
      </c>
      <c r="BA387" s="17" t="n">
        <v>0.927</v>
      </c>
      <c r="BB387" s="11" t="s">
        <v>107</v>
      </c>
      <c r="BC387" s="11" t="s">
        <v>108</v>
      </c>
      <c r="BD387" s="11" t="s">
        <v>101</v>
      </c>
      <c r="BE387" s="12" t="n">
        <v>234801</v>
      </c>
      <c r="BF387" s="13" t="n">
        <f aca="false">IFERROR(P387/BE387-1,"")</f>
        <v>-0.0817373009484628</v>
      </c>
      <c r="BG387" s="17" t="n">
        <v>-0.029</v>
      </c>
      <c r="BH387" s="17" t="n">
        <v>0.016</v>
      </c>
      <c r="BI387" s="14" t="n">
        <f aca="false">P387*(1+IFERROR(Q387,0))^4</f>
        <v>720167.08952098</v>
      </c>
      <c r="BJ387" s="12" t="n">
        <v>-851045</v>
      </c>
      <c r="BK387" s="11" t="s">
        <v>84</v>
      </c>
      <c r="BL387" s="11" t="s">
        <v>85</v>
      </c>
      <c r="BM387" s="14" t="n">
        <f aca="false">O387</f>
        <v>13845506</v>
      </c>
      <c r="BN387" s="11" t="s">
        <v>440</v>
      </c>
      <c r="BO387" s="13" t="n">
        <f aca="false">IFERROR(1-L387/M387,"")</f>
        <v>0.166695308472246</v>
      </c>
      <c r="BP387" s="11" t="s">
        <v>142</v>
      </c>
      <c r="BQ387" s="12" t="n">
        <v>1186040</v>
      </c>
      <c r="BR387" s="11" t="s">
        <v>88</v>
      </c>
      <c r="BS387" s="11" t="s">
        <v>89</v>
      </c>
      <c r="BT387" s="19" t="str">
        <f aca="false">IF(OR(Z387&lt;6,AH387&lt;0.9,S387&lt;0.02,AK387&lt;1),"REVIEW",IF(AND(S387&gt;0.25,AH387&gt;1.2),"ACCELERATING","STABLE"))</f>
        <v>STABLE</v>
      </c>
    </row>
    <row r="388" customFormat="false" ht="15" hidden="false" customHeight="false" outlineLevel="0" collapsed="false">
      <c r="A388" s="11" t="s">
        <v>438</v>
      </c>
      <c r="B388" s="11" t="s">
        <v>92</v>
      </c>
      <c r="C388" s="11" t="s">
        <v>74</v>
      </c>
      <c r="D388" s="11" t="s">
        <v>115</v>
      </c>
      <c r="E388" s="11" t="s">
        <v>187</v>
      </c>
      <c r="F388" s="11" t="s">
        <v>439</v>
      </c>
      <c r="G388" s="11" t="s">
        <v>78</v>
      </c>
      <c r="H388" s="11" t="s">
        <v>79</v>
      </c>
      <c r="I388" s="11" t="s">
        <v>78</v>
      </c>
      <c r="J388" s="12" t="n">
        <v>1940000</v>
      </c>
      <c r="K388" s="13" t="n">
        <f aca="false">IFERROR(J388/M388,"")</f>
        <v>0.166695308472246</v>
      </c>
      <c r="L388" s="12" t="n">
        <v>9698000</v>
      </c>
      <c r="M388" s="14" t="n">
        <f aca="false">L388+J388</f>
        <v>11638000</v>
      </c>
      <c r="N388" s="12" t="n">
        <v>5588000</v>
      </c>
      <c r="O388" s="12" t="n">
        <v>13845506</v>
      </c>
      <c r="P388" s="12" t="n">
        <v>249886</v>
      </c>
      <c r="Q388" s="13" t="n">
        <f aca="false">IFERROR(P388/P387-1,"")</f>
        <v>0.158977593699706</v>
      </c>
      <c r="R388" s="12" t="n">
        <v>302787</v>
      </c>
      <c r="S388" s="13" t="n">
        <f aca="false">IFERROR(R388/R387-1,"")</f>
        <v>0.276962655251671</v>
      </c>
      <c r="T388" s="12" t="n">
        <v>195045</v>
      </c>
      <c r="U388" s="13" t="n">
        <f aca="false">IFERROR(T388/P388,"")</f>
        <v>0.780535924381518</v>
      </c>
      <c r="V388" s="14" t="n">
        <f aca="false">T388-AV388</f>
        <v>-987526</v>
      </c>
      <c r="W388" s="14" t="n">
        <f aca="false">V388-AA388*0.1</f>
        <v>-987526</v>
      </c>
      <c r="X388" s="12" t="n">
        <v>2262615</v>
      </c>
      <c r="Y388" s="12" t="n">
        <v>82450</v>
      </c>
      <c r="Z388" s="15" t="n">
        <f aca="false">IFERROR(X388/Y388,"")</f>
        <v>27.4422680412371</v>
      </c>
      <c r="AA388" s="12" t="n">
        <v>0</v>
      </c>
      <c r="AB388" s="14" t="n">
        <f aca="false">W388-0.02*P388</f>
        <v>-992523.72</v>
      </c>
      <c r="AC388" s="16" t="n">
        <v>27</v>
      </c>
      <c r="AD388" s="13" t="n">
        <f aca="false">IFERROR(AC388/AC387-1,"")</f>
        <v>0.227272727272727</v>
      </c>
      <c r="AE388" s="17" t="n">
        <v>0.091</v>
      </c>
      <c r="AF388" s="17" t="n">
        <v>0.08</v>
      </c>
      <c r="AG388" s="13" t="n">
        <f aca="false">1-AF388</f>
        <v>0.92</v>
      </c>
      <c r="AH388" s="17" t="n">
        <v>1.108</v>
      </c>
      <c r="AI388" s="12" t="n">
        <v>12240</v>
      </c>
      <c r="AJ388" s="14" t="n">
        <f aca="false">IFERROR(AM388*U388*MIN(1/AE388,5),"")</f>
        <v>44646.6548746228</v>
      </c>
      <c r="AK388" s="18" t="n">
        <f aca="false">IFERROR(AJ388/AI388,"")</f>
        <v>3.64760252243651</v>
      </c>
      <c r="AL388" s="15" t="n">
        <f aca="false">IFERROR(AI388/(AM388*U388/12),"")</f>
        <v>16.449160683199</v>
      </c>
      <c r="AM388" s="12" t="n">
        <v>11440</v>
      </c>
      <c r="AN388" s="12" t="n">
        <v>313826</v>
      </c>
      <c r="AO388" s="12" t="n">
        <v>775245</v>
      </c>
      <c r="AP388" s="17" t="n">
        <v>0.239</v>
      </c>
      <c r="AQ388" s="16" t="n">
        <v>87</v>
      </c>
      <c r="AR388" s="16" t="n">
        <v>3</v>
      </c>
      <c r="AS388" s="13" t="n">
        <f aca="false">IFERROR(AR388/AR387-1,"")</f>
        <v>0</v>
      </c>
      <c r="AT388" s="11" t="s">
        <v>153</v>
      </c>
      <c r="AU388" s="14" t="n">
        <f aca="false">IFERROR(P388/AR388,"")</f>
        <v>83295.3333333333</v>
      </c>
      <c r="AV388" s="12" t="n">
        <v>1182571</v>
      </c>
      <c r="AW388" s="12" t="n">
        <v>521266</v>
      </c>
      <c r="AX388" s="12" t="n">
        <v>320051</v>
      </c>
      <c r="AY388" s="16" t="n">
        <v>24254</v>
      </c>
      <c r="AZ388" s="13" t="n">
        <f aca="false">IFERROR(AY388/AY387-1,"")</f>
        <v>0.116615257124442</v>
      </c>
      <c r="BA388" s="17" t="n">
        <v>0.928</v>
      </c>
      <c r="BB388" s="11" t="s">
        <v>107</v>
      </c>
      <c r="BC388" s="11" t="s">
        <v>108</v>
      </c>
      <c r="BD388" s="11" t="s">
        <v>101</v>
      </c>
      <c r="BE388" s="12" t="n">
        <v>264412</v>
      </c>
      <c r="BF388" s="13" t="n">
        <f aca="false">IFERROR(P388/BE388-1,"")</f>
        <v>-0.0549369922696398</v>
      </c>
      <c r="BG388" s="17" t="n">
        <v>0.047</v>
      </c>
      <c r="BH388" s="17" t="n">
        <v>-0.015</v>
      </c>
      <c r="BI388" s="14" t="n">
        <f aca="false">P388*(1+IFERROR(Q388,0))^4</f>
        <v>450860.392587215</v>
      </c>
      <c r="BJ388" s="12" t="n">
        <v>-505915</v>
      </c>
      <c r="BK388" s="11" t="s">
        <v>84</v>
      </c>
      <c r="BL388" s="11" t="s">
        <v>85</v>
      </c>
      <c r="BM388" s="14" t="n">
        <f aca="false">O388</f>
        <v>13845506</v>
      </c>
      <c r="BN388" s="11" t="s">
        <v>440</v>
      </c>
      <c r="BO388" s="13" t="n">
        <f aca="false">IFERROR(1-L388/M388,"")</f>
        <v>0.166695308472246</v>
      </c>
      <c r="BP388" s="11" t="s">
        <v>142</v>
      </c>
      <c r="BQ388" s="12" t="n">
        <v>1279657</v>
      </c>
      <c r="BR388" s="11" t="s">
        <v>88</v>
      </c>
      <c r="BS388" s="11" t="s">
        <v>89</v>
      </c>
      <c r="BT388" s="19" t="str">
        <f aca="false">IF(OR(Z388&lt;6,AH388&lt;0.9,S388&lt;0.02,AK388&lt;1),"REVIEW",IF(AND(S388&gt;0.25,AH388&gt;1.2),"ACCELERATING","STABLE"))</f>
        <v>STABLE</v>
      </c>
    </row>
    <row r="389" customFormat="false" ht="15" hidden="false" customHeight="false" outlineLevel="0" collapsed="false">
      <c r="A389" s="11" t="s">
        <v>438</v>
      </c>
      <c r="B389" s="11" t="s">
        <v>93</v>
      </c>
      <c r="C389" s="11" t="s">
        <v>74</v>
      </c>
      <c r="D389" s="11" t="s">
        <v>115</v>
      </c>
      <c r="E389" s="11" t="s">
        <v>187</v>
      </c>
      <c r="F389" s="11" t="s">
        <v>439</v>
      </c>
      <c r="G389" s="11" t="s">
        <v>78</v>
      </c>
      <c r="H389" s="11" t="s">
        <v>79</v>
      </c>
      <c r="I389" s="11" t="s">
        <v>78</v>
      </c>
      <c r="J389" s="12" t="n">
        <v>1940000</v>
      </c>
      <c r="K389" s="13" t="n">
        <f aca="false">IFERROR(J389/M389,"")</f>
        <v>0.166695308472246</v>
      </c>
      <c r="L389" s="12" t="n">
        <v>9698000</v>
      </c>
      <c r="M389" s="14" t="n">
        <f aca="false">L389+J389</f>
        <v>11638000</v>
      </c>
      <c r="N389" s="12" t="n">
        <v>5588000</v>
      </c>
      <c r="O389" s="12" t="n">
        <v>13845506</v>
      </c>
      <c r="P389" s="12" t="n">
        <v>302372</v>
      </c>
      <c r="Q389" s="13" t="n">
        <f aca="false">IFERROR(P389/P388-1,"")</f>
        <v>0.210039778138831</v>
      </c>
      <c r="R389" s="12" t="n">
        <v>347079</v>
      </c>
      <c r="S389" s="13" t="n">
        <f aca="false">IFERROR(R389/R388-1,"")</f>
        <v>0.146281049054286</v>
      </c>
      <c r="T389" s="12" t="n">
        <v>236960</v>
      </c>
      <c r="U389" s="13" t="n">
        <f aca="false">IFERROR(T389/P389,"")</f>
        <v>0.783670445676187</v>
      </c>
      <c r="V389" s="14" t="n">
        <f aca="false">T389-AV389</f>
        <v>-984931</v>
      </c>
      <c r="W389" s="14" t="n">
        <f aca="false">V389-AA389*0.1</f>
        <v>-984931</v>
      </c>
      <c r="X389" s="12" t="n">
        <v>2040000</v>
      </c>
      <c r="Y389" s="12" t="n">
        <v>85000</v>
      </c>
      <c r="Z389" s="15" t="n">
        <f aca="false">IFERROR(X389/Y389,"")</f>
        <v>24</v>
      </c>
      <c r="AA389" s="12" t="n">
        <v>0</v>
      </c>
      <c r="AB389" s="14" t="n">
        <f aca="false">W389-0.02*P389</f>
        <v>-990978.44</v>
      </c>
      <c r="AC389" s="16" t="n">
        <v>30</v>
      </c>
      <c r="AD389" s="13" t="n">
        <f aca="false">IFERROR(AC389/AC388-1,"")</f>
        <v>0.111111111111111</v>
      </c>
      <c r="AE389" s="17" t="n">
        <v>0.088</v>
      </c>
      <c r="AF389" s="17" t="n">
        <v>0.086</v>
      </c>
      <c r="AG389" s="13" t="n">
        <f aca="false">1-AF389</f>
        <v>0.914</v>
      </c>
      <c r="AH389" s="17" t="n">
        <v>1.103</v>
      </c>
      <c r="AI389" s="12" t="n">
        <v>12000</v>
      </c>
      <c r="AJ389" s="14" t="n">
        <f aca="false">IFERROR(AM389*U389*MIN(1/AE389,5),"")</f>
        <v>45687.9869829217</v>
      </c>
      <c r="AK389" s="18" t="n">
        <f aca="false">IFERROR(AJ389/AI389,"")</f>
        <v>3.80733224857681</v>
      </c>
      <c r="AL389" s="15" t="n">
        <f aca="false">IFERROR(AI389/(AM389*U389/12),"")</f>
        <v>15.7590659502932</v>
      </c>
      <c r="AM389" s="12" t="n">
        <v>11660</v>
      </c>
      <c r="AN389" s="12" t="n">
        <v>351904</v>
      </c>
      <c r="AO389" s="12" t="n">
        <v>1227484</v>
      </c>
      <c r="AP389" s="17" t="n">
        <v>0.239</v>
      </c>
      <c r="AQ389" s="16" t="n">
        <v>87</v>
      </c>
      <c r="AR389" s="16" t="n">
        <v>3</v>
      </c>
      <c r="AS389" s="13" t="n">
        <f aca="false">IFERROR(AR389/AR388-1,"")</f>
        <v>0</v>
      </c>
      <c r="AT389" s="11" t="s">
        <v>153</v>
      </c>
      <c r="AU389" s="14" t="n">
        <f aca="false">IFERROR(P389/AR389,"")</f>
        <v>100790.666666667</v>
      </c>
      <c r="AV389" s="12" t="n">
        <v>1221891</v>
      </c>
      <c r="AW389" s="12" t="n">
        <v>557356</v>
      </c>
      <c r="AX389" s="12" t="n">
        <v>268155</v>
      </c>
      <c r="AY389" s="16" t="n">
        <v>31867</v>
      </c>
      <c r="AZ389" s="13" t="n">
        <f aca="false">IFERROR(AY389/AY388-1,"")</f>
        <v>0.313886369258679</v>
      </c>
      <c r="BA389" s="17" t="n">
        <v>0.936</v>
      </c>
      <c r="BB389" s="11" t="s">
        <v>107</v>
      </c>
      <c r="BC389" s="11" t="s">
        <v>108</v>
      </c>
      <c r="BD389" s="11" t="s">
        <v>101</v>
      </c>
      <c r="BE389" s="12" t="n">
        <v>323274</v>
      </c>
      <c r="BF389" s="13" t="n">
        <f aca="false">IFERROR(P389/BE389-1,"")</f>
        <v>-0.0646572257589537</v>
      </c>
      <c r="BG389" s="17" t="n">
        <v>-0.005</v>
      </c>
      <c r="BH389" s="17" t="n">
        <v>0.076</v>
      </c>
      <c r="BI389" s="14" t="n">
        <f aca="false">P389*(1+IFERROR(Q389,0))^4</f>
        <v>648246.471753294</v>
      </c>
      <c r="BJ389" s="12" t="n">
        <v>-656024</v>
      </c>
      <c r="BK389" s="11" t="s">
        <v>84</v>
      </c>
      <c r="BL389" s="11" t="s">
        <v>85</v>
      </c>
      <c r="BM389" s="14" t="n">
        <f aca="false">O389</f>
        <v>13845506</v>
      </c>
      <c r="BN389" s="11" t="s">
        <v>440</v>
      </c>
      <c r="BO389" s="13" t="n">
        <f aca="false">IFERROR(1-L389/M389,"")</f>
        <v>0.166695308472246</v>
      </c>
      <c r="BP389" s="11" t="s">
        <v>142</v>
      </c>
      <c r="BQ389" s="12" t="n">
        <v>1378599</v>
      </c>
      <c r="BR389" s="11" t="s">
        <v>88</v>
      </c>
      <c r="BS389" s="11" t="s">
        <v>89</v>
      </c>
      <c r="BT389" s="19" t="str">
        <f aca="false">IF(OR(Z389&lt;6,AH389&lt;0.9,S389&lt;0.02,AK389&lt;1),"REVIEW",IF(AND(S389&gt;0.25,AH389&gt;1.2),"ACCELERATING","STABLE"))</f>
        <v>STABLE</v>
      </c>
    </row>
    <row r="390" customFormat="false" ht="15" hidden="false" customHeight="false" outlineLevel="0" collapsed="false">
      <c r="A390" s="3" t="s">
        <v>441</v>
      </c>
      <c r="B390" s="3" t="s">
        <v>73</v>
      </c>
      <c r="C390" s="3" t="s">
        <v>74</v>
      </c>
      <c r="D390" s="3" t="s">
        <v>115</v>
      </c>
      <c r="E390" s="3" t="s">
        <v>105</v>
      </c>
      <c r="F390" s="3" t="s">
        <v>442</v>
      </c>
      <c r="G390" s="3" t="s">
        <v>78</v>
      </c>
      <c r="H390" s="3" t="s">
        <v>79</v>
      </c>
      <c r="I390" s="3" t="s">
        <v>78</v>
      </c>
      <c r="J390" s="4" t="n">
        <v>4275000</v>
      </c>
      <c r="K390" s="5" t="n">
        <f aca="false">IFERROR(J390/M390,"")</f>
        <v>0.17478943494971</v>
      </c>
      <c r="L390" s="4" t="n">
        <v>20183000</v>
      </c>
      <c r="M390" s="6" t="n">
        <f aca="false">L390+J390</f>
        <v>24458000</v>
      </c>
      <c r="N390" s="4" t="n">
        <v>7101000</v>
      </c>
      <c r="O390" s="4" t="n">
        <v>42197339</v>
      </c>
      <c r="P390" s="4" t="n">
        <v>461696</v>
      </c>
      <c r="Q390" s="7"/>
      <c r="R390" s="4" t="n">
        <v>478310</v>
      </c>
      <c r="S390" s="7"/>
      <c r="T390" s="4" t="n">
        <v>287765</v>
      </c>
      <c r="U390" s="5" t="n">
        <f aca="false">IFERROR(T390/P390,"")</f>
        <v>0.623278087746049</v>
      </c>
      <c r="V390" s="6" t="n">
        <f aca="false">T390-AV390</f>
        <v>-1326114</v>
      </c>
      <c r="W390" s="6" t="n">
        <f aca="false">V390-AA390*0.1</f>
        <v>-1326114</v>
      </c>
      <c r="X390" s="4" t="n">
        <v>4987989</v>
      </c>
      <c r="Y390" s="4" t="n">
        <v>144690</v>
      </c>
      <c r="Z390" s="8" t="n">
        <f aca="false">IFERROR(X390/Y390,"")</f>
        <v>34.4736263736264</v>
      </c>
      <c r="AA390" s="4" t="n">
        <v>0</v>
      </c>
      <c r="AB390" s="6" t="n">
        <f aca="false">W390-0.02*P390</f>
        <v>-1335347.92</v>
      </c>
      <c r="AC390" s="9" t="n">
        <v>11</v>
      </c>
      <c r="AD390" s="7"/>
      <c r="AE390" s="7" t="n">
        <v>0.142</v>
      </c>
      <c r="AF390" s="7" t="n">
        <v>0.132</v>
      </c>
      <c r="AG390" s="5" t="n">
        <f aca="false">1-AF390</f>
        <v>0.868</v>
      </c>
      <c r="AH390" s="7" t="n">
        <v>1.054</v>
      </c>
      <c r="AI390" s="4" t="n">
        <v>28408</v>
      </c>
      <c r="AJ390" s="6" t="n">
        <f aca="false">IFERROR(AM390*U390*MIN(1/AE390,5),"")</f>
        <v>99724.4940393679</v>
      </c>
      <c r="AK390" s="10" t="n">
        <f aca="false">IFERROR(AJ390/AI390,"")</f>
        <v>3.5104369909662</v>
      </c>
      <c r="AL390" s="8" t="n">
        <f aca="false">IFERROR(AI390/(AM390*U390/12),"")</f>
        <v>17.0918891734575</v>
      </c>
      <c r="AM390" s="4" t="n">
        <v>32000</v>
      </c>
      <c r="AN390" s="4" t="n">
        <v>542149</v>
      </c>
      <c r="AO390" s="4" t="n">
        <v>862341</v>
      </c>
      <c r="AP390" s="7" t="n">
        <v>0.409</v>
      </c>
      <c r="AQ390" s="9" t="n">
        <v>56</v>
      </c>
      <c r="AR390" s="9" t="n">
        <v>2</v>
      </c>
      <c r="AS390" s="7"/>
      <c r="AT390" s="3" t="s">
        <v>153</v>
      </c>
      <c r="AU390" s="6" t="n">
        <f aca="false">IFERROR(P390/AR390,"")</f>
        <v>230848</v>
      </c>
      <c r="AV390" s="4" t="n">
        <v>1613879</v>
      </c>
      <c r="AW390" s="4" t="n">
        <v>601127</v>
      </c>
      <c r="AX390" s="4" t="n">
        <v>408884</v>
      </c>
      <c r="AY390" s="9" t="n">
        <v>14331</v>
      </c>
      <c r="AZ390" s="7"/>
      <c r="BA390" s="7" t="n">
        <v>0.853</v>
      </c>
      <c r="BB390" s="3" t="s">
        <v>81</v>
      </c>
      <c r="BC390" s="3" t="s">
        <v>108</v>
      </c>
      <c r="BD390" s="3" t="s">
        <v>83</v>
      </c>
      <c r="BE390" s="4" t="n">
        <v>434356</v>
      </c>
      <c r="BF390" s="5" t="n">
        <f aca="false">IFERROR(P390/BE390-1,"")</f>
        <v>0.0629437604177219</v>
      </c>
      <c r="BG390" s="7" t="n">
        <v>0.085</v>
      </c>
      <c r="BH390" s="7" t="n">
        <v>0.096</v>
      </c>
      <c r="BI390" s="6" t="n">
        <f aca="false">P390</f>
        <v>461696</v>
      </c>
      <c r="BJ390" s="4" t="n">
        <v>-1639888</v>
      </c>
      <c r="BK390" s="3" t="s">
        <v>127</v>
      </c>
      <c r="BL390" s="3" t="s">
        <v>128</v>
      </c>
      <c r="BM390" s="6" t="n">
        <f aca="false">O390</f>
        <v>42197339</v>
      </c>
      <c r="BN390" s="3" t="s">
        <v>443</v>
      </c>
      <c r="BO390" s="5" t="n">
        <f aca="false">IFERROR(1-L390/M390,"")</f>
        <v>0.17478943494971</v>
      </c>
      <c r="BP390" s="3" t="s">
        <v>142</v>
      </c>
      <c r="BQ390" s="4" t="n">
        <v>2205424</v>
      </c>
      <c r="BR390" s="3" t="s">
        <v>88</v>
      </c>
      <c r="BS390" s="3" t="s">
        <v>89</v>
      </c>
      <c r="BT390" s="3" t="s">
        <v>90</v>
      </c>
    </row>
    <row r="391" customFormat="false" ht="15" hidden="false" customHeight="false" outlineLevel="0" collapsed="false">
      <c r="A391" s="11" t="s">
        <v>441</v>
      </c>
      <c r="B391" s="11" t="s">
        <v>91</v>
      </c>
      <c r="C391" s="11" t="s">
        <v>74</v>
      </c>
      <c r="D391" s="11" t="s">
        <v>115</v>
      </c>
      <c r="E391" s="11" t="s">
        <v>105</v>
      </c>
      <c r="F391" s="11" t="s">
        <v>442</v>
      </c>
      <c r="G391" s="11" t="s">
        <v>78</v>
      </c>
      <c r="H391" s="11" t="s">
        <v>79</v>
      </c>
      <c r="I391" s="11" t="s">
        <v>78</v>
      </c>
      <c r="J391" s="12" t="n">
        <v>4275000</v>
      </c>
      <c r="K391" s="13" t="n">
        <f aca="false">IFERROR(J391/M391,"")</f>
        <v>0.17478943494971</v>
      </c>
      <c r="L391" s="12" t="n">
        <v>20183000</v>
      </c>
      <c r="M391" s="14" t="n">
        <f aca="false">L391+J391</f>
        <v>24458000</v>
      </c>
      <c r="N391" s="12" t="n">
        <v>7101000</v>
      </c>
      <c r="O391" s="12" t="n">
        <v>42197339</v>
      </c>
      <c r="P391" s="12" t="n">
        <v>497840</v>
      </c>
      <c r="Q391" s="13" t="n">
        <f aca="false">IFERROR(P391/P390-1,"")</f>
        <v>0.078285278624896</v>
      </c>
      <c r="R391" s="12" t="n">
        <v>550921</v>
      </c>
      <c r="S391" s="13" t="n">
        <f aca="false">IFERROR(R391/R390-1,"")</f>
        <v>0.15180740523928</v>
      </c>
      <c r="T391" s="12" t="n">
        <v>311549</v>
      </c>
      <c r="U391" s="13" t="n">
        <f aca="false">IFERROR(T391/P391,"")</f>
        <v>0.62580146231721</v>
      </c>
      <c r="V391" s="14" t="n">
        <f aca="false">T391-AV391</f>
        <v>-1646874</v>
      </c>
      <c r="W391" s="14" t="n">
        <f aca="false">V391-AA391*0.1</f>
        <v>-1646874</v>
      </c>
      <c r="X391" s="12" t="n">
        <v>4623084</v>
      </c>
      <c r="Y391" s="12" t="n">
        <v>149460</v>
      </c>
      <c r="Z391" s="15" t="n">
        <f aca="false">IFERROR(X391/Y391,"")</f>
        <v>30.931914893617</v>
      </c>
      <c r="AA391" s="12" t="n">
        <v>0</v>
      </c>
      <c r="AB391" s="14" t="n">
        <f aca="false">W391-0.02*P391</f>
        <v>-1656830.8</v>
      </c>
      <c r="AC391" s="16" t="n">
        <v>13</v>
      </c>
      <c r="AD391" s="13" t="n">
        <f aca="false">IFERROR(AC391/AC390-1,"")</f>
        <v>0.181818181818182</v>
      </c>
      <c r="AE391" s="17" t="n">
        <v>0.138</v>
      </c>
      <c r="AF391" s="17" t="n">
        <v>0.116</v>
      </c>
      <c r="AG391" s="13" t="n">
        <f aca="false">1-AF391</f>
        <v>0.884</v>
      </c>
      <c r="AH391" s="17" t="n">
        <v>1.049</v>
      </c>
      <c r="AI391" s="12" t="n">
        <v>27872</v>
      </c>
      <c r="AJ391" s="14" t="n">
        <f aca="false">IFERROR(AM391*U391*MIN(1/AE391,5),"")</f>
        <v>102130.798650169</v>
      </c>
      <c r="AK391" s="18" t="n">
        <f aca="false">IFERROR(AJ391/AI391,"")</f>
        <v>3.66427951529021</v>
      </c>
      <c r="AL391" s="15" t="n">
        <f aca="false">IFERROR(AI391/(AM391*U391/12),"")</f>
        <v>16.3742967067969</v>
      </c>
      <c r="AM391" s="12" t="n">
        <v>32640</v>
      </c>
      <c r="AN391" s="12" t="n">
        <v>601048</v>
      </c>
      <c r="AO391" s="12" t="n">
        <v>1635051</v>
      </c>
      <c r="AP391" s="17" t="n">
        <v>0.409</v>
      </c>
      <c r="AQ391" s="16" t="n">
        <v>56</v>
      </c>
      <c r="AR391" s="16" t="n">
        <v>3</v>
      </c>
      <c r="AS391" s="13" t="n">
        <f aca="false">IFERROR(AR391/AR390-1,"")</f>
        <v>0.5</v>
      </c>
      <c r="AT391" s="11" t="s">
        <v>153</v>
      </c>
      <c r="AU391" s="14" t="n">
        <f aca="false">IFERROR(P391/AR391,"")</f>
        <v>165946.666666667</v>
      </c>
      <c r="AV391" s="12" t="n">
        <v>1958423</v>
      </c>
      <c r="AW391" s="12" t="n">
        <v>901703</v>
      </c>
      <c r="AX391" s="12" t="n">
        <v>483399</v>
      </c>
      <c r="AY391" s="16" t="n">
        <v>16867</v>
      </c>
      <c r="AZ391" s="13" t="n">
        <f aca="false">IFERROR(AY391/AY390-1,"")</f>
        <v>0.176959039843696</v>
      </c>
      <c r="BA391" s="17" t="n">
        <v>0.902</v>
      </c>
      <c r="BB391" s="11" t="s">
        <v>81</v>
      </c>
      <c r="BC391" s="11" t="s">
        <v>108</v>
      </c>
      <c r="BD391" s="11" t="s">
        <v>83</v>
      </c>
      <c r="BE391" s="12" t="n">
        <v>471928</v>
      </c>
      <c r="BF391" s="13" t="n">
        <f aca="false">IFERROR(P391/BE391-1,"")</f>
        <v>0.0549066806801037</v>
      </c>
      <c r="BG391" s="17" t="n">
        <v>-0.058</v>
      </c>
      <c r="BH391" s="17" t="n">
        <v>0.063</v>
      </c>
      <c r="BI391" s="14" t="n">
        <f aca="false">P391*(1+IFERROR(Q391,0))^4</f>
        <v>673014.60984179</v>
      </c>
      <c r="BJ391" s="12" t="n">
        <v>-1584779</v>
      </c>
      <c r="BK391" s="11" t="s">
        <v>127</v>
      </c>
      <c r="BL391" s="11" t="s">
        <v>128</v>
      </c>
      <c r="BM391" s="14" t="n">
        <f aca="false">O391</f>
        <v>42197339</v>
      </c>
      <c r="BN391" s="11" t="s">
        <v>443</v>
      </c>
      <c r="BO391" s="13" t="n">
        <f aca="false">IFERROR(1-L391/M391,"")</f>
        <v>0.17478943494971</v>
      </c>
      <c r="BP391" s="11" t="s">
        <v>142</v>
      </c>
      <c r="BQ391" s="12" t="n">
        <v>2221846</v>
      </c>
      <c r="BR391" s="11" t="s">
        <v>88</v>
      </c>
      <c r="BS391" s="11" t="s">
        <v>89</v>
      </c>
      <c r="BT391" s="19" t="str">
        <f aca="false">IF(OR(Z391&lt;6,AH391&lt;0.9,S391&lt;0.02,AK391&lt;1),"REVIEW",IF(AND(S391&gt;0.25,AH391&gt;1.2),"ACCELERATING","STABLE"))</f>
        <v>STABLE</v>
      </c>
    </row>
    <row r="392" customFormat="false" ht="15" hidden="false" customHeight="false" outlineLevel="0" collapsed="false">
      <c r="A392" s="11" t="s">
        <v>441</v>
      </c>
      <c r="B392" s="11" t="s">
        <v>92</v>
      </c>
      <c r="C392" s="11" t="s">
        <v>74</v>
      </c>
      <c r="D392" s="11" t="s">
        <v>115</v>
      </c>
      <c r="E392" s="11" t="s">
        <v>105</v>
      </c>
      <c r="F392" s="11" t="s">
        <v>442</v>
      </c>
      <c r="G392" s="11" t="s">
        <v>78</v>
      </c>
      <c r="H392" s="11" t="s">
        <v>79</v>
      </c>
      <c r="I392" s="11" t="s">
        <v>78</v>
      </c>
      <c r="J392" s="12" t="n">
        <v>4275000</v>
      </c>
      <c r="K392" s="13" t="n">
        <f aca="false">IFERROR(J392/M392,"")</f>
        <v>0.17478943494971</v>
      </c>
      <c r="L392" s="12" t="n">
        <v>20183000</v>
      </c>
      <c r="M392" s="14" t="n">
        <f aca="false">L392+J392</f>
        <v>24458000</v>
      </c>
      <c r="N392" s="12" t="n">
        <v>7101000</v>
      </c>
      <c r="O392" s="12" t="n">
        <v>42197339</v>
      </c>
      <c r="P392" s="12" t="n">
        <v>632422</v>
      </c>
      <c r="Q392" s="13" t="n">
        <f aca="false">IFERROR(P392/P391-1,"")</f>
        <v>0.27033183352081</v>
      </c>
      <c r="R392" s="12" t="n">
        <v>624119</v>
      </c>
      <c r="S392" s="13" t="n">
        <f aca="false">IFERROR(R392/R391-1,"")</f>
        <v>0.132864784606141</v>
      </c>
      <c r="T392" s="12" t="n">
        <v>397367</v>
      </c>
      <c r="U392" s="13" t="n">
        <f aca="false">IFERROR(T392/P392,"")</f>
        <v>0.628325706569348</v>
      </c>
      <c r="V392" s="14" t="n">
        <f aca="false">T392-AV392</f>
        <v>-1433293</v>
      </c>
      <c r="W392" s="14" t="n">
        <f aca="false">V392-AA392*0.1</f>
        <v>-1433293</v>
      </c>
      <c r="X392" s="12" t="n">
        <v>4232421</v>
      </c>
      <c r="Y392" s="12" t="n">
        <v>154230</v>
      </c>
      <c r="Z392" s="15" t="n">
        <f aca="false">IFERROR(X392/Y392,"")</f>
        <v>27.4422680412371</v>
      </c>
      <c r="AA392" s="12" t="n">
        <v>0</v>
      </c>
      <c r="AB392" s="14" t="n">
        <f aca="false">W392-0.02*P392</f>
        <v>-1445941.44</v>
      </c>
      <c r="AC392" s="16" t="n">
        <v>16</v>
      </c>
      <c r="AD392" s="13" t="n">
        <f aca="false">IFERROR(AC392/AC391-1,"")</f>
        <v>0.230769230769231</v>
      </c>
      <c r="AE392" s="17" t="n">
        <v>0.134</v>
      </c>
      <c r="AF392" s="17" t="n">
        <v>0.106</v>
      </c>
      <c r="AG392" s="13" t="n">
        <f aca="false">1-AF392</f>
        <v>0.894</v>
      </c>
      <c r="AH392" s="17" t="n">
        <v>1.044</v>
      </c>
      <c r="AI392" s="12" t="n">
        <v>27336</v>
      </c>
      <c r="AJ392" s="14" t="n">
        <f aca="false">IFERROR(AM392*U392*MIN(1/AE392,5),"")</f>
        <v>104553.397573139</v>
      </c>
      <c r="AK392" s="18" t="n">
        <f aca="false">IFERROR(AJ392/AI392,"")</f>
        <v>3.82475115500218</v>
      </c>
      <c r="AL392" s="15" t="n">
        <f aca="false">IFERROR(AI392/(AM392*U392/12),"")</f>
        <v>15.6872950862514</v>
      </c>
      <c r="AM392" s="12" t="n">
        <v>33280</v>
      </c>
      <c r="AN392" s="12" t="n">
        <v>688606</v>
      </c>
      <c r="AO392" s="12" t="n">
        <v>1006011</v>
      </c>
      <c r="AP392" s="17" t="n">
        <v>0.409</v>
      </c>
      <c r="AQ392" s="16" t="n">
        <v>56</v>
      </c>
      <c r="AR392" s="16" t="n">
        <v>3</v>
      </c>
      <c r="AS392" s="13" t="n">
        <f aca="false">IFERROR(AR392/AR391-1,"")</f>
        <v>0</v>
      </c>
      <c r="AT392" s="11" t="s">
        <v>153</v>
      </c>
      <c r="AU392" s="14" t="n">
        <f aca="false">IFERROR(P392/AR392,"")</f>
        <v>210807.333333333</v>
      </c>
      <c r="AV392" s="12" t="n">
        <v>1830660</v>
      </c>
      <c r="AW392" s="12" t="n">
        <v>781508</v>
      </c>
      <c r="AX392" s="12" t="n">
        <v>448419</v>
      </c>
      <c r="AY392" s="16" t="n">
        <v>18400</v>
      </c>
      <c r="AZ392" s="13" t="n">
        <f aca="false">IFERROR(AY392/AY391-1,"")</f>
        <v>0.0908875318669591</v>
      </c>
      <c r="BA392" s="17" t="n">
        <v>0.883</v>
      </c>
      <c r="BB392" s="11" t="s">
        <v>81</v>
      </c>
      <c r="BC392" s="11" t="s">
        <v>108</v>
      </c>
      <c r="BD392" s="11" t="s">
        <v>83</v>
      </c>
      <c r="BE392" s="12" t="n">
        <v>783559</v>
      </c>
      <c r="BF392" s="13" t="n">
        <f aca="false">IFERROR(P392/BE392-1,"")</f>
        <v>-0.192885283686359</v>
      </c>
      <c r="BG392" s="17" t="n">
        <v>0.047</v>
      </c>
      <c r="BH392" s="17" t="n">
        <v>0.061</v>
      </c>
      <c r="BI392" s="14" t="n">
        <f aca="false">P392*(1+IFERROR(Q392,0))^4</f>
        <v>1646932.10048716</v>
      </c>
      <c r="BJ392" s="12" t="n">
        <v>-1793509</v>
      </c>
      <c r="BK392" s="11" t="s">
        <v>127</v>
      </c>
      <c r="BL392" s="11" t="s">
        <v>128</v>
      </c>
      <c r="BM392" s="14" t="n">
        <f aca="false">O392</f>
        <v>42197339</v>
      </c>
      <c r="BN392" s="11" t="s">
        <v>443</v>
      </c>
      <c r="BO392" s="13" t="n">
        <f aca="false">IFERROR(1-L392/M392,"")</f>
        <v>0.17478943494971</v>
      </c>
      <c r="BP392" s="11" t="s">
        <v>142</v>
      </c>
      <c r="BQ392" s="12" t="n">
        <v>2319425</v>
      </c>
      <c r="BR392" s="11" t="s">
        <v>88</v>
      </c>
      <c r="BS392" s="11" t="s">
        <v>89</v>
      </c>
      <c r="BT392" s="19" t="str">
        <f aca="false">IF(OR(Z392&lt;6,AH392&lt;0.9,S392&lt;0.02,AK392&lt;1),"REVIEW",IF(AND(S392&gt;0.25,AH392&gt;1.2),"ACCELERATING","STABLE"))</f>
        <v>STABLE</v>
      </c>
    </row>
    <row r="393" customFormat="false" ht="15" hidden="false" customHeight="false" outlineLevel="0" collapsed="false">
      <c r="A393" s="11" t="s">
        <v>441</v>
      </c>
      <c r="B393" s="11" t="s">
        <v>93</v>
      </c>
      <c r="C393" s="11" t="s">
        <v>74</v>
      </c>
      <c r="D393" s="11" t="s">
        <v>115</v>
      </c>
      <c r="E393" s="11" t="s">
        <v>105</v>
      </c>
      <c r="F393" s="11" t="s">
        <v>442</v>
      </c>
      <c r="G393" s="11" t="s">
        <v>78</v>
      </c>
      <c r="H393" s="11" t="s">
        <v>79</v>
      </c>
      <c r="I393" s="11" t="s">
        <v>78</v>
      </c>
      <c r="J393" s="12" t="n">
        <v>4275000</v>
      </c>
      <c r="K393" s="13" t="n">
        <f aca="false">IFERROR(J393/M393,"")</f>
        <v>0.17478943494971</v>
      </c>
      <c r="L393" s="12" t="n">
        <v>20183000</v>
      </c>
      <c r="M393" s="14" t="n">
        <f aca="false">L393+J393</f>
        <v>24458000</v>
      </c>
      <c r="N393" s="12" t="n">
        <v>7101000</v>
      </c>
      <c r="O393" s="12" t="n">
        <v>42197339</v>
      </c>
      <c r="P393" s="12" t="n">
        <v>729738</v>
      </c>
      <c r="Q393" s="13" t="n">
        <f aca="false">IFERROR(P393/P392-1,"")</f>
        <v>0.153878264829497</v>
      </c>
      <c r="R393" s="12" t="n">
        <v>728240</v>
      </c>
      <c r="S393" s="13" t="n">
        <f aca="false">IFERROR(R393/R392-1,"")</f>
        <v>0.166828761822665</v>
      </c>
      <c r="T393" s="12" t="n">
        <v>460354</v>
      </c>
      <c r="U393" s="13" t="n">
        <f aca="false">IFERROR(T393/P393,"")</f>
        <v>0.630848331867054</v>
      </c>
      <c r="V393" s="14" t="n">
        <f aca="false">T393-AV393</f>
        <v>-1797372</v>
      </c>
      <c r="W393" s="14" t="n">
        <f aca="false">V393-AA393*0.1</f>
        <v>-1797372</v>
      </c>
      <c r="X393" s="12" t="n">
        <v>3816000</v>
      </c>
      <c r="Y393" s="12" t="n">
        <v>159000</v>
      </c>
      <c r="Z393" s="15" t="n">
        <f aca="false">IFERROR(X393/Y393,"")</f>
        <v>24</v>
      </c>
      <c r="AA393" s="12" t="n">
        <v>0</v>
      </c>
      <c r="AB393" s="14" t="n">
        <f aca="false">W393-0.02*P393</f>
        <v>-1811966.76</v>
      </c>
      <c r="AC393" s="16" t="n">
        <v>17</v>
      </c>
      <c r="AD393" s="13" t="n">
        <f aca="false">IFERROR(AC393/AC392-1,"")</f>
        <v>0.0625</v>
      </c>
      <c r="AE393" s="17" t="n">
        <v>0.13</v>
      </c>
      <c r="AF393" s="17" t="n">
        <v>0.117</v>
      </c>
      <c r="AG393" s="13" t="n">
        <f aca="false">1-AF393</f>
        <v>0.883</v>
      </c>
      <c r="AH393" s="17" t="n">
        <v>1.039</v>
      </c>
      <c r="AI393" s="12" t="n">
        <v>26800</v>
      </c>
      <c r="AJ393" s="14" t="n">
        <f aca="false">IFERROR(AM393*U393*MIN(1/AE393,5),"")</f>
        <v>106991.877084652</v>
      </c>
      <c r="AK393" s="18" t="n">
        <f aca="false">IFERROR(AJ393/AI393,"")</f>
        <v>3.99223421957658</v>
      </c>
      <c r="AL393" s="15" t="n">
        <f aca="false">IFERROR(AI393/(AM393*U393/12),"")</f>
        <v>15.0291783247035</v>
      </c>
      <c r="AM393" s="12" t="n">
        <v>33920</v>
      </c>
      <c r="AN393" s="12" t="n">
        <v>744255</v>
      </c>
      <c r="AO393" s="12" t="n">
        <v>1100404</v>
      </c>
      <c r="AP393" s="17" t="n">
        <v>0.409</v>
      </c>
      <c r="AQ393" s="16" t="n">
        <v>56</v>
      </c>
      <c r="AR393" s="16" t="n">
        <v>3</v>
      </c>
      <c r="AS393" s="13" t="n">
        <f aca="false">IFERROR(AR393/AR392-1,"")</f>
        <v>0</v>
      </c>
      <c r="AT393" s="11" t="s">
        <v>153</v>
      </c>
      <c r="AU393" s="14" t="n">
        <f aca="false">IFERROR(P393/AR393,"")</f>
        <v>243246</v>
      </c>
      <c r="AV393" s="12" t="n">
        <v>2257726</v>
      </c>
      <c r="AW393" s="12" t="n">
        <v>1082547</v>
      </c>
      <c r="AX393" s="12" t="n">
        <v>475222</v>
      </c>
      <c r="AY393" s="16" t="n">
        <v>20836</v>
      </c>
      <c r="AZ393" s="13" t="n">
        <f aca="false">IFERROR(AY393/AY392-1,"")</f>
        <v>0.132391304347826</v>
      </c>
      <c r="BA393" s="17" t="n">
        <v>0.868</v>
      </c>
      <c r="BB393" s="11" t="s">
        <v>81</v>
      </c>
      <c r="BC393" s="11" t="s">
        <v>108</v>
      </c>
      <c r="BD393" s="11" t="s">
        <v>83</v>
      </c>
      <c r="BE393" s="12" t="n">
        <v>775312</v>
      </c>
      <c r="BF393" s="13" t="n">
        <f aca="false">IFERROR(P393/BE393-1,"")</f>
        <v>-0.0587814969973378</v>
      </c>
      <c r="BG393" s="17" t="n">
        <v>0.083</v>
      </c>
      <c r="BH393" s="17" t="n">
        <v>0.021</v>
      </c>
      <c r="BI393" s="14" t="n">
        <f aca="false">P393*(1+IFERROR(Q393,0))^4</f>
        <v>1293620.63106366</v>
      </c>
      <c r="BJ393" s="12" t="n">
        <v>-1674204</v>
      </c>
      <c r="BK393" s="11" t="s">
        <v>127</v>
      </c>
      <c r="BL393" s="11" t="s">
        <v>128</v>
      </c>
      <c r="BM393" s="14" t="n">
        <f aca="false">O393</f>
        <v>42197339</v>
      </c>
      <c r="BN393" s="11" t="s">
        <v>443</v>
      </c>
      <c r="BO393" s="13" t="n">
        <f aca="false">IFERROR(1-L393/M393,"")</f>
        <v>0.17478943494971</v>
      </c>
      <c r="BP393" s="11" t="s">
        <v>142</v>
      </c>
      <c r="BQ393" s="12" t="n">
        <v>2410269</v>
      </c>
      <c r="BR393" s="11" t="s">
        <v>88</v>
      </c>
      <c r="BS393" s="11" t="s">
        <v>89</v>
      </c>
      <c r="BT393" s="19" t="str">
        <f aca="false">IF(OR(Z393&lt;6,AH393&lt;0.9,S393&lt;0.02,AK393&lt;1),"REVIEW",IF(AND(S393&gt;0.25,AH393&gt;1.2),"ACCELERATING","STABLE"))</f>
        <v>STABLE</v>
      </c>
    </row>
    <row r="394" customFormat="false" ht="15" hidden="false" customHeight="false" outlineLevel="0" collapsed="false">
      <c r="A394" s="3" t="s">
        <v>444</v>
      </c>
      <c r="B394" s="3" t="s">
        <v>73</v>
      </c>
      <c r="C394" s="3" t="s">
        <v>74</v>
      </c>
      <c r="D394" s="3" t="s">
        <v>151</v>
      </c>
      <c r="E394" s="3" t="s">
        <v>105</v>
      </c>
      <c r="F394" s="3" t="s">
        <v>445</v>
      </c>
      <c r="G394" s="3" t="s">
        <v>78</v>
      </c>
      <c r="H394" s="3" t="s">
        <v>79</v>
      </c>
      <c r="I394" s="3" t="s">
        <v>78</v>
      </c>
      <c r="J394" s="4" t="n">
        <v>2712000</v>
      </c>
      <c r="K394" s="5" t="n">
        <f aca="false">IFERROR(J394/M394,"")</f>
        <v>0.182429705367954</v>
      </c>
      <c r="L394" s="4" t="n">
        <v>12154000</v>
      </c>
      <c r="M394" s="6" t="n">
        <f aca="false">L394+J394</f>
        <v>14866000</v>
      </c>
      <c r="N394" s="4" t="n">
        <v>4547000</v>
      </c>
      <c r="O394" s="4" t="n">
        <v>9040304</v>
      </c>
      <c r="P394" s="4" t="n">
        <v>989623</v>
      </c>
      <c r="Q394" s="7"/>
      <c r="R394" s="4" t="n">
        <v>1070613</v>
      </c>
      <c r="S394" s="7"/>
      <c r="T394" s="4" t="n">
        <v>548052</v>
      </c>
      <c r="U394" s="5" t="n">
        <f aca="false">IFERROR(T394/P394,"")</f>
        <v>0.553798769834573</v>
      </c>
      <c r="V394" s="6" t="n">
        <f aca="false">T394-AV394</f>
        <v>-2226869</v>
      </c>
      <c r="W394" s="6" t="n">
        <f aca="false">V394-AA394*0.1</f>
        <v>-2226869</v>
      </c>
      <c r="X394" s="4" t="n">
        <v>2828513</v>
      </c>
      <c r="Y394" s="4" t="n">
        <v>204180</v>
      </c>
      <c r="Z394" s="8" t="n">
        <f aca="false">IFERROR(X394/Y394,"")</f>
        <v>13.8530365363895</v>
      </c>
      <c r="AA394" s="4" t="n">
        <v>0</v>
      </c>
      <c r="AB394" s="6" t="n">
        <f aca="false">W394-0.02*P394</f>
        <v>-2246661.46</v>
      </c>
      <c r="AC394" s="9" t="n">
        <v>78</v>
      </c>
      <c r="AD394" s="7"/>
      <c r="AE394" s="7" t="n">
        <v>0.233</v>
      </c>
      <c r="AF394" s="7" t="n">
        <v>0.205</v>
      </c>
      <c r="AG394" s="5" t="n">
        <f aca="false">1-AF394</f>
        <v>0.795</v>
      </c>
      <c r="AH394" s="7" t="n">
        <v>0.963</v>
      </c>
      <c r="AI394" s="4" t="n">
        <v>53884</v>
      </c>
      <c r="AJ394" s="6" t="n">
        <f aca="false">IFERROR(AM394*U394*MIN(1/AE394,5),"")</f>
        <v>78435.0189036091</v>
      </c>
      <c r="AK394" s="10" t="n">
        <f aca="false">IFERROR(AJ394/AI394,"")</f>
        <v>1.45562725305488</v>
      </c>
      <c r="AL394" s="8" t="n">
        <f aca="false">IFERROR(AI394/(AM394*U394/12),"")</f>
        <v>35.3814108760748</v>
      </c>
      <c r="AM394" s="4" t="n">
        <v>33000</v>
      </c>
      <c r="AN394" s="4" t="n">
        <v>1094377</v>
      </c>
      <c r="AO394" s="4" t="n">
        <v>3933105</v>
      </c>
      <c r="AP394" s="7" t="n">
        <v>0.319</v>
      </c>
      <c r="AQ394" s="9" t="n">
        <v>81</v>
      </c>
      <c r="AR394" s="9" t="n">
        <v>2</v>
      </c>
      <c r="AS394" s="7"/>
      <c r="AT394" s="3" t="s">
        <v>118</v>
      </c>
      <c r="AU394" s="6" t="n">
        <f aca="false">IFERROR(P394/AR394,"")</f>
        <v>494811.5</v>
      </c>
      <c r="AV394" s="4" t="n">
        <v>2774921</v>
      </c>
      <c r="AW394" s="4" t="n">
        <v>1093347</v>
      </c>
      <c r="AX394" s="4" t="n">
        <v>674757</v>
      </c>
      <c r="AY394" s="9" t="n">
        <v>41981</v>
      </c>
      <c r="AZ394" s="7"/>
      <c r="BA394" s="7" t="n">
        <v>0.815</v>
      </c>
      <c r="BB394" s="3" t="s">
        <v>171</v>
      </c>
      <c r="BC394" s="3" t="s">
        <v>120</v>
      </c>
      <c r="BD394" s="3" t="s">
        <v>101</v>
      </c>
      <c r="BE394" s="4" t="n">
        <v>1420480</v>
      </c>
      <c r="BF394" s="5" t="n">
        <f aca="false">IFERROR(P394/BE394-1,"")</f>
        <v>-0.303317892543366</v>
      </c>
      <c r="BG394" s="7" t="n">
        <v>0.201</v>
      </c>
      <c r="BH394" s="7" t="n">
        <v>0.323</v>
      </c>
      <c r="BI394" s="6" t="n">
        <f aca="false">P394</f>
        <v>989623</v>
      </c>
      <c r="BJ394" s="4" t="n">
        <v>-1941181</v>
      </c>
      <c r="BK394" s="3" t="s">
        <v>147</v>
      </c>
      <c r="BL394" s="3" t="s">
        <v>122</v>
      </c>
      <c r="BM394" s="6" t="n">
        <f aca="false">O394</f>
        <v>9040304</v>
      </c>
      <c r="BN394" s="3" t="s">
        <v>446</v>
      </c>
      <c r="BO394" s="5" t="n">
        <f aca="false">IFERROR(1-L394/M394,"")</f>
        <v>0.182429705367954</v>
      </c>
      <c r="BP394" s="3" t="s">
        <v>113</v>
      </c>
      <c r="BQ394" s="4" t="n">
        <v>3311275</v>
      </c>
      <c r="BR394" s="3" t="s">
        <v>88</v>
      </c>
      <c r="BS394" s="3" t="s">
        <v>89</v>
      </c>
      <c r="BT394" s="3" t="s">
        <v>90</v>
      </c>
    </row>
    <row r="395" customFormat="false" ht="15" hidden="false" customHeight="false" outlineLevel="0" collapsed="false">
      <c r="A395" s="11" t="s">
        <v>444</v>
      </c>
      <c r="B395" s="11" t="s">
        <v>91</v>
      </c>
      <c r="C395" s="11" t="s">
        <v>74</v>
      </c>
      <c r="D395" s="11" t="s">
        <v>151</v>
      </c>
      <c r="E395" s="11" t="s">
        <v>105</v>
      </c>
      <c r="F395" s="11" t="s">
        <v>445</v>
      </c>
      <c r="G395" s="11" t="s">
        <v>78</v>
      </c>
      <c r="H395" s="11" t="s">
        <v>79</v>
      </c>
      <c r="I395" s="11" t="s">
        <v>78</v>
      </c>
      <c r="J395" s="12" t="n">
        <v>2712000</v>
      </c>
      <c r="K395" s="13" t="n">
        <f aca="false">IFERROR(J395/M395,"")</f>
        <v>0.182429705367954</v>
      </c>
      <c r="L395" s="12" t="n">
        <v>12154000</v>
      </c>
      <c r="M395" s="14" t="n">
        <f aca="false">L395+J395</f>
        <v>14866000</v>
      </c>
      <c r="N395" s="12" t="n">
        <v>4547000</v>
      </c>
      <c r="O395" s="12" t="n">
        <v>9040304</v>
      </c>
      <c r="P395" s="12" t="n">
        <v>923251</v>
      </c>
      <c r="Q395" s="13" t="n">
        <f aca="false">IFERROR(P395/P394-1,"")</f>
        <v>-0.0670679642651798</v>
      </c>
      <c r="R395" s="12" t="n">
        <v>1002395</v>
      </c>
      <c r="S395" s="13" t="n">
        <f aca="false">IFERROR(R395/R394-1,"")</f>
        <v>-0.0637186359590254</v>
      </c>
      <c r="T395" s="12" t="n">
        <v>501649</v>
      </c>
      <c r="U395" s="13" t="n">
        <f aca="false">IFERROR(T395/P395,"")</f>
        <v>0.543350616462912</v>
      </c>
      <c r="V395" s="14" t="n">
        <f aca="false">T395-AV395</f>
        <v>-2038206</v>
      </c>
      <c r="W395" s="14" t="n">
        <f aca="false">V395-AA395*0.1</f>
        <v>-2038206</v>
      </c>
      <c r="X395" s="12" t="n">
        <v>2253323</v>
      </c>
      <c r="Y395" s="12" t="n">
        <v>219120</v>
      </c>
      <c r="Z395" s="15" t="n">
        <f aca="false">IFERROR(X395/Y395,"")</f>
        <v>10.2835113179993</v>
      </c>
      <c r="AA395" s="12" t="n">
        <v>0</v>
      </c>
      <c r="AB395" s="14" t="n">
        <f aca="false">W395-0.02*P395</f>
        <v>-2056671.02</v>
      </c>
      <c r="AC395" s="16" t="n">
        <v>74</v>
      </c>
      <c r="AD395" s="13" t="n">
        <f aca="false">IFERROR(AC395/AC394-1,"")</f>
        <v>-0.0512820512820513</v>
      </c>
      <c r="AE395" s="17" t="n">
        <v>0.277</v>
      </c>
      <c r="AF395" s="17" t="n">
        <v>0.29</v>
      </c>
      <c r="AG395" s="13" t="n">
        <f aca="false">1-AF395</f>
        <v>0.71</v>
      </c>
      <c r="AH395" s="17" t="n">
        <v>0.923</v>
      </c>
      <c r="AI395" s="12" t="n">
        <v>59556</v>
      </c>
      <c r="AJ395" s="14" t="n">
        <f aca="false">IFERROR(AM395*U395*MIN(1/AE395,5),"")</f>
        <v>66025.9268958181</v>
      </c>
      <c r="AK395" s="18" t="n">
        <f aca="false">IFERROR(AJ395/AI395,"")</f>
        <v>1.10863602148932</v>
      </c>
      <c r="AL395" s="15" t="n">
        <f aca="false">IFERROR(AI395/(AM395*U395/12),"")</f>
        <v>39.076215096089</v>
      </c>
      <c r="AM395" s="12" t="n">
        <v>33660</v>
      </c>
      <c r="AN395" s="12" t="n">
        <v>1047494</v>
      </c>
      <c r="AO395" s="12" t="n">
        <v>1901429</v>
      </c>
      <c r="AP395" s="17" t="n">
        <v>0.319</v>
      </c>
      <c r="AQ395" s="16" t="n">
        <v>81</v>
      </c>
      <c r="AR395" s="16" t="n">
        <v>2</v>
      </c>
      <c r="AS395" s="13" t="n">
        <f aca="false">IFERROR(AR395/AR394-1,"")</f>
        <v>0</v>
      </c>
      <c r="AT395" s="11" t="s">
        <v>118</v>
      </c>
      <c r="AU395" s="14" t="n">
        <f aca="false">IFERROR(P395/AR395,"")</f>
        <v>461625.5</v>
      </c>
      <c r="AV395" s="12" t="n">
        <v>2539855</v>
      </c>
      <c r="AW395" s="12" t="n">
        <v>831590</v>
      </c>
      <c r="AX395" s="12" t="n">
        <v>726165</v>
      </c>
      <c r="AY395" s="16" t="n">
        <v>40125</v>
      </c>
      <c r="AZ395" s="13" t="n">
        <f aca="false">IFERROR(AY395/AY394-1,"")</f>
        <v>-0.0442104761677902</v>
      </c>
      <c r="BA395" s="17" t="n">
        <v>0.706</v>
      </c>
      <c r="BB395" s="11" t="s">
        <v>171</v>
      </c>
      <c r="BC395" s="11" t="s">
        <v>120</v>
      </c>
      <c r="BD395" s="11" t="s">
        <v>101</v>
      </c>
      <c r="BE395" s="12" t="n">
        <v>1564894</v>
      </c>
      <c r="BF395" s="13" t="n">
        <f aca="false">IFERROR(P395/BE395-1,"")</f>
        <v>-0.41002329870266</v>
      </c>
      <c r="BG395" s="17" t="n">
        <v>0.251</v>
      </c>
      <c r="BH395" s="17" t="n">
        <v>0.185</v>
      </c>
      <c r="BI395" s="14" t="n">
        <f aca="false">P395*(1+IFERROR(Q395,0))^4</f>
        <v>699390.634812967</v>
      </c>
      <c r="BJ395" s="12" t="n">
        <v>-1552215</v>
      </c>
      <c r="BK395" s="11" t="s">
        <v>147</v>
      </c>
      <c r="BL395" s="11" t="s">
        <v>122</v>
      </c>
      <c r="BM395" s="14" t="n">
        <f aca="false">O395</f>
        <v>9040304</v>
      </c>
      <c r="BN395" s="11" t="s">
        <v>446</v>
      </c>
      <c r="BO395" s="13" t="n">
        <f aca="false">IFERROR(1-L395/M395,"")</f>
        <v>0.182429705367954</v>
      </c>
      <c r="BP395" s="11" t="s">
        <v>113</v>
      </c>
      <c r="BQ395" s="12" t="n">
        <v>4188761</v>
      </c>
      <c r="BR395" s="11" t="s">
        <v>88</v>
      </c>
      <c r="BS395" s="11" t="s">
        <v>89</v>
      </c>
      <c r="BT395" s="19" t="str">
        <f aca="false">IF(OR(Z395&lt;6,AH395&lt;0.9,S395&lt;0.02,AK395&lt;1),"REVIEW",IF(AND(S395&gt;0.25,AH395&gt;1.2),"ACCELERATING","STABLE"))</f>
        <v>REVIEW</v>
      </c>
    </row>
    <row r="396" customFormat="false" ht="15" hidden="false" customHeight="false" outlineLevel="0" collapsed="false">
      <c r="A396" s="11" t="s">
        <v>444</v>
      </c>
      <c r="B396" s="11" t="s">
        <v>92</v>
      </c>
      <c r="C396" s="11" t="s">
        <v>74</v>
      </c>
      <c r="D396" s="11" t="s">
        <v>151</v>
      </c>
      <c r="E396" s="11" t="s">
        <v>105</v>
      </c>
      <c r="F396" s="11" t="s">
        <v>445</v>
      </c>
      <c r="G396" s="11" t="s">
        <v>78</v>
      </c>
      <c r="H396" s="11" t="s">
        <v>79</v>
      </c>
      <c r="I396" s="11" t="s">
        <v>78</v>
      </c>
      <c r="J396" s="12" t="n">
        <v>2712000</v>
      </c>
      <c r="K396" s="13" t="n">
        <f aca="false">IFERROR(J396/M396,"")</f>
        <v>0.182429705367954</v>
      </c>
      <c r="L396" s="12" t="n">
        <v>12154000</v>
      </c>
      <c r="M396" s="14" t="n">
        <f aca="false">L396+J396</f>
        <v>14866000</v>
      </c>
      <c r="N396" s="12" t="n">
        <v>4547000</v>
      </c>
      <c r="O396" s="12" t="n">
        <v>9040304</v>
      </c>
      <c r="P396" s="12" t="n">
        <v>882256</v>
      </c>
      <c r="Q396" s="13" t="n">
        <f aca="false">IFERROR(P396/P395-1,"")</f>
        <v>-0.0444028763575669</v>
      </c>
      <c r="R396" s="12" t="n">
        <v>942449</v>
      </c>
      <c r="S396" s="13" t="n">
        <f aca="false">IFERROR(R396/R395-1,"")</f>
        <v>-0.0598027723601974</v>
      </c>
      <c r="T396" s="12" t="n">
        <v>470155</v>
      </c>
      <c r="U396" s="13" t="n">
        <f aca="false">IFERROR(T396/P396,"")</f>
        <v>0.532900881376834</v>
      </c>
      <c r="V396" s="14" t="n">
        <f aca="false">T396-AV396</f>
        <v>-2268549</v>
      </c>
      <c r="W396" s="14" t="n">
        <f aca="false">V396-AA396*0.1</f>
        <v>-2268549</v>
      </c>
      <c r="X396" s="12" t="n">
        <v>1579529</v>
      </c>
      <c r="Y396" s="12" t="n">
        <v>234060</v>
      </c>
      <c r="Z396" s="15" t="n">
        <f aca="false">IFERROR(X396/Y396,"")</f>
        <v>6.74839357429719</v>
      </c>
      <c r="AA396" s="12" t="n">
        <v>0</v>
      </c>
      <c r="AB396" s="14" t="n">
        <f aca="false">W396-0.02*P396</f>
        <v>-2286194.12</v>
      </c>
      <c r="AC396" s="16" t="n">
        <v>70</v>
      </c>
      <c r="AD396" s="13" t="n">
        <f aca="false">IFERROR(AC396/AC395-1,"")</f>
        <v>-0.0540540540540541</v>
      </c>
      <c r="AE396" s="17" t="n">
        <v>0.32</v>
      </c>
      <c r="AF396" s="17" t="n">
        <v>0.263</v>
      </c>
      <c r="AG396" s="13" t="n">
        <f aca="false">1-AF396</f>
        <v>0.737</v>
      </c>
      <c r="AH396" s="17" t="n">
        <v>0.883</v>
      </c>
      <c r="AI396" s="12" t="n">
        <v>65228</v>
      </c>
      <c r="AJ396" s="14" t="n">
        <f aca="false">IFERROR(AM396*U396*MIN(1/AE396,5),"")</f>
        <v>57153.6195276654</v>
      </c>
      <c r="AK396" s="18" t="n">
        <f aca="false">IFERROR(AJ396/AI396,"")</f>
        <v>0.876212968781282</v>
      </c>
      <c r="AL396" s="15" t="n">
        <f aca="false">IFERROR(AI396/(AM396*U396/12),"")</f>
        <v>42.797814385421</v>
      </c>
      <c r="AM396" s="12" t="n">
        <v>34320</v>
      </c>
      <c r="AN396" s="12" t="n">
        <v>1029004</v>
      </c>
      <c r="AO396" s="12" t="n">
        <v>2459672</v>
      </c>
      <c r="AP396" s="17" t="n">
        <v>0.319</v>
      </c>
      <c r="AQ396" s="16" t="n">
        <v>81</v>
      </c>
      <c r="AR396" s="16" t="n">
        <v>2</v>
      </c>
      <c r="AS396" s="13" t="n">
        <f aca="false">IFERROR(AR396/AR395-1,"")</f>
        <v>0</v>
      </c>
      <c r="AT396" s="11" t="s">
        <v>118</v>
      </c>
      <c r="AU396" s="14" t="n">
        <f aca="false">IFERROR(P396/AR396,"")</f>
        <v>441128</v>
      </c>
      <c r="AV396" s="12" t="n">
        <v>2738704</v>
      </c>
      <c r="AW396" s="12" t="n">
        <v>1075055</v>
      </c>
      <c r="AX396" s="12" t="n">
        <v>873659</v>
      </c>
      <c r="AY396" s="16" t="n">
        <v>37087</v>
      </c>
      <c r="AZ396" s="13" t="n">
        <f aca="false">IFERROR(AY396/AY395-1,"")</f>
        <v>-0.0757133956386293</v>
      </c>
      <c r="BA396" s="17" t="n">
        <v>0.746</v>
      </c>
      <c r="BB396" s="11" t="s">
        <v>171</v>
      </c>
      <c r="BC396" s="11" t="s">
        <v>120</v>
      </c>
      <c r="BD396" s="11" t="s">
        <v>101</v>
      </c>
      <c r="BE396" s="12" t="n">
        <v>1385614</v>
      </c>
      <c r="BF396" s="13" t="n">
        <f aca="false">IFERROR(P396/BE396-1,"")</f>
        <v>-0.363274331812467</v>
      </c>
      <c r="BG396" s="17" t="n">
        <v>0.209</v>
      </c>
      <c r="BH396" s="17" t="n">
        <v>0.286</v>
      </c>
      <c r="BI396" s="14" t="n">
        <f aca="false">P396*(1+IFERROR(Q396,0))^4</f>
        <v>735688.480676778</v>
      </c>
      <c r="BJ396" s="12" t="n">
        <v>-2516023</v>
      </c>
      <c r="BK396" s="11" t="s">
        <v>147</v>
      </c>
      <c r="BL396" s="11" t="s">
        <v>122</v>
      </c>
      <c r="BM396" s="14" t="n">
        <f aca="false">O396</f>
        <v>9040304</v>
      </c>
      <c r="BN396" s="11" t="s">
        <v>446</v>
      </c>
      <c r="BO396" s="13" t="n">
        <f aca="false">IFERROR(1-L396/M396,"")</f>
        <v>0.182429705367954</v>
      </c>
      <c r="BP396" s="11" t="s">
        <v>113</v>
      </c>
      <c r="BQ396" s="12" t="n">
        <v>4427563</v>
      </c>
      <c r="BR396" s="11" t="s">
        <v>88</v>
      </c>
      <c r="BS396" s="11" t="s">
        <v>89</v>
      </c>
      <c r="BT396" s="19" t="str">
        <f aca="false">IF(OR(Z396&lt;6,AH396&lt;0.9,S396&lt;0.02,AK396&lt;1),"REVIEW",IF(AND(S396&gt;0.25,AH396&gt;1.2),"ACCELERATING","STABLE"))</f>
        <v>REVIEW</v>
      </c>
    </row>
    <row r="397" customFormat="false" ht="15" hidden="false" customHeight="false" outlineLevel="0" collapsed="false">
      <c r="A397" s="11" t="s">
        <v>444</v>
      </c>
      <c r="B397" s="11" t="s">
        <v>93</v>
      </c>
      <c r="C397" s="11" t="s">
        <v>74</v>
      </c>
      <c r="D397" s="11" t="s">
        <v>151</v>
      </c>
      <c r="E397" s="11" t="s">
        <v>105</v>
      </c>
      <c r="F397" s="11" t="s">
        <v>445</v>
      </c>
      <c r="G397" s="11" t="s">
        <v>78</v>
      </c>
      <c r="H397" s="11" t="s">
        <v>79</v>
      </c>
      <c r="I397" s="11" t="s">
        <v>78</v>
      </c>
      <c r="J397" s="12" t="n">
        <v>2712000</v>
      </c>
      <c r="K397" s="13" t="n">
        <f aca="false">IFERROR(J397/M397,"")</f>
        <v>0.182429705367954</v>
      </c>
      <c r="L397" s="12" t="n">
        <v>12154000</v>
      </c>
      <c r="M397" s="14" t="n">
        <f aca="false">L397+J397</f>
        <v>14866000</v>
      </c>
      <c r="N397" s="12" t="n">
        <v>4547000</v>
      </c>
      <c r="O397" s="12" t="n">
        <v>9040304</v>
      </c>
      <c r="P397" s="12" t="n">
        <v>816771</v>
      </c>
      <c r="Q397" s="13" t="n">
        <f aca="false">IFERROR(P397/P396-1,"")</f>
        <v>-0.0742244881304293</v>
      </c>
      <c r="R397" s="12" t="n">
        <v>881126</v>
      </c>
      <c r="S397" s="13" t="n">
        <f aca="false">IFERROR(R397/R396-1,"")</f>
        <v>-0.0650677118867971</v>
      </c>
      <c r="T397" s="12" t="n">
        <v>426723</v>
      </c>
      <c r="U397" s="13" t="n">
        <f aca="false">IFERROR(T397/P397,"")</f>
        <v>0.522451213375597</v>
      </c>
      <c r="V397" s="14" t="n">
        <f aca="false">T397-AV397</f>
        <v>-2434946</v>
      </c>
      <c r="W397" s="14" t="n">
        <f aca="false">V397-AA397*0.1</f>
        <v>-2434946</v>
      </c>
      <c r="X397" s="12" t="n">
        <v>807131</v>
      </c>
      <c r="Y397" s="12" t="n">
        <v>249000</v>
      </c>
      <c r="Z397" s="15" t="n">
        <f aca="false">IFERROR(X397/Y397,"")</f>
        <v>3.24148995983936</v>
      </c>
      <c r="AA397" s="12" t="n">
        <v>0</v>
      </c>
      <c r="AB397" s="14" t="n">
        <f aca="false">W397-0.02*P397</f>
        <v>-2451281.42</v>
      </c>
      <c r="AC397" s="16" t="n">
        <v>67</v>
      </c>
      <c r="AD397" s="13" t="n">
        <f aca="false">IFERROR(AC397/AC396-1,"")</f>
        <v>-0.0428571428571428</v>
      </c>
      <c r="AE397" s="17" t="n">
        <v>0.364</v>
      </c>
      <c r="AF397" s="17" t="n">
        <v>0.311</v>
      </c>
      <c r="AG397" s="13" t="n">
        <f aca="false">1-AF397</f>
        <v>0.689</v>
      </c>
      <c r="AH397" s="17" t="n">
        <v>0.843</v>
      </c>
      <c r="AI397" s="12" t="n">
        <v>70900</v>
      </c>
      <c r="AJ397" s="14" t="n">
        <f aca="false">IFERROR(AM397*U397*MIN(1/AE397,5),"")</f>
        <v>50206.9874831824</v>
      </c>
      <c r="AK397" s="18" t="n">
        <f aca="false">IFERROR(AJ397/AI397,"")</f>
        <v>0.708138046307227</v>
      </c>
      <c r="AL397" s="15" t="n">
        <f aca="false">IFERROR(AI397/(AM397*U397/12),"")</f>
        <v>46.5545286529205</v>
      </c>
      <c r="AM397" s="12" t="n">
        <v>34980</v>
      </c>
      <c r="AN397" s="12" t="n">
        <v>925210</v>
      </c>
      <c r="AO397" s="12" t="n">
        <v>3095963</v>
      </c>
      <c r="AP397" s="17" t="n">
        <v>0.319</v>
      </c>
      <c r="AQ397" s="16" t="n">
        <v>81</v>
      </c>
      <c r="AR397" s="16" t="n">
        <v>2</v>
      </c>
      <c r="AS397" s="13" t="n">
        <f aca="false">IFERROR(AR397/AR396-1,"")</f>
        <v>0</v>
      </c>
      <c r="AT397" s="11" t="s">
        <v>118</v>
      </c>
      <c r="AU397" s="14" t="n">
        <f aca="false">IFERROR(P397/AR397,"")</f>
        <v>408385.5</v>
      </c>
      <c r="AV397" s="12" t="n">
        <v>2861669</v>
      </c>
      <c r="AW397" s="12" t="n">
        <v>901617</v>
      </c>
      <c r="AX397" s="12" t="n">
        <v>584982</v>
      </c>
      <c r="AY397" s="16" t="n">
        <v>35490</v>
      </c>
      <c r="AZ397" s="13" t="n">
        <f aca="false">IFERROR(AY397/AY396-1,"")</f>
        <v>-0.0430609108312886</v>
      </c>
      <c r="BA397" s="17" t="n">
        <v>0.635</v>
      </c>
      <c r="BB397" s="11" t="s">
        <v>171</v>
      </c>
      <c r="BC397" s="11" t="s">
        <v>120</v>
      </c>
      <c r="BD397" s="11" t="s">
        <v>101</v>
      </c>
      <c r="BE397" s="12" t="n">
        <v>1345883</v>
      </c>
      <c r="BF397" s="13" t="n">
        <f aca="false">IFERROR(P397/BE397-1,"")</f>
        <v>-0.393133727077317</v>
      </c>
      <c r="BG397" s="17" t="n">
        <v>0.138</v>
      </c>
      <c r="BH397" s="17" t="n">
        <v>0.365</v>
      </c>
      <c r="BI397" s="14" t="n">
        <f aca="false">P397*(1+IFERROR(Q397,0))^4</f>
        <v>599961.061590382</v>
      </c>
      <c r="BJ397" s="12" t="n">
        <v>-2178000</v>
      </c>
      <c r="BK397" s="11" t="s">
        <v>147</v>
      </c>
      <c r="BL397" s="11" t="s">
        <v>122</v>
      </c>
      <c r="BM397" s="14" t="n">
        <f aca="false">O397</f>
        <v>9040304</v>
      </c>
      <c r="BN397" s="11" t="s">
        <v>446</v>
      </c>
      <c r="BO397" s="13" t="n">
        <f aca="false">IFERROR(1-L397/M397,"")</f>
        <v>0.182429705367954</v>
      </c>
      <c r="BP397" s="11" t="s">
        <v>113</v>
      </c>
      <c r="BQ397" s="12" t="n">
        <v>4498582</v>
      </c>
      <c r="BR397" s="11" t="s">
        <v>88</v>
      </c>
      <c r="BS397" s="11" t="s">
        <v>89</v>
      </c>
      <c r="BT397" s="19" t="str">
        <f aca="false">IF(OR(Z397&lt;6,AH397&lt;0.9,S397&lt;0.02,AK397&lt;1),"REVIEW",IF(AND(S397&gt;0.25,AH397&gt;1.2),"ACCELERATING","STABLE"))</f>
        <v>REVIEW</v>
      </c>
    </row>
    <row r="398" customFormat="false" ht="15" hidden="false" customHeight="false" outlineLevel="0" collapsed="false">
      <c r="A398" s="3" t="s">
        <v>447</v>
      </c>
      <c r="B398" s="3" t="s">
        <v>73</v>
      </c>
      <c r="C398" s="3" t="s">
        <v>74</v>
      </c>
      <c r="D398" s="3" t="s">
        <v>132</v>
      </c>
      <c r="E398" s="3" t="s">
        <v>105</v>
      </c>
      <c r="F398" s="3" t="s">
        <v>448</v>
      </c>
      <c r="G398" s="3" t="s">
        <v>78</v>
      </c>
      <c r="H398" s="3" t="s">
        <v>79</v>
      </c>
      <c r="I398" s="3" t="s">
        <v>78</v>
      </c>
      <c r="J398" s="4" t="n">
        <v>3431000</v>
      </c>
      <c r="K398" s="5" t="n">
        <f aca="false">IFERROR(J398/M398,"")</f>
        <v>0.147779644226214</v>
      </c>
      <c r="L398" s="4" t="n">
        <v>19786000</v>
      </c>
      <c r="M398" s="6" t="n">
        <f aca="false">L398+J398</f>
        <v>23217000</v>
      </c>
      <c r="N398" s="4" t="n">
        <v>3431000</v>
      </c>
      <c r="O398" s="4" t="n">
        <v>17105646</v>
      </c>
      <c r="P398" s="4" t="n">
        <v>762375</v>
      </c>
      <c r="Q398" s="7"/>
      <c r="R398" s="4" t="n">
        <v>791556</v>
      </c>
      <c r="S398" s="7"/>
      <c r="T398" s="4" t="n">
        <v>365438</v>
      </c>
      <c r="U398" s="5" t="n">
        <f aca="false">IFERROR(T398/P398,"")</f>
        <v>0.47934153139859</v>
      </c>
      <c r="V398" s="6" t="n">
        <f aca="false">T398-AV398</f>
        <v>-1483540</v>
      </c>
      <c r="W398" s="6" t="n">
        <f aca="false">V398-AA398*0.1</f>
        <v>-1541240</v>
      </c>
      <c r="X398" s="4" t="n">
        <v>1819419</v>
      </c>
      <c r="Y398" s="4" t="n">
        <v>127100</v>
      </c>
      <c r="Z398" s="8" t="n">
        <f aca="false">IFERROR(X398/Y398,"")</f>
        <v>14.3148623131393</v>
      </c>
      <c r="AA398" s="4" t="n">
        <v>577000</v>
      </c>
      <c r="AB398" s="6" t="n">
        <f aca="false">W398-0.02*P398</f>
        <v>-1556487.5</v>
      </c>
      <c r="AC398" s="9" t="n">
        <v>13</v>
      </c>
      <c r="AD398" s="7"/>
      <c r="AE398" s="7" t="n">
        <v>0.216</v>
      </c>
      <c r="AF398" s="7" t="n">
        <v>0.171</v>
      </c>
      <c r="AG398" s="5" t="n">
        <f aca="false">1-AF398</f>
        <v>0.829</v>
      </c>
      <c r="AH398" s="7" t="n">
        <v>0.934</v>
      </c>
      <c r="AI398" s="4" t="n">
        <v>52440</v>
      </c>
      <c r="AJ398" s="6" t="n">
        <f aca="false">IFERROR(AM398*U398*MIN(1/AE398,5),"")</f>
        <v>75451.9077201484</v>
      </c>
      <c r="AK398" s="10" t="n">
        <f aca="false">IFERROR(AJ398/AI398,"")</f>
        <v>1.43882356445745</v>
      </c>
      <c r="AL398" s="8" t="n">
        <f aca="false">IFERROR(AI398/(AM398*U398/12),"")</f>
        <v>38.6117915552103</v>
      </c>
      <c r="AM398" s="4" t="n">
        <v>34000</v>
      </c>
      <c r="AN398" s="4" t="n">
        <v>1179237</v>
      </c>
      <c r="AO398" s="4" t="n">
        <v>2101320</v>
      </c>
      <c r="AP398" s="7" t="n">
        <v>0.291</v>
      </c>
      <c r="AQ398" s="9" t="n">
        <v>88</v>
      </c>
      <c r="AR398" s="9" t="n">
        <v>2</v>
      </c>
      <c r="AS398" s="7"/>
      <c r="AT398" s="3" t="s">
        <v>145</v>
      </c>
      <c r="AU398" s="6" t="n">
        <f aca="false">IFERROR(P398/AR398,"")</f>
        <v>381187.5</v>
      </c>
      <c r="AV398" s="4" t="n">
        <v>1848978</v>
      </c>
      <c r="AW398" s="4" t="n">
        <v>555837</v>
      </c>
      <c r="AX398" s="4" t="n">
        <v>339583</v>
      </c>
      <c r="AY398" s="9" t="n">
        <v>43520</v>
      </c>
      <c r="AZ398" s="7"/>
      <c r="BA398" s="7" t="n">
        <v>0.765</v>
      </c>
      <c r="BB398" s="3" t="s">
        <v>138</v>
      </c>
      <c r="BC398" s="3" t="s">
        <v>120</v>
      </c>
      <c r="BD398" s="3" t="s">
        <v>83</v>
      </c>
      <c r="BE398" s="4" t="n">
        <v>1155240</v>
      </c>
      <c r="BF398" s="5" t="n">
        <f aca="false">IFERROR(P398/BE398-1,"")</f>
        <v>-0.340072192791108</v>
      </c>
      <c r="BG398" s="7" t="n">
        <v>0.156</v>
      </c>
      <c r="BH398" s="7" t="n">
        <v>0.299</v>
      </c>
      <c r="BI398" s="6" t="n">
        <f aca="false">P398</f>
        <v>762375</v>
      </c>
      <c r="BJ398" s="4" t="n">
        <v>-787452</v>
      </c>
      <c r="BK398" s="3" t="s">
        <v>139</v>
      </c>
      <c r="BL398" s="3" t="s">
        <v>148</v>
      </c>
      <c r="BM398" s="6" t="n">
        <f aca="false">O398</f>
        <v>17105646</v>
      </c>
      <c r="BN398" s="3" t="s">
        <v>449</v>
      </c>
      <c r="BO398" s="5" t="n">
        <f aca="false">IFERROR(1-L398/M398,"")</f>
        <v>0.147779644226214</v>
      </c>
      <c r="BP398" s="3" t="s">
        <v>142</v>
      </c>
      <c r="BQ398" s="4" t="n">
        <v>1737314</v>
      </c>
      <c r="BR398" s="3" t="s">
        <v>88</v>
      </c>
      <c r="BS398" s="3" t="s">
        <v>89</v>
      </c>
      <c r="BT398" s="3" t="s">
        <v>90</v>
      </c>
    </row>
    <row r="399" customFormat="false" ht="15" hidden="false" customHeight="false" outlineLevel="0" collapsed="false">
      <c r="A399" s="11" t="s">
        <v>447</v>
      </c>
      <c r="B399" s="11" t="s">
        <v>91</v>
      </c>
      <c r="C399" s="11" t="s">
        <v>74</v>
      </c>
      <c r="D399" s="11" t="s">
        <v>132</v>
      </c>
      <c r="E399" s="11" t="s">
        <v>105</v>
      </c>
      <c r="F399" s="11" t="s">
        <v>448</v>
      </c>
      <c r="G399" s="11" t="s">
        <v>78</v>
      </c>
      <c r="H399" s="11" t="s">
        <v>79</v>
      </c>
      <c r="I399" s="11" t="s">
        <v>78</v>
      </c>
      <c r="J399" s="12" t="n">
        <v>3431000</v>
      </c>
      <c r="K399" s="13" t="n">
        <f aca="false">IFERROR(J399/M399,"")</f>
        <v>0.147779644226214</v>
      </c>
      <c r="L399" s="12" t="n">
        <v>19786000</v>
      </c>
      <c r="M399" s="14" t="n">
        <f aca="false">L399+J399</f>
        <v>23217000</v>
      </c>
      <c r="N399" s="12" t="n">
        <v>3431000</v>
      </c>
      <c r="O399" s="12" t="n">
        <v>17105646</v>
      </c>
      <c r="P399" s="12" t="n">
        <v>721897</v>
      </c>
      <c r="Q399" s="13" t="n">
        <f aca="false">IFERROR(P399/P398-1,"")</f>
        <v>-0.0530946056730611</v>
      </c>
      <c r="R399" s="12" t="n">
        <v>756682</v>
      </c>
      <c r="S399" s="13" t="n">
        <f aca="false">IFERROR(R399/R398-1,"")</f>
        <v>-0.0440575271995917</v>
      </c>
      <c r="T399" s="12" t="n">
        <v>339507</v>
      </c>
      <c r="U399" s="13" t="n">
        <f aca="false">IFERROR(T399/P399,"")</f>
        <v>0.47029839436928</v>
      </c>
      <c r="V399" s="14" t="n">
        <f aca="false">T399-AV399</f>
        <v>-1523270</v>
      </c>
      <c r="W399" s="14" t="n">
        <f aca="false">V399-AA399*0.1</f>
        <v>-1580970</v>
      </c>
      <c r="X399" s="12" t="n">
        <v>1461369</v>
      </c>
      <c r="Y399" s="12" t="n">
        <v>136400</v>
      </c>
      <c r="Z399" s="15" t="n">
        <f aca="false">IFERROR(X399/Y399,"")</f>
        <v>10.713848973607</v>
      </c>
      <c r="AA399" s="12" t="n">
        <v>577000</v>
      </c>
      <c r="AB399" s="14" t="n">
        <f aca="false">W399-0.02*P399</f>
        <v>-1595407.94</v>
      </c>
      <c r="AC399" s="16" t="n">
        <v>12</v>
      </c>
      <c r="AD399" s="13" t="n">
        <f aca="false">IFERROR(AC399/AC398-1,"")</f>
        <v>-0.0769230769230769</v>
      </c>
      <c r="AE399" s="17" t="n">
        <v>0.256</v>
      </c>
      <c r="AF399" s="17" t="n">
        <v>0.223</v>
      </c>
      <c r="AG399" s="13" t="n">
        <f aca="false">1-AF399</f>
        <v>0.777</v>
      </c>
      <c r="AH399" s="17" t="n">
        <v>0.894</v>
      </c>
      <c r="AI399" s="12" t="n">
        <v>57960</v>
      </c>
      <c r="AJ399" s="14" t="n">
        <f aca="false">IFERROR(AM399*U399*MIN(1/AE399,5),"")</f>
        <v>63710.7356122134</v>
      </c>
      <c r="AK399" s="18" t="n">
        <f aca="false">IFERROR(AJ399/AI399,"")</f>
        <v>1.09921904092846</v>
      </c>
      <c r="AL399" s="15" t="n">
        <f aca="false">IFERROR(AI399/(AM399*U399/12),"")</f>
        <v>42.6439119544426</v>
      </c>
      <c r="AM399" s="12" t="n">
        <v>34680</v>
      </c>
      <c r="AN399" s="12" t="n">
        <v>802686</v>
      </c>
      <c r="AO399" s="12" t="n">
        <v>3015286</v>
      </c>
      <c r="AP399" s="17" t="n">
        <v>0.291</v>
      </c>
      <c r="AQ399" s="16" t="n">
        <v>88</v>
      </c>
      <c r="AR399" s="16" t="n">
        <v>2</v>
      </c>
      <c r="AS399" s="13" t="n">
        <f aca="false">IFERROR(AR399/AR398-1,"")</f>
        <v>0</v>
      </c>
      <c r="AT399" s="11" t="s">
        <v>145</v>
      </c>
      <c r="AU399" s="14" t="n">
        <f aca="false">IFERROR(P399/AR399,"")</f>
        <v>360948.5</v>
      </c>
      <c r="AV399" s="12" t="n">
        <v>1862777</v>
      </c>
      <c r="AW399" s="12" t="n">
        <v>858486</v>
      </c>
      <c r="AX399" s="12" t="n">
        <v>539953</v>
      </c>
      <c r="AY399" s="16" t="n">
        <v>41508</v>
      </c>
      <c r="AZ399" s="13" t="n">
        <f aca="false">IFERROR(AY399/AY398-1,"")</f>
        <v>-0.0462316176470589</v>
      </c>
      <c r="BA399" s="17" t="n">
        <v>0.759</v>
      </c>
      <c r="BB399" s="11" t="s">
        <v>138</v>
      </c>
      <c r="BC399" s="11" t="s">
        <v>120</v>
      </c>
      <c r="BD399" s="11" t="s">
        <v>83</v>
      </c>
      <c r="BE399" s="12" t="n">
        <v>917456</v>
      </c>
      <c r="BF399" s="13" t="n">
        <f aca="false">IFERROR(P399/BE399-1,"")</f>
        <v>-0.213153546328107</v>
      </c>
      <c r="BG399" s="17" t="n">
        <v>0.2</v>
      </c>
      <c r="BH399" s="17" t="n">
        <v>0.351</v>
      </c>
      <c r="BI399" s="14" t="n">
        <f aca="false">P399*(1+IFERROR(Q399,0))^4</f>
        <v>580365.515806685</v>
      </c>
      <c r="BJ399" s="12" t="n">
        <v>-867594</v>
      </c>
      <c r="BK399" s="11" t="s">
        <v>139</v>
      </c>
      <c r="BL399" s="11" t="s">
        <v>148</v>
      </c>
      <c r="BM399" s="14" t="n">
        <f aca="false">O399</f>
        <v>17105646</v>
      </c>
      <c r="BN399" s="11" t="s">
        <v>449</v>
      </c>
      <c r="BO399" s="13" t="n">
        <f aca="false">IFERROR(1-L399/M399,"")</f>
        <v>0.147779644226214</v>
      </c>
      <c r="BP399" s="11" t="s">
        <v>142</v>
      </c>
      <c r="BQ399" s="12" t="n">
        <v>2030145</v>
      </c>
      <c r="BR399" s="11" t="s">
        <v>88</v>
      </c>
      <c r="BS399" s="11" t="s">
        <v>89</v>
      </c>
      <c r="BT399" s="19" t="str">
        <f aca="false">IF(OR(Z399&lt;6,AH399&lt;0.9,S399&lt;0.02,AK399&lt;1),"REVIEW",IF(AND(S399&gt;0.25,AH399&gt;1.2),"ACCELERATING","STABLE"))</f>
        <v>REVIEW</v>
      </c>
    </row>
    <row r="400" customFormat="false" ht="15" hidden="false" customHeight="false" outlineLevel="0" collapsed="false">
      <c r="A400" s="11" t="s">
        <v>447</v>
      </c>
      <c r="B400" s="11" t="s">
        <v>92</v>
      </c>
      <c r="C400" s="11" t="s">
        <v>74</v>
      </c>
      <c r="D400" s="11" t="s">
        <v>132</v>
      </c>
      <c r="E400" s="11" t="s">
        <v>105</v>
      </c>
      <c r="F400" s="11" t="s">
        <v>448</v>
      </c>
      <c r="G400" s="11" t="s">
        <v>78</v>
      </c>
      <c r="H400" s="11" t="s">
        <v>79</v>
      </c>
      <c r="I400" s="11" t="s">
        <v>78</v>
      </c>
      <c r="J400" s="12" t="n">
        <v>3431000</v>
      </c>
      <c r="K400" s="13" t="n">
        <f aca="false">IFERROR(J400/M400,"")</f>
        <v>0.147779644226214</v>
      </c>
      <c r="L400" s="12" t="n">
        <v>19786000</v>
      </c>
      <c r="M400" s="14" t="n">
        <f aca="false">L400+J400</f>
        <v>23217000</v>
      </c>
      <c r="N400" s="12" t="n">
        <v>3431000</v>
      </c>
      <c r="O400" s="12" t="n">
        <v>17105646</v>
      </c>
      <c r="P400" s="12" t="n">
        <v>665987</v>
      </c>
      <c r="Q400" s="13" t="n">
        <f aca="false">IFERROR(P400/P399-1,"")</f>
        <v>-0.0774487219090813</v>
      </c>
      <c r="R400" s="12" t="n">
        <v>699400</v>
      </c>
      <c r="S400" s="13" t="n">
        <f aca="false">IFERROR(R400/R399-1,"")</f>
        <v>-0.0757015496602271</v>
      </c>
      <c r="T400" s="12" t="n">
        <v>307189</v>
      </c>
      <c r="U400" s="13" t="n">
        <f aca="false">IFERROR(T400/P400,"")</f>
        <v>0.461253748196286</v>
      </c>
      <c r="V400" s="14" t="n">
        <f aca="false">T400-AV400</f>
        <v>-1605896</v>
      </c>
      <c r="W400" s="14" t="n">
        <f aca="false">V400-AA400*0.1</f>
        <v>-1663596</v>
      </c>
      <c r="X400" s="12" t="n">
        <v>1041939</v>
      </c>
      <c r="Y400" s="12" t="n">
        <v>145700</v>
      </c>
      <c r="Z400" s="15" t="n">
        <f aca="false">IFERROR(X400/Y400,"")</f>
        <v>7.15126286890872</v>
      </c>
      <c r="AA400" s="12" t="n">
        <v>577000</v>
      </c>
      <c r="AB400" s="14" t="n">
        <f aca="false">W400-0.02*P400</f>
        <v>-1676915.74</v>
      </c>
      <c r="AC400" s="16" t="n">
        <v>12</v>
      </c>
      <c r="AD400" s="13" t="n">
        <f aca="false">IFERROR(AC400/AC399-1,"")</f>
        <v>0</v>
      </c>
      <c r="AE400" s="17" t="n">
        <v>0.297</v>
      </c>
      <c r="AF400" s="17" t="n">
        <v>0.198</v>
      </c>
      <c r="AG400" s="13" t="n">
        <f aca="false">1-AF400</f>
        <v>0.802</v>
      </c>
      <c r="AH400" s="17" t="n">
        <v>0.854</v>
      </c>
      <c r="AI400" s="12" t="n">
        <v>63480</v>
      </c>
      <c r="AJ400" s="14" t="n">
        <f aca="false">IFERROR(AM400*U400*MIN(1/AE400,5),"")</f>
        <v>54915.5977650528</v>
      </c>
      <c r="AK400" s="18" t="n">
        <f aca="false">IFERROR(AJ400/AI400,"")</f>
        <v>0.865085030955463</v>
      </c>
      <c r="AL400" s="15" t="n">
        <f aca="false">IFERROR(AI400/(AM400*U400/12),"")</f>
        <v>46.705282091652</v>
      </c>
      <c r="AM400" s="12" t="n">
        <v>35360</v>
      </c>
      <c r="AN400" s="12" t="n">
        <v>1031426</v>
      </c>
      <c r="AO400" s="12" t="n">
        <v>1382202</v>
      </c>
      <c r="AP400" s="17" t="n">
        <v>0.291</v>
      </c>
      <c r="AQ400" s="16" t="n">
        <v>88</v>
      </c>
      <c r="AR400" s="16" t="n">
        <v>2</v>
      </c>
      <c r="AS400" s="13" t="n">
        <f aca="false">IFERROR(AR400/AR399-1,"")</f>
        <v>0</v>
      </c>
      <c r="AT400" s="11" t="s">
        <v>145</v>
      </c>
      <c r="AU400" s="14" t="n">
        <f aca="false">IFERROR(P400/AR400,"")</f>
        <v>332993.5</v>
      </c>
      <c r="AV400" s="12" t="n">
        <v>1913085</v>
      </c>
      <c r="AW400" s="12" t="n">
        <v>937495</v>
      </c>
      <c r="AX400" s="12" t="n">
        <v>523344</v>
      </c>
      <c r="AY400" s="16" t="n">
        <v>40271</v>
      </c>
      <c r="AZ400" s="13" t="n">
        <f aca="false">IFERROR(AY400/AY399-1,"")</f>
        <v>-0.0298014840512673</v>
      </c>
      <c r="BA400" s="17" t="n">
        <v>0.705</v>
      </c>
      <c r="BB400" s="11" t="s">
        <v>138</v>
      </c>
      <c r="BC400" s="11" t="s">
        <v>120</v>
      </c>
      <c r="BD400" s="11" t="s">
        <v>83</v>
      </c>
      <c r="BE400" s="12" t="n">
        <v>1098333</v>
      </c>
      <c r="BF400" s="13" t="n">
        <f aca="false">IFERROR(P400/BE400-1,"")</f>
        <v>-0.393638359222567</v>
      </c>
      <c r="BG400" s="17" t="n">
        <v>0.159</v>
      </c>
      <c r="BH400" s="17" t="n">
        <v>0.215</v>
      </c>
      <c r="BI400" s="14" t="n">
        <f aca="false">P400*(1+IFERROR(Q400,0))^4</f>
        <v>482422.784769503</v>
      </c>
      <c r="BJ400" s="12" t="n">
        <v>-1407610</v>
      </c>
      <c r="BK400" s="11" t="s">
        <v>139</v>
      </c>
      <c r="BL400" s="11" t="s">
        <v>148</v>
      </c>
      <c r="BM400" s="14" t="n">
        <f aca="false">O400</f>
        <v>17105646</v>
      </c>
      <c r="BN400" s="11" t="s">
        <v>449</v>
      </c>
      <c r="BO400" s="13" t="n">
        <f aca="false">IFERROR(1-L400/M400,"")</f>
        <v>0.147779644226214</v>
      </c>
      <c r="BP400" s="11" t="s">
        <v>142</v>
      </c>
      <c r="BQ400" s="12" t="n">
        <v>2568775</v>
      </c>
      <c r="BR400" s="11" t="s">
        <v>88</v>
      </c>
      <c r="BS400" s="11" t="s">
        <v>89</v>
      </c>
      <c r="BT400" s="19" t="str">
        <f aca="false">IF(OR(Z400&lt;6,AH400&lt;0.9,S400&lt;0.02,AK400&lt;1),"REVIEW",IF(AND(S400&gt;0.25,AH400&gt;1.2),"ACCELERATING","STABLE"))</f>
        <v>REVIEW</v>
      </c>
    </row>
    <row r="401" customFormat="false" ht="15" hidden="false" customHeight="false" outlineLevel="0" collapsed="false">
      <c r="A401" s="11" t="s">
        <v>447</v>
      </c>
      <c r="B401" s="11" t="s">
        <v>93</v>
      </c>
      <c r="C401" s="11" t="s">
        <v>74</v>
      </c>
      <c r="D401" s="11" t="s">
        <v>132</v>
      </c>
      <c r="E401" s="11" t="s">
        <v>105</v>
      </c>
      <c r="F401" s="11" t="s">
        <v>448</v>
      </c>
      <c r="G401" s="11" t="s">
        <v>78</v>
      </c>
      <c r="H401" s="11" t="s">
        <v>79</v>
      </c>
      <c r="I401" s="11" t="s">
        <v>78</v>
      </c>
      <c r="J401" s="12" t="n">
        <v>3431000</v>
      </c>
      <c r="K401" s="13" t="n">
        <f aca="false">IFERROR(J401/M401,"")</f>
        <v>0.147779644226214</v>
      </c>
      <c r="L401" s="12" t="n">
        <v>19786000</v>
      </c>
      <c r="M401" s="14" t="n">
        <f aca="false">L401+J401</f>
        <v>23217000</v>
      </c>
      <c r="N401" s="12" t="n">
        <v>3431000</v>
      </c>
      <c r="O401" s="12" t="n">
        <v>17105646</v>
      </c>
      <c r="P401" s="12" t="n">
        <v>639490</v>
      </c>
      <c r="Q401" s="13" t="n">
        <f aca="false">IFERROR(P401/P400-1,"")</f>
        <v>-0.0397860618900969</v>
      </c>
      <c r="R401" s="12" t="n">
        <v>666062</v>
      </c>
      <c r="S401" s="13" t="n">
        <f aca="false">IFERROR(R401/R400-1,"")</f>
        <v>-0.0476665713468687</v>
      </c>
      <c r="T401" s="12" t="n">
        <v>289183</v>
      </c>
      <c r="U401" s="13" t="n">
        <f aca="false">IFERROR(T401/P401,"")</f>
        <v>0.452208791380631</v>
      </c>
      <c r="V401" s="14" t="n">
        <f aca="false">T401-AV401</f>
        <v>-1796481</v>
      </c>
      <c r="W401" s="14" t="n">
        <f aca="false">V401-AA401*0.1</f>
        <v>-1854181</v>
      </c>
      <c r="X401" s="12" t="n">
        <v>561129</v>
      </c>
      <c r="Y401" s="12" t="n">
        <v>155000</v>
      </c>
      <c r="Z401" s="15" t="n">
        <f aca="false">IFERROR(X401/Y401,"")</f>
        <v>3.62018709677419</v>
      </c>
      <c r="AA401" s="12" t="n">
        <v>577000</v>
      </c>
      <c r="AB401" s="14" t="n">
        <f aca="false">W401-0.02*P401</f>
        <v>-1866970.8</v>
      </c>
      <c r="AC401" s="16" t="n">
        <v>11</v>
      </c>
      <c r="AD401" s="13" t="n">
        <f aca="false">IFERROR(AC401/AC400-1,"")</f>
        <v>-0.0833333333333334</v>
      </c>
      <c r="AE401" s="17" t="n">
        <v>0.337</v>
      </c>
      <c r="AF401" s="17" t="n">
        <v>0.359</v>
      </c>
      <c r="AG401" s="13" t="n">
        <f aca="false">1-AF401</f>
        <v>0.641</v>
      </c>
      <c r="AH401" s="17" t="n">
        <v>0.814</v>
      </c>
      <c r="AI401" s="12" t="n">
        <v>69000</v>
      </c>
      <c r="AJ401" s="14" t="n">
        <f aca="false">IFERROR(AM401*U401*MIN(1/AE401,5),"")</f>
        <v>48360.8452265815</v>
      </c>
      <c r="AK401" s="18" t="n">
        <f aca="false">IFERROR(AJ401/AI401,"")</f>
        <v>0.700881814877992</v>
      </c>
      <c r="AL401" s="15" t="n">
        <f aca="false">IFERROR(AI401/(AM401*U401/12),"")</f>
        <v>50.8050114148558</v>
      </c>
      <c r="AM401" s="12" t="n">
        <v>36040</v>
      </c>
      <c r="AN401" s="12" t="n">
        <v>678666</v>
      </c>
      <c r="AO401" s="12" t="n">
        <v>1823376</v>
      </c>
      <c r="AP401" s="17" t="n">
        <v>0.291</v>
      </c>
      <c r="AQ401" s="16" t="n">
        <v>88</v>
      </c>
      <c r="AR401" s="16" t="n">
        <v>2</v>
      </c>
      <c r="AS401" s="13" t="n">
        <f aca="false">IFERROR(AR401/AR400-1,"")</f>
        <v>0</v>
      </c>
      <c r="AT401" s="11" t="s">
        <v>145</v>
      </c>
      <c r="AU401" s="14" t="n">
        <f aca="false">IFERROR(P401/AR401,"")</f>
        <v>319745</v>
      </c>
      <c r="AV401" s="12" t="n">
        <v>2085664</v>
      </c>
      <c r="AW401" s="12" t="n">
        <v>901676</v>
      </c>
      <c r="AX401" s="12" t="n">
        <v>458268</v>
      </c>
      <c r="AY401" s="16" t="n">
        <v>37981</v>
      </c>
      <c r="AZ401" s="13" t="n">
        <f aca="false">IFERROR(AY401/AY400-1,"")</f>
        <v>-0.0568647413771697</v>
      </c>
      <c r="BA401" s="17" t="n">
        <v>0.744</v>
      </c>
      <c r="BB401" s="11" t="s">
        <v>138</v>
      </c>
      <c r="BC401" s="11" t="s">
        <v>120</v>
      </c>
      <c r="BD401" s="11" t="s">
        <v>83</v>
      </c>
      <c r="BE401" s="12" t="n">
        <v>1004787</v>
      </c>
      <c r="BF401" s="13" t="n">
        <f aca="false">IFERROR(P401/BE401-1,"")</f>
        <v>-0.363556654295886</v>
      </c>
      <c r="BG401" s="17" t="n">
        <v>0.178</v>
      </c>
      <c r="BH401" s="17" t="n">
        <v>0.268</v>
      </c>
      <c r="BI401" s="14" t="n">
        <f aca="false">P401*(1+IFERROR(Q401,0))^4</f>
        <v>543632.960990341</v>
      </c>
      <c r="BJ401" s="12" t="n">
        <v>-1800457</v>
      </c>
      <c r="BK401" s="11" t="s">
        <v>139</v>
      </c>
      <c r="BL401" s="11" t="s">
        <v>148</v>
      </c>
      <c r="BM401" s="14" t="n">
        <f aca="false">O401</f>
        <v>17105646</v>
      </c>
      <c r="BN401" s="11" t="s">
        <v>449</v>
      </c>
      <c r="BO401" s="13" t="n">
        <f aca="false">IFERROR(1-L401/M401,"")</f>
        <v>0.147779644226214</v>
      </c>
      <c r="BP401" s="11" t="s">
        <v>142</v>
      </c>
      <c r="BQ401" s="12" t="n">
        <v>2478653</v>
      </c>
      <c r="BR401" s="11" t="s">
        <v>88</v>
      </c>
      <c r="BS401" s="11" t="s">
        <v>89</v>
      </c>
      <c r="BT401" s="19" t="str">
        <f aca="false">IF(OR(Z401&lt;6,AH401&lt;0.9,S401&lt;0.02,AK401&lt;1),"REVIEW",IF(AND(S401&gt;0.25,AH401&gt;1.2),"ACCELERATING","STABLE"))</f>
        <v>REVIEW</v>
      </c>
    </row>
    <row r="402" customFormat="false" ht="15" hidden="false" customHeight="false" outlineLevel="0" collapsed="false">
      <c r="A402" s="3" t="s">
        <v>450</v>
      </c>
      <c r="B402" s="3" t="s">
        <v>73</v>
      </c>
      <c r="C402" s="3" t="s">
        <v>74</v>
      </c>
      <c r="D402" s="3" t="s">
        <v>132</v>
      </c>
      <c r="E402" s="3" t="s">
        <v>365</v>
      </c>
      <c r="F402" s="3" t="s">
        <v>451</v>
      </c>
      <c r="G402" s="3" t="s">
        <v>78</v>
      </c>
      <c r="H402" s="3" t="s">
        <v>79</v>
      </c>
      <c r="I402" s="3" t="s">
        <v>78</v>
      </c>
      <c r="J402" s="4" t="n">
        <v>3820000</v>
      </c>
      <c r="K402" s="5" t="n">
        <f aca="false">IFERROR(J402/M402,"")</f>
        <v>0.128632521803549</v>
      </c>
      <c r="L402" s="4" t="n">
        <v>25877000</v>
      </c>
      <c r="M402" s="6" t="n">
        <f aca="false">L402+J402</f>
        <v>29697000</v>
      </c>
      <c r="N402" s="4" t="n">
        <v>4393000</v>
      </c>
      <c r="O402" s="4" t="n">
        <v>27932894</v>
      </c>
      <c r="P402" s="4" t="n">
        <v>264892</v>
      </c>
      <c r="Q402" s="7"/>
      <c r="R402" s="4" t="n">
        <v>295152</v>
      </c>
      <c r="S402" s="7"/>
      <c r="T402" s="4" t="n">
        <v>203964</v>
      </c>
      <c r="U402" s="5" t="n">
        <f aca="false">IFERROR(T402/P402,"")</f>
        <v>0.769989278649412</v>
      </c>
      <c r="V402" s="6" t="n">
        <f aca="false">T402-AV402</f>
        <v>-714623</v>
      </c>
      <c r="W402" s="6" t="n">
        <f aca="false">V402-AA402*0.1</f>
        <v>-714623</v>
      </c>
      <c r="X402" s="4" t="n">
        <v>2603793</v>
      </c>
      <c r="Y402" s="4" t="n">
        <v>75530</v>
      </c>
      <c r="Z402" s="8" t="n">
        <f aca="false">IFERROR(X402/Y402,"")</f>
        <v>34.4736263736264</v>
      </c>
      <c r="AA402" s="4" t="n">
        <v>0</v>
      </c>
      <c r="AB402" s="6" t="n">
        <f aca="false">W402-0.02*P402</f>
        <v>-719920.84</v>
      </c>
      <c r="AC402" s="9" t="n">
        <v>11</v>
      </c>
      <c r="AD402" s="7"/>
      <c r="AE402" s="7" t="n">
        <v>0.094</v>
      </c>
      <c r="AF402" s="7" t="n">
        <v>0.058</v>
      </c>
      <c r="AG402" s="5" t="n">
        <f aca="false">1-AF402</f>
        <v>0.942</v>
      </c>
      <c r="AH402" s="7" t="n">
        <v>1.171</v>
      </c>
      <c r="AI402" s="4" t="n">
        <v>85754</v>
      </c>
      <c r="AJ402" s="6" t="n">
        <f aca="false">IFERROR(AM402*U402*MIN(1/AE402,5),"")</f>
        <v>227146.837201577</v>
      </c>
      <c r="AK402" s="10" t="n">
        <f aca="false">IFERROR(AJ402/AI402,"")</f>
        <v>2.64881914781324</v>
      </c>
      <c r="AL402" s="8" t="n">
        <f aca="false">IFERROR(AI402/(AM402*U402/12),"")</f>
        <v>22.65160309247</v>
      </c>
      <c r="AM402" s="4" t="n">
        <v>59000</v>
      </c>
      <c r="AN402" s="4" t="n">
        <v>405613</v>
      </c>
      <c r="AO402" s="4" t="n">
        <v>1109223</v>
      </c>
      <c r="AP402" s="7" t="n">
        <v>0.233</v>
      </c>
      <c r="AQ402" s="9" t="n">
        <v>41</v>
      </c>
      <c r="AR402" s="9" t="n">
        <v>2</v>
      </c>
      <c r="AS402" s="7"/>
      <c r="AT402" s="3" t="s">
        <v>80</v>
      </c>
      <c r="AU402" s="6" t="n">
        <f aca="false">IFERROR(P402/AR402,"")</f>
        <v>132446</v>
      </c>
      <c r="AV402" s="4" t="n">
        <v>918587</v>
      </c>
      <c r="AW402" s="4" t="n">
        <v>439969</v>
      </c>
      <c r="AX402" s="4" t="n">
        <v>282211</v>
      </c>
      <c r="AY402" s="9" t="n">
        <v>9203</v>
      </c>
      <c r="AZ402" s="7"/>
      <c r="BA402" s="7" t="n">
        <v>0.93</v>
      </c>
      <c r="BB402" s="3" t="s">
        <v>107</v>
      </c>
      <c r="BC402" s="3" t="s">
        <v>126</v>
      </c>
      <c r="BD402" s="3" t="s">
        <v>83</v>
      </c>
      <c r="BE402" s="4" t="n">
        <v>265457</v>
      </c>
      <c r="BF402" s="5" t="n">
        <f aca="false">IFERROR(P402/BE402-1,"")</f>
        <v>-0.00212840497707723</v>
      </c>
      <c r="BG402" s="7" t="n">
        <v>0.023</v>
      </c>
      <c r="BH402" s="7" t="n">
        <v>-0.065</v>
      </c>
      <c r="BI402" s="6" t="n">
        <f aca="false">P402</f>
        <v>264892</v>
      </c>
      <c r="BJ402" s="4" t="n">
        <v>-686092</v>
      </c>
      <c r="BK402" s="3" t="s">
        <v>127</v>
      </c>
      <c r="BL402" s="3" t="s">
        <v>162</v>
      </c>
      <c r="BM402" s="6" t="n">
        <f aca="false">O402</f>
        <v>27932894</v>
      </c>
      <c r="BN402" s="3" t="s">
        <v>452</v>
      </c>
      <c r="BO402" s="5" t="n">
        <f aca="false">IFERROR(1-L402/M402,"")</f>
        <v>0.128632521803549</v>
      </c>
      <c r="BP402" s="3" t="s">
        <v>142</v>
      </c>
      <c r="BQ402" s="4" t="n">
        <v>1162389</v>
      </c>
      <c r="BR402" s="3" t="s">
        <v>88</v>
      </c>
      <c r="BS402" s="3" t="s">
        <v>89</v>
      </c>
      <c r="BT402" s="3" t="s">
        <v>90</v>
      </c>
    </row>
    <row r="403" customFormat="false" ht="15" hidden="false" customHeight="false" outlineLevel="0" collapsed="false">
      <c r="A403" s="11" t="s">
        <v>450</v>
      </c>
      <c r="B403" s="11" t="s">
        <v>91</v>
      </c>
      <c r="C403" s="11" t="s">
        <v>74</v>
      </c>
      <c r="D403" s="11" t="s">
        <v>132</v>
      </c>
      <c r="E403" s="11" t="s">
        <v>365</v>
      </c>
      <c r="F403" s="11" t="s">
        <v>451</v>
      </c>
      <c r="G403" s="11" t="s">
        <v>78</v>
      </c>
      <c r="H403" s="11" t="s">
        <v>79</v>
      </c>
      <c r="I403" s="11" t="s">
        <v>78</v>
      </c>
      <c r="J403" s="12" t="n">
        <v>3820000</v>
      </c>
      <c r="K403" s="13" t="n">
        <f aca="false">IFERROR(J403/M403,"")</f>
        <v>0.128632521803549</v>
      </c>
      <c r="L403" s="12" t="n">
        <v>25877000</v>
      </c>
      <c r="M403" s="14" t="n">
        <f aca="false">L403+J403</f>
        <v>29697000</v>
      </c>
      <c r="N403" s="12" t="n">
        <v>4393000</v>
      </c>
      <c r="O403" s="12" t="n">
        <v>27932894</v>
      </c>
      <c r="P403" s="12" t="n">
        <v>297515</v>
      </c>
      <c r="Q403" s="13" t="n">
        <f aca="false">IFERROR(P403/P402-1,"")</f>
        <v>0.123155852196367</v>
      </c>
      <c r="R403" s="12" t="n">
        <v>370396</v>
      </c>
      <c r="S403" s="13" t="n">
        <f aca="false">IFERROR(R403/R402-1,"")</f>
        <v>0.254933051444679</v>
      </c>
      <c r="T403" s="12" t="n">
        <v>230011</v>
      </c>
      <c r="U403" s="13" t="n">
        <f aca="false">IFERROR(T403/P403,"")</f>
        <v>0.773107238290506</v>
      </c>
      <c r="V403" s="14" t="n">
        <f aca="false">T403-AV403</f>
        <v>-988885</v>
      </c>
      <c r="W403" s="14" t="n">
        <f aca="false">V403-AA403*0.1</f>
        <v>-988885</v>
      </c>
      <c r="X403" s="12" t="n">
        <v>2413308</v>
      </c>
      <c r="Y403" s="12" t="n">
        <v>78020</v>
      </c>
      <c r="Z403" s="15" t="n">
        <f aca="false">IFERROR(X403/Y403,"")</f>
        <v>30.931914893617</v>
      </c>
      <c r="AA403" s="12" t="n">
        <v>0</v>
      </c>
      <c r="AB403" s="14" t="n">
        <f aca="false">W403-0.02*P403</f>
        <v>-994835.3</v>
      </c>
      <c r="AC403" s="16" t="n">
        <v>12</v>
      </c>
      <c r="AD403" s="13" t="n">
        <f aca="false">IFERROR(AC403/AC402-1,"")</f>
        <v>0.0909090909090908</v>
      </c>
      <c r="AE403" s="17" t="n">
        <v>0.091</v>
      </c>
      <c r="AF403" s="17" t="n">
        <v>0.099</v>
      </c>
      <c r="AG403" s="13" t="n">
        <f aca="false">1-AF403</f>
        <v>0.901</v>
      </c>
      <c r="AH403" s="17" t="n">
        <v>1.166</v>
      </c>
      <c r="AI403" s="12" t="n">
        <v>84136</v>
      </c>
      <c r="AJ403" s="14" t="n">
        <f aca="false">IFERROR(AM403*U403*MIN(1/AE403,5),"")</f>
        <v>232627.968001613</v>
      </c>
      <c r="AK403" s="18" t="n">
        <f aca="false">IFERROR(AJ403/AI403,"")</f>
        <v>2.76490406011236</v>
      </c>
      <c r="AL403" s="15" t="n">
        <f aca="false">IFERROR(AI403/(AM403*U403/12),"")</f>
        <v>21.7005721339791</v>
      </c>
      <c r="AM403" s="12" t="n">
        <v>60180</v>
      </c>
      <c r="AN403" s="12" t="n">
        <v>398324</v>
      </c>
      <c r="AO403" s="12" t="n">
        <v>975608</v>
      </c>
      <c r="AP403" s="17" t="n">
        <v>0.233</v>
      </c>
      <c r="AQ403" s="16" t="n">
        <v>41</v>
      </c>
      <c r="AR403" s="16" t="n">
        <v>3</v>
      </c>
      <c r="AS403" s="13" t="n">
        <f aca="false">IFERROR(AR403/AR402-1,"")</f>
        <v>0.5</v>
      </c>
      <c r="AT403" s="11" t="s">
        <v>80</v>
      </c>
      <c r="AU403" s="14" t="n">
        <f aca="false">IFERROR(P403/AR403,"")</f>
        <v>99171.6666666667</v>
      </c>
      <c r="AV403" s="12" t="n">
        <v>1218896</v>
      </c>
      <c r="AW403" s="12" t="n">
        <v>608786</v>
      </c>
      <c r="AX403" s="12" t="n">
        <v>241765</v>
      </c>
      <c r="AY403" s="16" t="n">
        <v>10812</v>
      </c>
      <c r="AZ403" s="13" t="n">
        <f aca="false">IFERROR(AY403/AY402-1,"")</f>
        <v>0.174834293165272</v>
      </c>
      <c r="BA403" s="17" t="n">
        <v>0.905</v>
      </c>
      <c r="BB403" s="11" t="s">
        <v>107</v>
      </c>
      <c r="BC403" s="11" t="s">
        <v>126</v>
      </c>
      <c r="BD403" s="11" t="s">
        <v>83</v>
      </c>
      <c r="BE403" s="12" t="n">
        <v>273672</v>
      </c>
      <c r="BF403" s="13" t="n">
        <f aca="false">IFERROR(P403/BE403-1,"")</f>
        <v>0.0871225408518226</v>
      </c>
      <c r="BG403" s="17" t="n">
        <v>-0.02</v>
      </c>
      <c r="BH403" s="17" t="n">
        <v>0.003</v>
      </c>
      <c r="BI403" s="14" t="n">
        <f aca="false">P403*(1+IFERROR(Q403,0))^4</f>
        <v>473444.378287134</v>
      </c>
      <c r="BJ403" s="12" t="n">
        <v>-473750</v>
      </c>
      <c r="BK403" s="11" t="s">
        <v>127</v>
      </c>
      <c r="BL403" s="11" t="s">
        <v>162</v>
      </c>
      <c r="BM403" s="14" t="n">
        <f aca="false">O403</f>
        <v>27932894</v>
      </c>
      <c r="BN403" s="11" t="s">
        <v>452</v>
      </c>
      <c r="BO403" s="13" t="n">
        <f aca="false">IFERROR(1-L403/M403,"")</f>
        <v>0.128632521803549</v>
      </c>
      <c r="BP403" s="11" t="s">
        <v>142</v>
      </c>
      <c r="BQ403" s="12" t="n">
        <v>1400901</v>
      </c>
      <c r="BR403" s="11" t="s">
        <v>88</v>
      </c>
      <c r="BS403" s="11" t="s">
        <v>89</v>
      </c>
      <c r="BT403" s="19" t="str">
        <f aca="false">IF(OR(Z403&lt;6,AH403&lt;0.9,S403&lt;0.02,AK403&lt;1),"REVIEW",IF(AND(S403&gt;0.25,AH403&gt;1.2),"ACCELERATING","STABLE"))</f>
        <v>STABLE</v>
      </c>
    </row>
    <row r="404" customFormat="false" ht="15" hidden="false" customHeight="false" outlineLevel="0" collapsed="false">
      <c r="A404" s="11" t="s">
        <v>450</v>
      </c>
      <c r="B404" s="11" t="s">
        <v>92</v>
      </c>
      <c r="C404" s="11" t="s">
        <v>74</v>
      </c>
      <c r="D404" s="11" t="s">
        <v>132</v>
      </c>
      <c r="E404" s="11" t="s">
        <v>365</v>
      </c>
      <c r="F404" s="11" t="s">
        <v>451</v>
      </c>
      <c r="G404" s="11" t="s">
        <v>78</v>
      </c>
      <c r="H404" s="11" t="s">
        <v>79</v>
      </c>
      <c r="I404" s="11" t="s">
        <v>78</v>
      </c>
      <c r="J404" s="12" t="n">
        <v>3820000</v>
      </c>
      <c r="K404" s="13" t="n">
        <f aca="false">IFERROR(J404/M404,"")</f>
        <v>0.128632521803549</v>
      </c>
      <c r="L404" s="12" t="n">
        <v>25877000</v>
      </c>
      <c r="M404" s="14" t="n">
        <f aca="false">L404+J404</f>
        <v>29697000</v>
      </c>
      <c r="N404" s="12" t="n">
        <v>4393000</v>
      </c>
      <c r="O404" s="12" t="n">
        <v>27932894</v>
      </c>
      <c r="P404" s="12" t="n">
        <v>366151</v>
      </c>
      <c r="Q404" s="13" t="n">
        <f aca="false">IFERROR(P404/P403-1,"")</f>
        <v>0.230697611885115</v>
      </c>
      <c r="R404" s="12" t="n">
        <v>413137</v>
      </c>
      <c r="S404" s="13" t="n">
        <f aca="false">IFERROR(R404/R403-1,"")</f>
        <v>0.115392714824134</v>
      </c>
      <c r="T404" s="12" t="n">
        <v>284216</v>
      </c>
      <c r="U404" s="13" t="n">
        <f aca="false">IFERROR(T404/P404,"")</f>
        <v>0.776226201758291</v>
      </c>
      <c r="V404" s="14" t="n">
        <f aca="false">T404-AV404</f>
        <v>-731880</v>
      </c>
      <c r="W404" s="14" t="n">
        <f aca="false">V404-AA404*0.1</f>
        <v>-731880</v>
      </c>
      <c r="X404" s="12" t="n">
        <v>2209377</v>
      </c>
      <c r="Y404" s="12" t="n">
        <v>80510</v>
      </c>
      <c r="Z404" s="15" t="n">
        <f aca="false">IFERROR(X404/Y404,"")</f>
        <v>27.4422680412371</v>
      </c>
      <c r="AA404" s="12" t="n">
        <v>0</v>
      </c>
      <c r="AB404" s="14" t="n">
        <f aca="false">W404-0.02*P404</f>
        <v>-739203.02</v>
      </c>
      <c r="AC404" s="16" t="n">
        <v>14</v>
      </c>
      <c r="AD404" s="13" t="n">
        <f aca="false">IFERROR(AC404/AC403-1,"")</f>
        <v>0.166666666666667</v>
      </c>
      <c r="AE404" s="17" t="n">
        <v>0.089</v>
      </c>
      <c r="AF404" s="17" t="n">
        <v>0.06</v>
      </c>
      <c r="AG404" s="13" t="n">
        <f aca="false">1-AF404</f>
        <v>0.94</v>
      </c>
      <c r="AH404" s="17" t="n">
        <v>1.161</v>
      </c>
      <c r="AI404" s="12" t="n">
        <v>82518</v>
      </c>
      <c r="AJ404" s="14" t="n">
        <f aca="false">IFERROR(AM404*U404*MIN(1/AE404,5),"")</f>
        <v>238146.198699444</v>
      </c>
      <c r="AK404" s="18" t="n">
        <f aca="false">IFERROR(AJ404/AI404,"")</f>
        <v>2.8859909195502</v>
      </c>
      <c r="AL404" s="15" t="n">
        <f aca="false">IFERROR(AI404/(AM404*U404/12),"")</f>
        <v>20.7900862035115</v>
      </c>
      <c r="AM404" s="12" t="n">
        <v>61360</v>
      </c>
      <c r="AN404" s="12" t="n">
        <v>446834</v>
      </c>
      <c r="AO404" s="12" t="n">
        <v>1219387</v>
      </c>
      <c r="AP404" s="17" t="n">
        <v>0.233</v>
      </c>
      <c r="AQ404" s="16" t="n">
        <v>41</v>
      </c>
      <c r="AR404" s="16" t="n">
        <v>3</v>
      </c>
      <c r="AS404" s="13" t="n">
        <f aca="false">IFERROR(AR404/AR403-1,"")</f>
        <v>0</v>
      </c>
      <c r="AT404" s="11" t="s">
        <v>80</v>
      </c>
      <c r="AU404" s="14" t="n">
        <f aca="false">IFERROR(P404/AR404,"")</f>
        <v>122050.333333333</v>
      </c>
      <c r="AV404" s="12" t="n">
        <v>1016096</v>
      </c>
      <c r="AW404" s="12" t="n">
        <v>454919</v>
      </c>
      <c r="AX404" s="12" t="n">
        <v>339919</v>
      </c>
      <c r="AY404" s="16" t="n">
        <v>12202</v>
      </c>
      <c r="AZ404" s="13" t="n">
        <f aca="false">IFERROR(AY404/AY403-1,"")</f>
        <v>0.128560858305586</v>
      </c>
      <c r="BA404" s="17" t="n">
        <v>0.927</v>
      </c>
      <c r="BB404" s="11" t="s">
        <v>107</v>
      </c>
      <c r="BC404" s="11" t="s">
        <v>126</v>
      </c>
      <c r="BD404" s="11" t="s">
        <v>83</v>
      </c>
      <c r="BE404" s="12" t="n">
        <v>424588</v>
      </c>
      <c r="BF404" s="13" t="n">
        <f aca="false">IFERROR(P404/BE404-1,"")</f>
        <v>-0.137632245847739</v>
      </c>
      <c r="BG404" s="17" t="n">
        <v>-0.002</v>
      </c>
      <c r="BH404" s="17" t="n">
        <v>0.056</v>
      </c>
      <c r="BI404" s="14" t="n">
        <f aca="false">P404*(1+IFERROR(Q404,0))^4</f>
        <v>839973.63764723</v>
      </c>
      <c r="BJ404" s="12" t="n">
        <v>-752806</v>
      </c>
      <c r="BK404" s="11" t="s">
        <v>127</v>
      </c>
      <c r="BL404" s="11" t="s">
        <v>162</v>
      </c>
      <c r="BM404" s="14" t="n">
        <f aca="false">O404</f>
        <v>27932894</v>
      </c>
      <c r="BN404" s="11" t="s">
        <v>452</v>
      </c>
      <c r="BO404" s="13" t="n">
        <f aca="false">IFERROR(1-L404/M404,"")</f>
        <v>0.128632521803549</v>
      </c>
      <c r="BP404" s="11" t="s">
        <v>142</v>
      </c>
      <c r="BQ404" s="12" t="n">
        <v>1270793</v>
      </c>
      <c r="BR404" s="11" t="s">
        <v>88</v>
      </c>
      <c r="BS404" s="11" t="s">
        <v>89</v>
      </c>
      <c r="BT404" s="19" t="str">
        <f aca="false">IF(OR(Z404&lt;6,AH404&lt;0.9,S404&lt;0.02,AK404&lt;1),"REVIEW",IF(AND(S404&gt;0.25,AH404&gt;1.2),"ACCELERATING","STABLE"))</f>
        <v>STABLE</v>
      </c>
    </row>
    <row r="405" customFormat="false" ht="15" hidden="false" customHeight="false" outlineLevel="0" collapsed="false">
      <c r="A405" s="11" t="s">
        <v>450</v>
      </c>
      <c r="B405" s="11" t="s">
        <v>93</v>
      </c>
      <c r="C405" s="11" t="s">
        <v>74</v>
      </c>
      <c r="D405" s="11" t="s">
        <v>132</v>
      </c>
      <c r="E405" s="11" t="s">
        <v>365</v>
      </c>
      <c r="F405" s="11" t="s">
        <v>451</v>
      </c>
      <c r="G405" s="11" t="s">
        <v>78</v>
      </c>
      <c r="H405" s="11" t="s">
        <v>79</v>
      </c>
      <c r="I405" s="11" t="s">
        <v>78</v>
      </c>
      <c r="J405" s="12" t="n">
        <v>3820000</v>
      </c>
      <c r="K405" s="13" t="n">
        <f aca="false">IFERROR(J405/M405,"")</f>
        <v>0.128632521803549</v>
      </c>
      <c r="L405" s="12" t="n">
        <v>25877000</v>
      </c>
      <c r="M405" s="14" t="n">
        <f aca="false">L405+J405</f>
        <v>29697000</v>
      </c>
      <c r="N405" s="12" t="n">
        <v>4393000</v>
      </c>
      <c r="O405" s="12" t="n">
        <v>27932894</v>
      </c>
      <c r="P405" s="12" t="n">
        <v>431610</v>
      </c>
      <c r="Q405" s="13" t="n">
        <f aca="false">IFERROR(P405/P404-1,"")</f>
        <v>0.178775969477074</v>
      </c>
      <c r="R405" s="12" t="n">
        <v>504554</v>
      </c>
      <c r="S405" s="13" t="n">
        <f aca="false">IFERROR(R405/R404-1,"")</f>
        <v>0.221275267042168</v>
      </c>
      <c r="T405" s="12" t="n">
        <v>336372</v>
      </c>
      <c r="U405" s="13" t="n">
        <f aca="false">IFERROR(T405/P405,"")</f>
        <v>0.779342461944811</v>
      </c>
      <c r="V405" s="14" t="n">
        <f aca="false">T405-AV405</f>
        <v>-836497</v>
      </c>
      <c r="W405" s="14" t="n">
        <f aca="false">V405-AA405*0.1</f>
        <v>-836497</v>
      </c>
      <c r="X405" s="12" t="n">
        <v>1992000</v>
      </c>
      <c r="Y405" s="12" t="n">
        <v>83000</v>
      </c>
      <c r="Z405" s="15" t="n">
        <f aca="false">IFERROR(X405/Y405,"")</f>
        <v>24</v>
      </c>
      <c r="AA405" s="12" t="n">
        <v>0</v>
      </c>
      <c r="AB405" s="14" t="n">
        <f aca="false">W405-0.02*P405</f>
        <v>-845129.2</v>
      </c>
      <c r="AC405" s="16" t="n">
        <v>16</v>
      </c>
      <c r="AD405" s="13" t="n">
        <f aca="false">IFERROR(AC405/AC404-1,"")</f>
        <v>0.142857142857143</v>
      </c>
      <c r="AE405" s="17" t="n">
        <v>0.086</v>
      </c>
      <c r="AF405" s="17" t="n">
        <v>0.084</v>
      </c>
      <c r="AG405" s="13" t="n">
        <f aca="false">1-AF405</f>
        <v>0.916</v>
      </c>
      <c r="AH405" s="17" t="n">
        <v>1.156</v>
      </c>
      <c r="AI405" s="12" t="n">
        <v>80900</v>
      </c>
      <c r="AJ405" s="14" t="n">
        <f aca="false">IFERROR(AM405*U405*MIN(1/AE405,5),"")</f>
        <v>243700.387850142</v>
      </c>
      <c r="AK405" s="18" t="n">
        <f aca="false">IFERROR(AJ405/AI405,"")</f>
        <v>3.01236573362352</v>
      </c>
      <c r="AL405" s="15" t="n">
        <f aca="false">IFERROR(AI405/(AM405*U405/12),"")</f>
        <v>19.917900183995</v>
      </c>
      <c r="AM405" s="12" t="n">
        <v>62540</v>
      </c>
      <c r="AN405" s="12" t="n">
        <v>565719</v>
      </c>
      <c r="AO405" s="12" t="n">
        <v>1063678</v>
      </c>
      <c r="AP405" s="17" t="n">
        <v>0.233</v>
      </c>
      <c r="AQ405" s="16" t="n">
        <v>41</v>
      </c>
      <c r="AR405" s="16" t="n">
        <v>3</v>
      </c>
      <c r="AS405" s="13" t="n">
        <f aca="false">IFERROR(AR405/AR404-1,"")</f>
        <v>0</v>
      </c>
      <c r="AT405" s="11" t="s">
        <v>80</v>
      </c>
      <c r="AU405" s="14" t="n">
        <f aca="false">IFERROR(P405/AR405,"")</f>
        <v>143870</v>
      </c>
      <c r="AV405" s="12" t="n">
        <v>1172869</v>
      </c>
      <c r="AW405" s="12" t="n">
        <v>507002</v>
      </c>
      <c r="AX405" s="12" t="n">
        <v>277412</v>
      </c>
      <c r="AY405" s="16" t="n">
        <v>14466</v>
      </c>
      <c r="AZ405" s="13" t="n">
        <f aca="false">IFERROR(AY405/AY404-1,"")</f>
        <v>0.185543353548599</v>
      </c>
      <c r="BA405" s="17" t="n">
        <v>0.931</v>
      </c>
      <c r="BB405" s="11" t="s">
        <v>107</v>
      </c>
      <c r="BC405" s="11" t="s">
        <v>126</v>
      </c>
      <c r="BD405" s="11" t="s">
        <v>83</v>
      </c>
      <c r="BE405" s="12" t="n">
        <v>490382</v>
      </c>
      <c r="BF405" s="13" t="n">
        <f aca="false">IFERROR(P405/BE405-1,"")</f>
        <v>-0.119849423510651</v>
      </c>
      <c r="BG405" s="17" t="n">
        <v>-0.001</v>
      </c>
      <c r="BH405" s="17" t="n">
        <v>-0.018</v>
      </c>
      <c r="BI405" s="14" t="n">
        <f aca="false">P405*(1+IFERROR(Q405,0))^4</f>
        <v>833329.187426294</v>
      </c>
      <c r="BJ405" s="12" t="n">
        <v>-825029</v>
      </c>
      <c r="BK405" s="11" t="s">
        <v>127</v>
      </c>
      <c r="BL405" s="11" t="s">
        <v>162</v>
      </c>
      <c r="BM405" s="14" t="n">
        <f aca="false">O405</f>
        <v>27932894</v>
      </c>
      <c r="BN405" s="11" t="s">
        <v>452</v>
      </c>
      <c r="BO405" s="13" t="n">
        <f aca="false">IFERROR(1-L405/M405,"")</f>
        <v>0.128632521803549</v>
      </c>
      <c r="BP405" s="11" t="s">
        <v>142</v>
      </c>
      <c r="BQ405" s="12" t="n">
        <v>1247886</v>
      </c>
      <c r="BR405" s="11" t="s">
        <v>88</v>
      </c>
      <c r="BS405" s="11" t="s">
        <v>89</v>
      </c>
      <c r="BT405" s="19" t="str">
        <f aca="false">IF(OR(Z405&lt;6,AH405&lt;0.9,S405&lt;0.02,AK405&lt;1),"REVIEW",IF(AND(S405&gt;0.25,AH405&gt;1.2),"ACCELERATING","STABLE"))</f>
        <v>STABLE</v>
      </c>
    </row>
    <row r="406" customFormat="false" ht="15" hidden="false" customHeight="false" outlineLevel="0" collapsed="false">
      <c r="A406" s="3" t="s">
        <v>453</v>
      </c>
      <c r="B406" s="3" t="s">
        <v>73</v>
      </c>
      <c r="C406" s="3" t="s">
        <v>74</v>
      </c>
      <c r="D406" s="3" t="s">
        <v>210</v>
      </c>
      <c r="E406" s="3" t="s">
        <v>105</v>
      </c>
      <c r="F406" s="3" t="s">
        <v>454</v>
      </c>
      <c r="G406" s="3" t="s">
        <v>78</v>
      </c>
      <c r="H406" s="3" t="s">
        <v>79</v>
      </c>
      <c r="I406" s="3" t="s">
        <v>78</v>
      </c>
      <c r="J406" s="4" t="n">
        <v>3464000</v>
      </c>
      <c r="K406" s="5" t="n">
        <f aca="false">IFERROR(J406/M406,"")</f>
        <v>0.158180738846523</v>
      </c>
      <c r="L406" s="4" t="n">
        <v>18435000</v>
      </c>
      <c r="M406" s="6" t="n">
        <f aca="false">L406+J406</f>
        <v>21899000</v>
      </c>
      <c r="N406" s="4" t="n">
        <v>5264000</v>
      </c>
      <c r="O406" s="4" t="n">
        <v>21245710</v>
      </c>
      <c r="P406" s="4" t="n">
        <v>1385186</v>
      </c>
      <c r="Q406" s="7"/>
      <c r="R406" s="4" t="n">
        <v>1675726</v>
      </c>
      <c r="S406" s="7"/>
      <c r="T406" s="4" t="n">
        <v>924526</v>
      </c>
      <c r="U406" s="5" t="n">
        <f aca="false">IFERROR(T406/P406,"")</f>
        <v>0.667438163539048</v>
      </c>
      <c r="V406" s="6" t="n">
        <f aca="false">T406-AV406</f>
        <v>-1736772</v>
      </c>
      <c r="W406" s="6" t="n">
        <f aca="false">V406-AA406*0.1</f>
        <v>-1886472</v>
      </c>
      <c r="X406" s="4" t="n">
        <v>3460802</v>
      </c>
      <c r="Y406" s="4" t="n">
        <v>164710</v>
      </c>
      <c r="Z406" s="8" t="n">
        <f aca="false">IFERROR(X406/Y406,"")</f>
        <v>21.0114868556858</v>
      </c>
      <c r="AA406" s="4" t="n">
        <v>1497000</v>
      </c>
      <c r="AB406" s="6" t="n">
        <f aca="false">W406-0.02*P406</f>
        <v>-1914175.72</v>
      </c>
      <c r="AC406" s="9" t="n">
        <v>44</v>
      </c>
      <c r="AD406" s="7"/>
      <c r="AE406" s="7" t="n">
        <v>0.142</v>
      </c>
      <c r="AF406" s="7" t="n">
        <v>0.131</v>
      </c>
      <c r="AG406" s="5" t="n">
        <f aca="false">1-AF406</f>
        <v>0.869</v>
      </c>
      <c r="AH406" s="7" t="n">
        <v>1.182</v>
      </c>
      <c r="AI406" s="4" t="n">
        <v>23744</v>
      </c>
      <c r="AJ406" s="6" t="n">
        <f aca="false">IFERROR(AM406*U406*MIN(1/AE406,5),"")</f>
        <v>80092.5796246858</v>
      </c>
      <c r="AK406" s="10" t="n">
        <f aca="false">IFERROR(AJ406/AI406,"")</f>
        <v>3.37317131168656</v>
      </c>
      <c r="AL406" s="8" t="n">
        <f aca="false">IFERROR(AI406/(AM406*U406/12),"")</f>
        <v>17.787415596749</v>
      </c>
      <c r="AM406" s="4" t="n">
        <v>24000</v>
      </c>
      <c r="AN406" s="4" t="n">
        <v>2343678</v>
      </c>
      <c r="AO406" s="4" t="n">
        <v>5774558</v>
      </c>
      <c r="AP406" s="7" t="n">
        <v>0.265</v>
      </c>
      <c r="AQ406" s="9" t="n">
        <v>50</v>
      </c>
      <c r="AR406" s="9" t="n">
        <v>3</v>
      </c>
      <c r="AS406" s="7"/>
      <c r="AT406" s="3" t="s">
        <v>218</v>
      </c>
      <c r="AU406" s="6" t="n">
        <f aca="false">IFERROR(P406/AR406,"")</f>
        <v>461728.666666667</v>
      </c>
      <c r="AV406" s="4" t="n">
        <v>2661298</v>
      </c>
      <c r="AW406" s="4" t="n">
        <v>1282416</v>
      </c>
      <c r="AX406" s="4" t="n">
        <v>712171</v>
      </c>
      <c r="AY406" s="9" t="n">
        <v>30268</v>
      </c>
      <c r="AZ406" s="7"/>
      <c r="BA406" s="7" t="n">
        <v>0.897</v>
      </c>
      <c r="BB406" s="3" t="s">
        <v>99</v>
      </c>
      <c r="BC406" s="3" t="s">
        <v>108</v>
      </c>
      <c r="BD406" s="3" t="s">
        <v>157</v>
      </c>
      <c r="BE406" s="4" t="n">
        <v>1295377</v>
      </c>
      <c r="BF406" s="5" t="n">
        <f aca="false">IFERROR(P406/BE406-1,"")</f>
        <v>0.0693303957071956</v>
      </c>
      <c r="BG406" s="7" t="n">
        <v>0.088</v>
      </c>
      <c r="BH406" s="7" t="n">
        <v>0.067</v>
      </c>
      <c r="BI406" s="6" t="n">
        <f aca="false">P406</f>
        <v>1385186</v>
      </c>
      <c r="BJ406" s="4" t="n">
        <v>-1895842</v>
      </c>
      <c r="BK406" s="3" t="s">
        <v>84</v>
      </c>
      <c r="BL406" s="3" t="s">
        <v>85</v>
      </c>
      <c r="BM406" s="6" t="n">
        <f aca="false">O406</f>
        <v>21245710</v>
      </c>
      <c r="BN406" s="3" t="s">
        <v>455</v>
      </c>
      <c r="BO406" s="5" t="n">
        <f aca="false">IFERROR(1-L406/M406,"")</f>
        <v>0.158180738846523</v>
      </c>
      <c r="BP406" s="3" t="s">
        <v>87</v>
      </c>
      <c r="BQ406" s="4" t="n">
        <v>2631845</v>
      </c>
      <c r="BR406" s="3" t="s">
        <v>88</v>
      </c>
      <c r="BS406" s="3" t="s">
        <v>89</v>
      </c>
      <c r="BT406" s="3" t="s">
        <v>90</v>
      </c>
    </row>
    <row r="407" customFormat="false" ht="15" hidden="false" customHeight="false" outlineLevel="0" collapsed="false">
      <c r="A407" s="11" t="s">
        <v>453</v>
      </c>
      <c r="B407" s="11" t="s">
        <v>91</v>
      </c>
      <c r="C407" s="11" t="s">
        <v>74</v>
      </c>
      <c r="D407" s="11" t="s">
        <v>210</v>
      </c>
      <c r="E407" s="11" t="s">
        <v>105</v>
      </c>
      <c r="F407" s="11" t="s">
        <v>454</v>
      </c>
      <c r="G407" s="11" t="s">
        <v>78</v>
      </c>
      <c r="H407" s="11" t="s">
        <v>79</v>
      </c>
      <c r="I407" s="11" t="s">
        <v>78</v>
      </c>
      <c r="J407" s="12" t="n">
        <v>3464000</v>
      </c>
      <c r="K407" s="13" t="n">
        <f aca="false">IFERROR(J407/M407,"")</f>
        <v>0.158180738846523</v>
      </c>
      <c r="L407" s="12" t="n">
        <v>18435000</v>
      </c>
      <c r="M407" s="14" t="n">
        <f aca="false">L407+J407</f>
        <v>21899000</v>
      </c>
      <c r="N407" s="12" t="n">
        <v>5264000</v>
      </c>
      <c r="O407" s="12" t="n">
        <v>21245710</v>
      </c>
      <c r="P407" s="12" t="n">
        <v>1522831</v>
      </c>
      <c r="Q407" s="13" t="n">
        <f aca="false">IFERROR(P407/P406-1,"")</f>
        <v>0.0993693265741928</v>
      </c>
      <c r="R407" s="12" t="n">
        <v>1709125</v>
      </c>
      <c r="S407" s="13" t="n">
        <f aca="false">IFERROR(R407/R406-1,"")</f>
        <v>0.0199310627155036</v>
      </c>
      <c r="T407" s="12" t="n">
        <v>1020511</v>
      </c>
      <c r="U407" s="13" t="n">
        <f aca="false">IFERROR(T407/P407,"")</f>
        <v>0.670140678775255</v>
      </c>
      <c r="V407" s="14" t="n">
        <f aca="false">T407-AV407</f>
        <v>-2167793</v>
      </c>
      <c r="W407" s="14" t="n">
        <f aca="false">V407-AA407*0.1</f>
        <v>-2317493</v>
      </c>
      <c r="X407" s="12" t="n">
        <v>3045407</v>
      </c>
      <c r="Y407" s="12" t="n">
        <v>170140</v>
      </c>
      <c r="Z407" s="15" t="n">
        <f aca="false">IFERROR(X407/Y407,"")</f>
        <v>17.899418126249</v>
      </c>
      <c r="AA407" s="12" t="n">
        <v>1497000</v>
      </c>
      <c r="AB407" s="14" t="n">
        <f aca="false">W407-0.02*P407</f>
        <v>-2347949.62</v>
      </c>
      <c r="AC407" s="16" t="n">
        <v>49</v>
      </c>
      <c r="AD407" s="13" t="n">
        <f aca="false">IFERROR(AC407/AC406-1,"")</f>
        <v>0.113636363636364</v>
      </c>
      <c r="AE407" s="17" t="n">
        <v>0.138</v>
      </c>
      <c r="AF407" s="17" t="n">
        <v>0.083</v>
      </c>
      <c r="AG407" s="13" t="n">
        <f aca="false">1-AF407</f>
        <v>0.917</v>
      </c>
      <c r="AH407" s="17" t="n">
        <v>1.177</v>
      </c>
      <c r="AI407" s="12" t="n">
        <v>23296</v>
      </c>
      <c r="AJ407" s="14" t="n">
        <f aca="false">IFERROR(AM407*U407*MIN(1/AE407,5),"")</f>
        <v>82025.2190820912</v>
      </c>
      <c r="AK407" s="18" t="n">
        <f aca="false">IFERROR(AJ407/AI407,"")</f>
        <v>3.5210001323013</v>
      </c>
      <c r="AL407" s="15" t="n">
        <f aca="false">IFERROR(AI407/(AM407*U407/12),"")</f>
        <v>17.0406128217849</v>
      </c>
      <c r="AM407" s="12" t="n">
        <v>24480</v>
      </c>
      <c r="AN407" s="12" t="n">
        <v>2346584</v>
      </c>
      <c r="AO407" s="12" t="n">
        <v>5967529</v>
      </c>
      <c r="AP407" s="17" t="n">
        <v>0.265</v>
      </c>
      <c r="AQ407" s="16" t="n">
        <v>50</v>
      </c>
      <c r="AR407" s="16" t="n">
        <v>4</v>
      </c>
      <c r="AS407" s="13" t="n">
        <f aca="false">IFERROR(AR407/AR406-1,"")</f>
        <v>0.333333333333333</v>
      </c>
      <c r="AT407" s="11" t="s">
        <v>218</v>
      </c>
      <c r="AU407" s="14" t="n">
        <f aca="false">IFERROR(P407/AR407,"")</f>
        <v>380707.75</v>
      </c>
      <c r="AV407" s="12" t="n">
        <v>3188304</v>
      </c>
      <c r="AW407" s="12" t="n">
        <v>1469284</v>
      </c>
      <c r="AX407" s="12" t="n">
        <v>609745</v>
      </c>
      <c r="AY407" s="16" t="n">
        <v>31980</v>
      </c>
      <c r="AZ407" s="13" t="n">
        <f aca="false">IFERROR(AY407/AY406-1,"")</f>
        <v>0.0565613849610149</v>
      </c>
      <c r="BA407" s="17" t="n">
        <v>0.898</v>
      </c>
      <c r="BB407" s="11" t="s">
        <v>99</v>
      </c>
      <c r="BC407" s="11" t="s">
        <v>108</v>
      </c>
      <c r="BD407" s="11" t="s">
        <v>157</v>
      </c>
      <c r="BE407" s="12" t="n">
        <v>1697346</v>
      </c>
      <c r="BF407" s="13" t="n">
        <f aca="false">IFERROR(P407/BE407-1,"")</f>
        <v>-0.102816396892561</v>
      </c>
      <c r="BG407" s="17" t="n">
        <v>-0.014</v>
      </c>
      <c r="BH407" s="17" t="n">
        <v>-0.057</v>
      </c>
      <c r="BI407" s="14" t="n">
        <f aca="false">P407*(1+IFERROR(Q407,0))^4</f>
        <v>2224468.04508519</v>
      </c>
      <c r="BJ407" s="12" t="n">
        <v>-1743754</v>
      </c>
      <c r="BK407" s="11" t="s">
        <v>84</v>
      </c>
      <c r="BL407" s="11" t="s">
        <v>85</v>
      </c>
      <c r="BM407" s="14" t="n">
        <f aca="false">O407</f>
        <v>21245710</v>
      </c>
      <c r="BN407" s="11" t="s">
        <v>455</v>
      </c>
      <c r="BO407" s="13" t="n">
        <f aca="false">IFERROR(1-L407/M407,"")</f>
        <v>0.158180738846523</v>
      </c>
      <c r="BP407" s="11" t="s">
        <v>87</v>
      </c>
      <c r="BQ407" s="12" t="n">
        <v>2898699</v>
      </c>
      <c r="BR407" s="11" t="s">
        <v>88</v>
      </c>
      <c r="BS407" s="11" t="s">
        <v>89</v>
      </c>
      <c r="BT407" s="19" t="str">
        <f aca="false">IF(OR(Z407&lt;6,AH407&lt;0.9,S407&lt;0.02,AK407&lt;1),"REVIEW",IF(AND(S407&gt;0.25,AH407&gt;1.2),"ACCELERATING","STABLE"))</f>
        <v>REVIEW</v>
      </c>
    </row>
    <row r="408" customFormat="false" ht="15" hidden="false" customHeight="false" outlineLevel="0" collapsed="false">
      <c r="A408" s="11" t="s">
        <v>453</v>
      </c>
      <c r="B408" s="11" t="s">
        <v>92</v>
      </c>
      <c r="C408" s="11" t="s">
        <v>74</v>
      </c>
      <c r="D408" s="11" t="s">
        <v>210</v>
      </c>
      <c r="E408" s="11" t="s">
        <v>105</v>
      </c>
      <c r="F408" s="11" t="s">
        <v>454</v>
      </c>
      <c r="G408" s="11" t="s">
        <v>78</v>
      </c>
      <c r="H408" s="11" t="s">
        <v>79</v>
      </c>
      <c r="I408" s="11" t="s">
        <v>78</v>
      </c>
      <c r="J408" s="12" t="n">
        <v>3464000</v>
      </c>
      <c r="K408" s="13" t="n">
        <f aca="false">IFERROR(J408/M408,"")</f>
        <v>0.158180738846523</v>
      </c>
      <c r="L408" s="12" t="n">
        <v>18435000</v>
      </c>
      <c r="M408" s="14" t="n">
        <f aca="false">L408+J408</f>
        <v>21899000</v>
      </c>
      <c r="N408" s="12" t="n">
        <v>5264000</v>
      </c>
      <c r="O408" s="12" t="n">
        <v>21245710</v>
      </c>
      <c r="P408" s="12" t="n">
        <v>1587718</v>
      </c>
      <c r="Q408" s="13" t="n">
        <f aca="false">IFERROR(P408/P407-1,"")</f>
        <v>0.042609455678273</v>
      </c>
      <c r="R408" s="12" t="n">
        <v>1896749</v>
      </c>
      <c r="S408" s="13" t="n">
        <f aca="false">IFERROR(R408/R407-1,"")</f>
        <v>0.10977781028304</v>
      </c>
      <c r="T408" s="12" t="n">
        <v>1068284</v>
      </c>
      <c r="U408" s="13" t="n">
        <f aca="false">IFERROR(T408/P408,"")</f>
        <v>0.672842406523073</v>
      </c>
      <c r="V408" s="14" t="n">
        <f aca="false">T408-AV408</f>
        <v>-1628010</v>
      </c>
      <c r="W408" s="14" t="n">
        <f aca="false">V408-AA408*0.1</f>
        <v>-1777710</v>
      </c>
      <c r="X408" s="12" t="n">
        <v>2600690</v>
      </c>
      <c r="Y408" s="12" t="n">
        <v>175570</v>
      </c>
      <c r="Z408" s="15" t="n">
        <f aca="false">IFERROR(X408/Y408,"")</f>
        <v>14.8128381842</v>
      </c>
      <c r="AA408" s="12" t="n">
        <v>1497000</v>
      </c>
      <c r="AB408" s="14" t="n">
        <f aca="false">W408-0.02*P408</f>
        <v>-1809464.36</v>
      </c>
      <c r="AC408" s="16" t="n">
        <v>51</v>
      </c>
      <c r="AD408" s="13" t="n">
        <f aca="false">IFERROR(AC408/AC407-1,"")</f>
        <v>0.0408163265306123</v>
      </c>
      <c r="AE408" s="17" t="n">
        <v>0.134</v>
      </c>
      <c r="AF408" s="17" t="n">
        <v>0.137</v>
      </c>
      <c r="AG408" s="13" t="n">
        <f aca="false">1-AF408</f>
        <v>0.863</v>
      </c>
      <c r="AH408" s="17" t="n">
        <v>1.172</v>
      </c>
      <c r="AI408" s="12" t="n">
        <v>22848</v>
      </c>
      <c r="AJ408" s="14" t="n">
        <f aca="false">IFERROR(AM408*U408*MIN(1/AE408,5),"")</f>
        <v>83970.7323340795</v>
      </c>
      <c r="AK408" s="18" t="n">
        <f aca="false">IFERROR(AJ408/AI408,"")</f>
        <v>3.67518961546216</v>
      </c>
      <c r="AL408" s="15" t="n">
        <f aca="false">IFERROR(AI408/(AM408*U408/12),"")</f>
        <v>16.3256882713125</v>
      </c>
      <c r="AM408" s="12" t="n">
        <v>24960</v>
      </c>
      <c r="AN408" s="12" t="n">
        <v>2111987</v>
      </c>
      <c r="AO408" s="12" t="n">
        <v>6906276</v>
      </c>
      <c r="AP408" s="17" t="n">
        <v>0.265</v>
      </c>
      <c r="AQ408" s="16" t="n">
        <v>50</v>
      </c>
      <c r="AR408" s="16" t="n">
        <v>4</v>
      </c>
      <c r="AS408" s="13" t="n">
        <f aca="false">IFERROR(AR408/AR407-1,"")</f>
        <v>0</v>
      </c>
      <c r="AT408" s="11" t="s">
        <v>218</v>
      </c>
      <c r="AU408" s="14" t="n">
        <f aca="false">IFERROR(P408/AR408,"")</f>
        <v>396929.5</v>
      </c>
      <c r="AV408" s="12" t="n">
        <v>2696294</v>
      </c>
      <c r="AW408" s="12" t="n">
        <v>912227</v>
      </c>
      <c r="AX408" s="12" t="n">
        <v>499570</v>
      </c>
      <c r="AY408" s="16" t="n">
        <v>32175</v>
      </c>
      <c r="AZ408" s="13" t="n">
        <f aca="false">IFERROR(AY408/AY407-1,"")</f>
        <v>0.00609756097560976</v>
      </c>
      <c r="BA408" s="17" t="n">
        <v>0.883</v>
      </c>
      <c r="BB408" s="11" t="s">
        <v>99</v>
      </c>
      <c r="BC408" s="11" t="s">
        <v>108</v>
      </c>
      <c r="BD408" s="11" t="s">
        <v>157</v>
      </c>
      <c r="BE408" s="12" t="n">
        <v>1980989</v>
      </c>
      <c r="BF408" s="13" t="n">
        <f aca="false">IFERROR(P408/BE408-1,"")</f>
        <v>-0.198522556157556</v>
      </c>
      <c r="BG408" s="17" t="n">
        <v>-0.014</v>
      </c>
      <c r="BH408" s="17" t="n">
        <v>0.075</v>
      </c>
      <c r="BI408" s="14" t="n">
        <f aca="false">P408*(1+IFERROR(Q408,0))^4</f>
        <v>1876117.37589409</v>
      </c>
      <c r="BJ408" s="12" t="n">
        <v>-1627618</v>
      </c>
      <c r="BK408" s="11" t="s">
        <v>84</v>
      </c>
      <c r="BL408" s="11" t="s">
        <v>85</v>
      </c>
      <c r="BM408" s="14" t="n">
        <f aca="false">O408</f>
        <v>21245710</v>
      </c>
      <c r="BN408" s="11" t="s">
        <v>455</v>
      </c>
      <c r="BO408" s="13" t="n">
        <f aca="false">IFERROR(1-L408/M408,"")</f>
        <v>0.158180738846523</v>
      </c>
      <c r="BP408" s="11" t="s">
        <v>87</v>
      </c>
      <c r="BQ408" s="12" t="n">
        <v>2598384</v>
      </c>
      <c r="BR408" s="11" t="s">
        <v>88</v>
      </c>
      <c r="BS408" s="11" t="s">
        <v>89</v>
      </c>
      <c r="BT408" s="19" t="str">
        <f aca="false">IF(OR(Z408&lt;6,AH408&lt;0.9,S408&lt;0.02,AK408&lt;1),"REVIEW",IF(AND(S408&gt;0.25,AH408&gt;1.2),"ACCELERATING","STABLE"))</f>
        <v>STABLE</v>
      </c>
    </row>
    <row r="409" customFormat="false" ht="15" hidden="false" customHeight="false" outlineLevel="0" collapsed="false">
      <c r="A409" s="11" t="s">
        <v>453</v>
      </c>
      <c r="B409" s="11" t="s">
        <v>93</v>
      </c>
      <c r="C409" s="11" t="s">
        <v>74</v>
      </c>
      <c r="D409" s="11" t="s">
        <v>210</v>
      </c>
      <c r="E409" s="11" t="s">
        <v>105</v>
      </c>
      <c r="F409" s="11" t="s">
        <v>454</v>
      </c>
      <c r="G409" s="11" t="s">
        <v>78</v>
      </c>
      <c r="H409" s="11" t="s">
        <v>79</v>
      </c>
      <c r="I409" s="11" t="s">
        <v>78</v>
      </c>
      <c r="J409" s="12" t="n">
        <v>3464000</v>
      </c>
      <c r="K409" s="13" t="n">
        <f aca="false">IFERROR(J409/M409,"")</f>
        <v>0.158180738846523</v>
      </c>
      <c r="L409" s="12" t="n">
        <v>18435000</v>
      </c>
      <c r="M409" s="14" t="n">
        <f aca="false">L409+J409</f>
        <v>21899000</v>
      </c>
      <c r="N409" s="12" t="n">
        <v>5264000</v>
      </c>
      <c r="O409" s="12" t="n">
        <v>21245710</v>
      </c>
      <c r="P409" s="12" t="n">
        <v>1787172</v>
      </c>
      <c r="Q409" s="13" t="n">
        <f aca="false">IFERROR(P409/P408-1,"")</f>
        <v>0.125623064045378</v>
      </c>
      <c r="R409" s="12" t="n">
        <v>2091118</v>
      </c>
      <c r="S409" s="13" t="n">
        <f aca="false">IFERROR(R409/R408-1,"")</f>
        <v>0.102474813483492</v>
      </c>
      <c r="T409" s="12" t="n">
        <v>1207315</v>
      </c>
      <c r="U409" s="13" t="n">
        <f aca="false">IFERROR(T409/P409,"")</f>
        <v>0.675544939155269</v>
      </c>
      <c r="V409" s="14" t="n">
        <f aca="false">T409-AV409</f>
        <v>-1988776</v>
      </c>
      <c r="W409" s="14" t="n">
        <f aca="false">V409-AA409*0.1</f>
        <v>-2138476</v>
      </c>
      <c r="X409" s="12" t="n">
        <v>2126651</v>
      </c>
      <c r="Y409" s="12" t="n">
        <v>181000</v>
      </c>
      <c r="Z409" s="15" t="n">
        <f aca="false">IFERROR(X409/Y409,"")</f>
        <v>11.749453038674</v>
      </c>
      <c r="AA409" s="12" t="n">
        <v>1497000</v>
      </c>
      <c r="AB409" s="14" t="n">
        <f aca="false">W409-0.02*P409</f>
        <v>-2174219.44</v>
      </c>
      <c r="AC409" s="16" t="n">
        <v>54</v>
      </c>
      <c r="AD409" s="13" t="n">
        <f aca="false">IFERROR(AC409/AC408-1,"")</f>
        <v>0.0588235294117647</v>
      </c>
      <c r="AE409" s="17" t="n">
        <v>0.13</v>
      </c>
      <c r="AF409" s="17" t="n">
        <v>0.112</v>
      </c>
      <c r="AG409" s="13" t="n">
        <f aca="false">1-AF409</f>
        <v>0.888</v>
      </c>
      <c r="AH409" s="17" t="n">
        <v>1.167</v>
      </c>
      <c r="AI409" s="12" t="n">
        <v>22400</v>
      </c>
      <c r="AJ409" s="14" t="n">
        <f aca="false">IFERROR(AM409*U409*MIN(1/AE409,5),"")</f>
        <v>85929.3162605502</v>
      </c>
      <c r="AK409" s="18" t="n">
        <f aca="false">IFERROR(AJ409/AI409,"")</f>
        <v>3.83613019020313</v>
      </c>
      <c r="AL409" s="15" t="n">
        <f aca="false">IFERROR(AI409/(AM409*U409/12),"")</f>
        <v>15.6407621809162</v>
      </c>
      <c r="AM409" s="12" t="n">
        <v>25440</v>
      </c>
      <c r="AN409" s="12" t="n">
        <v>2198328</v>
      </c>
      <c r="AO409" s="12" t="n">
        <v>6184098</v>
      </c>
      <c r="AP409" s="17" t="n">
        <v>0.265</v>
      </c>
      <c r="AQ409" s="16" t="n">
        <v>50</v>
      </c>
      <c r="AR409" s="16" t="n">
        <v>4</v>
      </c>
      <c r="AS409" s="13" t="n">
        <f aca="false">IFERROR(AR409/AR408-1,"")</f>
        <v>0</v>
      </c>
      <c r="AT409" s="11" t="s">
        <v>218</v>
      </c>
      <c r="AU409" s="14" t="n">
        <f aca="false">IFERROR(P409/AR409,"")</f>
        <v>446793</v>
      </c>
      <c r="AV409" s="12" t="n">
        <v>3196091</v>
      </c>
      <c r="AW409" s="12" t="n">
        <v>1394347</v>
      </c>
      <c r="AX409" s="12" t="n">
        <v>713216</v>
      </c>
      <c r="AY409" s="16" t="n">
        <v>34948</v>
      </c>
      <c r="AZ409" s="13" t="n">
        <f aca="false">IFERROR(AY409/AY408-1,"")</f>
        <v>0.0861849261849261</v>
      </c>
      <c r="BA409" s="17" t="n">
        <v>0.86</v>
      </c>
      <c r="BB409" s="11" t="s">
        <v>99</v>
      </c>
      <c r="BC409" s="11" t="s">
        <v>108</v>
      </c>
      <c r="BD409" s="11" t="s">
        <v>157</v>
      </c>
      <c r="BE409" s="12" t="n">
        <v>2028319</v>
      </c>
      <c r="BF409" s="13" t="n">
        <f aca="false">IFERROR(P409/BE409-1,"")</f>
        <v>-0.118890075969313</v>
      </c>
      <c r="BG409" s="17" t="n">
        <v>-0.048</v>
      </c>
      <c r="BH409" s="17" t="n">
        <v>0.039</v>
      </c>
      <c r="BI409" s="14" t="n">
        <f aca="false">P409*(1+IFERROR(Q409,0))^4</f>
        <v>2869051.10727179</v>
      </c>
      <c r="BJ409" s="12" t="n">
        <v>-1783063</v>
      </c>
      <c r="BK409" s="11" t="s">
        <v>84</v>
      </c>
      <c r="BL409" s="11" t="s">
        <v>85</v>
      </c>
      <c r="BM409" s="14" t="n">
        <f aca="false">O409</f>
        <v>21245710</v>
      </c>
      <c r="BN409" s="11" t="s">
        <v>455</v>
      </c>
      <c r="BO409" s="13" t="n">
        <f aca="false">IFERROR(1-L409/M409,"")</f>
        <v>0.158180738846523</v>
      </c>
      <c r="BP409" s="11" t="s">
        <v>87</v>
      </c>
      <c r="BQ409" s="12" t="n">
        <v>2201951</v>
      </c>
      <c r="BR409" s="11" t="s">
        <v>88</v>
      </c>
      <c r="BS409" s="11" t="s">
        <v>89</v>
      </c>
      <c r="BT409" s="19" t="str">
        <f aca="false">IF(OR(Z409&lt;6,AH409&lt;0.9,S409&lt;0.02,AK409&lt;1),"REVIEW",IF(AND(S409&gt;0.25,AH409&gt;1.2),"ACCELERATING","STABLE"))</f>
        <v>STABLE</v>
      </c>
    </row>
    <row r="410" customFormat="false" ht="15" hidden="false" customHeight="false" outlineLevel="0" collapsed="false">
      <c r="A410" s="3" t="s">
        <v>456</v>
      </c>
      <c r="B410" s="3" t="s">
        <v>73</v>
      </c>
      <c r="C410" s="3" t="s">
        <v>74</v>
      </c>
      <c r="D410" s="3" t="s">
        <v>210</v>
      </c>
      <c r="E410" s="3" t="s">
        <v>116</v>
      </c>
      <c r="F410" s="3" t="s">
        <v>457</v>
      </c>
      <c r="G410" s="3" t="s">
        <v>78</v>
      </c>
      <c r="H410" s="3" t="s">
        <v>79</v>
      </c>
      <c r="I410" s="3" t="s">
        <v>78</v>
      </c>
      <c r="J410" s="4" t="n">
        <v>3032000</v>
      </c>
      <c r="K410" s="5" t="n">
        <f aca="false">IFERROR(J410/M410,"")</f>
        <v>0.122832604116027</v>
      </c>
      <c r="L410" s="4" t="n">
        <v>21652000</v>
      </c>
      <c r="M410" s="6" t="n">
        <f aca="false">L410+J410</f>
        <v>24684000</v>
      </c>
      <c r="N410" s="4" t="n">
        <v>5889000</v>
      </c>
      <c r="O410" s="4" t="n">
        <v>25908484</v>
      </c>
      <c r="P410" s="4" t="n">
        <v>684081</v>
      </c>
      <c r="Q410" s="7"/>
      <c r="R410" s="4" t="n">
        <v>797601</v>
      </c>
      <c r="S410" s="7"/>
      <c r="T410" s="4" t="n">
        <v>417434</v>
      </c>
      <c r="U410" s="5" t="n">
        <f aca="false">IFERROR(T410/P410,"")</f>
        <v>0.610211363858958</v>
      </c>
      <c r="V410" s="6" t="n">
        <f aca="false">T410-AV410</f>
        <v>-1433883</v>
      </c>
      <c r="W410" s="6" t="n">
        <f aca="false">V410-AA410*0.1</f>
        <v>-1433883</v>
      </c>
      <c r="X410" s="4" t="n">
        <v>4757763</v>
      </c>
      <c r="Y410" s="4" t="n">
        <v>139230</v>
      </c>
      <c r="Z410" s="8" t="n">
        <f aca="false">IFERROR(X410/Y410,"")</f>
        <v>34.1719672484378</v>
      </c>
      <c r="AA410" s="4" t="n">
        <v>0</v>
      </c>
      <c r="AB410" s="6" t="n">
        <f aca="false">W410-0.02*P410</f>
        <v>-1447564.62</v>
      </c>
      <c r="AC410" s="9" t="n">
        <v>22</v>
      </c>
      <c r="AD410" s="7"/>
      <c r="AE410" s="7" t="n">
        <v>0.096</v>
      </c>
      <c r="AF410" s="7" t="n">
        <v>0.058</v>
      </c>
      <c r="AG410" s="5" t="n">
        <f aca="false">1-AF410</f>
        <v>0.942</v>
      </c>
      <c r="AH410" s="7" t="n">
        <v>1.132</v>
      </c>
      <c r="AI410" s="4" t="n">
        <v>16112</v>
      </c>
      <c r="AJ410" s="6" t="n">
        <f aca="false">IFERROR(AM410*U410*MIN(1/AE410,5),"")</f>
        <v>45765.8522894219</v>
      </c>
      <c r="AK410" s="10" t="n">
        <f aca="false">IFERROR(AJ410/AI410,"")</f>
        <v>2.84048239134942</v>
      </c>
      <c r="AL410" s="8" t="n">
        <f aca="false">IFERROR(AI410/(AM410*U410/12),"")</f>
        <v>21.123172663463</v>
      </c>
      <c r="AM410" s="4" t="n">
        <v>15000</v>
      </c>
      <c r="AN410" s="4" t="n">
        <v>953704</v>
      </c>
      <c r="AO410" s="4" t="n">
        <v>2996364</v>
      </c>
      <c r="AP410" s="7" t="n">
        <v>0.186</v>
      </c>
      <c r="AQ410" s="9" t="n">
        <v>49</v>
      </c>
      <c r="AR410" s="9" t="n">
        <v>3</v>
      </c>
      <c r="AS410" s="7"/>
      <c r="AT410" s="3" t="s">
        <v>134</v>
      </c>
      <c r="AU410" s="6" t="n">
        <f aca="false">IFERROR(P410/AR410,"")</f>
        <v>228027</v>
      </c>
      <c r="AV410" s="4" t="n">
        <v>1851317</v>
      </c>
      <c r="AW410" s="4" t="n">
        <v>909853</v>
      </c>
      <c r="AX410" s="4" t="n">
        <v>491787</v>
      </c>
      <c r="AY410" s="9" t="n">
        <v>5664</v>
      </c>
      <c r="AZ410" s="7"/>
      <c r="BA410" s="7" t="n">
        <v>0.909</v>
      </c>
      <c r="BB410" s="3" t="s">
        <v>161</v>
      </c>
      <c r="BC410" s="3" t="s">
        <v>82</v>
      </c>
      <c r="BD410" s="3" t="s">
        <v>157</v>
      </c>
      <c r="BE410" s="4" t="n">
        <v>643293</v>
      </c>
      <c r="BF410" s="5" t="n">
        <f aca="false">IFERROR(P410/BE410-1,"")</f>
        <v>0.0634050114022693</v>
      </c>
      <c r="BG410" s="7" t="n">
        <v>0.049</v>
      </c>
      <c r="BH410" s="7" t="n">
        <v>0.068</v>
      </c>
      <c r="BI410" s="6" t="n">
        <f aca="false">P410</f>
        <v>684081</v>
      </c>
      <c r="BJ410" s="4" t="n">
        <v>-998299</v>
      </c>
      <c r="BK410" s="3" t="s">
        <v>102</v>
      </c>
      <c r="BL410" s="3" t="s">
        <v>85</v>
      </c>
      <c r="BM410" s="6" t="n">
        <f aca="false">O410</f>
        <v>25908484</v>
      </c>
      <c r="BN410" s="3" t="s">
        <v>458</v>
      </c>
      <c r="BO410" s="5" t="n">
        <f aca="false">IFERROR(1-L410/M410,"")</f>
        <v>0.122832604116027</v>
      </c>
      <c r="BP410" s="3" t="s">
        <v>87</v>
      </c>
      <c r="BQ410" s="4" t="n">
        <v>2368873</v>
      </c>
      <c r="BR410" s="3" t="s">
        <v>88</v>
      </c>
      <c r="BS410" s="3" t="s">
        <v>89</v>
      </c>
      <c r="BT410" s="3" t="s">
        <v>90</v>
      </c>
    </row>
    <row r="411" customFormat="false" ht="15" hidden="false" customHeight="false" outlineLevel="0" collapsed="false">
      <c r="A411" s="11" t="s">
        <v>456</v>
      </c>
      <c r="B411" s="11" t="s">
        <v>91</v>
      </c>
      <c r="C411" s="11" t="s">
        <v>74</v>
      </c>
      <c r="D411" s="11" t="s">
        <v>210</v>
      </c>
      <c r="E411" s="11" t="s">
        <v>116</v>
      </c>
      <c r="F411" s="11" t="s">
        <v>457</v>
      </c>
      <c r="G411" s="11" t="s">
        <v>78</v>
      </c>
      <c r="H411" s="11" t="s">
        <v>79</v>
      </c>
      <c r="I411" s="11" t="s">
        <v>78</v>
      </c>
      <c r="J411" s="12" t="n">
        <v>3032000</v>
      </c>
      <c r="K411" s="13" t="n">
        <f aca="false">IFERROR(J411/M411,"")</f>
        <v>0.122832604116027</v>
      </c>
      <c r="L411" s="12" t="n">
        <v>21652000</v>
      </c>
      <c r="M411" s="14" t="n">
        <f aca="false">L411+J411</f>
        <v>24684000</v>
      </c>
      <c r="N411" s="12" t="n">
        <v>5889000</v>
      </c>
      <c r="O411" s="12" t="n">
        <v>25908484</v>
      </c>
      <c r="P411" s="12" t="n">
        <v>839234</v>
      </c>
      <c r="Q411" s="13" t="n">
        <f aca="false">IFERROR(P411/P410-1,"")</f>
        <v>0.226805012856665</v>
      </c>
      <c r="R411" s="12" t="n">
        <v>914891</v>
      </c>
      <c r="S411" s="13" t="n">
        <f aca="false">IFERROR(R411/R410-1,"")</f>
        <v>0.147053476612993</v>
      </c>
      <c r="T411" s="12" t="n">
        <v>514184</v>
      </c>
      <c r="U411" s="13" t="n">
        <f aca="false">IFERROR(T411/P411,"")</f>
        <v>0.612682517629171</v>
      </c>
      <c r="V411" s="14" t="n">
        <f aca="false">T411-AV411</f>
        <v>-1421529</v>
      </c>
      <c r="W411" s="14" t="n">
        <f aca="false">V411-AA411*0.1</f>
        <v>-1421529</v>
      </c>
      <c r="X411" s="12" t="n">
        <v>4406628</v>
      </c>
      <c r="Y411" s="12" t="n">
        <v>143820</v>
      </c>
      <c r="Z411" s="15" t="n">
        <f aca="false">IFERROR(X411/Y411,"")</f>
        <v>30.6398831873175</v>
      </c>
      <c r="AA411" s="12" t="n">
        <v>0</v>
      </c>
      <c r="AB411" s="14" t="n">
        <f aca="false">W411-0.02*P411</f>
        <v>-1438313.68</v>
      </c>
      <c r="AC411" s="16" t="n">
        <v>25</v>
      </c>
      <c r="AD411" s="13" t="n">
        <f aca="false">IFERROR(AC411/AC410-1,"")</f>
        <v>0.136363636363636</v>
      </c>
      <c r="AE411" s="17" t="n">
        <v>0.093</v>
      </c>
      <c r="AF411" s="17" t="n">
        <v>0.059</v>
      </c>
      <c r="AG411" s="13" t="n">
        <f aca="false">1-AF411</f>
        <v>0.941</v>
      </c>
      <c r="AH411" s="17" t="n">
        <v>1.127</v>
      </c>
      <c r="AI411" s="12" t="n">
        <v>15808</v>
      </c>
      <c r="AJ411" s="14" t="n">
        <f aca="false">IFERROR(AM411*U411*MIN(1/AE411,5),"")</f>
        <v>46870.2125986316</v>
      </c>
      <c r="AK411" s="18" t="n">
        <f aca="false">IFERROR(AJ411/AI411,"")</f>
        <v>2.96496790224137</v>
      </c>
      <c r="AL411" s="15" t="n">
        <f aca="false">IFERROR(AI411/(AM411*U411/12),"")</f>
        <v>20.2363067588836</v>
      </c>
      <c r="AM411" s="12" t="n">
        <v>15300</v>
      </c>
      <c r="AN411" s="12" t="n">
        <v>1246010</v>
      </c>
      <c r="AO411" s="12" t="n">
        <v>2651911</v>
      </c>
      <c r="AP411" s="17" t="n">
        <v>0.186</v>
      </c>
      <c r="AQ411" s="16" t="n">
        <v>49</v>
      </c>
      <c r="AR411" s="16" t="n">
        <v>3</v>
      </c>
      <c r="AS411" s="13" t="n">
        <f aca="false">IFERROR(AR411/AR410-1,"")</f>
        <v>0</v>
      </c>
      <c r="AT411" s="11" t="s">
        <v>134</v>
      </c>
      <c r="AU411" s="14" t="n">
        <f aca="false">IFERROR(P411/AR411,"")</f>
        <v>279744.666666667</v>
      </c>
      <c r="AV411" s="12" t="n">
        <v>1935713</v>
      </c>
      <c r="AW411" s="12" t="n">
        <v>858535</v>
      </c>
      <c r="AX411" s="12" t="n">
        <v>413389</v>
      </c>
      <c r="AY411" s="16" t="n">
        <v>6633</v>
      </c>
      <c r="AZ411" s="13" t="n">
        <f aca="false">IFERROR(AY411/AY410-1,"")</f>
        <v>0.171080508474576</v>
      </c>
      <c r="BA411" s="17" t="n">
        <v>0.908</v>
      </c>
      <c r="BB411" s="11" t="s">
        <v>161</v>
      </c>
      <c r="BC411" s="11" t="s">
        <v>82</v>
      </c>
      <c r="BD411" s="11" t="s">
        <v>157</v>
      </c>
      <c r="BE411" s="12" t="n">
        <v>860320</v>
      </c>
      <c r="BF411" s="13" t="n">
        <f aca="false">IFERROR(P411/BE411-1,"")</f>
        <v>-0.0245094848428492</v>
      </c>
      <c r="BG411" s="17" t="n">
        <v>0.083</v>
      </c>
      <c r="BH411" s="17" t="n">
        <v>0.068</v>
      </c>
      <c r="BI411" s="14" t="n">
        <f aca="false">P411*(1+IFERROR(Q411,0))^4</f>
        <v>1901013.66071594</v>
      </c>
      <c r="BJ411" s="12" t="n">
        <v>-1275487</v>
      </c>
      <c r="BK411" s="11" t="s">
        <v>102</v>
      </c>
      <c r="BL411" s="11" t="s">
        <v>85</v>
      </c>
      <c r="BM411" s="14" t="n">
        <f aca="false">O411</f>
        <v>25908484</v>
      </c>
      <c r="BN411" s="11" t="s">
        <v>458</v>
      </c>
      <c r="BO411" s="13" t="n">
        <f aca="false">IFERROR(1-L411/M411,"")</f>
        <v>0.122832604116027</v>
      </c>
      <c r="BP411" s="11" t="s">
        <v>87</v>
      </c>
      <c r="BQ411" s="12" t="n">
        <v>2866942</v>
      </c>
      <c r="BR411" s="11" t="s">
        <v>88</v>
      </c>
      <c r="BS411" s="11" t="s">
        <v>89</v>
      </c>
      <c r="BT411" s="19" t="str">
        <f aca="false">IF(OR(Z411&lt;6,AH411&lt;0.9,S411&lt;0.02,AK411&lt;1),"REVIEW",IF(AND(S411&gt;0.25,AH411&gt;1.2),"ACCELERATING","STABLE"))</f>
        <v>STABLE</v>
      </c>
    </row>
    <row r="412" customFormat="false" ht="15" hidden="false" customHeight="false" outlineLevel="0" collapsed="false">
      <c r="A412" s="11" t="s">
        <v>456</v>
      </c>
      <c r="B412" s="11" t="s">
        <v>92</v>
      </c>
      <c r="C412" s="11" t="s">
        <v>74</v>
      </c>
      <c r="D412" s="11" t="s">
        <v>210</v>
      </c>
      <c r="E412" s="11" t="s">
        <v>116</v>
      </c>
      <c r="F412" s="11" t="s">
        <v>457</v>
      </c>
      <c r="G412" s="11" t="s">
        <v>78</v>
      </c>
      <c r="H412" s="11" t="s">
        <v>79</v>
      </c>
      <c r="I412" s="11" t="s">
        <v>78</v>
      </c>
      <c r="J412" s="12" t="n">
        <v>3032000</v>
      </c>
      <c r="K412" s="13" t="n">
        <f aca="false">IFERROR(J412/M412,"")</f>
        <v>0.122832604116027</v>
      </c>
      <c r="L412" s="12" t="n">
        <v>21652000</v>
      </c>
      <c r="M412" s="14" t="n">
        <f aca="false">L412+J412</f>
        <v>24684000</v>
      </c>
      <c r="N412" s="12" t="n">
        <v>5889000</v>
      </c>
      <c r="O412" s="12" t="n">
        <v>25908484</v>
      </c>
      <c r="P412" s="12" t="n">
        <v>1016699</v>
      </c>
      <c r="Q412" s="13" t="n">
        <f aca="false">IFERROR(P412/P411-1,"")</f>
        <v>0.211460689152251</v>
      </c>
      <c r="R412" s="12" t="n">
        <v>1053718</v>
      </c>
      <c r="S412" s="13" t="n">
        <f aca="false">IFERROR(R412/R411-1,"")</f>
        <v>0.151741573586362</v>
      </c>
      <c r="T412" s="12" t="n">
        <v>625425</v>
      </c>
      <c r="U412" s="13" t="n">
        <f aca="false">IFERROR(T412/P412,"")</f>
        <v>0.615152567279008</v>
      </c>
      <c r="V412" s="14" t="n">
        <f aca="false">T412-AV412</f>
        <v>-1650403</v>
      </c>
      <c r="W412" s="14" t="n">
        <f aca="false">V412-AA412*0.1</f>
        <v>-1650403</v>
      </c>
      <c r="X412" s="12" t="n">
        <v>4030707</v>
      </c>
      <c r="Y412" s="12" t="n">
        <v>148410</v>
      </c>
      <c r="Z412" s="15" t="n">
        <f aca="false">IFERROR(X412/Y412,"")</f>
        <v>27.1592682433798</v>
      </c>
      <c r="AA412" s="12" t="n">
        <v>0</v>
      </c>
      <c r="AB412" s="14" t="n">
        <f aca="false">W412-0.02*P412</f>
        <v>-1670736.98</v>
      </c>
      <c r="AC412" s="16" t="n">
        <v>30</v>
      </c>
      <c r="AD412" s="13" t="n">
        <f aca="false">IFERROR(AC412/AC411-1,"")</f>
        <v>0.2</v>
      </c>
      <c r="AE412" s="17" t="n">
        <v>0.091</v>
      </c>
      <c r="AF412" s="17" t="n">
        <v>0.08</v>
      </c>
      <c r="AG412" s="13" t="n">
        <f aca="false">1-AF412</f>
        <v>0.92</v>
      </c>
      <c r="AH412" s="17" t="n">
        <v>1.122</v>
      </c>
      <c r="AI412" s="12" t="n">
        <v>15504</v>
      </c>
      <c r="AJ412" s="14" t="n">
        <f aca="false">IFERROR(AM412*U412*MIN(1/AE412,5),"")</f>
        <v>47981.9002477626</v>
      </c>
      <c r="AK412" s="18" t="n">
        <f aca="false">IFERROR(AJ412/AI412,"")</f>
        <v>3.09480780751823</v>
      </c>
      <c r="AL412" s="15" t="n">
        <f aca="false">IFERROR(AI412/(AM412*U412/12),"")</f>
        <v>19.3873105316077</v>
      </c>
      <c r="AM412" s="12" t="n">
        <v>15600</v>
      </c>
      <c r="AN412" s="12" t="n">
        <v>1409809</v>
      </c>
      <c r="AO412" s="12" t="n">
        <v>3184302</v>
      </c>
      <c r="AP412" s="17" t="n">
        <v>0.186</v>
      </c>
      <c r="AQ412" s="16" t="n">
        <v>49</v>
      </c>
      <c r="AR412" s="16" t="n">
        <v>4</v>
      </c>
      <c r="AS412" s="13" t="n">
        <f aca="false">IFERROR(AR412/AR411-1,"")</f>
        <v>0.333333333333333</v>
      </c>
      <c r="AT412" s="11" t="s">
        <v>134</v>
      </c>
      <c r="AU412" s="14" t="n">
        <f aca="false">IFERROR(P412/AR412,"")</f>
        <v>254174.75</v>
      </c>
      <c r="AV412" s="12" t="n">
        <v>2275828</v>
      </c>
      <c r="AW412" s="12" t="n">
        <v>737720</v>
      </c>
      <c r="AX412" s="12" t="n">
        <v>758617</v>
      </c>
      <c r="AY412" s="16" t="n">
        <v>8011</v>
      </c>
      <c r="AZ412" s="13" t="n">
        <f aca="false">IFERROR(AY412/AY411-1,"")</f>
        <v>0.207749133122267</v>
      </c>
      <c r="BA412" s="17" t="n">
        <v>0.925</v>
      </c>
      <c r="BB412" s="11" t="s">
        <v>161</v>
      </c>
      <c r="BC412" s="11" t="s">
        <v>82</v>
      </c>
      <c r="BD412" s="11" t="s">
        <v>157</v>
      </c>
      <c r="BE412" s="12" t="n">
        <v>1027747</v>
      </c>
      <c r="BF412" s="13" t="n">
        <f aca="false">IFERROR(P412/BE412-1,"")</f>
        <v>-0.0107497273161585</v>
      </c>
      <c r="BG412" s="17" t="n">
        <v>0.039</v>
      </c>
      <c r="BH412" s="17" t="n">
        <v>0.083</v>
      </c>
      <c r="BI412" s="14" t="n">
        <f aca="false">P412*(1+IFERROR(Q412,0))^4</f>
        <v>2189927.31854793</v>
      </c>
      <c r="BJ412" s="12" t="n">
        <v>-1312356</v>
      </c>
      <c r="BK412" s="11" t="s">
        <v>102</v>
      </c>
      <c r="BL412" s="11" t="s">
        <v>85</v>
      </c>
      <c r="BM412" s="14" t="n">
        <f aca="false">O412</f>
        <v>25908484</v>
      </c>
      <c r="BN412" s="11" t="s">
        <v>458</v>
      </c>
      <c r="BO412" s="13" t="n">
        <f aca="false">IFERROR(1-L412/M412,"")</f>
        <v>0.122832604116027</v>
      </c>
      <c r="BP412" s="11" t="s">
        <v>87</v>
      </c>
      <c r="BQ412" s="12" t="n">
        <v>2750464</v>
      </c>
      <c r="BR412" s="11" t="s">
        <v>88</v>
      </c>
      <c r="BS412" s="11" t="s">
        <v>89</v>
      </c>
      <c r="BT412" s="19" t="str">
        <f aca="false">IF(OR(Z412&lt;6,AH412&lt;0.9,S412&lt;0.02,AK412&lt;1),"REVIEW",IF(AND(S412&gt;0.25,AH412&gt;1.2),"ACCELERATING","STABLE"))</f>
        <v>STABLE</v>
      </c>
    </row>
    <row r="413" customFormat="false" ht="15" hidden="false" customHeight="false" outlineLevel="0" collapsed="false">
      <c r="A413" s="11" t="s">
        <v>456</v>
      </c>
      <c r="B413" s="11" t="s">
        <v>93</v>
      </c>
      <c r="C413" s="11" t="s">
        <v>74</v>
      </c>
      <c r="D413" s="11" t="s">
        <v>210</v>
      </c>
      <c r="E413" s="11" t="s">
        <v>116</v>
      </c>
      <c r="F413" s="11" t="s">
        <v>457</v>
      </c>
      <c r="G413" s="11" t="s">
        <v>78</v>
      </c>
      <c r="H413" s="11" t="s">
        <v>79</v>
      </c>
      <c r="I413" s="11" t="s">
        <v>78</v>
      </c>
      <c r="J413" s="12" t="n">
        <v>3032000</v>
      </c>
      <c r="K413" s="13" t="n">
        <f aca="false">IFERROR(J413/M413,"")</f>
        <v>0.122832604116027</v>
      </c>
      <c r="L413" s="12" t="n">
        <v>21652000</v>
      </c>
      <c r="M413" s="14" t="n">
        <f aca="false">L413+J413</f>
        <v>24684000</v>
      </c>
      <c r="N413" s="12" t="n">
        <v>5889000</v>
      </c>
      <c r="O413" s="12" t="n">
        <v>25908484</v>
      </c>
      <c r="P413" s="12" t="n">
        <v>1222382</v>
      </c>
      <c r="Q413" s="13" t="n">
        <f aca="false">IFERROR(P413/P412-1,"")</f>
        <v>0.202304713587797</v>
      </c>
      <c r="R413" s="12" t="n">
        <v>1332390</v>
      </c>
      <c r="S413" s="13" t="n">
        <f aca="false">IFERROR(R413/R412-1,"")</f>
        <v>0.264465445213995</v>
      </c>
      <c r="T413" s="12" t="n">
        <v>754971</v>
      </c>
      <c r="U413" s="13" t="n">
        <f aca="false">IFERROR(T413/P413,"")</f>
        <v>0.617622805309633</v>
      </c>
      <c r="V413" s="14" t="n">
        <f aca="false">T413-AV413</f>
        <v>-1552981</v>
      </c>
      <c r="W413" s="14" t="n">
        <f aca="false">V413-AA413*0.1</f>
        <v>-1552981</v>
      </c>
      <c r="X413" s="12" t="n">
        <v>3630000</v>
      </c>
      <c r="Y413" s="12" t="n">
        <v>153000</v>
      </c>
      <c r="Z413" s="15" t="n">
        <f aca="false">IFERROR(X413/Y413,"")</f>
        <v>23.7254901960784</v>
      </c>
      <c r="AA413" s="12" t="n">
        <v>0</v>
      </c>
      <c r="AB413" s="14" t="n">
        <f aca="false">W413-0.02*P413</f>
        <v>-1577428.64</v>
      </c>
      <c r="AC413" s="16" t="n">
        <v>34</v>
      </c>
      <c r="AD413" s="13" t="n">
        <f aca="false">IFERROR(AC413/AC412-1,"")</f>
        <v>0.133333333333333</v>
      </c>
      <c r="AE413" s="17" t="n">
        <v>0.088</v>
      </c>
      <c r="AF413" s="17" t="n">
        <v>0.076</v>
      </c>
      <c r="AG413" s="13" t="n">
        <f aca="false">1-AF413</f>
        <v>0.924</v>
      </c>
      <c r="AH413" s="17" t="n">
        <v>1.117</v>
      </c>
      <c r="AI413" s="12" t="n">
        <v>15200</v>
      </c>
      <c r="AJ413" s="14" t="n">
        <f aca="false">IFERROR(AM413*U413*MIN(1/AE413,5),"")</f>
        <v>49101.0130221158</v>
      </c>
      <c r="AK413" s="18" t="n">
        <f aca="false">IFERROR(AJ413/AI413,"")</f>
        <v>3.23032980408657</v>
      </c>
      <c r="AL413" s="15" t="n">
        <f aca="false">IFERROR(AI413/(AM413*U413/12),"")</f>
        <v>18.5739548711392</v>
      </c>
      <c r="AM413" s="12" t="n">
        <v>15900</v>
      </c>
      <c r="AN413" s="12" t="n">
        <v>1857629</v>
      </c>
      <c r="AO413" s="12" t="n">
        <v>4305146</v>
      </c>
      <c r="AP413" s="17" t="n">
        <v>0.186</v>
      </c>
      <c r="AQ413" s="16" t="n">
        <v>49</v>
      </c>
      <c r="AR413" s="16" t="n">
        <v>4</v>
      </c>
      <c r="AS413" s="13" t="n">
        <f aca="false">IFERROR(AR413/AR412-1,"")</f>
        <v>0</v>
      </c>
      <c r="AT413" s="11" t="s">
        <v>134</v>
      </c>
      <c r="AU413" s="14" t="n">
        <f aca="false">IFERROR(P413/AR413,"")</f>
        <v>305595.5</v>
      </c>
      <c r="AV413" s="12" t="n">
        <v>2307952</v>
      </c>
      <c r="AW413" s="12" t="n">
        <v>819377</v>
      </c>
      <c r="AX413" s="12" t="n">
        <v>578406</v>
      </c>
      <c r="AY413" s="16" t="n">
        <v>9167</v>
      </c>
      <c r="AZ413" s="13" t="n">
        <f aca="false">IFERROR(AY413/AY412-1,"")</f>
        <v>0.144301585320185</v>
      </c>
      <c r="BA413" s="17" t="n">
        <v>0.934</v>
      </c>
      <c r="BB413" s="11" t="s">
        <v>161</v>
      </c>
      <c r="BC413" s="11" t="s">
        <v>82</v>
      </c>
      <c r="BD413" s="11" t="s">
        <v>157</v>
      </c>
      <c r="BE413" s="12" t="n">
        <v>1127570</v>
      </c>
      <c r="BF413" s="13" t="n">
        <f aca="false">IFERROR(P413/BE413-1,"")</f>
        <v>0.084085245261935</v>
      </c>
      <c r="BG413" s="17" t="n">
        <v>0.029</v>
      </c>
      <c r="BH413" s="17" t="n">
        <v>0.045</v>
      </c>
      <c r="BI413" s="14" t="n">
        <f aca="false">P413*(1+IFERROR(Q413,0))^4</f>
        <v>2554260.25167645</v>
      </c>
      <c r="BJ413" s="12" t="n">
        <v>-1490001</v>
      </c>
      <c r="BK413" s="11" t="s">
        <v>102</v>
      </c>
      <c r="BL413" s="11" t="s">
        <v>85</v>
      </c>
      <c r="BM413" s="14" t="n">
        <f aca="false">O413</f>
        <v>25908484</v>
      </c>
      <c r="BN413" s="11" t="s">
        <v>458</v>
      </c>
      <c r="BO413" s="13" t="n">
        <f aca="false">IFERROR(1-L413/M413,"")</f>
        <v>0.122832604116027</v>
      </c>
      <c r="BP413" s="11" t="s">
        <v>87</v>
      </c>
      <c r="BQ413" s="12" t="n">
        <v>2433152</v>
      </c>
      <c r="BR413" s="11" t="s">
        <v>88</v>
      </c>
      <c r="BS413" s="11" t="s">
        <v>89</v>
      </c>
      <c r="BT413" s="19" t="str">
        <f aca="false">IF(OR(Z413&lt;6,AH413&lt;0.9,S413&lt;0.02,AK413&lt;1),"REVIEW",IF(AND(S413&gt;0.25,AH413&gt;1.2),"ACCELERATING","STABLE"))</f>
        <v>STABLE</v>
      </c>
    </row>
    <row r="414" customFormat="false" ht="15" hidden="false" customHeight="false" outlineLevel="0" collapsed="false">
      <c r="A414" s="3" t="s">
        <v>459</v>
      </c>
      <c r="B414" s="3" t="s">
        <v>73</v>
      </c>
      <c r="C414" s="3" t="s">
        <v>74</v>
      </c>
      <c r="D414" s="3" t="s">
        <v>151</v>
      </c>
      <c r="E414" s="3" t="s">
        <v>460</v>
      </c>
      <c r="F414" s="3" t="s">
        <v>461</v>
      </c>
      <c r="G414" s="3" t="s">
        <v>78</v>
      </c>
      <c r="H414" s="3" t="s">
        <v>79</v>
      </c>
      <c r="I414" s="3" t="s">
        <v>78</v>
      </c>
      <c r="J414" s="4" t="n">
        <v>4291000</v>
      </c>
      <c r="K414" s="5" t="n">
        <f aca="false">IFERROR(J414/M414,"")</f>
        <v>0.148282535074988</v>
      </c>
      <c r="L414" s="4" t="n">
        <v>24647000</v>
      </c>
      <c r="M414" s="6" t="n">
        <f aca="false">L414+J414</f>
        <v>28938000</v>
      </c>
      <c r="N414" s="4" t="n">
        <v>5093000</v>
      </c>
      <c r="O414" s="4" t="n">
        <v>55145881</v>
      </c>
      <c r="P414" s="4" t="n">
        <v>958257</v>
      </c>
      <c r="Q414" s="7"/>
      <c r="R414" s="4" t="n">
        <v>1254345</v>
      </c>
      <c r="S414" s="7"/>
      <c r="T414" s="4" t="n">
        <v>629735</v>
      </c>
      <c r="U414" s="5" t="n">
        <f aca="false">IFERROR(T414/P414,"")</f>
        <v>0.657167127399017</v>
      </c>
      <c r="V414" s="6" t="n">
        <f aca="false">T414-AV414</f>
        <v>-1911269</v>
      </c>
      <c r="W414" s="6" t="n">
        <f aca="false">V414-AA414*0.1</f>
        <v>-1911269</v>
      </c>
      <c r="X414" s="4" t="n">
        <v>1797600</v>
      </c>
      <c r="Y414" s="4" t="n">
        <v>194740</v>
      </c>
      <c r="Z414" s="8" t="n">
        <f aca="false">IFERROR(X414/Y414,"")</f>
        <v>9.23076923076923</v>
      </c>
      <c r="AA414" s="4" t="n">
        <v>0</v>
      </c>
      <c r="AB414" s="6" t="n">
        <f aca="false">W414-0.02*P414</f>
        <v>-1930434.14</v>
      </c>
      <c r="AC414" s="9" t="n">
        <v>9</v>
      </c>
      <c r="AD414" s="7"/>
      <c r="AE414" s="7" t="n">
        <v>0.034</v>
      </c>
      <c r="AF414" s="7" t="n">
        <v>0.033</v>
      </c>
      <c r="AG414" s="5" t="n">
        <f aca="false">1-AF414</f>
        <v>0.967</v>
      </c>
      <c r="AH414" s="7" t="n">
        <v>1.217</v>
      </c>
      <c r="AI414" s="4" t="n">
        <v>48548</v>
      </c>
      <c r="AJ414" s="6" t="n">
        <f aca="false">IFERROR(AM414*U414*MIN(1/AE414,5),"")</f>
        <v>184006.795671725</v>
      </c>
      <c r="AK414" s="10" t="n">
        <f aca="false">IFERROR(AJ414/AI414,"")</f>
        <v>3.79020342077377</v>
      </c>
      <c r="AL414" s="8" t="n">
        <f aca="false">IFERROR(AI414/(AM414*U414/12),"")</f>
        <v>15.8302849053287</v>
      </c>
      <c r="AM414" s="4" t="n">
        <v>56000</v>
      </c>
      <c r="AN414" s="4" t="n">
        <v>1586811</v>
      </c>
      <c r="AO414" s="4" t="n">
        <v>3679525</v>
      </c>
      <c r="AP414" s="7" t="n">
        <v>0.196</v>
      </c>
      <c r="AQ414" s="9" t="n">
        <v>25</v>
      </c>
      <c r="AR414" s="9" t="n">
        <v>2</v>
      </c>
      <c r="AS414" s="7"/>
      <c r="AT414" s="3" t="s">
        <v>98</v>
      </c>
      <c r="AU414" s="6" t="n">
        <f aca="false">IFERROR(P414/AR414,"")</f>
        <v>479128.5</v>
      </c>
      <c r="AV414" s="4" t="n">
        <v>2541004</v>
      </c>
      <c r="AW414" s="4" t="n">
        <v>1050176</v>
      </c>
      <c r="AX414" s="4" t="n">
        <v>811974</v>
      </c>
      <c r="AY414" s="9" t="n">
        <v>15380</v>
      </c>
      <c r="AZ414" s="7"/>
      <c r="BA414" s="7" t="n">
        <v>0.967</v>
      </c>
      <c r="BB414" s="3" t="s">
        <v>107</v>
      </c>
      <c r="BC414" s="3" t="s">
        <v>126</v>
      </c>
      <c r="BD414" s="3" t="s">
        <v>101</v>
      </c>
      <c r="BE414" s="4" t="n">
        <v>1108254</v>
      </c>
      <c r="BF414" s="5" t="n">
        <f aca="false">IFERROR(P414/BE414-1,"")</f>
        <v>-0.13534532697378</v>
      </c>
      <c r="BG414" s="7" t="n">
        <v>-0.011</v>
      </c>
      <c r="BH414" s="7" t="n">
        <v>-0.02</v>
      </c>
      <c r="BI414" s="6" t="n">
        <f aca="false">P414</f>
        <v>958257</v>
      </c>
      <c r="BJ414" s="4" t="n">
        <v>-1467282</v>
      </c>
      <c r="BK414" s="3" t="s">
        <v>102</v>
      </c>
      <c r="BL414" s="3" t="s">
        <v>111</v>
      </c>
      <c r="BM414" s="6" t="n">
        <f aca="false">O414</f>
        <v>55145881</v>
      </c>
      <c r="BN414" s="3" t="s">
        <v>462</v>
      </c>
      <c r="BO414" s="5" t="n">
        <f aca="false">IFERROR(1-L414/M414,"")</f>
        <v>0.148282535074988</v>
      </c>
      <c r="BP414" s="3" t="s">
        <v>130</v>
      </c>
      <c r="BQ414" s="4" t="n">
        <v>3831470</v>
      </c>
      <c r="BR414" s="3" t="s">
        <v>88</v>
      </c>
      <c r="BS414" s="3" t="s">
        <v>89</v>
      </c>
      <c r="BT414" s="3" t="s">
        <v>90</v>
      </c>
    </row>
    <row r="415" customFormat="false" ht="15" hidden="false" customHeight="false" outlineLevel="0" collapsed="false">
      <c r="A415" s="11" t="s">
        <v>459</v>
      </c>
      <c r="B415" s="11" t="s">
        <v>91</v>
      </c>
      <c r="C415" s="11" t="s">
        <v>74</v>
      </c>
      <c r="D415" s="11" t="s">
        <v>151</v>
      </c>
      <c r="E415" s="11" t="s">
        <v>460</v>
      </c>
      <c r="F415" s="11" t="s">
        <v>461</v>
      </c>
      <c r="G415" s="11" t="s">
        <v>78</v>
      </c>
      <c r="H415" s="11" t="s">
        <v>79</v>
      </c>
      <c r="I415" s="11" t="s">
        <v>78</v>
      </c>
      <c r="J415" s="12" t="n">
        <v>4291000</v>
      </c>
      <c r="K415" s="13" t="n">
        <f aca="false">IFERROR(J415/M415,"")</f>
        <v>0.148282535074988</v>
      </c>
      <c r="L415" s="12" t="n">
        <v>24647000</v>
      </c>
      <c r="M415" s="14" t="n">
        <f aca="false">L415+J415</f>
        <v>28938000</v>
      </c>
      <c r="N415" s="12" t="n">
        <v>5093000</v>
      </c>
      <c r="O415" s="12" t="n">
        <v>55145881</v>
      </c>
      <c r="P415" s="12" t="n">
        <v>1320909</v>
      </c>
      <c r="Q415" s="13" t="n">
        <f aca="false">IFERROR(P415/P414-1,"")</f>
        <v>0.378449622596026</v>
      </c>
      <c r="R415" s="12" t="n">
        <v>1655018</v>
      </c>
      <c r="S415" s="13" t="n">
        <f aca="false">IFERROR(R415/R414-1,"")</f>
        <v>0.319428068035509</v>
      </c>
      <c r="T415" s="12" t="n">
        <v>871572</v>
      </c>
      <c r="U415" s="13" t="n">
        <f aca="false">IFERROR(T415/P415,"")</f>
        <v>0.659827437014965</v>
      </c>
      <c r="V415" s="14" t="n">
        <f aca="false">T415-AV415</f>
        <v>-2030646</v>
      </c>
      <c r="W415" s="14" t="n">
        <f aca="false">V415-AA415*0.1</f>
        <v>-2030646</v>
      </c>
      <c r="X415" s="12" t="n">
        <v>2311200</v>
      </c>
      <c r="Y415" s="12" t="n">
        <v>201160</v>
      </c>
      <c r="Z415" s="15" t="n">
        <f aca="false">IFERROR(X415/Y415,"")</f>
        <v>11.4893617021277</v>
      </c>
      <c r="AA415" s="12" t="n">
        <v>0</v>
      </c>
      <c r="AB415" s="14" t="n">
        <f aca="false">W415-0.02*P415</f>
        <v>-2057064.18</v>
      </c>
      <c r="AC415" s="16" t="n">
        <v>11</v>
      </c>
      <c r="AD415" s="13" t="n">
        <f aca="false">IFERROR(AC415/AC414-1,"")</f>
        <v>0.222222222222222</v>
      </c>
      <c r="AE415" s="17" t="n">
        <v>0.033</v>
      </c>
      <c r="AF415" s="17" t="n">
        <v>0.033</v>
      </c>
      <c r="AG415" s="13" t="n">
        <f aca="false">1-AF415</f>
        <v>0.967</v>
      </c>
      <c r="AH415" s="17" t="n">
        <v>1.247</v>
      </c>
      <c r="AI415" s="12" t="n">
        <v>47632</v>
      </c>
      <c r="AJ415" s="14" t="n">
        <f aca="false">IFERROR(AM415*U415*MIN(1/AE415,5),"")</f>
        <v>188446.716011474</v>
      </c>
      <c r="AK415" s="18" t="n">
        <f aca="false">IFERROR(AJ415/AI415,"")</f>
        <v>3.95630492130236</v>
      </c>
      <c r="AL415" s="15" t="n">
        <f aca="false">IFERROR(AI415/(AM415*U415/12),"")</f>
        <v>15.1656662450196</v>
      </c>
      <c r="AM415" s="12" t="n">
        <v>57120</v>
      </c>
      <c r="AN415" s="12" t="n">
        <v>1936466</v>
      </c>
      <c r="AO415" s="12" t="n">
        <v>4647594</v>
      </c>
      <c r="AP415" s="17" t="n">
        <v>0.196</v>
      </c>
      <c r="AQ415" s="16" t="n">
        <v>25</v>
      </c>
      <c r="AR415" s="16" t="n">
        <v>2</v>
      </c>
      <c r="AS415" s="13" t="n">
        <f aca="false">IFERROR(AR415/AR414-1,"")</f>
        <v>0</v>
      </c>
      <c r="AT415" s="11" t="s">
        <v>98</v>
      </c>
      <c r="AU415" s="14" t="n">
        <f aca="false">IFERROR(P415/AR415,"")</f>
        <v>660454.5</v>
      </c>
      <c r="AV415" s="12" t="n">
        <v>2902218</v>
      </c>
      <c r="AW415" s="12" t="n">
        <v>1265004</v>
      </c>
      <c r="AX415" s="12" t="n">
        <v>571706</v>
      </c>
      <c r="AY415" s="16" t="n">
        <v>19586</v>
      </c>
      <c r="AZ415" s="13" t="n">
        <f aca="false">IFERROR(AY415/AY414-1,"")</f>
        <v>0.273472041612484</v>
      </c>
      <c r="BA415" s="17" t="n">
        <v>0.967</v>
      </c>
      <c r="BB415" s="11" t="s">
        <v>107</v>
      </c>
      <c r="BC415" s="11" t="s">
        <v>126</v>
      </c>
      <c r="BD415" s="11" t="s">
        <v>101</v>
      </c>
      <c r="BE415" s="12" t="n">
        <v>1257347</v>
      </c>
      <c r="BF415" s="13" t="n">
        <f aca="false">IFERROR(P415/BE415-1,"")</f>
        <v>0.0505524727859532</v>
      </c>
      <c r="BG415" s="17" t="n">
        <v>0.027</v>
      </c>
      <c r="BH415" s="17" t="n">
        <v>-0.013</v>
      </c>
      <c r="BI415" s="14" t="n">
        <f aca="false">P415*(1+IFERROR(Q415,0))^4</f>
        <v>4769100.72018718</v>
      </c>
      <c r="BJ415" s="12" t="n">
        <v>-2072753</v>
      </c>
      <c r="BK415" s="11" t="s">
        <v>102</v>
      </c>
      <c r="BL415" s="11" t="s">
        <v>111</v>
      </c>
      <c r="BM415" s="14" t="n">
        <f aca="false">O415</f>
        <v>55145881</v>
      </c>
      <c r="BN415" s="11" t="s">
        <v>462</v>
      </c>
      <c r="BO415" s="13" t="n">
        <f aca="false">IFERROR(1-L415/M415,"")</f>
        <v>0.148282535074988</v>
      </c>
      <c r="BP415" s="11" t="s">
        <v>130</v>
      </c>
      <c r="BQ415" s="12" t="n">
        <v>3206608</v>
      </c>
      <c r="BR415" s="11" t="s">
        <v>88</v>
      </c>
      <c r="BS415" s="11" t="s">
        <v>89</v>
      </c>
      <c r="BT415" s="19" t="str">
        <f aca="false">IF(OR(Z415&lt;6,AH415&lt;0.9,S415&lt;0.02,AK415&lt;1),"REVIEW",IF(AND(S415&gt;0.25,AH415&gt;1.2),"ACCELERATING","STABLE"))</f>
        <v>ACCELERATING</v>
      </c>
    </row>
    <row r="416" customFormat="false" ht="15" hidden="false" customHeight="false" outlineLevel="0" collapsed="false">
      <c r="A416" s="11" t="s">
        <v>459</v>
      </c>
      <c r="B416" s="11" t="s">
        <v>92</v>
      </c>
      <c r="C416" s="11" t="s">
        <v>74</v>
      </c>
      <c r="D416" s="11" t="s">
        <v>151</v>
      </c>
      <c r="E416" s="11" t="s">
        <v>460</v>
      </c>
      <c r="F416" s="11" t="s">
        <v>461</v>
      </c>
      <c r="G416" s="11" t="s">
        <v>78</v>
      </c>
      <c r="H416" s="11" t="s">
        <v>79</v>
      </c>
      <c r="I416" s="11" t="s">
        <v>78</v>
      </c>
      <c r="J416" s="12" t="n">
        <v>4291000</v>
      </c>
      <c r="K416" s="13" t="n">
        <f aca="false">IFERROR(J416/M416,"")</f>
        <v>0.148282535074988</v>
      </c>
      <c r="L416" s="12" t="n">
        <v>24647000</v>
      </c>
      <c r="M416" s="14" t="n">
        <f aca="false">L416+J416</f>
        <v>28938000</v>
      </c>
      <c r="N416" s="12" t="n">
        <v>5093000</v>
      </c>
      <c r="O416" s="12" t="n">
        <v>55145881</v>
      </c>
      <c r="P416" s="12" t="n">
        <v>1737243</v>
      </c>
      <c r="Q416" s="13" t="n">
        <f aca="false">IFERROR(P416/P415-1,"")</f>
        <v>0.315187495883517</v>
      </c>
      <c r="R416" s="12" t="n">
        <v>1975171</v>
      </c>
      <c r="S416" s="13" t="n">
        <f aca="false">IFERROR(R416/R415-1,"")</f>
        <v>0.193443817529477</v>
      </c>
      <c r="T416" s="12" t="n">
        <v>1150903</v>
      </c>
      <c r="U416" s="13" t="n">
        <f aca="false">IFERROR(T416/P416,"")</f>
        <v>0.662488206888731</v>
      </c>
      <c r="V416" s="14" t="n">
        <f aca="false">T416-AV416</f>
        <v>-2656503</v>
      </c>
      <c r="W416" s="14" t="n">
        <f aca="false">V416-AA416*0.1</f>
        <v>-2656503</v>
      </c>
      <c r="X416" s="12" t="n">
        <v>2824800</v>
      </c>
      <c r="Y416" s="12" t="n">
        <v>207580</v>
      </c>
      <c r="Z416" s="15" t="n">
        <f aca="false">IFERROR(X416/Y416,"")</f>
        <v>13.6082474226804</v>
      </c>
      <c r="AA416" s="12" t="n">
        <v>0</v>
      </c>
      <c r="AB416" s="14" t="n">
        <f aca="false">W416-0.02*P416</f>
        <v>-2691247.86</v>
      </c>
      <c r="AC416" s="16" t="n">
        <v>14</v>
      </c>
      <c r="AD416" s="13" t="n">
        <f aca="false">IFERROR(AC416/AC415-1,"")</f>
        <v>0.272727272727273</v>
      </c>
      <c r="AE416" s="17" t="n">
        <v>0.032</v>
      </c>
      <c r="AF416" s="17" t="n">
        <v>0.034</v>
      </c>
      <c r="AG416" s="13" t="n">
        <f aca="false">1-AF416</f>
        <v>0.966</v>
      </c>
      <c r="AH416" s="17" t="n">
        <v>1.277</v>
      </c>
      <c r="AI416" s="12" t="n">
        <v>46716</v>
      </c>
      <c r="AJ416" s="14" t="n">
        <f aca="false">IFERROR(AM416*U416*MIN(1/AE416,5),"")</f>
        <v>192916.565845998</v>
      </c>
      <c r="AK416" s="18" t="n">
        <f aca="false">IFERROR(AJ416/AI416,"")</f>
        <v>4.12956087520332</v>
      </c>
      <c r="AL416" s="15" t="n">
        <f aca="false">IFERROR(AI416/(AM416*U416/12),"")</f>
        <v>14.5293898826581</v>
      </c>
      <c r="AM416" s="12" t="n">
        <v>58240</v>
      </c>
      <c r="AN416" s="12" t="n">
        <v>2812029</v>
      </c>
      <c r="AO416" s="12" t="n">
        <v>5267473</v>
      </c>
      <c r="AP416" s="17" t="n">
        <v>0.196</v>
      </c>
      <c r="AQ416" s="16" t="n">
        <v>25</v>
      </c>
      <c r="AR416" s="16" t="n">
        <v>3</v>
      </c>
      <c r="AS416" s="13" t="n">
        <f aca="false">IFERROR(AR416/AR415-1,"")</f>
        <v>0.5</v>
      </c>
      <c r="AT416" s="11" t="s">
        <v>98</v>
      </c>
      <c r="AU416" s="14" t="n">
        <f aca="false">IFERROR(P416/AR416,"")</f>
        <v>579081</v>
      </c>
      <c r="AV416" s="12" t="n">
        <v>3807406</v>
      </c>
      <c r="AW416" s="12" t="n">
        <v>1495295</v>
      </c>
      <c r="AX416" s="12" t="n">
        <v>876016</v>
      </c>
      <c r="AY416" s="16" t="n">
        <v>23314</v>
      </c>
      <c r="AZ416" s="13" t="n">
        <f aca="false">IFERROR(AY416/AY415-1,"")</f>
        <v>0.190340038803227</v>
      </c>
      <c r="BA416" s="17" t="n">
        <v>0.972</v>
      </c>
      <c r="BB416" s="11" t="s">
        <v>107</v>
      </c>
      <c r="BC416" s="11" t="s">
        <v>126</v>
      </c>
      <c r="BD416" s="11" t="s">
        <v>101</v>
      </c>
      <c r="BE416" s="12" t="n">
        <v>1952645</v>
      </c>
      <c r="BF416" s="13" t="n">
        <f aca="false">IFERROR(P416/BE416-1,"")</f>
        <v>-0.110312934506784</v>
      </c>
      <c r="BG416" s="17" t="n">
        <v>0.038</v>
      </c>
      <c r="BH416" s="17" t="n">
        <v>0.04</v>
      </c>
      <c r="BI416" s="14" t="n">
        <f aca="false">P416*(1+IFERROR(Q416,0))^4</f>
        <v>5197700.54755823</v>
      </c>
      <c r="BJ416" s="12" t="n">
        <v>-1863458</v>
      </c>
      <c r="BK416" s="11" t="s">
        <v>102</v>
      </c>
      <c r="BL416" s="11" t="s">
        <v>111</v>
      </c>
      <c r="BM416" s="14" t="n">
        <f aca="false">O416</f>
        <v>55145881</v>
      </c>
      <c r="BN416" s="11" t="s">
        <v>462</v>
      </c>
      <c r="BO416" s="13" t="n">
        <f aca="false">IFERROR(1-L416/M416,"")</f>
        <v>0.148282535074988</v>
      </c>
      <c r="BP416" s="11" t="s">
        <v>130</v>
      </c>
      <c r="BQ416" s="12" t="n">
        <v>2916295</v>
      </c>
      <c r="BR416" s="11" t="s">
        <v>88</v>
      </c>
      <c r="BS416" s="11" t="s">
        <v>89</v>
      </c>
      <c r="BT416" s="19" t="str">
        <f aca="false">IF(OR(Z416&lt;6,AH416&lt;0.9,S416&lt;0.02,AK416&lt;1),"REVIEW",IF(AND(S416&gt;0.25,AH416&gt;1.2),"ACCELERATING","STABLE"))</f>
        <v>STABLE</v>
      </c>
    </row>
    <row r="417" customFormat="false" ht="15" hidden="false" customHeight="false" outlineLevel="0" collapsed="false">
      <c r="A417" s="11" t="s">
        <v>459</v>
      </c>
      <c r="B417" s="11" t="s">
        <v>93</v>
      </c>
      <c r="C417" s="11" t="s">
        <v>74</v>
      </c>
      <c r="D417" s="11" t="s">
        <v>151</v>
      </c>
      <c r="E417" s="11" t="s">
        <v>460</v>
      </c>
      <c r="F417" s="11" t="s">
        <v>461</v>
      </c>
      <c r="G417" s="11" t="s">
        <v>78</v>
      </c>
      <c r="H417" s="11" t="s">
        <v>79</v>
      </c>
      <c r="I417" s="11" t="s">
        <v>78</v>
      </c>
      <c r="J417" s="12" t="n">
        <v>4291000</v>
      </c>
      <c r="K417" s="13" t="n">
        <f aca="false">IFERROR(J417/M417,"")</f>
        <v>0.148282535074988</v>
      </c>
      <c r="L417" s="12" t="n">
        <v>24647000</v>
      </c>
      <c r="M417" s="14" t="n">
        <f aca="false">L417+J417</f>
        <v>28938000</v>
      </c>
      <c r="N417" s="12" t="n">
        <v>5093000</v>
      </c>
      <c r="O417" s="12" t="n">
        <v>55145881</v>
      </c>
      <c r="P417" s="12" t="n">
        <v>2172664</v>
      </c>
      <c r="Q417" s="13" t="n">
        <f aca="false">IFERROR(P417/P416-1,"")</f>
        <v>0.250639087335508</v>
      </c>
      <c r="R417" s="12" t="n">
        <v>2674439</v>
      </c>
      <c r="S417" s="13" t="n">
        <f aca="false">IFERROR(R417/R416-1,"")</f>
        <v>0.354029094189819</v>
      </c>
      <c r="T417" s="12" t="n">
        <v>1445145</v>
      </c>
      <c r="U417" s="13" t="n">
        <f aca="false">IFERROR(T417/P417,"")</f>
        <v>0.66514886793356</v>
      </c>
      <c r="V417" s="14" t="n">
        <f aca="false">T417-AV417</f>
        <v>-2426599</v>
      </c>
      <c r="W417" s="14" t="n">
        <f aca="false">V417-AA417*0.1</f>
        <v>-2426599</v>
      </c>
      <c r="X417" s="12" t="n">
        <v>5136000</v>
      </c>
      <c r="Y417" s="12" t="n">
        <v>214000</v>
      </c>
      <c r="Z417" s="15" t="n">
        <f aca="false">IFERROR(X417/Y417,"")</f>
        <v>24</v>
      </c>
      <c r="AA417" s="12" t="n">
        <v>0</v>
      </c>
      <c r="AB417" s="14" t="n">
        <f aca="false">W417-0.02*P417</f>
        <v>-2470052.28</v>
      </c>
      <c r="AC417" s="16" t="n">
        <v>16</v>
      </c>
      <c r="AD417" s="13" t="n">
        <f aca="false">IFERROR(AC417/AC416-1,"")</f>
        <v>0.142857142857143</v>
      </c>
      <c r="AE417" s="17" t="n">
        <v>0.031</v>
      </c>
      <c r="AF417" s="17" t="n">
        <v>0.032</v>
      </c>
      <c r="AG417" s="13" t="n">
        <f aca="false">1-AF417</f>
        <v>0.968</v>
      </c>
      <c r="AH417" s="17" t="n">
        <v>1.307</v>
      </c>
      <c r="AI417" s="12" t="n">
        <v>45800</v>
      </c>
      <c r="AJ417" s="14" t="n">
        <f aca="false">IFERROR(AM417*U417*MIN(1/AE417,5),"")</f>
        <v>197416.184002681</v>
      </c>
      <c r="AK417" s="18" t="n">
        <f aca="false">IFERROR(AJ417/AI417,"")</f>
        <v>4.31039703062621</v>
      </c>
      <c r="AL417" s="15" t="n">
        <f aca="false">IFERROR(AI417/(AM417*U417/12),"")</f>
        <v>13.9198314154562</v>
      </c>
      <c r="AM417" s="12" t="n">
        <v>59360</v>
      </c>
      <c r="AN417" s="12" t="n">
        <v>3506000</v>
      </c>
      <c r="AO417" s="12" t="n">
        <v>10090252</v>
      </c>
      <c r="AP417" s="17" t="n">
        <v>0.196</v>
      </c>
      <c r="AQ417" s="16" t="n">
        <v>25</v>
      </c>
      <c r="AR417" s="16" t="n">
        <v>3</v>
      </c>
      <c r="AS417" s="13" t="n">
        <f aca="false">IFERROR(AR417/AR416-1,"")</f>
        <v>0</v>
      </c>
      <c r="AT417" s="11" t="s">
        <v>98</v>
      </c>
      <c r="AU417" s="14" t="n">
        <f aca="false">IFERROR(P417/AR417,"")</f>
        <v>724221.333333333</v>
      </c>
      <c r="AV417" s="12" t="n">
        <v>3871744</v>
      </c>
      <c r="AW417" s="12" t="n">
        <v>1184980</v>
      </c>
      <c r="AX417" s="12" t="n">
        <v>778932</v>
      </c>
      <c r="AY417" s="16" t="n">
        <v>30462</v>
      </c>
      <c r="AZ417" s="13" t="n">
        <f aca="false">IFERROR(AY417/AY416-1,"")</f>
        <v>0.306596894569786</v>
      </c>
      <c r="BA417" s="17" t="n">
        <v>0.974</v>
      </c>
      <c r="BB417" s="11" t="s">
        <v>107</v>
      </c>
      <c r="BC417" s="11" t="s">
        <v>126</v>
      </c>
      <c r="BD417" s="11" t="s">
        <v>101</v>
      </c>
      <c r="BE417" s="12" t="n">
        <v>2402533</v>
      </c>
      <c r="BF417" s="13" t="n">
        <f aca="false">IFERROR(P417/BE417-1,"")</f>
        <v>-0.0956777700868209</v>
      </c>
      <c r="BG417" s="17" t="n">
        <v>-0.038</v>
      </c>
      <c r="BH417" s="17" t="n">
        <v>0.037</v>
      </c>
      <c r="BI417" s="14" t="n">
        <f aca="false">P417*(1+IFERROR(Q417,0))^4</f>
        <v>5315211.61932767</v>
      </c>
      <c r="BJ417" s="12" t="n">
        <v>-2523766</v>
      </c>
      <c r="BK417" s="11" t="s">
        <v>102</v>
      </c>
      <c r="BL417" s="11" t="s">
        <v>111</v>
      </c>
      <c r="BM417" s="14" t="n">
        <f aca="false">O417</f>
        <v>55145881</v>
      </c>
      <c r="BN417" s="11" t="s">
        <v>462</v>
      </c>
      <c r="BO417" s="13" t="n">
        <f aca="false">IFERROR(1-L417/M417,"")</f>
        <v>0.148282535074988</v>
      </c>
      <c r="BP417" s="11" t="s">
        <v>130</v>
      </c>
      <c r="BQ417" s="12" t="n">
        <v>2575702</v>
      </c>
      <c r="BR417" s="11" t="s">
        <v>88</v>
      </c>
      <c r="BS417" s="11" t="s">
        <v>89</v>
      </c>
      <c r="BT417" s="19" t="str">
        <f aca="false">IF(OR(Z417&lt;6,AH417&lt;0.9,S417&lt;0.02,AK417&lt;1),"REVIEW",IF(AND(S417&gt;0.25,AH417&gt;1.2),"ACCELERATING","STABLE"))</f>
        <v>ACCELERATING</v>
      </c>
    </row>
    <row r="418" customFormat="false" ht="15" hidden="false" customHeight="false" outlineLevel="0" collapsed="false">
      <c r="A418" s="3" t="s">
        <v>463</v>
      </c>
      <c r="B418" s="3" t="s">
        <v>73</v>
      </c>
      <c r="C418" s="3" t="s">
        <v>74</v>
      </c>
      <c r="D418" s="3" t="s">
        <v>165</v>
      </c>
      <c r="E418" s="3" t="s">
        <v>105</v>
      </c>
      <c r="F418" s="3" t="s">
        <v>464</v>
      </c>
      <c r="G418" s="3" t="s">
        <v>78</v>
      </c>
      <c r="H418" s="3" t="s">
        <v>79</v>
      </c>
      <c r="I418" s="3" t="s">
        <v>78</v>
      </c>
      <c r="J418" s="4" t="n">
        <v>1035000</v>
      </c>
      <c r="K418" s="5" t="n">
        <f aca="false">IFERROR(J418/M418,"")</f>
        <v>0.112085769980507</v>
      </c>
      <c r="L418" s="4" t="n">
        <v>8199000</v>
      </c>
      <c r="M418" s="6" t="n">
        <f aca="false">L418+J418</f>
        <v>9234000</v>
      </c>
      <c r="N418" s="4" t="n">
        <v>6476000</v>
      </c>
      <c r="O418" s="4" t="n">
        <v>17233168</v>
      </c>
      <c r="P418" s="4" t="n">
        <v>149695</v>
      </c>
      <c r="Q418" s="7"/>
      <c r="R418" s="4" t="n">
        <v>175590</v>
      </c>
      <c r="S418" s="7"/>
      <c r="T418" s="4" t="n">
        <v>105816</v>
      </c>
      <c r="U418" s="5" t="n">
        <f aca="false">IFERROR(T418/P418,"")</f>
        <v>0.706877317211664</v>
      </c>
      <c r="V418" s="6" t="n">
        <f aca="false">T418-AV418</f>
        <v>-1073617</v>
      </c>
      <c r="W418" s="6" t="n">
        <f aca="false">V418-AA418*0.1</f>
        <v>-1073617</v>
      </c>
      <c r="X418" s="4" t="n">
        <v>3325326</v>
      </c>
      <c r="Y418" s="4" t="n">
        <v>96460</v>
      </c>
      <c r="Z418" s="8" t="n">
        <f aca="false">IFERROR(X418/Y418,"")</f>
        <v>34.4736263736264</v>
      </c>
      <c r="AA418" s="4" t="n">
        <v>0</v>
      </c>
      <c r="AB418" s="6" t="n">
        <f aca="false">W418-0.02*P418</f>
        <v>-1076610.9</v>
      </c>
      <c r="AC418" s="9" t="n">
        <v>30</v>
      </c>
      <c r="AD418" s="7"/>
      <c r="AE418" s="7" t="n">
        <v>0.109</v>
      </c>
      <c r="AF418" s="7" t="n">
        <v>0.07</v>
      </c>
      <c r="AG418" s="5" t="n">
        <f aca="false">1-AF418</f>
        <v>0.93</v>
      </c>
      <c r="AH418" s="7" t="n">
        <v>1.05</v>
      </c>
      <c r="AI418" s="4" t="n">
        <v>49608</v>
      </c>
      <c r="AJ418" s="6" t="n">
        <f aca="false">IFERROR(AM418*U418*MIN(1/AE418,5),"")</f>
        <v>162581.782958683</v>
      </c>
      <c r="AK418" s="10" t="n">
        <f aca="false">IFERROR(AJ418/AI418,"")</f>
        <v>3.27732992579186</v>
      </c>
      <c r="AL418" s="8" t="n">
        <f aca="false">IFERROR(AI418/(AM418*U418/12),"")</f>
        <v>18.3075861626909</v>
      </c>
      <c r="AM418" s="4" t="n">
        <v>46000</v>
      </c>
      <c r="AN418" s="4" t="n">
        <v>170952</v>
      </c>
      <c r="AO418" s="4" t="n">
        <v>591149</v>
      </c>
      <c r="AP418" s="7" t="n">
        <v>0.237</v>
      </c>
      <c r="AQ418" s="9" t="n">
        <v>29</v>
      </c>
      <c r="AR418" s="9" t="n">
        <v>2</v>
      </c>
      <c r="AS418" s="7"/>
      <c r="AT418" s="3" t="s">
        <v>201</v>
      </c>
      <c r="AU418" s="6" t="n">
        <f aca="false">IFERROR(P418/AR418,"")</f>
        <v>74847.5</v>
      </c>
      <c r="AV418" s="4" t="n">
        <v>1179433</v>
      </c>
      <c r="AW418" s="4" t="n">
        <v>551533</v>
      </c>
      <c r="AX418" s="4" t="n">
        <v>284391</v>
      </c>
      <c r="AY418" s="9" t="n">
        <v>7334</v>
      </c>
      <c r="AZ418" s="7"/>
      <c r="BA418" s="7" t="n">
        <v>0.923</v>
      </c>
      <c r="BB418" s="3" t="s">
        <v>107</v>
      </c>
      <c r="BC418" s="3" t="s">
        <v>100</v>
      </c>
      <c r="BD418" s="3" t="s">
        <v>83</v>
      </c>
      <c r="BE418" s="4" t="n">
        <v>146860</v>
      </c>
      <c r="BF418" s="5" t="n">
        <f aca="false">IFERROR(P418/BE418-1,"")</f>
        <v>0.0193040991420401</v>
      </c>
      <c r="BG418" s="7" t="n">
        <v>0.007</v>
      </c>
      <c r="BH418" s="7" t="n">
        <v>0.078</v>
      </c>
      <c r="BI418" s="6" t="n">
        <f aca="false">P418</f>
        <v>149695</v>
      </c>
      <c r="BJ418" s="4" t="n">
        <v>-1045657</v>
      </c>
      <c r="BK418" s="3" t="s">
        <v>110</v>
      </c>
      <c r="BL418" s="3" t="s">
        <v>85</v>
      </c>
      <c r="BM418" s="6" t="n">
        <f aca="false">O418</f>
        <v>17233168</v>
      </c>
      <c r="BN418" s="3" t="s">
        <v>465</v>
      </c>
      <c r="BO418" s="5" t="n">
        <f aca="false">IFERROR(1-L418/M418,"")</f>
        <v>0.112085769980507</v>
      </c>
      <c r="BP418" s="3" t="s">
        <v>113</v>
      </c>
      <c r="BQ418" s="4" t="n">
        <v>1220669</v>
      </c>
      <c r="BR418" s="3" t="s">
        <v>88</v>
      </c>
      <c r="BS418" s="3" t="s">
        <v>89</v>
      </c>
      <c r="BT418" s="3" t="s">
        <v>90</v>
      </c>
    </row>
    <row r="419" customFormat="false" ht="15" hidden="false" customHeight="false" outlineLevel="0" collapsed="false">
      <c r="A419" s="11" t="s">
        <v>463</v>
      </c>
      <c r="B419" s="11" t="s">
        <v>91</v>
      </c>
      <c r="C419" s="11" t="s">
        <v>74</v>
      </c>
      <c r="D419" s="11" t="s">
        <v>165</v>
      </c>
      <c r="E419" s="11" t="s">
        <v>105</v>
      </c>
      <c r="F419" s="11" t="s">
        <v>464</v>
      </c>
      <c r="G419" s="11" t="s">
        <v>78</v>
      </c>
      <c r="H419" s="11" t="s">
        <v>79</v>
      </c>
      <c r="I419" s="11" t="s">
        <v>78</v>
      </c>
      <c r="J419" s="12" t="n">
        <v>1035000</v>
      </c>
      <c r="K419" s="13" t="n">
        <f aca="false">IFERROR(J419/M419,"")</f>
        <v>0.112085769980507</v>
      </c>
      <c r="L419" s="12" t="n">
        <v>8199000</v>
      </c>
      <c r="M419" s="14" t="n">
        <f aca="false">L419+J419</f>
        <v>9234000</v>
      </c>
      <c r="N419" s="12" t="n">
        <v>6476000</v>
      </c>
      <c r="O419" s="12" t="n">
        <v>17233168</v>
      </c>
      <c r="P419" s="12" t="n">
        <v>167015</v>
      </c>
      <c r="Q419" s="13" t="n">
        <f aca="false">IFERROR(P419/P418-1,"")</f>
        <v>0.115701927252079</v>
      </c>
      <c r="R419" s="12" t="n">
        <v>204219</v>
      </c>
      <c r="S419" s="13" t="n">
        <f aca="false">IFERROR(R419/R418-1,"")</f>
        <v>0.163044592516658</v>
      </c>
      <c r="T419" s="12" t="n">
        <v>118537</v>
      </c>
      <c r="U419" s="13" t="n">
        <f aca="false">IFERROR(T419/P419,"")</f>
        <v>0.709738646229381</v>
      </c>
      <c r="V419" s="14" t="n">
        <f aca="false">T419-AV419</f>
        <v>-1256158</v>
      </c>
      <c r="W419" s="14" t="n">
        <f aca="false">V419-AA419*0.1</f>
        <v>-1256158</v>
      </c>
      <c r="X419" s="12" t="n">
        <v>3082056</v>
      </c>
      <c r="Y419" s="12" t="n">
        <v>99640</v>
      </c>
      <c r="Z419" s="15" t="n">
        <f aca="false">IFERROR(X419/Y419,"")</f>
        <v>30.931914893617</v>
      </c>
      <c r="AA419" s="12" t="n">
        <v>0</v>
      </c>
      <c r="AB419" s="14" t="n">
        <f aca="false">W419-0.02*P419</f>
        <v>-1259498.3</v>
      </c>
      <c r="AC419" s="16" t="n">
        <v>33</v>
      </c>
      <c r="AD419" s="13" t="n">
        <f aca="false">IFERROR(AC419/AC418-1,"")</f>
        <v>0.1</v>
      </c>
      <c r="AE419" s="17" t="n">
        <v>0.106</v>
      </c>
      <c r="AF419" s="17" t="n">
        <v>0.097</v>
      </c>
      <c r="AG419" s="13" t="n">
        <f aca="false">1-AF419</f>
        <v>0.903</v>
      </c>
      <c r="AH419" s="17" t="n">
        <v>1.045</v>
      </c>
      <c r="AI419" s="12" t="n">
        <v>48672</v>
      </c>
      <c r="AJ419" s="14" t="n">
        <f aca="false">IFERROR(AM419*U419*MIN(1/AE419,5),"")</f>
        <v>166504.686405413</v>
      </c>
      <c r="AK419" s="18" t="n">
        <f aca="false">IFERROR(AJ419/AI419,"")</f>
        <v>3.42095427361548</v>
      </c>
      <c r="AL419" s="15" t="n">
        <f aca="false">IFERROR(AI419/(AM419*U419/12),"")</f>
        <v>17.5389657975721</v>
      </c>
      <c r="AM419" s="12" t="n">
        <v>46920</v>
      </c>
      <c r="AN419" s="12" t="n">
        <v>211578</v>
      </c>
      <c r="AO419" s="12" t="n">
        <v>561604</v>
      </c>
      <c r="AP419" s="17" t="n">
        <v>0.237</v>
      </c>
      <c r="AQ419" s="16" t="n">
        <v>29</v>
      </c>
      <c r="AR419" s="16" t="n">
        <v>3</v>
      </c>
      <c r="AS419" s="13" t="n">
        <f aca="false">IFERROR(AR419/AR418-1,"")</f>
        <v>0.5</v>
      </c>
      <c r="AT419" s="11" t="s">
        <v>201</v>
      </c>
      <c r="AU419" s="14" t="n">
        <f aca="false">IFERROR(P419/AR419,"")</f>
        <v>55671.6666666667</v>
      </c>
      <c r="AV419" s="12" t="n">
        <v>1374695</v>
      </c>
      <c r="AW419" s="12" t="n">
        <v>545400</v>
      </c>
      <c r="AX419" s="12" t="n">
        <v>270041</v>
      </c>
      <c r="AY419" s="16" t="n">
        <v>7838</v>
      </c>
      <c r="AZ419" s="13" t="n">
        <f aca="false">IFERROR(AY419/AY418-1,"")</f>
        <v>0.0687210253613309</v>
      </c>
      <c r="BA419" s="17" t="n">
        <v>0.924</v>
      </c>
      <c r="BB419" s="11" t="s">
        <v>107</v>
      </c>
      <c r="BC419" s="11" t="s">
        <v>100</v>
      </c>
      <c r="BD419" s="11" t="s">
        <v>83</v>
      </c>
      <c r="BE419" s="12" t="n">
        <v>182759</v>
      </c>
      <c r="BF419" s="13" t="n">
        <f aca="false">IFERROR(P419/BE419-1,"")</f>
        <v>-0.0861462363002643</v>
      </c>
      <c r="BG419" s="17" t="n">
        <v>0.014</v>
      </c>
      <c r="BH419" s="17" t="n">
        <v>0.083</v>
      </c>
      <c r="BI419" s="14" t="n">
        <f aca="false">P419*(1+IFERROR(Q419,0))^4</f>
        <v>258790.429273846</v>
      </c>
      <c r="BJ419" s="12" t="n">
        <v>-962730</v>
      </c>
      <c r="BK419" s="11" t="s">
        <v>110</v>
      </c>
      <c r="BL419" s="11" t="s">
        <v>85</v>
      </c>
      <c r="BM419" s="14" t="n">
        <f aca="false">O419</f>
        <v>17233168</v>
      </c>
      <c r="BN419" s="11" t="s">
        <v>465</v>
      </c>
      <c r="BO419" s="13" t="n">
        <f aca="false">IFERROR(1-L419/M419,"")</f>
        <v>0.112085769980507</v>
      </c>
      <c r="BP419" s="11" t="s">
        <v>113</v>
      </c>
      <c r="BQ419" s="12" t="n">
        <v>1683800</v>
      </c>
      <c r="BR419" s="11" t="s">
        <v>88</v>
      </c>
      <c r="BS419" s="11" t="s">
        <v>89</v>
      </c>
      <c r="BT419" s="19" t="str">
        <f aca="false">IF(OR(Z419&lt;6,AH419&lt;0.9,S419&lt;0.02,AK419&lt;1),"REVIEW",IF(AND(S419&gt;0.25,AH419&gt;1.2),"ACCELERATING","STABLE"))</f>
        <v>STABLE</v>
      </c>
    </row>
    <row r="420" customFormat="false" ht="15" hidden="false" customHeight="false" outlineLevel="0" collapsed="false">
      <c r="A420" s="11" t="s">
        <v>463</v>
      </c>
      <c r="B420" s="11" t="s">
        <v>92</v>
      </c>
      <c r="C420" s="11" t="s">
        <v>74</v>
      </c>
      <c r="D420" s="11" t="s">
        <v>165</v>
      </c>
      <c r="E420" s="11" t="s">
        <v>105</v>
      </c>
      <c r="F420" s="11" t="s">
        <v>464</v>
      </c>
      <c r="G420" s="11" t="s">
        <v>78</v>
      </c>
      <c r="H420" s="11" t="s">
        <v>79</v>
      </c>
      <c r="I420" s="11" t="s">
        <v>78</v>
      </c>
      <c r="J420" s="12" t="n">
        <v>1035000</v>
      </c>
      <c r="K420" s="13" t="n">
        <f aca="false">IFERROR(J420/M420,"")</f>
        <v>0.112085769980507</v>
      </c>
      <c r="L420" s="12" t="n">
        <v>8199000</v>
      </c>
      <c r="M420" s="14" t="n">
        <f aca="false">L420+J420</f>
        <v>9234000</v>
      </c>
      <c r="N420" s="12" t="n">
        <v>6476000</v>
      </c>
      <c r="O420" s="12" t="n">
        <v>17233168</v>
      </c>
      <c r="P420" s="12" t="n">
        <v>212616</v>
      </c>
      <c r="Q420" s="13" t="n">
        <f aca="false">IFERROR(P420/P419-1,"")</f>
        <v>0.273035356105739</v>
      </c>
      <c r="R420" s="12" t="n">
        <v>232779</v>
      </c>
      <c r="S420" s="13" t="n">
        <f aca="false">IFERROR(R420/R419-1,"")</f>
        <v>0.139849867054486</v>
      </c>
      <c r="T420" s="12" t="n">
        <v>151510</v>
      </c>
      <c r="U420" s="13" t="n">
        <f aca="false">IFERROR(T420/P420,"")</f>
        <v>0.712599239944313</v>
      </c>
      <c r="V420" s="14" t="n">
        <f aca="false">T420-AV420</f>
        <v>-1004493</v>
      </c>
      <c r="W420" s="14" t="n">
        <f aca="false">V420-AA420*0.1</f>
        <v>-1004493</v>
      </c>
      <c r="X420" s="12" t="n">
        <v>2821614</v>
      </c>
      <c r="Y420" s="12" t="n">
        <v>102820</v>
      </c>
      <c r="Z420" s="15" t="n">
        <f aca="false">IFERROR(X420/Y420,"")</f>
        <v>27.4422680412371</v>
      </c>
      <c r="AA420" s="12" t="n">
        <v>0</v>
      </c>
      <c r="AB420" s="14" t="n">
        <f aca="false">W420-0.02*P420</f>
        <v>-1008745.32</v>
      </c>
      <c r="AC420" s="16" t="n">
        <v>39</v>
      </c>
      <c r="AD420" s="13" t="n">
        <f aca="false">IFERROR(AC420/AC419-1,"")</f>
        <v>0.181818181818182</v>
      </c>
      <c r="AE420" s="17" t="n">
        <v>0.103</v>
      </c>
      <c r="AF420" s="17" t="n">
        <v>0.109</v>
      </c>
      <c r="AG420" s="13" t="n">
        <f aca="false">1-AF420</f>
        <v>0.891</v>
      </c>
      <c r="AH420" s="17" t="n">
        <v>1.04</v>
      </c>
      <c r="AI420" s="12" t="n">
        <v>47736</v>
      </c>
      <c r="AJ420" s="14" t="n">
        <f aca="false">IFERROR(AM420*U420*MIN(1/AE420,5),"")</f>
        <v>170453.73819468</v>
      </c>
      <c r="AK420" s="18" t="n">
        <f aca="false">IFERROR(AJ420/AI420,"")</f>
        <v>3.57075871867521</v>
      </c>
      <c r="AL420" s="15" t="n">
        <f aca="false">IFERROR(AI420/(AM420*U420/12),"")</f>
        <v>16.803151578458</v>
      </c>
      <c r="AM420" s="12" t="n">
        <v>47840</v>
      </c>
      <c r="AN420" s="12" t="n">
        <v>334726</v>
      </c>
      <c r="AO420" s="12" t="n">
        <v>625617</v>
      </c>
      <c r="AP420" s="17" t="n">
        <v>0.237</v>
      </c>
      <c r="AQ420" s="16" t="n">
        <v>29</v>
      </c>
      <c r="AR420" s="16" t="n">
        <v>3</v>
      </c>
      <c r="AS420" s="13" t="n">
        <f aca="false">IFERROR(AR420/AR419-1,"")</f>
        <v>0</v>
      </c>
      <c r="AT420" s="11" t="s">
        <v>201</v>
      </c>
      <c r="AU420" s="14" t="n">
        <f aca="false">IFERROR(P420/AR420,"")</f>
        <v>70872</v>
      </c>
      <c r="AV420" s="12" t="n">
        <v>1156003</v>
      </c>
      <c r="AW420" s="12" t="n">
        <v>570734</v>
      </c>
      <c r="AX420" s="12" t="n">
        <v>352909</v>
      </c>
      <c r="AY420" s="16" t="n">
        <v>9737</v>
      </c>
      <c r="AZ420" s="13" t="n">
        <f aca="false">IFERROR(AY420/AY419-1,"")</f>
        <v>0.242281194182189</v>
      </c>
      <c r="BA420" s="17" t="n">
        <v>0.917</v>
      </c>
      <c r="BB420" s="11" t="s">
        <v>107</v>
      </c>
      <c r="BC420" s="11" t="s">
        <v>100</v>
      </c>
      <c r="BD420" s="11" t="s">
        <v>83</v>
      </c>
      <c r="BE420" s="12" t="n">
        <v>262412</v>
      </c>
      <c r="BF420" s="13" t="n">
        <f aca="false">IFERROR(P420/BE420-1,"")</f>
        <v>-0.189762663292837</v>
      </c>
      <c r="BG420" s="17" t="n">
        <v>-0.059</v>
      </c>
      <c r="BH420" s="17" t="n">
        <v>0.046</v>
      </c>
      <c r="BI420" s="14" t="n">
        <f aca="false">P420*(1+IFERROR(Q420,0))^4</f>
        <v>558415.938343446</v>
      </c>
      <c r="BJ420" s="12" t="n">
        <v>-1061802</v>
      </c>
      <c r="BK420" s="11" t="s">
        <v>110</v>
      </c>
      <c r="BL420" s="11" t="s">
        <v>85</v>
      </c>
      <c r="BM420" s="14" t="n">
        <f aca="false">O420</f>
        <v>17233168</v>
      </c>
      <c r="BN420" s="11" t="s">
        <v>465</v>
      </c>
      <c r="BO420" s="13" t="n">
        <f aca="false">IFERROR(1-L420/M420,"")</f>
        <v>0.112085769980507</v>
      </c>
      <c r="BP420" s="11" t="s">
        <v>113</v>
      </c>
      <c r="BQ420" s="12" t="n">
        <v>1571461</v>
      </c>
      <c r="BR420" s="11" t="s">
        <v>88</v>
      </c>
      <c r="BS420" s="11" t="s">
        <v>89</v>
      </c>
      <c r="BT420" s="19" t="str">
        <f aca="false">IF(OR(Z420&lt;6,AH420&lt;0.9,S420&lt;0.02,AK420&lt;1),"REVIEW",IF(AND(S420&gt;0.25,AH420&gt;1.2),"ACCELERATING","STABLE"))</f>
        <v>STABLE</v>
      </c>
    </row>
    <row r="421" customFormat="false" ht="15" hidden="false" customHeight="false" outlineLevel="0" collapsed="false">
      <c r="A421" s="11" t="s">
        <v>463</v>
      </c>
      <c r="B421" s="11" t="s">
        <v>93</v>
      </c>
      <c r="C421" s="11" t="s">
        <v>74</v>
      </c>
      <c r="D421" s="11" t="s">
        <v>165</v>
      </c>
      <c r="E421" s="11" t="s">
        <v>105</v>
      </c>
      <c r="F421" s="11" t="s">
        <v>464</v>
      </c>
      <c r="G421" s="11" t="s">
        <v>78</v>
      </c>
      <c r="H421" s="11" t="s">
        <v>79</v>
      </c>
      <c r="I421" s="11" t="s">
        <v>78</v>
      </c>
      <c r="J421" s="12" t="n">
        <v>1035000</v>
      </c>
      <c r="K421" s="13" t="n">
        <f aca="false">IFERROR(J421/M421,"")</f>
        <v>0.112085769980507</v>
      </c>
      <c r="L421" s="12" t="n">
        <v>8199000</v>
      </c>
      <c r="M421" s="14" t="n">
        <f aca="false">L421+J421</f>
        <v>9234000</v>
      </c>
      <c r="N421" s="12" t="n">
        <v>6476000</v>
      </c>
      <c r="O421" s="12" t="n">
        <v>17233168</v>
      </c>
      <c r="P421" s="12" t="n">
        <v>245746</v>
      </c>
      <c r="Q421" s="13" t="n">
        <f aca="false">IFERROR(P421/P420-1,"")</f>
        <v>0.155820822515709</v>
      </c>
      <c r="R421" s="12" t="n">
        <v>275800</v>
      </c>
      <c r="S421" s="13" t="n">
        <f aca="false">IFERROR(R421/R420-1,"")</f>
        <v>0.184814781402102</v>
      </c>
      <c r="T421" s="12" t="n">
        <v>175822</v>
      </c>
      <c r="U421" s="13" t="n">
        <f aca="false">IFERROR(T421/P421,"")</f>
        <v>0.715462306609263</v>
      </c>
      <c r="V421" s="14" t="n">
        <f aca="false">T421-AV421</f>
        <v>-1072816</v>
      </c>
      <c r="W421" s="14" t="n">
        <f aca="false">V421-AA421*0.1</f>
        <v>-1072816</v>
      </c>
      <c r="X421" s="12" t="n">
        <v>2544000</v>
      </c>
      <c r="Y421" s="12" t="n">
        <v>106000</v>
      </c>
      <c r="Z421" s="15" t="n">
        <f aca="false">IFERROR(X421/Y421,"")</f>
        <v>24</v>
      </c>
      <c r="AA421" s="12" t="n">
        <v>0</v>
      </c>
      <c r="AB421" s="14" t="n">
        <f aca="false">W421-0.02*P421</f>
        <v>-1077730.92</v>
      </c>
      <c r="AC421" s="16" t="n">
        <v>43</v>
      </c>
      <c r="AD421" s="13" t="n">
        <f aca="false">IFERROR(AC421/AC420-1,"")</f>
        <v>0.102564102564103</v>
      </c>
      <c r="AE421" s="17" t="n">
        <v>0.1</v>
      </c>
      <c r="AF421" s="17" t="n">
        <v>0.075</v>
      </c>
      <c r="AG421" s="13" t="n">
        <f aca="false">1-AF421</f>
        <v>0.925</v>
      </c>
      <c r="AH421" s="17" t="n">
        <v>1.035</v>
      </c>
      <c r="AI421" s="12" t="n">
        <v>46800</v>
      </c>
      <c r="AJ421" s="14" t="n">
        <f aca="false">IFERROR(AM421*U421*MIN(1/AE421,5),"")</f>
        <v>174429.710351338</v>
      </c>
      <c r="AK421" s="18" t="n">
        <f aca="false">IFERROR(AJ421/AI421,"")</f>
        <v>3.72713056306279</v>
      </c>
      <c r="AL421" s="15" t="n">
        <f aca="false">IFERROR(AI421/(AM421*U421/12),"")</f>
        <v>16.0981749860393</v>
      </c>
      <c r="AM421" s="12" t="n">
        <v>48760</v>
      </c>
      <c r="AN421" s="12" t="n">
        <v>400610</v>
      </c>
      <c r="AO421" s="12" t="n">
        <v>532087</v>
      </c>
      <c r="AP421" s="17" t="n">
        <v>0.237</v>
      </c>
      <c r="AQ421" s="16" t="n">
        <v>29</v>
      </c>
      <c r="AR421" s="16" t="n">
        <v>3</v>
      </c>
      <c r="AS421" s="13" t="n">
        <f aca="false">IFERROR(AR421/AR420-1,"")</f>
        <v>0</v>
      </c>
      <c r="AT421" s="11" t="s">
        <v>201</v>
      </c>
      <c r="AU421" s="14" t="n">
        <f aca="false">IFERROR(P421/AR421,"")</f>
        <v>81915.3333333333</v>
      </c>
      <c r="AV421" s="12" t="n">
        <v>1248638</v>
      </c>
      <c r="AW421" s="12" t="n">
        <v>517942</v>
      </c>
      <c r="AX421" s="12" t="n">
        <v>256262</v>
      </c>
      <c r="AY421" s="16" t="n">
        <v>11077</v>
      </c>
      <c r="AZ421" s="13" t="n">
        <f aca="false">IFERROR(AY421/AY420-1,"")</f>
        <v>0.137619389955838</v>
      </c>
      <c r="BA421" s="17" t="n">
        <v>0.928</v>
      </c>
      <c r="BB421" s="11" t="s">
        <v>107</v>
      </c>
      <c r="BC421" s="11" t="s">
        <v>100</v>
      </c>
      <c r="BD421" s="11" t="s">
        <v>83</v>
      </c>
      <c r="BE421" s="12" t="n">
        <v>266603</v>
      </c>
      <c r="BF421" s="13" t="n">
        <f aca="false">IFERROR(P421/BE421-1,"")</f>
        <v>-0.0782324279921831</v>
      </c>
      <c r="BG421" s="17" t="n">
        <v>0.078</v>
      </c>
      <c r="BH421" s="17" t="n">
        <v>-0.025</v>
      </c>
      <c r="BI421" s="14" t="n">
        <f aca="false">P421*(1+IFERROR(Q421,0))^4</f>
        <v>438579.687965333</v>
      </c>
      <c r="BJ421" s="12" t="n">
        <v>-1149876</v>
      </c>
      <c r="BK421" s="11" t="s">
        <v>110</v>
      </c>
      <c r="BL421" s="11" t="s">
        <v>85</v>
      </c>
      <c r="BM421" s="14" t="n">
        <f aca="false">O421</f>
        <v>17233168</v>
      </c>
      <c r="BN421" s="11" t="s">
        <v>465</v>
      </c>
      <c r="BO421" s="13" t="n">
        <f aca="false">IFERROR(1-L421/M421,"")</f>
        <v>0.112085769980507</v>
      </c>
      <c r="BP421" s="11" t="s">
        <v>113</v>
      </c>
      <c r="BQ421" s="12" t="n">
        <v>2010255</v>
      </c>
      <c r="BR421" s="11" t="s">
        <v>88</v>
      </c>
      <c r="BS421" s="11" t="s">
        <v>89</v>
      </c>
      <c r="BT421" s="19" t="str">
        <f aca="false">IF(OR(Z421&lt;6,AH421&lt;0.9,S421&lt;0.02,AK421&lt;1),"REVIEW",IF(AND(S421&gt;0.25,AH421&gt;1.2),"ACCELERATING","STABLE"))</f>
        <v>STABLE</v>
      </c>
    </row>
    <row r="422" customFormat="false" ht="15" hidden="false" customHeight="false" outlineLevel="0" collapsed="false">
      <c r="A422" s="3" t="s">
        <v>466</v>
      </c>
      <c r="B422" s="3" t="s">
        <v>73</v>
      </c>
      <c r="C422" s="3" t="s">
        <v>74</v>
      </c>
      <c r="D422" s="3" t="s">
        <v>151</v>
      </c>
      <c r="E422" s="3" t="s">
        <v>105</v>
      </c>
      <c r="F422" s="3" t="s">
        <v>467</v>
      </c>
      <c r="G422" s="3" t="s">
        <v>78</v>
      </c>
      <c r="H422" s="3" t="s">
        <v>79</v>
      </c>
      <c r="I422" s="3" t="s">
        <v>78</v>
      </c>
      <c r="J422" s="4" t="n">
        <v>1683000</v>
      </c>
      <c r="K422" s="5" t="n">
        <f aca="false">IFERROR(J422/M422,"")</f>
        <v>0.129621072088725</v>
      </c>
      <c r="L422" s="4" t="n">
        <v>11301000</v>
      </c>
      <c r="M422" s="6" t="n">
        <f aca="false">L422+J422</f>
        <v>12984000</v>
      </c>
      <c r="N422" s="4" t="n">
        <v>3840000</v>
      </c>
      <c r="O422" s="4" t="n">
        <v>12374147</v>
      </c>
      <c r="P422" s="4" t="n">
        <v>606905</v>
      </c>
      <c r="Q422" s="7"/>
      <c r="R422" s="4" t="n">
        <v>692329</v>
      </c>
      <c r="S422" s="7"/>
      <c r="T422" s="4" t="n">
        <v>363602</v>
      </c>
      <c r="U422" s="5" t="n">
        <f aca="false">IFERROR(T422/P422,"")</f>
        <v>0.59910859195426</v>
      </c>
      <c r="V422" s="6" t="n">
        <f aca="false">T422-AV422</f>
        <v>-1189958</v>
      </c>
      <c r="W422" s="6" t="n">
        <f aca="false">V422-AA422*0.1</f>
        <v>-1189958</v>
      </c>
      <c r="X422" s="4" t="n">
        <v>3670407</v>
      </c>
      <c r="Y422" s="4" t="n">
        <v>106470</v>
      </c>
      <c r="Z422" s="8" t="n">
        <f aca="false">IFERROR(X422/Y422,"")</f>
        <v>34.4736263736264</v>
      </c>
      <c r="AA422" s="4" t="n">
        <v>0</v>
      </c>
      <c r="AB422" s="6" t="n">
        <f aca="false">W422-0.02*P422</f>
        <v>-1202096.1</v>
      </c>
      <c r="AC422" s="9" t="n">
        <v>43</v>
      </c>
      <c r="AD422" s="7"/>
      <c r="AE422" s="7" t="n">
        <v>0.059</v>
      </c>
      <c r="AF422" s="7" t="n">
        <v>0.046</v>
      </c>
      <c r="AG422" s="5" t="n">
        <f aca="false">1-AF422</f>
        <v>0.954</v>
      </c>
      <c r="AH422" s="7" t="n">
        <v>1.11</v>
      </c>
      <c r="AI422" s="4" t="n">
        <v>69324</v>
      </c>
      <c r="AJ422" s="6" t="n">
        <f aca="false">IFERROR(AM422*U422*MIN(1/AE422,5),"")</f>
        <v>170745.948706964</v>
      </c>
      <c r="AK422" s="10" t="n">
        <f aca="false">IFERROR(AJ422/AI422,"")</f>
        <v>2.46301351201552</v>
      </c>
      <c r="AL422" s="8" t="n">
        <f aca="false">IFERROR(AI422/(AM422*U422/12),"")</f>
        <v>24.360402290648</v>
      </c>
      <c r="AM422" s="4" t="n">
        <v>57000</v>
      </c>
      <c r="AN422" s="4" t="n">
        <v>678068</v>
      </c>
      <c r="AO422" s="4" t="n">
        <v>1188313</v>
      </c>
      <c r="AP422" s="7" t="n">
        <v>0.353</v>
      </c>
      <c r="AQ422" s="9" t="n">
        <v>27</v>
      </c>
      <c r="AR422" s="9" t="n">
        <v>6</v>
      </c>
      <c r="AS422" s="7"/>
      <c r="AT422" s="3" t="s">
        <v>201</v>
      </c>
      <c r="AU422" s="6" t="n">
        <f aca="false">IFERROR(P422/AR422,"")</f>
        <v>101150.833333333</v>
      </c>
      <c r="AV422" s="4" t="n">
        <v>1553560</v>
      </c>
      <c r="AW422" s="4" t="n">
        <v>725463</v>
      </c>
      <c r="AX422" s="4" t="n">
        <v>408436</v>
      </c>
      <c r="AY422" s="9" t="n">
        <v>10071</v>
      </c>
      <c r="AZ422" s="7"/>
      <c r="BA422" s="7" t="n">
        <v>0.953</v>
      </c>
      <c r="BB422" s="3" t="s">
        <v>81</v>
      </c>
      <c r="BC422" s="3" t="s">
        <v>82</v>
      </c>
      <c r="BD422" s="3" t="s">
        <v>175</v>
      </c>
      <c r="BE422" s="4" t="n">
        <v>613158</v>
      </c>
      <c r="BF422" s="5" t="n">
        <f aca="false">IFERROR(P422/BE422-1,"")</f>
        <v>-0.0101980240003392</v>
      </c>
      <c r="BG422" s="7" t="n">
        <v>0.067</v>
      </c>
      <c r="BH422" s="7" t="n">
        <v>-0.03</v>
      </c>
      <c r="BI422" s="6" t="n">
        <f aca="false">P422</f>
        <v>606905</v>
      </c>
      <c r="BJ422" s="4" t="n">
        <v>-1274285</v>
      </c>
      <c r="BK422" s="3" t="s">
        <v>84</v>
      </c>
      <c r="BL422" s="3" t="s">
        <v>162</v>
      </c>
      <c r="BM422" s="6" t="n">
        <f aca="false">O422</f>
        <v>12374147</v>
      </c>
      <c r="BN422" s="3" t="s">
        <v>468</v>
      </c>
      <c r="BO422" s="5" t="n">
        <f aca="false">IFERROR(1-L422/M422,"")</f>
        <v>0.129621072088725</v>
      </c>
      <c r="BP422" s="3" t="s">
        <v>87</v>
      </c>
      <c r="BQ422" s="4" t="n">
        <v>1381117</v>
      </c>
      <c r="BR422" s="3" t="s">
        <v>88</v>
      </c>
      <c r="BS422" s="3" t="s">
        <v>89</v>
      </c>
      <c r="BT422" s="3" t="s">
        <v>90</v>
      </c>
    </row>
    <row r="423" customFormat="false" ht="15" hidden="false" customHeight="false" outlineLevel="0" collapsed="false">
      <c r="A423" s="11" t="s">
        <v>466</v>
      </c>
      <c r="B423" s="11" t="s">
        <v>91</v>
      </c>
      <c r="C423" s="11" t="s">
        <v>74</v>
      </c>
      <c r="D423" s="11" t="s">
        <v>151</v>
      </c>
      <c r="E423" s="11" t="s">
        <v>105</v>
      </c>
      <c r="F423" s="11" t="s">
        <v>467</v>
      </c>
      <c r="G423" s="11" t="s">
        <v>78</v>
      </c>
      <c r="H423" s="11" t="s">
        <v>79</v>
      </c>
      <c r="I423" s="11" t="s">
        <v>78</v>
      </c>
      <c r="J423" s="12" t="n">
        <v>1683000</v>
      </c>
      <c r="K423" s="13" t="n">
        <f aca="false">IFERROR(J423/M423,"")</f>
        <v>0.129621072088725</v>
      </c>
      <c r="L423" s="12" t="n">
        <v>11301000</v>
      </c>
      <c r="M423" s="14" t="n">
        <f aca="false">L423+J423</f>
        <v>12984000</v>
      </c>
      <c r="N423" s="12" t="n">
        <v>3840000</v>
      </c>
      <c r="O423" s="12" t="n">
        <v>12374147</v>
      </c>
      <c r="P423" s="12" t="n">
        <v>770389</v>
      </c>
      <c r="Q423" s="13" t="n">
        <f aca="false">IFERROR(P423/P422-1,"")</f>
        <v>0.269373295655827</v>
      </c>
      <c r="R423" s="12" t="n">
        <v>872900</v>
      </c>
      <c r="S423" s="13" t="n">
        <f aca="false">IFERROR(R423/R422-1,"")</f>
        <v>0.260816750417793</v>
      </c>
      <c r="T423" s="12" t="n">
        <v>463416</v>
      </c>
      <c r="U423" s="13" t="n">
        <f aca="false">IFERROR(T423/P423,"")</f>
        <v>0.601535068647138</v>
      </c>
      <c r="V423" s="14" t="n">
        <f aca="false">T423-AV423</f>
        <v>-1256059</v>
      </c>
      <c r="W423" s="14" t="n">
        <f aca="false">V423-AA423*0.1</f>
        <v>-1256059</v>
      </c>
      <c r="X423" s="12" t="n">
        <v>3401892</v>
      </c>
      <c r="Y423" s="12" t="n">
        <v>109980</v>
      </c>
      <c r="Z423" s="15" t="n">
        <f aca="false">IFERROR(X423/Y423,"")</f>
        <v>30.931914893617</v>
      </c>
      <c r="AA423" s="12" t="n">
        <v>0</v>
      </c>
      <c r="AB423" s="14" t="n">
        <f aca="false">W423-0.02*P423</f>
        <v>-1271466.78</v>
      </c>
      <c r="AC423" s="16" t="n">
        <v>51</v>
      </c>
      <c r="AD423" s="13" t="n">
        <f aca="false">IFERROR(AC423/AC422-1,"")</f>
        <v>0.186046511627907</v>
      </c>
      <c r="AE423" s="17" t="n">
        <v>0.057</v>
      </c>
      <c r="AF423" s="17" t="n">
        <v>0.052</v>
      </c>
      <c r="AG423" s="13" t="n">
        <f aca="false">1-AF423</f>
        <v>0.948</v>
      </c>
      <c r="AH423" s="17" t="n">
        <v>1.105</v>
      </c>
      <c r="AI423" s="12" t="n">
        <v>68016</v>
      </c>
      <c r="AJ423" s="14" t="n">
        <f aca="false">IFERROR(AM423*U423*MIN(1/AE423,5),"")</f>
        <v>174866.244455723</v>
      </c>
      <c r="AK423" s="18" t="n">
        <f aca="false">IFERROR(AJ423/AI423,"")</f>
        <v>2.57095748729303</v>
      </c>
      <c r="AL423" s="15" t="n">
        <f aca="false">IFERROR(AI423/(AM423*U423/12),"")</f>
        <v>23.3376087689315</v>
      </c>
      <c r="AM423" s="12" t="n">
        <v>58140</v>
      </c>
      <c r="AN423" s="12" t="n">
        <v>1140537</v>
      </c>
      <c r="AO423" s="12" t="n">
        <v>3423260</v>
      </c>
      <c r="AP423" s="17" t="n">
        <v>0.353</v>
      </c>
      <c r="AQ423" s="16" t="n">
        <v>27</v>
      </c>
      <c r="AR423" s="16" t="n">
        <v>7</v>
      </c>
      <c r="AS423" s="13" t="n">
        <f aca="false">IFERROR(AR423/AR422-1,"")</f>
        <v>0.166666666666667</v>
      </c>
      <c r="AT423" s="11" t="s">
        <v>201</v>
      </c>
      <c r="AU423" s="14" t="n">
        <f aca="false">IFERROR(P423/AR423,"")</f>
        <v>110055.571428571</v>
      </c>
      <c r="AV423" s="12" t="n">
        <v>1719475</v>
      </c>
      <c r="AW423" s="12" t="n">
        <v>599036</v>
      </c>
      <c r="AX423" s="12" t="n">
        <v>381700</v>
      </c>
      <c r="AY423" s="16" t="n">
        <v>12736</v>
      </c>
      <c r="AZ423" s="13" t="n">
        <f aca="false">IFERROR(AY423/AY422-1,"")</f>
        <v>0.264621189554165</v>
      </c>
      <c r="BA423" s="17" t="n">
        <v>0.956</v>
      </c>
      <c r="BB423" s="11" t="s">
        <v>81</v>
      </c>
      <c r="BC423" s="11" t="s">
        <v>82</v>
      </c>
      <c r="BD423" s="11" t="s">
        <v>175</v>
      </c>
      <c r="BE423" s="12" t="n">
        <v>732386</v>
      </c>
      <c r="BF423" s="13" t="n">
        <f aca="false">IFERROR(P423/BE423-1,"")</f>
        <v>0.0518893042739756</v>
      </c>
      <c r="BG423" s="17" t="n">
        <v>0.083</v>
      </c>
      <c r="BH423" s="17" t="n">
        <v>0.088</v>
      </c>
      <c r="BI423" s="14" t="n">
        <f aca="false">P423*(1+IFERROR(Q423,0))^4</f>
        <v>2000172.73804552</v>
      </c>
      <c r="BJ423" s="12" t="n">
        <v>-982167</v>
      </c>
      <c r="BK423" s="11" t="s">
        <v>84</v>
      </c>
      <c r="BL423" s="11" t="s">
        <v>162</v>
      </c>
      <c r="BM423" s="14" t="n">
        <f aca="false">O423</f>
        <v>12374147</v>
      </c>
      <c r="BN423" s="11" t="s">
        <v>468</v>
      </c>
      <c r="BO423" s="13" t="n">
        <f aca="false">IFERROR(1-L423/M423,"")</f>
        <v>0.129621072088725</v>
      </c>
      <c r="BP423" s="11" t="s">
        <v>87</v>
      </c>
      <c r="BQ423" s="12" t="n">
        <v>1684857</v>
      </c>
      <c r="BR423" s="11" t="s">
        <v>88</v>
      </c>
      <c r="BS423" s="11" t="s">
        <v>89</v>
      </c>
      <c r="BT423" s="19" t="str">
        <f aca="false">IF(OR(Z423&lt;6,AH423&lt;0.9,S423&lt;0.02,AK423&lt;1),"REVIEW",IF(AND(S423&gt;0.25,AH423&gt;1.2),"ACCELERATING","STABLE"))</f>
        <v>STABLE</v>
      </c>
    </row>
    <row r="424" customFormat="false" ht="15" hidden="false" customHeight="false" outlineLevel="0" collapsed="false">
      <c r="A424" s="11" t="s">
        <v>466</v>
      </c>
      <c r="B424" s="11" t="s">
        <v>92</v>
      </c>
      <c r="C424" s="11" t="s">
        <v>74</v>
      </c>
      <c r="D424" s="11" t="s">
        <v>151</v>
      </c>
      <c r="E424" s="11" t="s">
        <v>105</v>
      </c>
      <c r="F424" s="11" t="s">
        <v>467</v>
      </c>
      <c r="G424" s="11" t="s">
        <v>78</v>
      </c>
      <c r="H424" s="11" t="s">
        <v>79</v>
      </c>
      <c r="I424" s="11" t="s">
        <v>78</v>
      </c>
      <c r="J424" s="12" t="n">
        <v>1683000</v>
      </c>
      <c r="K424" s="13" t="n">
        <f aca="false">IFERROR(J424/M424,"")</f>
        <v>0.129621072088725</v>
      </c>
      <c r="L424" s="12" t="n">
        <v>11301000</v>
      </c>
      <c r="M424" s="14" t="n">
        <f aca="false">L424+J424</f>
        <v>12984000</v>
      </c>
      <c r="N424" s="12" t="n">
        <v>3840000</v>
      </c>
      <c r="O424" s="12" t="n">
        <v>12374147</v>
      </c>
      <c r="P424" s="12" t="n">
        <v>855236</v>
      </c>
      <c r="Q424" s="13" t="n">
        <f aca="false">IFERROR(P424/P423-1,"")</f>
        <v>0.110135269324977</v>
      </c>
      <c r="R424" s="12" t="n">
        <v>1087973</v>
      </c>
      <c r="S424" s="13" t="n">
        <f aca="false">IFERROR(R424/R423-1,"")</f>
        <v>0.246389048000917</v>
      </c>
      <c r="T424" s="12" t="n">
        <v>516529</v>
      </c>
      <c r="U424" s="13" t="n">
        <f aca="false">IFERROR(T424/P424,"")</f>
        <v>0.60396077807763</v>
      </c>
      <c r="V424" s="14" t="n">
        <f aca="false">T424-AV424</f>
        <v>-1061203</v>
      </c>
      <c r="W424" s="14" t="n">
        <f aca="false">V424-AA424*0.1</f>
        <v>-1061203</v>
      </c>
      <c r="X424" s="12" t="n">
        <v>3114423</v>
      </c>
      <c r="Y424" s="12" t="n">
        <v>113490</v>
      </c>
      <c r="Z424" s="15" t="n">
        <f aca="false">IFERROR(X424/Y424,"")</f>
        <v>27.4422680412371</v>
      </c>
      <c r="AA424" s="12" t="n">
        <v>0</v>
      </c>
      <c r="AB424" s="14" t="n">
        <f aca="false">W424-0.02*P424</f>
        <v>-1078307.72</v>
      </c>
      <c r="AC424" s="16" t="n">
        <v>56</v>
      </c>
      <c r="AD424" s="13" t="n">
        <f aca="false">IFERROR(AC424/AC423-1,"")</f>
        <v>0.0980392156862746</v>
      </c>
      <c r="AE424" s="17" t="n">
        <v>0.056</v>
      </c>
      <c r="AF424" s="17" t="n">
        <v>0.054</v>
      </c>
      <c r="AG424" s="13" t="n">
        <f aca="false">1-AF424</f>
        <v>0.946</v>
      </c>
      <c r="AH424" s="17" t="n">
        <v>1.1</v>
      </c>
      <c r="AI424" s="12" t="n">
        <v>66708</v>
      </c>
      <c r="AJ424" s="14" t="n">
        <f aca="false">IFERROR(AM424*U424*MIN(1/AE424,5),"")</f>
        <v>179013.97462221</v>
      </c>
      <c r="AK424" s="18" t="n">
        <f aca="false">IFERROR(AJ424/AI424,"")</f>
        <v>2.68354582092417</v>
      </c>
      <c r="AL424" s="15" t="n">
        <f aca="false">IFERROR(AI424/(AM424*U424/12),"")</f>
        <v>22.3584779257978</v>
      </c>
      <c r="AM424" s="12" t="n">
        <v>59280</v>
      </c>
      <c r="AN424" s="12" t="n">
        <v>1260162</v>
      </c>
      <c r="AO424" s="12" t="n">
        <v>2898077</v>
      </c>
      <c r="AP424" s="17" t="n">
        <v>0.353</v>
      </c>
      <c r="AQ424" s="16" t="n">
        <v>27</v>
      </c>
      <c r="AR424" s="16" t="n">
        <v>7</v>
      </c>
      <c r="AS424" s="13" t="n">
        <f aca="false">IFERROR(AR424/AR423-1,"")</f>
        <v>0</v>
      </c>
      <c r="AT424" s="11" t="s">
        <v>201</v>
      </c>
      <c r="AU424" s="14" t="n">
        <f aca="false">IFERROR(P424/AR424,"")</f>
        <v>122176.571428571</v>
      </c>
      <c r="AV424" s="12" t="n">
        <v>1577732</v>
      </c>
      <c r="AW424" s="12" t="n">
        <v>675975</v>
      </c>
      <c r="AX424" s="12" t="n">
        <v>360931</v>
      </c>
      <c r="AY424" s="16" t="n">
        <v>14877</v>
      </c>
      <c r="AZ424" s="13" t="n">
        <f aca="false">IFERROR(AY424/AY423-1,"")</f>
        <v>0.168106155778895</v>
      </c>
      <c r="BA424" s="17" t="n">
        <v>0.955</v>
      </c>
      <c r="BB424" s="11" t="s">
        <v>81</v>
      </c>
      <c r="BC424" s="11" t="s">
        <v>82</v>
      </c>
      <c r="BD424" s="11" t="s">
        <v>175</v>
      </c>
      <c r="BE424" s="12" t="n">
        <v>875885</v>
      </c>
      <c r="BF424" s="13" t="n">
        <f aca="false">IFERROR(P424/BE424-1,"")</f>
        <v>-0.0235750127014391</v>
      </c>
      <c r="BG424" s="17" t="n">
        <v>0.031</v>
      </c>
      <c r="BH424" s="17" t="n">
        <v>-0.014</v>
      </c>
      <c r="BI424" s="14" t="n">
        <f aca="false">P424*(1+IFERROR(Q424,0))^4</f>
        <v>1298941.45044692</v>
      </c>
      <c r="BJ424" s="12" t="n">
        <v>-707499</v>
      </c>
      <c r="BK424" s="11" t="s">
        <v>84</v>
      </c>
      <c r="BL424" s="11" t="s">
        <v>162</v>
      </c>
      <c r="BM424" s="14" t="n">
        <f aca="false">O424</f>
        <v>12374147</v>
      </c>
      <c r="BN424" s="11" t="s">
        <v>468</v>
      </c>
      <c r="BO424" s="13" t="n">
        <f aca="false">IFERROR(1-L424/M424,"")</f>
        <v>0.129621072088725</v>
      </c>
      <c r="BP424" s="11" t="s">
        <v>87</v>
      </c>
      <c r="BQ424" s="12" t="n">
        <v>1594960</v>
      </c>
      <c r="BR424" s="11" t="s">
        <v>88</v>
      </c>
      <c r="BS424" s="11" t="s">
        <v>89</v>
      </c>
      <c r="BT424" s="19" t="str">
        <f aca="false">IF(OR(Z424&lt;6,AH424&lt;0.9,S424&lt;0.02,AK424&lt;1),"REVIEW",IF(AND(S424&gt;0.25,AH424&gt;1.2),"ACCELERATING","STABLE"))</f>
        <v>STABLE</v>
      </c>
    </row>
    <row r="425" customFormat="false" ht="15" hidden="false" customHeight="false" outlineLevel="0" collapsed="false">
      <c r="A425" s="11" t="s">
        <v>466</v>
      </c>
      <c r="B425" s="11" t="s">
        <v>93</v>
      </c>
      <c r="C425" s="11" t="s">
        <v>74</v>
      </c>
      <c r="D425" s="11" t="s">
        <v>151</v>
      </c>
      <c r="E425" s="11" t="s">
        <v>105</v>
      </c>
      <c r="F425" s="11" t="s">
        <v>467</v>
      </c>
      <c r="G425" s="11" t="s">
        <v>78</v>
      </c>
      <c r="H425" s="11" t="s">
        <v>79</v>
      </c>
      <c r="I425" s="11" t="s">
        <v>78</v>
      </c>
      <c r="J425" s="12" t="n">
        <v>1683000</v>
      </c>
      <c r="K425" s="13" t="n">
        <f aca="false">IFERROR(J425/M425,"")</f>
        <v>0.129621072088725</v>
      </c>
      <c r="L425" s="12" t="n">
        <v>11301000</v>
      </c>
      <c r="M425" s="14" t="n">
        <f aca="false">L425+J425</f>
        <v>12984000</v>
      </c>
      <c r="N425" s="12" t="n">
        <v>3840000</v>
      </c>
      <c r="O425" s="12" t="n">
        <v>12374147</v>
      </c>
      <c r="P425" s="12" t="n">
        <v>1024599</v>
      </c>
      <c r="Q425" s="13" t="n">
        <f aca="false">IFERROR(P425/P424-1,"")</f>
        <v>0.198030719006216</v>
      </c>
      <c r="R425" s="12" t="n">
        <v>1211306</v>
      </c>
      <c r="S425" s="13" t="n">
        <f aca="false">IFERROR(R425/R424-1,"")</f>
        <v>0.113360349935155</v>
      </c>
      <c r="T425" s="12" t="n">
        <v>621303</v>
      </c>
      <c r="U425" s="13" t="n">
        <f aca="false">IFERROR(T425/P425,"")</f>
        <v>0.606386498522837</v>
      </c>
      <c r="V425" s="14" t="n">
        <f aca="false">T425-AV425</f>
        <v>-1253904</v>
      </c>
      <c r="W425" s="14" t="n">
        <f aca="false">V425-AA425*0.1</f>
        <v>-1253904</v>
      </c>
      <c r="X425" s="12" t="n">
        <v>2808000</v>
      </c>
      <c r="Y425" s="12" t="n">
        <v>117000</v>
      </c>
      <c r="Z425" s="15" t="n">
        <f aca="false">IFERROR(X425/Y425,"")</f>
        <v>24</v>
      </c>
      <c r="AA425" s="12" t="n">
        <v>0</v>
      </c>
      <c r="AB425" s="14" t="n">
        <f aca="false">W425-0.02*P425</f>
        <v>-1274395.98</v>
      </c>
      <c r="AC425" s="16" t="n">
        <v>67</v>
      </c>
      <c r="AD425" s="13" t="n">
        <f aca="false">IFERROR(AC425/AC424-1,"")</f>
        <v>0.196428571428571</v>
      </c>
      <c r="AE425" s="17" t="n">
        <v>0.054</v>
      </c>
      <c r="AF425" s="17" t="n">
        <v>0.039</v>
      </c>
      <c r="AG425" s="13" t="n">
        <f aca="false">1-AF425</f>
        <v>0.961</v>
      </c>
      <c r="AH425" s="17" t="n">
        <v>1.095</v>
      </c>
      <c r="AI425" s="12" t="n">
        <v>65400</v>
      </c>
      <c r="AJ425" s="14" t="n">
        <f aca="false">IFERROR(AM425*U425*MIN(1/AE425,5),"")</f>
        <v>183189.361203749</v>
      </c>
      <c r="AK425" s="18" t="n">
        <f aca="false">IFERROR(AJ425/AI425,"")</f>
        <v>2.80106056886466</v>
      </c>
      <c r="AL425" s="15" t="n">
        <f aca="false">IFERROR(AI425/(AM425*U425/12),"")</f>
        <v>21.4204579033146</v>
      </c>
      <c r="AM425" s="12" t="n">
        <v>60420</v>
      </c>
      <c r="AN425" s="12" t="n">
        <v>1801369</v>
      </c>
      <c r="AO425" s="12" t="n">
        <v>1845458</v>
      </c>
      <c r="AP425" s="17" t="n">
        <v>0.353</v>
      </c>
      <c r="AQ425" s="16" t="n">
        <v>27</v>
      </c>
      <c r="AR425" s="16" t="n">
        <v>8</v>
      </c>
      <c r="AS425" s="13" t="n">
        <f aca="false">IFERROR(AR425/AR424-1,"")</f>
        <v>0.142857142857143</v>
      </c>
      <c r="AT425" s="11" t="s">
        <v>201</v>
      </c>
      <c r="AU425" s="14" t="n">
        <f aca="false">IFERROR(P425/AR425,"")</f>
        <v>128074.875</v>
      </c>
      <c r="AV425" s="12" t="n">
        <v>1875207</v>
      </c>
      <c r="AW425" s="12" t="n">
        <v>774858</v>
      </c>
      <c r="AX425" s="12" t="n">
        <v>577608</v>
      </c>
      <c r="AY425" s="16" t="n">
        <v>16761</v>
      </c>
      <c r="AZ425" s="13" t="n">
        <f aca="false">IFERROR(AY425/AY424-1,"")</f>
        <v>0.126638435168381</v>
      </c>
      <c r="BA425" s="17" t="n">
        <v>0.946</v>
      </c>
      <c r="BB425" s="11" t="s">
        <v>81</v>
      </c>
      <c r="BC425" s="11" t="s">
        <v>82</v>
      </c>
      <c r="BD425" s="11" t="s">
        <v>175</v>
      </c>
      <c r="BE425" s="12" t="n">
        <v>1104198</v>
      </c>
      <c r="BF425" s="13" t="n">
        <f aca="false">IFERROR(P425/BE425-1,"")</f>
        <v>-0.0720876147212728</v>
      </c>
      <c r="BG425" s="17" t="n">
        <v>0.028</v>
      </c>
      <c r="BH425" s="17" t="n">
        <v>0.064</v>
      </c>
      <c r="BI425" s="14" t="n">
        <f aca="false">P425*(1+IFERROR(Q425,0))^4</f>
        <v>2110696.27588189</v>
      </c>
      <c r="BJ425" s="12" t="n">
        <v>-1040935</v>
      </c>
      <c r="BK425" s="11" t="s">
        <v>84</v>
      </c>
      <c r="BL425" s="11" t="s">
        <v>162</v>
      </c>
      <c r="BM425" s="14" t="n">
        <f aca="false">O425</f>
        <v>12374147</v>
      </c>
      <c r="BN425" s="11" t="s">
        <v>468</v>
      </c>
      <c r="BO425" s="13" t="n">
        <f aca="false">IFERROR(1-L425/M425,"")</f>
        <v>0.129621072088725</v>
      </c>
      <c r="BP425" s="11" t="s">
        <v>87</v>
      </c>
      <c r="BQ425" s="12" t="n">
        <v>2187844</v>
      </c>
      <c r="BR425" s="11" t="s">
        <v>88</v>
      </c>
      <c r="BS425" s="11" t="s">
        <v>89</v>
      </c>
      <c r="BT425" s="19" t="str">
        <f aca="false">IF(OR(Z425&lt;6,AH425&lt;0.9,S425&lt;0.02,AK425&lt;1),"REVIEW",IF(AND(S425&gt;0.25,AH425&gt;1.2),"ACCELERATING","STABLE"))</f>
        <v>STABLE</v>
      </c>
    </row>
    <row r="426" customFormat="false" ht="15" hidden="false" customHeight="false" outlineLevel="0" collapsed="false">
      <c r="A426" s="3" t="s">
        <v>469</v>
      </c>
      <c r="B426" s="3" t="s">
        <v>73</v>
      </c>
      <c r="C426" s="3" t="s">
        <v>74</v>
      </c>
      <c r="D426" s="3" t="s">
        <v>75</v>
      </c>
      <c r="E426" s="3" t="s">
        <v>470</v>
      </c>
      <c r="F426" s="3" t="s">
        <v>471</v>
      </c>
      <c r="G426" s="3" t="s">
        <v>78</v>
      </c>
      <c r="H426" s="3" t="s">
        <v>79</v>
      </c>
      <c r="I426" s="3" t="s">
        <v>78</v>
      </c>
      <c r="J426" s="4" t="n">
        <v>1882000</v>
      </c>
      <c r="K426" s="5" t="n">
        <f aca="false">IFERROR(J426/M426,"")</f>
        <v>0.123377474760719</v>
      </c>
      <c r="L426" s="4" t="n">
        <v>13372000</v>
      </c>
      <c r="M426" s="6" t="n">
        <f aca="false">L426+J426</f>
        <v>15254000</v>
      </c>
      <c r="N426" s="4" t="n">
        <v>2961000</v>
      </c>
      <c r="O426" s="4" t="n">
        <v>32103077</v>
      </c>
      <c r="P426" s="4" t="n">
        <v>720855</v>
      </c>
      <c r="Q426" s="7"/>
      <c r="R426" s="4" t="n">
        <v>885189</v>
      </c>
      <c r="S426" s="7"/>
      <c r="T426" s="4" t="n">
        <v>433631</v>
      </c>
      <c r="U426" s="5" t="n">
        <f aca="false">IFERROR(T426/P426,"")</f>
        <v>0.601550936041229</v>
      </c>
      <c r="V426" s="6" t="n">
        <f aca="false">T426-AV426</f>
        <v>-1460235</v>
      </c>
      <c r="W426" s="6" t="n">
        <f aca="false">V426-AA426*0.1</f>
        <v>-1460235</v>
      </c>
      <c r="X426" s="4" t="n">
        <v>2727237</v>
      </c>
      <c r="Y426" s="4" t="n">
        <v>127400</v>
      </c>
      <c r="Z426" s="8" t="n">
        <f aca="false">IFERROR(X426/Y426,"")</f>
        <v>21.4068838304553</v>
      </c>
      <c r="AA426" s="4" t="n">
        <v>0</v>
      </c>
      <c r="AB426" s="6" t="n">
        <f aca="false">W426-0.02*P426</f>
        <v>-1474652.1</v>
      </c>
      <c r="AC426" s="9" t="n">
        <v>20</v>
      </c>
      <c r="AD426" s="7"/>
      <c r="AE426" s="7" t="n">
        <v>0.061</v>
      </c>
      <c r="AF426" s="7" t="n">
        <v>0.038</v>
      </c>
      <c r="AG426" s="5" t="n">
        <f aca="false">1-AF426</f>
        <v>0.962</v>
      </c>
      <c r="AH426" s="7" t="n">
        <v>1.191</v>
      </c>
      <c r="AI426" s="4" t="n">
        <v>50032</v>
      </c>
      <c r="AJ426" s="6" t="n">
        <f aca="false">IFERROR(AM426*U426*MIN(1/AE426,5),"")</f>
        <v>123317.941888452</v>
      </c>
      <c r="AK426" s="10" t="n">
        <f aca="false">IFERROR(AJ426/AI426,"")</f>
        <v>2.46478137768732</v>
      </c>
      <c r="AL426" s="8" t="n">
        <f aca="false">IFERROR(AI426/(AM426*U426/12),"")</f>
        <v>24.3429297799618</v>
      </c>
      <c r="AM426" s="4" t="n">
        <v>41000</v>
      </c>
      <c r="AN426" s="4" t="n">
        <v>956254</v>
      </c>
      <c r="AO426" s="4" t="n">
        <v>2145418</v>
      </c>
      <c r="AP426" s="7" t="n">
        <v>0.339</v>
      </c>
      <c r="AQ426" s="9" t="n">
        <v>76</v>
      </c>
      <c r="AR426" s="9" t="n">
        <v>1</v>
      </c>
      <c r="AS426" s="7"/>
      <c r="AT426" s="3" t="s">
        <v>201</v>
      </c>
      <c r="AU426" s="6" t="n">
        <f aca="false">IFERROR(P426/AR426,"")</f>
        <v>720855</v>
      </c>
      <c r="AV426" s="4" t="n">
        <v>1893866</v>
      </c>
      <c r="AW426" s="4" t="n">
        <v>742459</v>
      </c>
      <c r="AX426" s="4" t="n">
        <v>627196</v>
      </c>
      <c r="AY426" s="9" t="n">
        <v>15487</v>
      </c>
      <c r="AZ426" s="7"/>
      <c r="BA426" s="7" t="n">
        <v>0.954</v>
      </c>
      <c r="BB426" s="3" t="s">
        <v>107</v>
      </c>
      <c r="BC426" s="3" t="s">
        <v>100</v>
      </c>
      <c r="BD426" s="3" t="s">
        <v>101</v>
      </c>
      <c r="BE426" s="4" t="n">
        <v>769515</v>
      </c>
      <c r="BF426" s="5" t="n">
        <f aca="false">IFERROR(P426/BE426-1,"")</f>
        <v>-0.0632346348024405</v>
      </c>
      <c r="BG426" s="7" t="n">
        <v>0.007</v>
      </c>
      <c r="BH426" s="7" t="n">
        <v>0.089</v>
      </c>
      <c r="BI426" s="6" t="n">
        <f aca="false">P426</f>
        <v>720855</v>
      </c>
      <c r="BJ426" s="4" t="n">
        <v>-1069784</v>
      </c>
      <c r="BK426" s="3" t="s">
        <v>192</v>
      </c>
      <c r="BL426" s="3" t="s">
        <v>162</v>
      </c>
      <c r="BM426" s="6" t="n">
        <f aca="false">O426</f>
        <v>32103077</v>
      </c>
      <c r="BN426" s="3" t="s">
        <v>472</v>
      </c>
      <c r="BO426" s="5" t="n">
        <f aca="false">IFERROR(1-L426/M426,"")</f>
        <v>0.123377474760718</v>
      </c>
      <c r="BP426" s="3" t="s">
        <v>142</v>
      </c>
      <c r="BQ426" s="4" t="n">
        <v>1742822</v>
      </c>
      <c r="BR426" s="3" t="s">
        <v>88</v>
      </c>
      <c r="BS426" s="3" t="s">
        <v>89</v>
      </c>
      <c r="BT426" s="3" t="s">
        <v>90</v>
      </c>
    </row>
    <row r="427" customFormat="false" ht="15" hidden="false" customHeight="false" outlineLevel="0" collapsed="false">
      <c r="A427" s="11" t="s">
        <v>469</v>
      </c>
      <c r="B427" s="11" t="s">
        <v>91</v>
      </c>
      <c r="C427" s="11" t="s">
        <v>74</v>
      </c>
      <c r="D427" s="11" t="s">
        <v>75</v>
      </c>
      <c r="E427" s="11" t="s">
        <v>470</v>
      </c>
      <c r="F427" s="11" t="s">
        <v>471</v>
      </c>
      <c r="G427" s="11" t="s">
        <v>78</v>
      </c>
      <c r="H427" s="11" t="s">
        <v>79</v>
      </c>
      <c r="I427" s="11" t="s">
        <v>78</v>
      </c>
      <c r="J427" s="12" t="n">
        <v>1882000</v>
      </c>
      <c r="K427" s="13" t="n">
        <f aca="false">IFERROR(J427/M427,"")</f>
        <v>0.123377474760719</v>
      </c>
      <c r="L427" s="12" t="n">
        <v>13372000</v>
      </c>
      <c r="M427" s="14" t="n">
        <f aca="false">L427+J427</f>
        <v>15254000</v>
      </c>
      <c r="N427" s="12" t="n">
        <v>2961000</v>
      </c>
      <c r="O427" s="12" t="n">
        <v>32103077</v>
      </c>
      <c r="P427" s="12" t="n">
        <v>855948</v>
      </c>
      <c r="Q427" s="13" t="n">
        <f aca="false">IFERROR(P427/P426-1,"")</f>
        <v>0.187406621303868</v>
      </c>
      <c r="R427" s="12" t="n">
        <v>1012753</v>
      </c>
      <c r="S427" s="13" t="n">
        <f aca="false">IFERROR(R427/R426-1,"")</f>
        <v>0.14410933710202</v>
      </c>
      <c r="T427" s="12" t="n">
        <v>516981</v>
      </c>
      <c r="U427" s="13" t="n">
        <f aca="false">IFERROR(T427/P427,"")</f>
        <v>0.603986457121227</v>
      </c>
      <c r="V427" s="14" t="n">
        <f aca="false">T427-AV427</f>
        <v>-1288372</v>
      </c>
      <c r="W427" s="14" t="n">
        <f aca="false">V427-AA427*0.1</f>
        <v>-1288372</v>
      </c>
      <c r="X427" s="12" t="n">
        <v>2405937</v>
      </c>
      <c r="Y427" s="12" t="n">
        <v>131600</v>
      </c>
      <c r="Z427" s="15" t="n">
        <f aca="false">IFERROR(X427/Y427,"")</f>
        <v>18.2821960486322</v>
      </c>
      <c r="AA427" s="12" t="n">
        <v>0</v>
      </c>
      <c r="AB427" s="14" t="n">
        <f aca="false">W427-0.02*P427</f>
        <v>-1305490.96</v>
      </c>
      <c r="AC427" s="16" t="n">
        <v>22</v>
      </c>
      <c r="AD427" s="13" t="n">
        <f aca="false">IFERROR(AC427/AC426-1,"")</f>
        <v>0.1</v>
      </c>
      <c r="AE427" s="17" t="n">
        <v>0.059</v>
      </c>
      <c r="AF427" s="17" t="n">
        <v>0.039</v>
      </c>
      <c r="AG427" s="13" t="n">
        <f aca="false">1-AF427</f>
        <v>0.961</v>
      </c>
      <c r="AH427" s="17" t="n">
        <v>1.186</v>
      </c>
      <c r="AI427" s="12" t="n">
        <v>49088</v>
      </c>
      <c r="AJ427" s="14" t="n">
        <f aca="false">IFERROR(AM427*U427*MIN(1/AE427,5),"")</f>
        <v>126293.568184049</v>
      </c>
      <c r="AK427" s="18" t="n">
        <f aca="false">IFERROR(AJ427/AI427,"")</f>
        <v>2.57279922148078</v>
      </c>
      <c r="AL427" s="15" t="n">
        <f aca="false">IFERROR(AI427/(AM427*U427/12),"")</f>
        <v>23.320902579202</v>
      </c>
      <c r="AM427" s="12" t="n">
        <v>41820</v>
      </c>
      <c r="AN427" s="12" t="n">
        <v>1073623</v>
      </c>
      <c r="AO427" s="12" t="n">
        <v>2467355</v>
      </c>
      <c r="AP427" s="17" t="n">
        <v>0.339</v>
      </c>
      <c r="AQ427" s="16" t="n">
        <v>76</v>
      </c>
      <c r="AR427" s="16" t="n">
        <v>1</v>
      </c>
      <c r="AS427" s="13" t="n">
        <f aca="false">IFERROR(AR427/AR426-1,"")</f>
        <v>0</v>
      </c>
      <c r="AT427" s="11" t="s">
        <v>201</v>
      </c>
      <c r="AU427" s="14" t="n">
        <f aca="false">IFERROR(P427/AR427,"")</f>
        <v>855948</v>
      </c>
      <c r="AV427" s="12" t="n">
        <v>1805353</v>
      </c>
      <c r="AW427" s="12" t="n">
        <v>635662</v>
      </c>
      <c r="AX427" s="12" t="n">
        <v>463813</v>
      </c>
      <c r="AY427" s="16" t="n">
        <v>18045</v>
      </c>
      <c r="AZ427" s="13" t="n">
        <f aca="false">IFERROR(AY427/AY426-1,"")</f>
        <v>0.165170788403177</v>
      </c>
      <c r="BA427" s="17" t="n">
        <v>0.949</v>
      </c>
      <c r="BB427" s="11" t="s">
        <v>107</v>
      </c>
      <c r="BC427" s="11" t="s">
        <v>100</v>
      </c>
      <c r="BD427" s="11" t="s">
        <v>101</v>
      </c>
      <c r="BE427" s="12" t="n">
        <v>856849</v>
      </c>
      <c r="BF427" s="13" t="n">
        <f aca="false">IFERROR(P427/BE427-1,"")</f>
        <v>-0.00105152716522983</v>
      </c>
      <c r="BG427" s="17" t="n">
        <v>0.04</v>
      </c>
      <c r="BH427" s="17" t="n">
        <v>0.082</v>
      </c>
      <c r="BI427" s="14" t="n">
        <f aca="false">P427*(1+IFERROR(Q427,0))^4</f>
        <v>1701552.08246194</v>
      </c>
      <c r="BJ427" s="12" t="n">
        <v>-871432</v>
      </c>
      <c r="BK427" s="11" t="s">
        <v>192</v>
      </c>
      <c r="BL427" s="11" t="s">
        <v>162</v>
      </c>
      <c r="BM427" s="14" t="n">
        <f aca="false">O427</f>
        <v>32103077</v>
      </c>
      <c r="BN427" s="11" t="s">
        <v>472</v>
      </c>
      <c r="BO427" s="13" t="n">
        <f aca="false">IFERROR(1-L427/M427,"")</f>
        <v>0.123377474760718</v>
      </c>
      <c r="BP427" s="11" t="s">
        <v>142</v>
      </c>
      <c r="BQ427" s="12" t="n">
        <v>2480432</v>
      </c>
      <c r="BR427" s="11" t="s">
        <v>88</v>
      </c>
      <c r="BS427" s="11" t="s">
        <v>89</v>
      </c>
      <c r="BT427" s="19" t="str">
        <f aca="false">IF(OR(Z427&lt;6,AH427&lt;0.9,S427&lt;0.02,AK427&lt;1),"REVIEW",IF(AND(S427&gt;0.25,AH427&gt;1.2),"ACCELERATING","STABLE"))</f>
        <v>STABLE</v>
      </c>
    </row>
    <row r="428" customFormat="false" ht="15" hidden="false" customHeight="false" outlineLevel="0" collapsed="false">
      <c r="A428" s="11" t="s">
        <v>469</v>
      </c>
      <c r="B428" s="11" t="s">
        <v>92</v>
      </c>
      <c r="C428" s="11" t="s">
        <v>74</v>
      </c>
      <c r="D428" s="11" t="s">
        <v>75</v>
      </c>
      <c r="E428" s="11" t="s">
        <v>470</v>
      </c>
      <c r="F428" s="11" t="s">
        <v>471</v>
      </c>
      <c r="G428" s="11" t="s">
        <v>78</v>
      </c>
      <c r="H428" s="11" t="s">
        <v>79</v>
      </c>
      <c r="I428" s="11" t="s">
        <v>78</v>
      </c>
      <c r="J428" s="12" t="n">
        <v>1882000</v>
      </c>
      <c r="K428" s="13" t="n">
        <f aca="false">IFERROR(J428/M428,"")</f>
        <v>0.123377474760719</v>
      </c>
      <c r="L428" s="12" t="n">
        <v>13372000</v>
      </c>
      <c r="M428" s="14" t="n">
        <f aca="false">L428+J428</f>
        <v>15254000</v>
      </c>
      <c r="N428" s="12" t="n">
        <v>2961000</v>
      </c>
      <c r="O428" s="12" t="n">
        <v>32103077</v>
      </c>
      <c r="P428" s="12" t="n">
        <v>1113404</v>
      </c>
      <c r="Q428" s="13" t="n">
        <f aca="false">IFERROR(P428/P427-1,"")</f>
        <v>0.300784627103516</v>
      </c>
      <c r="R428" s="12" t="n">
        <v>1230703</v>
      </c>
      <c r="S428" s="13" t="n">
        <f aca="false">IFERROR(R428/R427-1,"")</f>
        <v>0.215205484456724</v>
      </c>
      <c r="T428" s="12" t="n">
        <v>675193</v>
      </c>
      <c r="U428" s="13" t="n">
        <f aca="false">IFERROR(T428/P428,"")</f>
        <v>0.606422286968612</v>
      </c>
      <c r="V428" s="14" t="n">
        <f aca="false">T428-AV428</f>
        <v>-1242673</v>
      </c>
      <c r="W428" s="14" t="n">
        <f aca="false">V428-AA428*0.1</f>
        <v>-1242673</v>
      </c>
      <c r="X428" s="12" t="n">
        <v>2061957</v>
      </c>
      <c r="Y428" s="12" t="n">
        <v>135800</v>
      </c>
      <c r="Z428" s="15" t="n">
        <f aca="false">IFERROR(X428/Y428,"")</f>
        <v>15.1837776141384</v>
      </c>
      <c r="AA428" s="12" t="n">
        <v>0</v>
      </c>
      <c r="AB428" s="14" t="n">
        <f aca="false">W428-0.02*P428</f>
        <v>-1264941.08</v>
      </c>
      <c r="AC428" s="16" t="n">
        <v>27</v>
      </c>
      <c r="AD428" s="13" t="n">
        <f aca="false">IFERROR(AC428/AC427-1,"")</f>
        <v>0.227272727272727</v>
      </c>
      <c r="AE428" s="17" t="n">
        <v>0.058</v>
      </c>
      <c r="AF428" s="17" t="n">
        <v>0.056</v>
      </c>
      <c r="AG428" s="13" t="n">
        <f aca="false">1-AF428</f>
        <v>0.944</v>
      </c>
      <c r="AH428" s="17" t="n">
        <v>1.181</v>
      </c>
      <c r="AI428" s="12" t="n">
        <v>48144</v>
      </c>
      <c r="AJ428" s="14" t="n">
        <f aca="false">IFERROR(AM428*U428*MIN(1/AE428,5),"")</f>
        <v>129289.231581708</v>
      </c>
      <c r="AK428" s="18" t="n">
        <f aca="false">IFERROR(AJ428/AI428,"")</f>
        <v>2.68546925020165</v>
      </c>
      <c r="AL428" s="15" t="n">
        <f aca="false">IFERROR(AI428/(AM428*U428/12),"")</f>
        <v>22.3424639829686</v>
      </c>
      <c r="AM428" s="12" t="n">
        <v>42640</v>
      </c>
      <c r="AN428" s="12" t="n">
        <v>1532698</v>
      </c>
      <c r="AO428" s="12" t="n">
        <v>3122601</v>
      </c>
      <c r="AP428" s="17" t="n">
        <v>0.339</v>
      </c>
      <c r="AQ428" s="16" t="n">
        <v>76</v>
      </c>
      <c r="AR428" s="16" t="n">
        <v>1</v>
      </c>
      <c r="AS428" s="13" t="n">
        <f aca="false">IFERROR(AR428/AR427-1,"")</f>
        <v>0</v>
      </c>
      <c r="AT428" s="11" t="s">
        <v>201</v>
      </c>
      <c r="AU428" s="14" t="n">
        <f aca="false">IFERROR(P428/AR428,"")</f>
        <v>1113404</v>
      </c>
      <c r="AV428" s="12" t="n">
        <v>1917866</v>
      </c>
      <c r="AW428" s="12" t="n">
        <v>814372</v>
      </c>
      <c r="AX428" s="12" t="n">
        <v>648874</v>
      </c>
      <c r="AY428" s="16" t="n">
        <v>22075</v>
      </c>
      <c r="AZ428" s="13" t="n">
        <f aca="false">IFERROR(AY428/AY427-1,"")</f>
        <v>0.223330562482682</v>
      </c>
      <c r="BA428" s="17" t="n">
        <v>0.959</v>
      </c>
      <c r="BB428" s="11" t="s">
        <v>107</v>
      </c>
      <c r="BC428" s="11" t="s">
        <v>100</v>
      </c>
      <c r="BD428" s="11" t="s">
        <v>101</v>
      </c>
      <c r="BE428" s="12" t="n">
        <v>1017605</v>
      </c>
      <c r="BF428" s="13" t="n">
        <f aca="false">IFERROR(P428/BE428-1,"")</f>
        <v>0.0941416364896006</v>
      </c>
      <c r="BG428" s="17" t="n">
        <v>0.089</v>
      </c>
      <c r="BH428" s="17" t="n">
        <v>0.026</v>
      </c>
      <c r="BI428" s="14" t="n">
        <f aca="false">P428*(1+IFERROR(Q428,0))^4</f>
        <v>3187677.37564336</v>
      </c>
      <c r="BJ428" s="12" t="n">
        <v>-1535586</v>
      </c>
      <c r="BK428" s="11" t="s">
        <v>192</v>
      </c>
      <c r="BL428" s="11" t="s">
        <v>162</v>
      </c>
      <c r="BM428" s="14" t="n">
        <f aca="false">O428</f>
        <v>32103077</v>
      </c>
      <c r="BN428" s="11" t="s">
        <v>472</v>
      </c>
      <c r="BO428" s="13" t="n">
        <f aca="false">IFERROR(1-L428/M428,"")</f>
        <v>0.123377474760718</v>
      </c>
      <c r="BP428" s="11" t="s">
        <v>142</v>
      </c>
      <c r="BQ428" s="12" t="n">
        <v>2170603</v>
      </c>
      <c r="BR428" s="11" t="s">
        <v>88</v>
      </c>
      <c r="BS428" s="11" t="s">
        <v>89</v>
      </c>
      <c r="BT428" s="19" t="str">
        <f aca="false">IF(OR(Z428&lt;6,AH428&lt;0.9,S428&lt;0.02,AK428&lt;1),"REVIEW",IF(AND(S428&gt;0.25,AH428&gt;1.2),"ACCELERATING","STABLE"))</f>
        <v>STABLE</v>
      </c>
    </row>
    <row r="429" customFormat="false" ht="15" hidden="false" customHeight="false" outlineLevel="0" collapsed="false">
      <c r="A429" s="11" t="s">
        <v>469</v>
      </c>
      <c r="B429" s="11" t="s">
        <v>93</v>
      </c>
      <c r="C429" s="11" t="s">
        <v>74</v>
      </c>
      <c r="D429" s="11" t="s">
        <v>75</v>
      </c>
      <c r="E429" s="11" t="s">
        <v>470</v>
      </c>
      <c r="F429" s="11" t="s">
        <v>471</v>
      </c>
      <c r="G429" s="11" t="s">
        <v>78</v>
      </c>
      <c r="H429" s="11" t="s">
        <v>79</v>
      </c>
      <c r="I429" s="11" t="s">
        <v>78</v>
      </c>
      <c r="J429" s="12" t="n">
        <v>1882000</v>
      </c>
      <c r="K429" s="13" t="n">
        <f aca="false">IFERROR(J429/M429,"")</f>
        <v>0.123377474760719</v>
      </c>
      <c r="L429" s="12" t="n">
        <v>13372000</v>
      </c>
      <c r="M429" s="14" t="n">
        <f aca="false">L429+J429</f>
        <v>15254000</v>
      </c>
      <c r="N429" s="12" t="n">
        <v>2961000</v>
      </c>
      <c r="O429" s="12" t="n">
        <v>32103077</v>
      </c>
      <c r="P429" s="12" t="n">
        <v>1313331</v>
      </c>
      <c r="Q429" s="13" t="n">
        <f aca="false">IFERROR(P429/P428-1,"")</f>
        <v>0.179563752240876</v>
      </c>
      <c r="R429" s="12" t="n">
        <v>1609042</v>
      </c>
      <c r="S429" s="13" t="n">
        <f aca="false">IFERROR(R429/R428-1,"")</f>
        <v>0.307416980376257</v>
      </c>
      <c r="T429" s="12" t="n">
        <v>799632</v>
      </c>
      <c r="U429" s="13" t="n">
        <f aca="false">IFERROR(T429/P429,"")</f>
        <v>0.608857934519173</v>
      </c>
      <c r="V429" s="14" t="n">
        <f aca="false">T429-AV429</f>
        <v>-1473818</v>
      </c>
      <c r="W429" s="14" t="n">
        <f aca="false">V429-AA429*0.1</f>
        <v>-1473818</v>
      </c>
      <c r="X429" s="12" t="n">
        <v>1695297</v>
      </c>
      <c r="Y429" s="12" t="n">
        <v>140000</v>
      </c>
      <c r="Z429" s="15" t="n">
        <f aca="false">IFERROR(X429/Y429,"")</f>
        <v>12.1092642857143</v>
      </c>
      <c r="AA429" s="12" t="n">
        <v>0</v>
      </c>
      <c r="AB429" s="14" t="n">
        <f aca="false">W429-0.02*P429</f>
        <v>-1500084.62</v>
      </c>
      <c r="AC429" s="16" t="n">
        <v>32</v>
      </c>
      <c r="AD429" s="13" t="n">
        <f aca="false">IFERROR(AC429/AC428-1,"")</f>
        <v>0.185185185185185</v>
      </c>
      <c r="AE429" s="17" t="n">
        <v>0.056</v>
      </c>
      <c r="AF429" s="17" t="n">
        <v>0.043</v>
      </c>
      <c r="AG429" s="13" t="n">
        <f aca="false">1-AF429</f>
        <v>0.957</v>
      </c>
      <c r="AH429" s="17" t="n">
        <v>1.176</v>
      </c>
      <c r="AI429" s="12" t="n">
        <v>47200</v>
      </c>
      <c r="AJ429" s="14" t="n">
        <f aca="false">IFERROR(AM429*U429*MIN(1/AE429,5),"")</f>
        <v>132304.829171016</v>
      </c>
      <c r="AK429" s="18" t="n">
        <f aca="false">IFERROR(AJ429/AI429,"")</f>
        <v>2.80306841464018</v>
      </c>
      <c r="AL429" s="15" t="n">
        <f aca="false">IFERROR(AI429/(AM429*U429/12),"")</f>
        <v>21.4051143691768</v>
      </c>
      <c r="AM429" s="12" t="n">
        <v>43460</v>
      </c>
      <c r="AN429" s="12" t="n">
        <v>2381434</v>
      </c>
      <c r="AO429" s="12" t="n">
        <v>2567598</v>
      </c>
      <c r="AP429" s="17" t="n">
        <v>0.339</v>
      </c>
      <c r="AQ429" s="16" t="n">
        <v>76</v>
      </c>
      <c r="AR429" s="16" t="n">
        <v>1</v>
      </c>
      <c r="AS429" s="13" t="n">
        <f aca="false">IFERROR(AR429/AR428-1,"")</f>
        <v>0</v>
      </c>
      <c r="AT429" s="11" t="s">
        <v>201</v>
      </c>
      <c r="AU429" s="14" t="n">
        <f aca="false">IFERROR(P429/AR429,"")</f>
        <v>1313331</v>
      </c>
      <c r="AV429" s="12" t="n">
        <v>2273450</v>
      </c>
      <c r="AW429" s="12" t="n">
        <v>742320</v>
      </c>
      <c r="AX429" s="12" t="n">
        <v>554730</v>
      </c>
      <c r="AY429" s="16" t="n">
        <v>25097</v>
      </c>
      <c r="AZ429" s="13" t="n">
        <f aca="false">IFERROR(AY429/AY428-1,"")</f>
        <v>0.136896942242356</v>
      </c>
      <c r="BA429" s="17" t="n">
        <v>0.942</v>
      </c>
      <c r="BB429" s="11" t="s">
        <v>107</v>
      </c>
      <c r="BC429" s="11" t="s">
        <v>100</v>
      </c>
      <c r="BD429" s="11" t="s">
        <v>101</v>
      </c>
      <c r="BE429" s="12" t="n">
        <v>1418247</v>
      </c>
      <c r="BF429" s="13" t="n">
        <f aca="false">IFERROR(P429/BE429-1,"")</f>
        <v>-0.0739758307262416</v>
      </c>
      <c r="BG429" s="17" t="n">
        <v>-0.002</v>
      </c>
      <c r="BH429" s="17" t="n">
        <v>0.03</v>
      </c>
      <c r="BI429" s="14" t="n">
        <f aca="false">P429*(1+IFERROR(Q429,0))^4</f>
        <v>2542493.60198786</v>
      </c>
      <c r="BJ429" s="12" t="n">
        <v>-1270982</v>
      </c>
      <c r="BK429" s="11" t="s">
        <v>192</v>
      </c>
      <c r="BL429" s="11" t="s">
        <v>162</v>
      </c>
      <c r="BM429" s="14" t="n">
        <f aca="false">O429</f>
        <v>32103077</v>
      </c>
      <c r="BN429" s="11" t="s">
        <v>472</v>
      </c>
      <c r="BO429" s="13" t="n">
        <f aca="false">IFERROR(1-L429/M429,"")</f>
        <v>0.123377474760718</v>
      </c>
      <c r="BP429" s="11" t="s">
        <v>142</v>
      </c>
      <c r="BQ429" s="12" t="n">
        <v>1890946</v>
      </c>
      <c r="BR429" s="11" t="s">
        <v>88</v>
      </c>
      <c r="BS429" s="11" t="s">
        <v>89</v>
      </c>
      <c r="BT429" s="19" t="str">
        <f aca="false">IF(OR(Z429&lt;6,AH429&lt;0.9,S429&lt;0.02,AK429&lt;1),"REVIEW",IF(AND(S429&gt;0.25,AH429&gt;1.2),"ACCELERATING","STABLE"))</f>
        <v>STABLE</v>
      </c>
    </row>
    <row r="430" customFormat="false" ht="15" hidden="false" customHeight="false" outlineLevel="0" collapsed="false">
      <c r="A430" s="3" t="s">
        <v>473</v>
      </c>
      <c r="B430" s="3" t="s">
        <v>73</v>
      </c>
      <c r="C430" s="3" t="s">
        <v>74</v>
      </c>
      <c r="D430" s="3" t="s">
        <v>210</v>
      </c>
      <c r="E430" s="3" t="s">
        <v>105</v>
      </c>
      <c r="F430" s="3" t="s">
        <v>474</v>
      </c>
      <c r="G430" s="3" t="s">
        <v>78</v>
      </c>
      <c r="H430" s="3" t="s">
        <v>79</v>
      </c>
      <c r="I430" s="3" t="s">
        <v>78</v>
      </c>
      <c r="J430" s="4" t="n">
        <v>4484000</v>
      </c>
      <c r="K430" s="5" t="n">
        <f aca="false">IFERROR(J430/M430,"")</f>
        <v>0.13293803735547</v>
      </c>
      <c r="L430" s="4" t="n">
        <v>29246000</v>
      </c>
      <c r="M430" s="6" t="n">
        <f aca="false">L430+J430</f>
        <v>33730000</v>
      </c>
      <c r="N430" s="4" t="n">
        <v>7980000</v>
      </c>
      <c r="O430" s="4" t="n">
        <v>58012490</v>
      </c>
      <c r="P430" s="4" t="n">
        <v>172203</v>
      </c>
      <c r="Q430" s="7"/>
      <c r="R430" s="4" t="n">
        <v>179363</v>
      </c>
      <c r="S430" s="7"/>
      <c r="T430" s="4" t="n">
        <v>117425</v>
      </c>
      <c r="U430" s="5" t="n">
        <f aca="false">IFERROR(T430/P430,"")</f>
        <v>0.681898689337584</v>
      </c>
      <c r="V430" s="6" t="n">
        <f aca="false">T430-AV430</f>
        <v>-1616441</v>
      </c>
      <c r="W430" s="6" t="n">
        <f aca="false">V430-AA430*0.1</f>
        <v>-1718241</v>
      </c>
      <c r="X430" s="4" t="n">
        <v>5019861</v>
      </c>
      <c r="Y430" s="4" t="n">
        <v>173810</v>
      </c>
      <c r="Z430" s="8" t="n">
        <f aca="false">IFERROR(X430/Y430,"")</f>
        <v>28.8813129279098</v>
      </c>
      <c r="AA430" s="4" t="n">
        <v>1018000</v>
      </c>
      <c r="AB430" s="6" t="n">
        <f aca="false">W430-0.02*P430</f>
        <v>-1721685.06</v>
      </c>
      <c r="AC430" s="9" t="n">
        <v>52</v>
      </c>
      <c r="AD430" s="7"/>
      <c r="AE430" s="7" t="n">
        <v>0.066</v>
      </c>
      <c r="AF430" s="7" t="n">
        <v>0.049</v>
      </c>
      <c r="AG430" s="5" t="n">
        <f aca="false">1-AF430</f>
        <v>0.951</v>
      </c>
      <c r="AH430" s="7" t="n">
        <v>1.157</v>
      </c>
      <c r="AI430" s="4" t="n">
        <v>28726</v>
      </c>
      <c r="AJ430" s="6" t="n">
        <f aca="false">IFERROR(AM430*U430*MIN(1/AE430,5),"")</f>
        <v>54551.8951470067</v>
      </c>
      <c r="AK430" s="10" t="n">
        <f aca="false">IFERROR(AJ430/AI430,"")</f>
        <v>1.89904251016524</v>
      </c>
      <c r="AL430" s="8" t="n">
        <f aca="false">IFERROR(AI430/(AM430*U430/12),"")</f>
        <v>31.5948693506494</v>
      </c>
      <c r="AM430" s="4" t="n">
        <v>16000</v>
      </c>
      <c r="AN430" s="4" t="n">
        <v>222402</v>
      </c>
      <c r="AO430" s="4" t="n">
        <v>623101</v>
      </c>
      <c r="AP430" s="7" t="n">
        <v>0.213</v>
      </c>
      <c r="AQ430" s="9" t="n">
        <v>23</v>
      </c>
      <c r="AR430" s="9" t="n">
        <v>2</v>
      </c>
      <c r="AS430" s="7"/>
      <c r="AT430" s="3" t="s">
        <v>153</v>
      </c>
      <c r="AU430" s="6" t="n">
        <f aca="false">IFERROR(P430/AR430,"")</f>
        <v>86101.5</v>
      </c>
      <c r="AV430" s="4" t="n">
        <v>1733866</v>
      </c>
      <c r="AW430" s="4" t="n">
        <v>754053</v>
      </c>
      <c r="AX430" s="4" t="n">
        <v>551063</v>
      </c>
      <c r="AY430" s="9" t="n">
        <v>11245</v>
      </c>
      <c r="AZ430" s="7"/>
      <c r="BA430" s="7" t="n">
        <v>0.937</v>
      </c>
      <c r="BB430" s="3" t="s">
        <v>81</v>
      </c>
      <c r="BC430" s="3" t="s">
        <v>100</v>
      </c>
      <c r="BD430" s="3" t="s">
        <v>83</v>
      </c>
      <c r="BE430" s="4" t="n">
        <v>189897</v>
      </c>
      <c r="BF430" s="5" t="n">
        <f aca="false">IFERROR(P430/BE430-1,"")</f>
        <v>-0.0931768274380322</v>
      </c>
      <c r="BG430" s="7" t="n">
        <v>0.052</v>
      </c>
      <c r="BH430" s="7" t="n">
        <v>-0.061</v>
      </c>
      <c r="BI430" s="6" t="n">
        <f aca="false">P430</f>
        <v>172203</v>
      </c>
      <c r="BJ430" s="4" t="n">
        <v>-1916734</v>
      </c>
      <c r="BK430" s="3" t="s">
        <v>192</v>
      </c>
      <c r="BL430" s="3" t="s">
        <v>162</v>
      </c>
      <c r="BM430" s="6" t="n">
        <f aca="false">O430</f>
        <v>58012490</v>
      </c>
      <c r="BN430" s="3" t="s">
        <v>475</v>
      </c>
      <c r="BO430" s="5" t="n">
        <f aca="false">IFERROR(1-L430/M430,"")</f>
        <v>0.13293803735547</v>
      </c>
      <c r="BP430" s="3" t="s">
        <v>142</v>
      </c>
      <c r="BQ430" s="4" t="n">
        <v>3305124</v>
      </c>
      <c r="BR430" s="3" t="s">
        <v>88</v>
      </c>
      <c r="BS430" s="3" t="s">
        <v>89</v>
      </c>
      <c r="BT430" s="3" t="s">
        <v>90</v>
      </c>
    </row>
    <row r="431" customFormat="false" ht="15" hidden="false" customHeight="false" outlineLevel="0" collapsed="false">
      <c r="A431" s="11" t="s">
        <v>473</v>
      </c>
      <c r="B431" s="11" t="s">
        <v>91</v>
      </c>
      <c r="C431" s="11" t="s">
        <v>74</v>
      </c>
      <c r="D431" s="11" t="s">
        <v>210</v>
      </c>
      <c r="E431" s="11" t="s">
        <v>105</v>
      </c>
      <c r="F431" s="11" t="s">
        <v>474</v>
      </c>
      <c r="G431" s="11" t="s">
        <v>78</v>
      </c>
      <c r="H431" s="11" t="s">
        <v>79</v>
      </c>
      <c r="I431" s="11" t="s">
        <v>78</v>
      </c>
      <c r="J431" s="12" t="n">
        <v>4484000</v>
      </c>
      <c r="K431" s="13" t="n">
        <f aca="false">IFERROR(J431/M431,"")</f>
        <v>0.13293803735547</v>
      </c>
      <c r="L431" s="12" t="n">
        <v>29246000</v>
      </c>
      <c r="M431" s="14" t="n">
        <f aca="false">L431+J431</f>
        <v>33730000</v>
      </c>
      <c r="N431" s="12" t="n">
        <v>7980000</v>
      </c>
      <c r="O431" s="12" t="n">
        <v>58012490</v>
      </c>
      <c r="P431" s="12" t="n">
        <v>215396</v>
      </c>
      <c r="Q431" s="13" t="n">
        <f aca="false">IFERROR(P431/P430-1,"")</f>
        <v>0.250826059940884</v>
      </c>
      <c r="R431" s="12" t="n">
        <v>211676</v>
      </c>
      <c r="S431" s="13" t="n">
        <f aca="false">IFERROR(R431/R430-1,"")</f>
        <v>0.180154212407241</v>
      </c>
      <c r="T431" s="12" t="n">
        <v>147472</v>
      </c>
      <c r="U431" s="13" t="n">
        <f aca="false">IFERROR(T431/P431,"")</f>
        <v>0.684655239651619</v>
      </c>
      <c r="V431" s="14" t="n">
        <f aca="false">T431-AV431</f>
        <v>-2067308</v>
      </c>
      <c r="W431" s="14" t="n">
        <f aca="false">V431-AA431*0.1</f>
        <v>-2169108</v>
      </c>
      <c r="X431" s="12" t="n">
        <v>4581516</v>
      </c>
      <c r="Y431" s="12" t="n">
        <v>179540</v>
      </c>
      <c r="Z431" s="15" t="n">
        <f aca="false">IFERROR(X431/Y431,"")</f>
        <v>25.5180795365935</v>
      </c>
      <c r="AA431" s="12" t="n">
        <v>1018000</v>
      </c>
      <c r="AB431" s="14" t="n">
        <f aca="false">W431-0.02*P431</f>
        <v>-2173415.92</v>
      </c>
      <c r="AC431" s="16" t="n">
        <v>56</v>
      </c>
      <c r="AD431" s="13" t="n">
        <f aca="false">IFERROR(AC431/AC430-1,"")</f>
        <v>0.0769230769230769</v>
      </c>
      <c r="AE431" s="17" t="n">
        <v>0.065</v>
      </c>
      <c r="AF431" s="17" t="n">
        <v>0.064</v>
      </c>
      <c r="AG431" s="13" t="n">
        <f aca="false">1-AF431</f>
        <v>0.936</v>
      </c>
      <c r="AH431" s="17" t="n">
        <v>1.152</v>
      </c>
      <c r="AI431" s="12" t="n">
        <v>28184</v>
      </c>
      <c r="AJ431" s="14" t="n">
        <f aca="false">IFERROR(AM431*U431*MIN(1/AE431,5),"")</f>
        <v>55867.8675555721</v>
      </c>
      <c r="AK431" s="18" t="n">
        <f aca="false">IFERROR(AJ431/AI431,"")</f>
        <v>1.98225473870182</v>
      </c>
      <c r="AL431" s="15" t="n">
        <f aca="false">IFERROR(AI431/(AM431*U431/12),"")</f>
        <v>30.2685617688542</v>
      </c>
      <c r="AM431" s="12" t="n">
        <v>16320</v>
      </c>
      <c r="AN431" s="12" t="n">
        <v>206773</v>
      </c>
      <c r="AO431" s="12" t="n">
        <v>493983</v>
      </c>
      <c r="AP431" s="17" t="n">
        <v>0.213</v>
      </c>
      <c r="AQ431" s="16" t="n">
        <v>23</v>
      </c>
      <c r="AR431" s="16" t="n">
        <v>2</v>
      </c>
      <c r="AS431" s="13" t="n">
        <f aca="false">IFERROR(AR431/AR430-1,"")</f>
        <v>0</v>
      </c>
      <c r="AT431" s="11" t="s">
        <v>153</v>
      </c>
      <c r="AU431" s="14" t="n">
        <f aca="false">IFERROR(P431/AR431,"")</f>
        <v>107698</v>
      </c>
      <c r="AV431" s="12" t="n">
        <v>2214780</v>
      </c>
      <c r="AW431" s="12" t="n">
        <v>956359</v>
      </c>
      <c r="AX431" s="12" t="n">
        <v>556835</v>
      </c>
      <c r="AY431" s="16" t="n">
        <v>13926</v>
      </c>
      <c r="AZ431" s="13" t="n">
        <f aca="false">IFERROR(AY431/AY430-1,"")</f>
        <v>0.238417074255225</v>
      </c>
      <c r="BA431" s="17" t="n">
        <v>0.932</v>
      </c>
      <c r="BB431" s="11" t="s">
        <v>81</v>
      </c>
      <c r="BC431" s="11" t="s">
        <v>100</v>
      </c>
      <c r="BD431" s="11" t="s">
        <v>83</v>
      </c>
      <c r="BE431" s="12" t="n">
        <v>230824</v>
      </c>
      <c r="BF431" s="13" t="n">
        <f aca="false">IFERROR(P431/BE431-1,"")</f>
        <v>-0.0668388035906145</v>
      </c>
      <c r="BG431" s="17" t="n">
        <v>0.084</v>
      </c>
      <c r="BH431" s="17" t="n">
        <v>0.066</v>
      </c>
      <c r="BI431" s="14" t="n">
        <f aca="false">P431*(1+IFERROR(Q431,0))^4</f>
        <v>527260.59735755</v>
      </c>
      <c r="BJ431" s="12" t="n">
        <v>-1482958</v>
      </c>
      <c r="BK431" s="11" t="s">
        <v>192</v>
      </c>
      <c r="BL431" s="11" t="s">
        <v>162</v>
      </c>
      <c r="BM431" s="14" t="n">
        <f aca="false">O431</f>
        <v>58012490</v>
      </c>
      <c r="BN431" s="11" t="s">
        <v>475</v>
      </c>
      <c r="BO431" s="13" t="n">
        <f aca="false">IFERROR(1-L431/M431,"")</f>
        <v>0.13293803735547</v>
      </c>
      <c r="BP431" s="11" t="s">
        <v>142</v>
      </c>
      <c r="BQ431" s="12" t="n">
        <v>2367445</v>
      </c>
      <c r="BR431" s="11" t="s">
        <v>88</v>
      </c>
      <c r="BS431" s="11" t="s">
        <v>89</v>
      </c>
      <c r="BT431" s="19" t="str">
        <f aca="false">IF(OR(Z431&lt;6,AH431&lt;0.9,S431&lt;0.02,AK431&lt;1),"REVIEW",IF(AND(S431&gt;0.25,AH431&gt;1.2),"ACCELERATING","STABLE"))</f>
        <v>STABLE</v>
      </c>
    </row>
    <row r="432" customFormat="false" ht="15" hidden="false" customHeight="false" outlineLevel="0" collapsed="false">
      <c r="A432" s="11" t="s">
        <v>473</v>
      </c>
      <c r="B432" s="11" t="s">
        <v>92</v>
      </c>
      <c r="C432" s="11" t="s">
        <v>74</v>
      </c>
      <c r="D432" s="11" t="s">
        <v>210</v>
      </c>
      <c r="E432" s="11" t="s">
        <v>105</v>
      </c>
      <c r="F432" s="11" t="s">
        <v>474</v>
      </c>
      <c r="G432" s="11" t="s">
        <v>78</v>
      </c>
      <c r="H432" s="11" t="s">
        <v>79</v>
      </c>
      <c r="I432" s="11" t="s">
        <v>78</v>
      </c>
      <c r="J432" s="12" t="n">
        <v>4484000</v>
      </c>
      <c r="K432" s="13" t="n">
        <f aca="false">IFERROR(J432/M432,"")</f>
        <v>0.13293803735547</v>
      </c>
      <c r="L432" s="12" t="n">
        <v>29246000</v>
      </c>
      <c r="M432" s="14" t="n">
        <f aca="false">L432+J432</f>
        <v>33730000</v>
      </c>
      <c r="N432" s="12" t="n">
        <v>7980000</v>
      </c>
      <c r="O432" s="12" t="n">
        <v>58012490</v>
      </c>
      <c r="P432" s="12" t="n">
        <v>251374</v>
      </c>
      <c r="Q432" s="13" t="n">
        <f aca="false">IFERROR(P432/P431-1,"")</f>
        <v>0.167031885457483</v>
      </c>
      <c r="R432" s="12" t="n">
        <v>263587</v>
      </c>
      <c r="S432" s="13" t="n">
        <f aca="false">IFERROR(R432/R431-1,"")</f>
        <v>0.245238005253312</v>
      </c>
      <c r="T432" s="12" t="n">
        <v>172799</v>
      </c>
      <c r="U432" s="13" t="n">
        <f aca="false">IFERROR(T432/P432,"")</f>
        <v>0.687417950941625</v>
      </c>
      <c r="V432" s="14" t="n">
        <f aca="false">T432-AV432</f>
        <v>-1895488</v>
      </c>
      <c r="W432" s="14" t="n">
        <f aca="false">V432-AA432*0.1</f>
        <v>-1997288</v>
      </c>
      <c r="X432" s="12" t="n">
        <v>4112229</v>
      </c>
      <c r="Y432" s="12" t="n">
        <v>185270</v>
      </c>
      <c r="Z432" s="15" t="n">
        <f aca="false">IFERROR(X432/Y432,"")</f>
        <v>22.1958708911319</v>
      </c>
      <c r="AA432" s="12" t="n">
        <v>1018000</v>
      </c>
      <c r="AB432" s="14" t="n">
        <f aca="false">W432-0.02*P432</f>
        <v>-2002315.48</v>
      </c>
      <c r="AC432" s="16" t="n">
        <v>64</v>
      </c>
      <c r="AD432" s="13" t="n">
        <f aca="false">IFERROR(AC432/AC431-1,"")</f>
        <v>0.142857142857143</v>
      </c>
      <c r="AE432" s="17" t="n">
        <v>0.063</v>
      </c>
      <c r="AF432" s="17" t="n">
        <v>0.049</v>
      </c>
      <c r="AG432" s="13" t="n">
        <f aca="false">1-AF432</f>
        <v>0.951</v>
      </c>
      <c r="AH432" s="17" t="n">
        <v>1.147</v>
      </c>
      <c r="AI432" s="12" t="n">
        <v>27642</v>
      </c>
      <c r="AJ432" s="14" t="n">
        <f aca="false">IFERROR(AM432*U432*MIN(1/AE432,5),"")</f>
        <v>57193.1735183432</v>
      </c>
      <c r="AK432" s="18" t="n">
        <f aca="false">IFERROR(AJ432/AI432,"")</f>
        <v>2.06906785031268</v>
      </c>
      <c r="AL432" s="15" t="n">
        <f aca="false">IFERROR(AI432/(AM432*U432/12),"")</f>
        <v>28.9985657023923</v>
      </c>
      <c r="AM432" s="12" t="n">
        <v>16640</v>
      </c>
      <c r="AN432" s="12" t="n">
        <v>325251</v>
      </c>
      <c r="AO432" s="12" t="n">
        <v>539216</v>
      </c>
      <c r="AP432" s="17" t="n">
        <v>0.213</v>
      </c>
      <c r="AQ432" s="16" t="n">
        <v>23</v>
      </c>
      <c r="AR432" s="16" t="n">
        <v>2</v>
      </c>
      <c r="AS432" s="13" t="n">
        <f aca="false">IFERROR(AR432/AR431-1,"")</f>
        <v>0</v>
      </c>
      <c r="AT432" s="11" t="s">
        <v>153</v>
      </c>
      <c r="AU432" s="14" t="n">
        <f aca="false">IFERROR(P432/AR432,"")</f>
        <v>125687</v>
      </c>
      <c r="AV432" s="12" t="n">
        <v>2068287</v>
      </c>
      <c r="AW432" s="12" t="n">
        <v>1022253</v>
      </c>
      <c r="AX432" s="12" t="n">
        <v>653561</v>
      </c>
      <c r="AY432" s="16" t="n">
        <v>15547</v>
      </c>
      <c r="AZ432" s="13" t="n">
        <f aca="false">IFERROR(AY432/AY431-1,"")</f>
        <v>0.11640097659055</v>
      </c>
      <c r="BA432" s="17" t="n">
        <v>0.941</v>
      </c>
      <c r="BB432" s="11" t="s">
        <v>81</v>
      </c>
      <c r="BC432" s="11" t="s">
        <v>100</v>
      </c>
      <c r="BD432" s="11" t="s">
        <v>83</v>
      </c>
      <c r="BE432" s="12" t="n">
        <v>284068</v>
      </c>
      <c r="BF432" s="13" t="n">
        <f aca="false">IFERROR(P432/BE432-1,"")</f>
        <v>-0.115092161031866</v>
      </c>
      <c r="BG432" s="17" t="n">
        <v>0.022</v>
      </c>
      <c r="BH432" s="17" t="n">
        <v>0.007</v>
      </c>
      <c r="BI432" s="14" t="n">
        <f aca="false">P432*(1+IFERROR(Q432,0))^4</f>
        <v>466284.784048152</v>
      </c>
      <c r="BJ432" s="12" t="n">
        <v>-2000973</v>
      </c>
      <c r="BK432" s="11" t="s">
        <v>192</v>
      </c>
      <c r="BL432" s="11" t="s">
        <v>162</v>
      </c>
      <c r="BM432" s="14" t="n">
        <f aca="false">O432</f>
        <v>58012490</v>
      </c>
      <c r="BN432" s="11" t="s">
        <v>475</v>
      </c>
      <c r="BO432" s="13" t="n">
        <f aca="false">IFERROR(1-L432/M432,"")</f>
        <v>0.13293803735547</v>
      </c>
      <c r="BP432" s="11" t="s">
        <v>142</v>
      </c>
      <c r="BQ432" s="12" t="n">
        <v>3014268</v>
      </c>
      <c r="BR432" s="11" t="s">
        <v>88</v>
      </c>
      <c r="BS432" s="11" t="s">
        <v>89</v>
      </c>
      <c r="BT432" s="19" t="str">
        <f aca="false">IF(OR(Z432&lt;6,AH432&lt;0.9,S432&lt;0.02,AK432&lt;1),"REVIEW",IF(AND(S432&gt;0.25,AH432&gt;1.2),"ACCELERATING","STABLE"))</f>
        <v>STABLE</v>
      </c>
    </row>
    <row r="433" customFormat="false" ht="15" hidden="false" customHeight="false" outlineLevel="0" collapsed="false">
      <c r="A433" s="11" t="s">
        <v>473</v>
      </c>
      <c r="B433" s="11" t="s">
        <v>93</v>
      </c>
      <c r="C433" s="11" t="s">
        <v>74</v>
      </c>
      <c r="D433" s="11" t="s">
        <v>210</v>
      </c>
      <c r="E433" s="11" t="s">
        <v>105</v>
      </c>
      <c r="F433" s="11" t="s">
        <v>474</v>
      </c>
      <c r="G433" s="11" t="s">
        <v>78</v>
      </c>
      <c r="H433" s="11" t="s">
        <v>79</v>
      </c>
      <c r="I433" s="11" t="s">
        <v>78</v>
      </c>
      <c r="J433" s="12" t="n">
        <v>4484000</v>
      </c>
      <c r="K433" s="13" t="n">
        <f aca="false">IFERROR(J433/M433,"")</f>
        <v>0.13293803735547</v>
      </c>
      <c r="L433" s="12" t="n">
        <v>29246000</v>
      </c>
      <c r="M433" s="14" t="n">
        <f aca="false">L433+J433</f>
        <v>33730000</v>
      </c>
      <c r="N433" s="12" t="n">
        <v>7980000</v>
      </c>
      <c r="O433" s="12" t="n">
        <v>58012490</v>
      </c>
      <c r="P433" s="12" t="n">
        <v>291145</v>
      </c>
      <c r="Q433" s="13" t="n">
        <f aca="false">IFERROR(P433/P432-1,"")</f>
        <v>0.15821445336431</v>
      </c>
      <c r="R433" s="12" t="n">
        <v>309628</v>
      </c>
      <c r="S433" s="13" t="n">
        <f aca="false">IFERROR(R433/R432-1,"")</f>
        <v>0.17467098149757</v>
      </c>
      <c r="T433" s="12" t="n">
        <v>200942</v>
      </c>
      <c r="U433" s="13" t="n">
        <f aca="false">IFERROR(T433/P433,"")</f>
        <v>0.690178433426643</v>
      </c>
      <c r="V433" s="14" t="n">
        <f aca="false">T433-AV433</f>
        <v>-2142010</v>
      </c>
      <c r="W433" s="14" t="n">
        <f aca="false">V433-AA433*0.1</f>
        <v>-2243810</v>
      </c>
      <c r="X433" s="12" t="n">
        <v>3612000</v>
      </c>
      <c r="Y433" s="12" t="n">
        <v>191000</v>
      </c>
      <c r="Z433" s="15" t="n">
        <f aca="false">IFERROR(X433/Y433,"")</f>
        <v>18.9109947643979</v>
      </c>
      <c r="AA433" s="12" t="n">
        <v>1018000</v>
      </c>
      <c r="AB433" s="14" t="n">
        <f aca="false">W433-0.02*P433</f>
        <v>-2249632.9</v>
      </c>
      <c r="AC433" s="16" t="n">
        <v>81</v>
      </c>
      <c r="AD433" s="13" t="n">
        <f aca="false">IFERROR(AC433/AC432-1,"")</f>
        <v>0.265625</v>
      </c>
      <c r="AE433" s="17" t="n">
        <v>0.061</v>
      </c>
      <c r="AF433" s="17" t="n">
        <v>0.043</v>
      </c>
      <c r="AG433" s="13" t="n">
        <f aca="false">1-AF433</f>
        <v>0.957</v>
      </c>
      <c r="AH433" s="17" t="n">
        <v>1.142</v>
      </c>
      <c r="AI433" s="12" t="n">
        <v>27100</v>
      </c>
      <c r="AJ433" s="14" t="n">
        <f aca="false">IFERROR(AM433*U433*MIN(1/AE433,5),"")</f>
        <v>58527.1311545793</v>
      </c>
      <c r="AK433" s="18" t="n">
        <f aca="false">IFERROR(AJ433/AI433,"")</f>
        <v>2.15967273633134</v>
      </c>
      <c r="AL433" s="15" t="n">
        <f aca="false">IFERROR(AI433/(AM433*U433/12),"")</f>
        <v>27.7819870532434</v>
      </c>
      <c r="AM433" s="12" t="n">
        <v>16960</v>
      </c>
      <c r="AN433" s="12" t="n">
        <v>320906</v>
      </c>
      <c r="AO433" s="12" t="n">
        <v>1062665</v>
      </c>
      <c r="AP433" s="17" t="n">
        <v>0.213</v>
      </c>
      <c r="AQ433" s="16" t="n">
        <v>23</v>
      </c>
      <c r="AR433" s="16" t="n">
        <v>2</v>
      </c>
      <c r="AS433" s="13" t="n">
        <f aca="false">IFERROR(AR433/AR432-1,"")</f>
        <v>0</v>
      </c>
      <c r="AT433" s="11" t="s">
        <v>153</v>
      </c>
      <c r="AU433" s="14" t="n">
        <f aca="false">IFERROR(P433/AR433,"")</f>
        <v>145572.5</v>
      </c>
      <c r="AV433" s="12" t="n">
        <v>2342952</v>
      </c>
      <c r="AW433" s="12" t="n">
        <v>823039</v>
      </c>
      <c r="AX433" s="12" t="n">
        <v>429764</v>
      </c>
      <c r="AY433" s="16" t="n">
        <v>18374</v>
      </c>
      <c r="AZ433" s="13" t="n">
        <f aca="false">IFERROR(AY433/AY432-1,"")</f>
        <v>0.181835723933878</v>
      </c>
      <c r="BA433" s="17" t="n">
        <v>0.941</v>
      </c>
      <c r="BB433" s="11" t="s">
        <v>81</v>
      </c>
      <c r="BC433" s="11" t="s">
        <v>100</v>
      </c>
      <c r="BD433" s="11" t="s">
        <v>83</v>
      </c>
      <c r="BE433" s="12" t="n">
        <v>280764</v>
      </c>
      <c r="BF433" s="13" t="n">
        <f aca="false">IFERROR(P433/BE433-1,"")</f>
        <v>0.0369741134903334</v>
      </c>
      <c r="BG433" s="17" t="n">
        <v>-0.024</v>
      </c>
      <c r="BH433" s="17" t="n">
        <v>-0.022</v>
      </c>
      <c r="BI433" s="14" t="n">
        <f aca="false">P433*(1+IFERROR(Q433,0))^4</f>
        <v>523920.337152258</v>
      </c>
      <c r="BJ433" s="12" t="n">
        <v>-2043390</v>
      </c>
      <c r="BK433" s="11" t="s">
        <v>192</v>
      </c>
      <c r="BL433" s="11" t="s">
        <v>162</v>
      </c>
      <c r="BM433" s="14" t="n">
        <f aca="false">O433</f>
        <v>58012490</v>
      </c>
      <c r="BN433" s="11" t="s">
        <v>475</v>
      </c>
      <c r="BO433" s="13" t="n">
        <f aca="false">IFERROR(1-L433/M433,"")</f>
        <v>0.13293803735547</v>
      </c>
      <c r="BP433" s="11" t="s">
        <v>142</v>
      </c>
      <c r="BQ433" s="12" t="n">
        <v>3235699</v>
      </c>
      <c r="BR433" s="11" t="s">
        <v>88</v>
      </c>
      <c r="BS433" s="11" t="s">
        <v>89</v>
      </c>
      <c r="BT433" s="19" t="str">
        <f aca="false">IF(OR(Z433&lt;6,AH433&lt;0.9,S433&lt;0.02,AK433&lt;1),"REVIEW",IF(AND(S433&gt;0.25,AH433&gt;1.2),"ACCELERATING","STABLE"))</f>
        <v>STABLE</v>
      </c>
    </row>
    <row r="434" customFormat="false" ht="15" hidden="false" customHeight="false" outlineLevel="0" collapsed="false">
      <c r="A434" s="3" t="s">
        <v>476</v>
      </c>
      <c r="B434" s="3" t="s">
        <v>73</v>
      </c>
      <c r="C434" s="3" t="s">
        <v>74</v>
      </c>
      <c r="D434" s="3" t="s">
        <v>132</v>
      </c>
      <c r="E434" s="3" t="s">
        <v>477</v>
      </c>
      <c r="F434" s="3" t="s">
        <v>478</v>
      </c>
      <c r="G434" s="3" t="s">
        <v>78</v>
      </c>
      <c r="H434" s="3" t="s">
        <v>79</v>
      </c>
      <c r="I434" s="3" t="s">
        <v>78</v>
      </c>
      <c r="J434" s="4" t="n">
        <v>3440000</v>
      </c>
      <c r="K434" s="5" t="n">
        <f aca="false">IFERROR(J434/M434,"")</f>
        <v>0.162855654973252</v>
      </c>
      <c r="L434" s="4" t="n">
        <v>17683000</v>
      </c>
      <c r="M434" s="6" t="n">
        <f aca="false">L434+J434</f>
        <v>21123000</v>
      </c>
      <c r="N434" s="4" t="n">
        <v>3440000</v>
      </c>
      <c r="O434" s="4" t="n">
        <v>29090825</v>
      </c>
      <c r="P434" s="4" t="n">
        <v>190305</v>
      </c>
      <c r="Q434" s="7"/>
      <c r="R434" s="4" t="n">
        <v>225834</v>
      </c>
      <c r="S434" s="7"/>
      <c r="T434" s="4" t="n">
        <v>140121</v>
      </c>
      <c r="U434" s="5" t="n">
        <f aca="false">IFERROR(T434/P434,"")</f>
        <v>0.736296996925987</v>
      </c>
      <c r="V434" s="6" t="n">
        <f aca="false">T434-AV434</f>
        <v>-2083923</v>
      </c>
      <c r="W434" s="6" t="n">
        <f aca="false">V434-AA434*0.1</f>
        <v>-2083923</v>
      </c>
      <c r="X434" s="4" t="n">
        <v>3699603</v>
      </c>
      <c r="Y434" s="4" t="n">
        <v>175630</v>
      </c>
      <c r="Z434" s="8" t="n">
        <f aca="false">IFERROR(X434/Y434,"")</f>
        <v>21.0647554518021</v>
      </c>
      <c r="AA434" s="4" t="n">
        <v>0</v>
      </c>
      <c r="AB434" s="6" t="n">
        <f aca="false">W434-0.02*P434</f>
        <v>-2087729.1</v>
      </c>
      <c r="AC434" s="9" t="n">
        <v>7</v>
      </c>
      <c r="AD434" s="7"/>
      <c r="AE434" s="7" t="n">
        <v>0.075</v>
      </c>
      <c r="AF434" s="7" t="n">
        <v>0.058</v>
      </c>
      <c r="AG434" s="5" t="n">
        <f aca="false">1-AF434</f>
        <v>0.942</v>
      </c>
      <c r="AH434" s="7" t="n">
        <v>1.135</v>
      </c>
      <c r="AI434" s="4" t="n">
        <v>43248</v>
      </c>
      <c r="AJ434" s="6" t="n">
        <f aca="false">IFERROR(AM434*U434*MIN(1/AE434,5),"")</f>
        <v>117807.519508158</v>
      </c>
      <c r="AK434" s="10" t="n">
        <f aca="false">IFERROR(AJ434/AI434,"")</f>
        <v>2.7239992487088</v>
      </c>
      <c r="AL434" s="8" t="n">
        <f aca="false">IFERROR(AI434/(AM434*U434/12),"")</f>
        <v>22.0264377930503</v>
      </c>
      <c r="AM434" s="4" t="n">
        <v>32000</v>
      </c>
      <c r="AN434" s="4" t="n">
        <v>249540</v>
      </c>
      <c r="AO434" s="4" t="n">
        <v>695792</v>
      </c>
      <c r="AP434" s="7" t="n">
        <v>0.144</v>
      </c>
      <c r="AQ434" s="9" t="n">
        <v>75</v>
      </c>
      <c r="AR434" s="9" t="n">
        <v>3</v>
      </c>
      <c r="AS434" s="7"/>
      <c r="AT434" s="3" t="s">
        <v>201</v>
      </c>
      <c r="AU434" s="6" t="n">
        <f aca="false">IFERROR(P434/AR434,"")</f>
        <v>63435</v>
      </c>
      <c r="AV434" s="4" t="n">
        <v>2224044</v>
      </c>
      <c r="AW434" s="4" t="n">
        <v>1083047</v>
      </c>
      <c r="AX434" s="4" t="n">
        <v>647102</v>
      </c>
      <c r="AY434" s="9" t="n">
        <v>22632</v>
      </c>
      <c r="AZ434" s="7"/>
      <c r="BA434" s="7" t="n">
        <v>0.928</v>
      </c>
      <c r="BB434" s="3" t="s">
        <v>161</v>
      </c>
      <c r="BC434" s="3" t="s">
        <v>108</v>
      </c>
      <c r="BD434" s="3" t="s">
        <v>109</v>
      </c>
      <c r="BE434" s="4" t="n">
        <v>186274</v>
      </c>
      <c r="BF434" s="5" t="n">
        <f aca="false">IFERROR(P434/BE434-1,"")</f>
        <v>0.0216401644888713</v>
      </c>
      <c r="BG434" s="7" t="n">
        <v>-0.03</v>
      </c>
      <c r="BH434" s="7" t="n">
        <v>0.028</v>
      </c>
      <c r="BI434" s="6" t="n">
        <f aca="false">P434</f>
        <v>190305</v>
      </c>
      <c r="BJ434" s="4" t="n">
        <v>-2071826</v>
      </c>
      <c r="BK434" s="3" t="s">
        <v>127</v>
      </c>
      <c r="BL434" s="3" t="s">
        <v>85</v>
      </c>
      <c r="BM434" s="6" t="n">
        <f aca="false">O434</f>
        <v>29090825</v>
      </c>
      <c r="BN434" s="3" t="s">
        <v>479</v>
      </c>
      <c r="BO434" s="5" t="n">
        <f aca="false">IFERROR(1-L434/M434,"")</f>
        <v>0.162855654973252</v>
      </c>
      <c r="BP434" s="3" t="s">
        <v>87</v>
      </c>
      <c r="BQ434" s="4" t="n">
        <v>3183277</v>
      </c>
      <c r="BR434" s="3" t="s">
        <v>88</v>
      </c>
      <c r="BS434" s="3" t="s">
        <v>89</v>
      </c>
      <c r="BT434" s="3" t="s">
        <v>90</v>
      </c>
    </row>
    <row r="435" customFormat="false" ht="15" hidden="false" customHeight="false" outlineLevel="0" collapsed="false">
      <c r="A435" s="11" t="s">
        <v>476</v>
      </c>
      <c r="B435" s="11" t="s">
        <v>91</v>
      </c>
      <c r="C435" s="11" t="s">
        <v>74</v>
      </c>
      <c r="D435" s="11" t="s">
        <v>132</v>
      </c>
      <c r="E435" s="11" t="s">
        <v>477</v>
      </c>
      <c r="F435" s="11" t="s">
        <v>478</v>
      </c>
      <c r="G435" s="11" t="s">
        <v>78</v>
      </c>
      <c r="H435" s="11" t="s">
        <v>79</v>
      </c>
      <c r="I435" s="11" t="s">
        <v>78</v>
      </c>
      <c r="J435" s="12" t="n">
        <v>3440000</v>
      </c>
      <c r="K435" s="13" t="n">
        <f aca="false">IFERROR(J435/M435,"")</f>
        <v>0.162855654973252</v>
      </c>
      <c r="L435" s="12" t="n">
        <v>17683000</v>
      </c>
      <c r="M435" s="14" t="n">
        <f aca="false">L435+J435</f>
        <v>21123000</v>
      </c>
      <c r="N435" s="12" t="n">
        <v>3440000</v>
      </c>
      <c r="O435" s="12" t="n">
        <v>29090825</v>
      </c>
      <c r="P435" s="12" t="n">
        <v>246970</v>
      </c>
      <c r="Q435" s="13" t="n">
        <f aca="false">IFERROR(P435/P434-1,"")</f>
        <v>0.297758860776123</v>
      </c>
      <c r="R435" s="12" t="n">
        <v>267996</v>
      </c>
      <c r="S435" s="13" t="n">
        <f aca="false">IFERROR(R435/R434-1,"")</f>
        <v>0.186694651823906</v>
      </c>
      <c r="T435" s="12" t="n">
        <v>182580</v>
      </c>
      <c r="U435" s="13" t="n">
        <f aca="false">IFERROR(T435/P435,"")</f>
        <v>0.739280074502976</v>
      </c>
      <c r="V435" s="14" t="n">
        <f aca="false">T435-AV435</f>
        <v>-2304069</v>
      </c>
      <c r="W435" s="14" t="n">
        <f aca="false">V435-AA435*0.1</f>
        <v>-2304069</v>
      </c>
      <c r="X435" s="12" t="n">
        <v>3256668</v>
      </c>
      <c r="Y435" s="12" t="n">
        <v>181420</v>
      </c>
      <c r="Z435" s="15" t="n">
        <f aca="false">IFERROR(X435/Y435,"")</f>
        <v>17.9509866607871</v>
      </c>
      <c r="AA435" s="12" t="n">
        <v>0</v>
      </c>
      <c r="AB435" s="14" t="n">
        <f aca="false">W435-0.02*P435</f>
        <v>-2309008.4</v>
      </c>
      <c r="AC435" s="16" t="n">
        <v>8</v>
      </c>
      <c r="AD435" s="13" t="n">
        <f aca="false">IFERROR(AC435/AC434-1,"")</f>
        <v>0.142857142857143</v>
      </c>
      <c r="AE435" s="17" t="n">
        <v>0.073</v>
      </c>
      <c r="AF435" s="17" t="n">
        <v>0.06</v>
      </c>
      <c r="AG435" s="13" t="n">
        <f aca="false">1-AF435</f>
        <v>0.94</v>
      </c>
      <c r="AH435" s="17" t="n">
        <v>1.13</v>
      </c>
      <c r="AI435" s="12" t="n">
        <v>42432</v>
      </c>
      <c r="AJ435" s="14" t="n">
        <f aca="false">IFERROR(AM435*U435*MIN(1/AE435,5),"")</f>
        <v>120650.508158886</v>
      </c>
      <c r="AK435" s="18" t="n">
        <f aca="false">IFERROR(AJ435/AI435,"")</f>
        <v>2.84338490193452</v>
      </c>
      <c r="AL435" s="15" t="n">
        <f aca="false">IFERROR(AI435/(AM435*U435/12),"")</f>
        <v>21.1016102530398</v>
      </c>
      <c r="AM435" s="12" t="n">
        <v>32640</v>
      </c>
      <c r="AN435" s="12" t="n">
        <v>344040</v>
      </c>
      <c r="AO435" s="12" t="n">
        <v>821102</v>
      </c>
      <c r="AP435" s="17" t="n">
        <v>0.144</v>
      </c>
      <c r="AQ435" s="16" t="n">
        <v>75</v>
      </c>
      <c r="AR435" s="16" t="n">
        <v>3</v>
      </c>
      <c r="AS435" s="13" t="n">
        <f aca="false">IFERROR(AR435/AR434-1,"")</f>
        <v>0</v>
      </c>
      <c r="AT435" s="11" t="s">
        <v>201</v>
      </c>
      <c r="AU435" s="14" t="n">
        <f aca="false">IFERROR(P435/AR435,"")</f>
        <v>82323.3333333333</v>
      </c>
      <c r="AV435" s="12" t="n">
        <v>2486649</v>
      </c>
      <c r="AW435" s="12" t="n">
        <v>994855</v>
      </c>
      <c r="AX435" s="12" t="n">
        <v>679487</v>
      </c>
      <c r="AY435" s="16" t="n">
        <v>27305</v>
      </c>
      <c r="AZ435" s="13" t="n">
        <f aca="false">IFERROR(AY435/AY434-1,"")</f>
        <v>0.206477553905974</v>
      </c>
      <c r="BA435" s="17" t="n">
        <v>0.923</v>
      </c>
      <c r="BB435" s="11" t="s">
        <v>161</v>
      </c>
      <c r="BC435" s="11" t="s">
        <v>108</v>
      </c>
      <c r="BD435" s="11" t="s">
        <v>109</v>
      </c>
      <c r="BE435" s="12" t="n">
        <v>286786</v>
      </c>
      <c r="BF435" s="13" t="n">
        <f aca="false">IFERROR(P435/BE435-1,"")</f>
        <v>-0.138835229055812</v>
      </c>
      <c r="BG435" s="17" t="n">
        <v>-0.04</v>
      </c>
      <c r="BH435" s="17" t="n">
        <v>-0.013</v>
      </c>
      <c r="BI435" s="14" t="n">
        <f aca="false">P435*(1+IFERROR(Q435,0))^4</f>
        <v>700519.474162252</v>
      </c>
      <c r="BJ435" s="12" t="n">
        <v>-2033635</v>
      </c>
      <c r="BK435" s="11" t="s">
        <v>127</v>
      </c>
      <c r="BL435" s="11" t="s">
        <v>85</v>
      </c>
      <c r="BM435" s="14" t="n">
        <f aca="false">O435</f>
        <v>29090825</v>
      </c>
      <c r="BN435" s="11" t="s">
        <v>479</v>
      </c>
      <c r="BO435" s="13" t="n">
        <f aca="false">IFERROR(1-L435/M435,"")</f>
        <v>0.162855654973252</v>
      </c>
      <c r="BP435" s="11" t="s">
        <v>87</v>
      </c>
      <c r="BQ435" s="12" t="n">
        <v>3442092</v>
      </c>
      <c r="BR435" s="11" t="s">
        <v>88</v>
      </c>
      <c r="BS435" s="11" t="s">
        <v>89</v>
      </c>
      <c r="BT435" s="19" t="str">
        <f aca="false">IF(OR(Z435&lt;6,AH435&lt;0.9,S435&lt;0.02,AK435&lt;1),"REVIEW",IF(AND(S435&gt;0.25,AH435&gt;1.2),"ACCELERATING","STABLE"))</f>
        <v>STABLE</v>
      </c>
    </row>
    <row r="436" customFormat="false" ht="15" hidden="false" customHeight="false" outlineLevel="0" collapsed="false">
      <c r="A436" s="11" t="s">
        <v>476</v>
      </c>
      <c r="B436" s="11" t="s">
        <v>92</v>
      </c>
      <c r="C436" s="11" t="s">
        <v>74</v>
      </c>
      <c r="D436" s="11" t="s">
        <v>132</v>
      </c>
      <c r="E436" s="11" t="s">
        <v>477</v>
      </c>
      <c r="F436" s="11" t="s">
        <v>478</v>
      </c>
      <c r="G436" s="11" t="s">
        <v>78</v>
      </c>
      <c r="H436" s="11" t="s">
        <v>79</v>
      </c>
      <c r="I436" s="11" t="s">
        <v>78</v>
      </c>
      <c r="J436" s="12" t="n">
        <v>3440000</v>
      </c>
      <c r="K436" s="13" t="n">
        <f aca="false">IFERROR(J436/M436,"")</f>
        <v>0.162855654973252</v>
      </c>
      <c r="L436" s="12" t="n">
        <v>17683000</v>
      </c>
      <c r="M436" s="14" t="n">
        <f aca="false">L436+J436</f>
        <v>21123000</v>
      </c>
      <c r="N436" s="12" t="n">
        <v>3440000</v>
      </c>
      <c r="O436" s="12" t="n">
        <v>29090825</v>
      </c>
      <c r="P436" s="12" t="n">
        <v>293618</v>
      </c>
      <c r="Q436" s="13" t="n">
        <f aca="false">IFERROR(P436/P435-1,"")</f>
        <v>0.188881240636515</v>
      </c>
      <c r="R436" s="12" t="n">
        <v>355775</v>
      </c>
      <c r="S436" s="13" t="n">
        <f aca="false">IFERROR(R436/R435-1,"")</f>
        <v>0.327538470723444</v>
      </c>
      <c r="T436" s="12" t="n">
        <v>217941</v>
      </c>
      <c r="U436" s="13" t="n">
        <f aca="false">IFERROR(T436/P436,"")</f>
        <v>0.742260351885784</v>
      </c>
      <c r="V436" s="14" t="n">
        <f aca="false">T436-AV436</f>
        <v>-1937323</v>
      </c>
      <c r="W436" s="14" t="n">
        <f aca="false">V436-AA436*0.1</f>
        <v>-1937323</v>
      </c>
      <c r="X436" s="12" t="n">
        <v>2782467</v>
      </c>
      <c r="Y436" s="12" t="n">
        <v>187210</v>
      </c>
      <c r="Z436" s="15" t="n">
        <f aca="false">IFERROR(X436/Y436,"")</f>
        <v>14.8628118156081</v>
      </c>
      <c r="AA436" s="12" t="n">
        <v>0</v>
      </c>
      <c r="AB436" s="14" t="n">
        <f aca="false">W436-0.02*P436</f>
        <v>-1943195.36</v>
      </c>
      <c r="AC436" s="16" t="n">
        <v>11</v>
      </c>
      <c r="AD436" s="13" t="n">
        <f aca="false">IFERROR(AC436/AC435-1,"")</f>
        <v>0.375</v>
      </c>
      <c r="AE436" s="17" t="n">
        <v>0.071</v>
      </c>
      <c r="AF436" s="17" t="n">
        <v>0.064</v>
      </c>
      <c r="AG436" s="13" t="n">
        <f aca="false">1-AF436</f>
        <v>0.936</v>
      </c>
      <c r="AH436" s="17" t="n">
        <v>1.125</v>
      </c>
      <c r="AI436" s="12" t="n">
        <v>41616</v>
      </c>
      <c r="AJ436" s="14" t="n">
        <f aca="false">IFERROR(AM436*U436*MIN(1/AE436,5),"")</f>
        <v>123512.122553794</v>
      </c>
      <c r="AK436" s="18" t="n">
        <f aca="false">IFERROR(AJ436/AI436,"")</f>
        <v>2.96789990757868</v>
      </c>
      <c r="AL436" s="15" t="n">
        <f aca="false">IFERROR(AI436/(AM436*U436/12),"")</f>
        <v>20.2163151953969</v>
      </c>
      <c r="AM436" s="12" t="n">
        <v>33280</v>
      </c>
      <c r="AN436" s="12" t="n">
        <v>436158</v>
      </c>
      <c r="AO436" s="12" t="n">
        <v>1368802</v>
      </c>
      <c r="AP436" s="17" t="n">
        <v>0.144</v>
      </c>
      <c r="AQ436" s="16" t="n">
        <v>75</v>
      </c>
      <c r="AR436" s="16" t="n">
        <v>4</v>
      </c>
      <c r="AS436" s="13" t="n">
        <f aca="false">IFERROR(AR436/AR435-1,"")</f>
        <v>0.333333333333333</v>
      </c>
      <c r="AT436" s="11" t="s">
        <v>201</v>
      </c>
      <c r="AU436" s="14" t="n">
        <f aca="false">IFERROR(P436/AR436,"")</f>
        <v>73404.5</v>
      </c>
      <c r="AV436" s="12" t="n">
        <v>2155264</v>
      </c>
      <c r="AW436" s="12" t="n">
        <v>661654</v>
      </c>
      <c r="AX436" s="12" t="n">
        <v>562937</v>
      </c>
      <c r="AY436" s="16" t="n">
        <v>30314</v>
      </c>
      <c r="AZ436" s="13" t="n">
        <f aca="false">IFERROR(AY436/AY435-1,"")</f>
        <v>0.11019959714338</v>
      </c>
      <c r="BA436" s="17" t="n">
        <v>0.927</v>
      </c>
      <c r="BB436" s="11" t="s">
        <v>161</v>
      </c>
      <c r="BC436" s="11" t="s">
        <v>108</v>
      </c>
      <c r="BD436" s="11" t="s">
        <v>109</v>
      </c>
      <c r="BE436" s="12" t="n">
        <v>310951</v>
      </c>
      <c r="BF436" s="13" t="n">
        <f aca="false">IFERROR(P436/BE436-1,"")</f>
        <v>-0.0557419014571428</v>
      </c>
      <c r="BG436" s="17" t="n">
        <v>0.042</v>
      </c>
      <c r="BH436" s="17" t="n">
        <v>0.004</v>
      </c>
      <c r="BI436" s="14" t="n">
        <f aca="false">P436*(1+IFERROR(Q436,0))^4</f>
        <v>586592.5914211</v>
      </c>
      <c r="BJ436" s="12" t="n">
        <v>-1376014</v>
      </c>
      <c r="BK436" s="11" t="s">
        <v>127</v>
      </c>
      <c r="BL436" s="11" t="s">
        <v>85</v>
      </c>
      <c r="BM436" s="14" t="n">
        <f aca="false">O436</f>
        <v>29090825</v>
      </c>
      <c r="BN436" s="11" t="s">
        <v>479</v>
      </c>
      <c r="BO436" s="13" t="n">
        <f aca="false">IFERROR(1-L436/M436,"")</f>
        <v>0.162855654973252</v>
      </c>
      <c r="BP436" s="11" t="s">
        <v>87</v>
      </c>
      <c r="BQ436" s="12" t="n">
        <v>2472767</v>
      </c>
      <c r="BR436" s="11" t="s">
        <v>88</v>
      </c>
      <c r="BS436" s="11" t="s">
        <v>89</v>
      </c>
      <c r="BT436" s="19" t="str">
        <f aca="false">IF(OR(Z436&lt;6,AH436&lt;0.9,S436&lt;0.02,AK436&lt;1),"REVIEW",IF(AND(S436&gt;0.25,AH436&gt;1.2),"ACCELERATING","STABLE"))</f>
        <v>STABLE</v>
      </c>
    </row>
    <row r="437" customFormat="false" ht="15" hidden="false" customHeight="false" outlineLevel="0" collapsed="false">
      <c r="A437" s="11" t="s">
        <v>476</v>
      </c>
      <c r="B437" s="11" t="s">
        <v>93</v>
      </c>
      <c r="C437" s="11" t="s">
        <v>74</v>
      </c>
      <c r="D437" s="11" t="s">
        <v>132</v>
      </c>
      <c r="E437" s="11" t="s">
        <v>477</v>
      </c>
      <c r="F437" s="11" t="s">
        <v>478</v>
      </c>
      <c r="G437" s="11" t="s">
        <v>78</v>
      </c>
      <c r="H437" s="11" t="s">
        <v>79</v>
      </c>
      <c r="I437" s="11" t="s">
        <v>78</v>
      </c>
      <c r="J437" s="12" t="n">
        <v>3440000</v>
      </c>
      <c r="K437" s="13" t="n">
        <f aca="false">IFERROR(J437/M437,"")</f>
        <v>0.162855654973252</v>
      </c>
      <c r="L437" s="12" t="n">
        <v>17683000</v>
      </c>
      <c r="M437" s="14" t="n">
        <f aca="false">L437+J437</f>
        <v>21123000</v>
      </c>
      <c r="N437" s="12" t="n">
        <v>3440000</v>
      </c>
      <c r="O437" s="12" t="n">
        <v>29090825</v>
      </c>
      <c r="P437" s="12" t="n">
        <v>375076</v>
      </c>
      <c r="Q437" s="13" t="n">
        <f aca="false">IFERROR(P437/P436-1,"")</f>
        <v>0.277428495528203</v>
      </c>
      <c r="R437" s="12" t="n">
        <v>448231</v>
      </c>
      <c r="S437" s="13" t="n">
        <f aca="false">IFERROR(R437/R436-1,"")</f>
        <v>0.259872110181997</v>
      </c>
      <c r="T437" s="12" t="n">
        <v>279521</v>
      </c>
      <c r="U437" s="13" t="n">
        <f aca="false">IFERROR(T437/P437,"")</f>
        <v>0.74523829837153</v>
      </c>
      <c r="V437" s="14" t="n">
        <f aca="false">T437-AV437</f>
        <v>-2436026</v>
      </c>
      <c r="W437" s="14" t="n">
        <f aca="false">V437-AA437*0.1</f>
        <v>-2436026</v>
      </c>
      <c r="X437" s="12" t="n">
        <v>2277000</v>
      </c>
      <c r="Y437" s="12" t="n">
        <v>193000</v>
      </c>
      <c r="Z437" s="15" t="n">
        <f aca="false">IFERROR(X437/Y437,"")</f>
        <v>11.7979274611399</v>
      </c>
      <c r="AA437" s="12" t="n">
        <v>0</v>
      </c>
      <c r="AB437" s="14" t="n">
        <f aca="false">W437-0.02*P437</f>
        <v>-2443527.52</v>
      </c>
      <c r="AC437" s="16" t="n">
        <v>12</v>
      </c>
      <c r="AD437" s="13" t="n">
        <f aca="false">IFERROR(AC437/AC436-1,"")</f>
        <v>0.0909090909090908</v>
      </c>
      <c r="AE437" s="17" t="n">
        <v>0.069</v>
      </c>
      <c r="AF437" s="17" t="n">
        <v>0.067</v>
      </c>
      <c r="AG437" s="13" t="n">
        <f aca="false">1-AF437</f>
        <v>0.933</v>
      </c>
      <c r="AH437" s="17" t="n">
        <v>1.12</v>
      </c>
      <c r="AI437" s="12" t="n">
        <v>40800</v>
      </c>
      <c r="AJ437" s="14" t="n">
        <f aca="false">IFERROR(AM437*U437*MIN(1/AE437,5),"")</f>
        <v>126392.415403811</v>
      </c>
      <c r="AK437" s="18" t="n">
        <f aca="false">IFERROR(AJ437/AI437,"")</f>
        <v>3.09785331872087</v>
      </c>
      <c r="AL437" s="15" t="n">
        <f aca="false">IFERROR(AI437/(AM437*U437/12),"")</f>
        <v>19.3682507939964</v>
      </c>
      <c r="AM437" s="12" t="n">
        <v>33920</v>
      </c>
      <c r="AN437" s="12" t="n">
        <v>538297</v>
      </c>
      <c r="AO437" s="12" t="n">
        <v>748487</v>
      </c>
      <c r="AP437" s="17" t="n">
        <v>0.144</v>
      </c>
      <c r="AQ437" s="16" t="n">
        <v>75</v>
      </c>
      <c r="AR437" s="16" t="n">
        <v>4</v>
      </c>
      <c r="AS437" s="13" t="n">
        <f aca="false">IFERROR(AR437/AR436-1,"")</f>
        <v>0</v>
      </c>
      <c r="AT437" s="11" t="s">
        <v>201</v>
      </c>
      <c r="AU437" s="14" t="n">
        <f aca="false">IFERROR(P437/AR437,"")</f>
        <v>93769</v>
      </c>
      <c r="AV437" s="12" t="n">
        <v>2715547</v>
      </c>
      <c r="AW437" s="12" t="n">
        <v>922548</v>
      </c>
      <c r="AX437" s="12" t="n">
        <v>830023</v>
      </c>
      <c r="AY437" s="16" t="n">
        <v>38039</v>
      </c>
      <c r="AZ437" s="13" t="n">
        <f aca="false">IFERROR(AY437/AY436-1,"")</f>
        <v>0.254832750544303</v>
      </c>
      <c r="BA437" s="17" t="n">
        <v>0.933</v>
      </c>
      <c r="BB437" s="11" t="s">
        <v>161</v>
      </c>
      <c r="BC437" s="11" t="s">
        <v>108</v>
      </c>
      <c r="BD437" s="11" t="s">
        <v>109</v>
      </c>
      <c r="BE437" s="12" t="n">
        <v>445293</v>
      </c>
      <c r="BF437" s="13" t="n">
        <f aca="false">IFERROR(P437/BE437-1,"")</f>
        <v>-0.157687185740625</v>
      </c>
      <c r="BG437" s="17" t="n">
        <v>0.012</v>
      </c>
      <c r="BH437" s="17" t="n">
        <v>-0.018</v>
      </c>
      <c r="BI437" s="14" t="n">
        <f aca="false">P437*(1+IFERROR(Q437,0))^4</f>
        <v>998770.427025682</v>
      </c>
      <c r="BJ437" s="12" t="n">
        <v>-1398064</v>
      </c>
      <c r="BK437" s="11" t="s">
        <v>127</v>
      </c>
      <c r="BL437" s="11" t="s">
        <v>85</v>
      </c>
      <c r="BM437" s="14" t="n">
        <f aca="false">O437</f>
        <v>29090825</v>
      </c>
      <c r="BN437" s="11" t="s">
        <v>479</v>
      </c>
      <c r="BO437" s="13" t="n">
        <f aca="false">IFERROR(1-L437/M437,"")</f>
        <v>0.162855654973252</v>
      </c>
      <c r="BP437" s="11" t="s">
        <v>87</v>
      </c>
      <c r="BQ437" s="12" t="n">
        <v>3597793</v>
      </c>
      <c r="BR437" s="11" t="s">
        <v>88</v>
      </c>
      <c r="BS437" s="11" t="s">
        <v>89</v>
      </c>
      <c r="BT437" s="19" t="str">
        <f aca="false">IF(OR(Z437&lt;6,AH437&lt;0.9,S437&lt;0.02,AK437&lt;1),"REVIEW",IF(AND(S437&gt;0.25,AH437&gt;1.2),"ACCELERATING","STABLE"))</f>
        <v>STABLE</v>
      </c>
    </row>
    <row r="438" customFormat="false" ht="15" hidden="false" customHeight="false" outlineLevel="0" collapsed="false">
      <c r="A438" s="3" t="s">
        <v>480</v>
      </c>
      <c r="B438" s="3" t="s">
        <v>73</v>
      </c>
      <c r="C438" s="3" t="s">
        <v>74</v>
      </c>
      <c r="D438" s="3" t="s">
        <v>132</v>
      </c>
      <c r="E438" s="3" t="s">
        <v>105</v>
      </c>
      <c r="F438" s="3" t="s">
        <v>481</v>
      </c>
      <c r="G438" s="3" t="s">
        <v>78</v>
      </c>
      <c r="H438" s="3" t="s">
        <v>79</v>
      </c>
      <c r="I438" s="3" t="s">
        <v>78</v>
      </c>
      <c r="J438" s="4" t="n">
        <v>4288000</v>
      </c>
      <c r="K438" s="5" t="n">
        <f aca="false">IFERROR(J438/M438,"")</f>
        <v>0.149121891844897</v>
      </c>
      <c r="L438" s="4" t="n">
        <v>24467000</v>
      </c>
      <c r="M438" s="6" t="n">
        <f aca="false">L438+J438</f>
        <v>28755000</v>
      </c>
      <c r="N438" s="4" t="n">
        <v>4488000</v>
      </c>
      <c r="O438" s="4" t="n">
        <v>42944589</v>
      </c>
      <c r="P438" s="4" t="n">
        <v>1111702</v>
      </c>
      <c r="Q438" s="7"/>
      <c r="R438" s="4" t="n">
        <v>1217490</v>
      </c>
      <c r="S438" s="7"/>
      <c r="T438" s="4" t="n">
        <v>689129</v>
      </c>
      <c r="U438" s="5" t="n">
        <f aca="false">IFERROR(T438/P438,"")</f>
        <v>0.619886444388874</v>
      </c>
      <c r="V438" s="6" t="n">
        <f aca="false">T438-AV438</f>
        <v>-1993704</v>
      </c>
      <c r="W438" s="6" t="n">
        <f aca="false">V438-AA438*0.1</f>
        <v>-2050604</v>
      </c>
      <c r="X438" s="4" t="n">
        <v>4042630</v>
      </c>
      <c r="Y438" s="4" t="n">
        <v>202020</v>
      </c>
      <c r="Z438" s="8" t="n">
        <f aca="false">IFERROR(X438/Y438,"")</f>
        <v>20.0110385110385</v>
      </c>
      <c r="AA438" s="4" t="n">
        <v>569000</v>
      </c>
      <c r="AB438" s="6" t="n">
        <f aca="false">W438-0.02*P438</f>
        <v>-2072838.04</v>
      </c>
      <c r="AC438" s="9" t="n">
        <v>17</v>
      </c>
      <c r="AD438" s="7"/>
      <c r="AE438" s="7" t="n">
        <v>0.066</v>
      </c>
      <c r="AF438" s="7" t="n">
        <v>0.054</v>
      </c>
      <c r="AG438" s="5" t="n">
        <f aca="false">1-AF438</f>
        <v>0.946</v>
      </c>
      <c r="AH438" s="7" t="n">
        <v>1.038</v>
      </c>
      <c r="AI438" s="4" t="n">
        <v>22154</v>
      </c>
      <c r="AJ438" s="6" t="n">
        <f aca="false">IFERROR(AM438*U438*MIN(1/AE438,5),"")</f>
        <v>49590.9155511099</v>
      </c>
      <c r="AK438" s="10" t="n">
        <f aca="false">IFERROR(AJ438/AI438,"")</f>
        <v>2.23846328207592</v>
      </c>
      <c r="AL438" s="8" t="n">
        <f aca="false">IFERROR(AI438/(AM438*U438/12),"")</f>
        <v>26.8041028327062</v>
      </c>
      <c r="AM438" s="4" t="n">
        <v>16000</v>
      </c>
      <c r="AN438" s="4" t="n">
        <v>1733894</v>
      </c>
      <c r="AO438" s="4" t="n">
        <v>3261369</v>
      </c>
      <c r="AP438" s="7" t="n">
        <v>0.249</v>
      </c>
      <c r="AQ438" s="9" t="n">
        <v>57</v>
      </c>
      <c r="AR438" s="9" t="n">
        <v>7</v>
      </c>
      <c r="AS438" s="7"/>
      <c r="AT438" s="3" t="s">
        <v>153</v>
      </c>
      <c r="AU438" s="6" t="n">
        <f aca="false">IFERROR(P438/AR438,"")</f>
        <v>158814.571428571</v>
      </c>
      <c r="AV438" s="4" t="n">
        <v>2682833</v>
      </c>
      <c r="AW438" s="4" t="n">
        <v>1057072</v>
      </c>
      <c r="AX438" s="4" t="n">
        <v>766565</v>
      </c>
      <c r="AY438" s="9" t="n">
        <v>27046</v>
      </c>
      <c r="AZ438" s="7"/>
      <c r="BA438" s="7" t="n">
        <v>0.948</v>
      </c>
      <c r="BB438" s="3" t="s">
        <v>99</v>
      </c>
      <c r="BC438" s="3" t="s">
        <v>100</v>
      </c>
      <c r="BD438" s="3" t="s">
        <v>83</v>
      </c>
      <c r="BE438" s="4" t="n">
        <v>1313538</v>
      </c>
      <c r="BF438" s="5" t="n">
        <f aca="false">IFERROR(P438/BE438-1,"")</f>
        <v>-0.153658287769368</v>
      </c>
      <c r="BG438" s="7" t="n">
        <v>0.033</v>
      </c>
      <c r="BH438" s="7" t="n">
        <v>0.014</v>
      </c>
      <c r="BI438" s="6" t="n">
        <f aca="false">P438</f>
        <v>1111702</v>
      </c>
      <c r="BJ438" s="4" t="n">
        <v>-1946862</v>
      </c>
      <c r="BK438" s="3" t="s">
        <v>192</v>
      </c>
      <c r="BL438" s="3" t="s">
        <v>111</v>
      </c>
      <c r="BM438" s="6" t="n">
        <f aca="false">O438</f>
        <v>42944589</v>
      </c>
      <c r="BN438" s="3" t="s">
        <v>482</v>
      </c>
      <c r="BO438" s="5" t="n">
        <f aca="false">IFERROR(1-L438/M438,"")</f>
        <v>0.149121891844897</v>
      </c>
      <c r="BP438" s="3" t="s">
        <v>198</v>
      </c>
      <c r="BQ438" s="4" t="n">
        <v>3101816</v>
      </c>
      <c r="BR438" s="3" t="s">
        <v>88</v>
      </c>
      <c r="BS438" s="3" t="s">
        <v>89</v>
      </c>
      <c r="BT438" s="3" t="s">
        <v>90</v>
      </c>
    </row>
    <row r="439" customFormat="false" ht="15" hidden="false" customHeight="false" outlineLevel="0" collapsed="false">
      <c r="A439" s="11" t="s">
        <v>480</v>
      </c>
      <c r="B439" s="11" t="s">
        <v>91</v>
      </c>
      <c r="C439" s="11" t="s">
        <v>74</v>
      </c>
      <c r="D439" s="11" t="s">
        <v>132</v>
      </c>
      <c r="E439" s="11" t="s">
        <v>105</v>
      </c>
      <c r="F439" s="11" t="s">
        <v>481</v>
      </c>
      <c r="G439" s="11" t="s">
        <v>78</v>
      </c>
      <c r="H439" s="11" t="s">
        <v>79</v>
      </c>
      <c r="I439" s="11" t="s">
        <v>78</v>
      </c>
      <c r="J439" s="12" t="n">
        <v>4288000</v>
      </c>
      <c r="K439" s="13" t="n">
        <f aca="false">IFERROR(J439/M439,"")</f>
        <v>0.149121891844897</v>
      </c>
      <c r="L439" s="12" t="n">
        <v>24467000</v>
      </c>
      <c r="M439" s="14" t="n">
        <f aca="false">L439+J439</f>
        <v>28755000</v>
      </c>
      <c r="N439" s="12" t="n">
        <v>4488000</v>
      </c>
      <c r="O439" s="12" t="n">
        <v>42944589</v>
      </c>
      <c r="P439" s="12" t="n">
        <v>1201249</v>
      </c>
      <c r="Q439" s="13" t="n">
        <f aca="false">IFERROR(P439/P438-1,"")</f>
        <v>0.0805494637951538</v>
      </c>
      <c r="R439" s="12" t="n">
        <v>1294873</v>
      </c>
      <c r="S439" s="13" t="n">
        <f aca="false">IFERROR(R439/R438-1,"")</f>
        <v>0.063559454287099</v>
      </c>
      <c r="T439" s="12" t="n">
        <v>747653</v>
      </c>
      <c r="U439" s="13" t="n">
        <f aca="false">IFERROR(T439/P439,"")</f>
        <v>0.622396355793012</v>
      </c>
      <c r="V439" s="14" t="n">
        <f aca="false">T439-AV439</f>
        <v>-1922019</v>
      </c>
      <c r="W439" s="14" t="n">
        <f aca="false">V439-AA439*0.1</f>
        <v>-1978919</v>
      </c>
      <c r="X439" s="12" t="n">
        <v>3533140</v>
      </c>
      <c r="Y439" s="12" t="n">
        <v>208680</v>
      </c>
      <c r="Z439" s="15" t="n">
        <f aca="false">IFERROR(X439/Y439,"")</f>
        <v>16.9308989840905</v>
      </c>
      <c r="AA439" s="12" t="n">
        <v>569000</v>
      </c>
      <c r="AB439" s="14" t="n">
        <f aca="false">W439-0.02*P439</f>
        <v>-2002943.98</v>
      </c>
      <c r="AC439" s="16" t="n">
        <v>20</v>
      </c>
      <c r="AD439" s="13" t="n">
        <f aca="false">IFERROR(AC439/AC438-1,"")</f>
        <v>0.176470588235294</v>
      </c>
      <c r="AE439" s="17" t="n">
        <v>0.065</v>
      </c>
      <c r="AF439" s="17" t="n">
        <v>0.057</v>
      </c>
      <c r="AG439" s="13" t="n">
        <f aca="false">1-AF439</f>
        <v>0.943</v>
      </c>
      <c r="AH439" s="17" t="n">
        <v>1.033</v>
      </c>
      <c r="AI439" s="12" t="n">
        <v>21736</v>
      </c>
      <c r="AJ439" s="14" t="n">
        <f aca="false">IFERROR(AM439*U439*MIN(1/AE439,5),"")</f>
        <v>50787.5426327098</v>
      </c>
      <c r="AK439" s="18" t="n">
        <f aca="false">IFERROR(AJ439/AI439,"")</f>
        <v>2.33656342623803</v>
      </c>
      <c r="AL439" s="15" t="n">
        <f aca="false">IFERROR(AI439/(AM439*U439/12),"")</f>
        <v>25.6787379817045</v>
      </c>
      <c r="AM439" s="12" t="n">
        <v>16320</v>
      </c>
      <c r="AN439" s="12" t="n">
        <v>1688550</v>
      </c>
      <c r="AO439" s="12" t="n">
        <v>4708907</v>
      </c>
      <c r="AP439" s="17" t="n">
        <v>0.249</v>
      </c>
      <c r="AQ439" s="16" t="n">
        <v>57</v>
      </c>
      <c r="AR439" s="16" t="n">
        <v>8</v>
      </c>
      <c r="AS439" s="13" t="n">
        <f aca="false">IFERROR(AR439/AR438-1,"")</f>
        <v>0.142857142857143</v>
      </c>
      <c r="AT439" s="11" t="s">
        <v>153</v>
      </c>
      <c r="AU439" s="14" t="n">
        <f aca="false">IFERROR(P439/AR439,"")</f>
        <v>150156.125</v>
      </c>
      <c r="AV439" s="12" t="n">
        <v>2669672</v>
      </c>
      <c r="AW439" s="12" t="n">
        <v>879787</v>
      </c>
      <c r="AX439" s="12" t="n">
        <v>524921</v>
      </c>
      <c r="AY439" s="16" t="n">
        <v>29228</v>
      </c>
      <c r="AZ439" s="13" t="n">
        <f aca="false">IFERROR(AY439/AY438-1,"")</f>
        <v>0.080677364490128</v>
      </c>
      <c r="BA439" s="17" t="n">
        <v>0.934</v>
      </c>
      <c r="BB439" s="11" t="s">
        <v>99</v>
      </c>
      <c r="BC439" s="11" t="s">
        <v>100</v>
      </c>
      <c r="BD439" s="11" t="s">
        <v>83</v>
      </c>
      <c r="BE439" s="12" t="n">
        <v>1217883</v>
      </c>
      <c r="BF439" s="13" t="n">
        <f aca="false">IFERROR(P439/BE439-1,"")</f>
        <v>-0.0136581264374328</v>
      </c>
      <c r="BG439" s="17" t="n">
        <v>-0.007</v>
      </c>
      <c r="BH439" s="17" t="n">
        <v>0.001</v>
      </c>
      <c r="BI439" s="14" t="n">
        <f aca="false">P439*(1+IFERROR(Q439,0))^4</f>
        <v>1637614.39719558</v>
      </c>
      <c r="BJ439" s="12" t="n">
        <v>-1484589</v>
      </c>
      <c r="BK439" s="11" t="s">
        <v>192</v>
      </c>
      <c r="BL439" s="11" t="s">
        <v>111</v>
      </c>
      <c r="BM439" s="14" t="n">
        <f aca="false">O439</f>
        <v>42944589</v>
      </c>
      <c r="BN439" s="11" t="s">
        <v>482</v>
      </c>
      <c r="BO439" s="13" t="n">
        <f aca="false">IFERROR(1-L439/M439,"")</f>
        <v>0.149121891844897</v>
      </c>
      <c r="BP439" s="11" t="s">
        <v>198</v>
      </c>
      <c r="BQ439" s="12" t="n">
        <v>3295979</v>
      </c>
      <c r="BR439" s="11" t="s">
        <v>88</v>
      </c>
      <c r="BS439" s="11" t="s">
        <v>89</v>
      </c>
      <c r="BT439" s="19" t="str">
        <f aca="false">IF(OR(Z439&lt;6,AH439&lt;0.9,S439&lt;0.02,AK439&lt;1),"REVIEW",IF(AND(S439&gt;0.25,AH439&gt;1.2),"ACCELERATING","STABLE"))</f>
        <v>STABLE</v>
      </c>
    </row>
    <row r="440" customFormat="false" ht="15" hidden="false" customHeight="false" outlineLevel="0" collapsed="false">
      <c r="A440" s="11" t="s">
        <v>480</v>
      </c>
      <c r="B440" s="11" t="s">
        <v>92</v>
      </c>
      <c r="C440" s="11" t="s">
        <v>74</v>
      </c>
      <c r="D440" s="11" t="s">
        <v>132</v>
      </c>
      <c r="E440" s="11" t="s">
        <v>105</v>
      </c>
      <c r="F440" s="11" t="s">
        <v>481</v>
      </c>
      <c r="G440" s="11" t="s">
        <v>78</v>
      </c>
      <c r="H440" s="11" t="s">
        <v>79</v>
      </c>
      <c r="I440" s="11" t="s">
        <v>78</v>
      </c>
      <c r="J440" s="12" t="n">
        <v>4288000</v>
      </c>
      <c r="K440" s="13" t="n">
        <f aca="false">IFERROR(J440/M440,"")</f>
        <v>0.149121891844897</v>
      </c>
      <c r="L440" s="12" t="n">
        <v>24467000</v>
      </c>
      <c r="M440" s="14" t="n">
        <f aca="false">L440+J440</f>
        <v>28755000</v>
      </c>
      <c r="N440" s="12" t="n">
        <v>4488000</v>
      </c>
      <c r="O440" s="12" t="n">
        <v>42944589</v>
      </c>
      <c r="P440" s="12" t="n">
        <v>1273395</v>
      </c>
      <c r="Q440" s="13" t="n">
        <f aca="false">IFERROR(P440/P439-1,"")</f>
        <v>0.0600591550960707</v>
      </c>
      <c r="R440" s="12" t="n">
        <v>1441453</v>
      </c>
      <c r="S440" s="13" t="n">
        <f aca="false">IFERROR(R440/R439-1,"")</f>
        <v>0.113200290684878</v>
      </c>
      <c r="T440" s="12" t="n">
        <v>795752</v>
      </c>
      <c r="U440" s="13" t="n">
        <f aca="false">IFERROR(T440/P440,"")</f>
        <v>0.624905861888888</v>
      </c>
      <c r="V440" s="14" t="n">
        <f aca="false">T440-AV440</f>
        <v>-1982125</v>
      </c>
      <c r="W440" s="14" t="n">
        <f aca="false">V440-AA440*0.1</f>
        <v>-2039025</v>
      </c>
      <c r="X440" s="12" t="n">
        <v>2987686</v>
      </c>
      <c r="Y440" s="12" t="n">
        <v>215340</v>
      </c>
      <c r="Z440" s="15" t="n">
        <f aca="false">IFERROR(X440/Y440,"")</f>
        <v>13.8742732423145</v>
      </c>
      <c r="AA440" s="12" t="n">
        <v>569000</v>
      </c>
      <c r="AB440" s="14" t="n">
        <f aca="false">W440-0.02*P440</f>
        <v>-2064492.9</v>
      </c>
      <c r="AC440" s="16" t="n">
        <v>20</v>
      </c>
      <c r="AD440" s="13" t="n">
        <f aca="false">IFERROR(AC440/AC439-1,"")</f>
        <v>0</v>
      </c>
      <c r="AE440" s="17" t="n">
        <v>0.063</v>
      </c>
      <c r="AF440" s="17" t="n">
        <v>0.05</v>
      </c>
      <c r="AG440" s="13" t="n">
        <f aca="false">1-AF440</f>
        <v>0.95</v>
      </c>
      <c r="AH440" s="17" t="n">
        <v>1.028</v>
      </c>
      <c r="AI440" s="12" t="n">
        <v>21318</v>
      </c>
      <c r="AJ440" s="14" t="n">
        <f aca="false">IFERROR(AM440*U440*MIN(1/AE440,5),"")</f>
        <v>51992.1677091554</v>
      </c>
      <c r="AK440" s="18" t="n">
        <f aca="false">IFERROR(AJ440/AI440,"")</f>
        <v>2.43888581054299</v>
      </c>
      <c r="AL440" s="15" t="n">
        <f aca="false">IFERROR(AI440/(AM440*U440/12),"")</f>
        <v>24.6013977942828</v>
      </c>
      <c r="AM440" s="12" t="n">
        <v>16640</v>
      </c>
      <c r="AN440" s="12" t="n">
        <v>1497982</v>
      </c>
      <c r="AO440" s="12" t="n">
        <v>2174142</v>
      </c>
      <c r="AP440" s="17" t="n">
        <v>0.249</v>
      </c>
      <c r="AQ440" s="16" t="n">
        <v>57</v>
      </c>
      <c r="AR440" s="16" t="n">
        <v>9</v>
      </c>
      <c r="AS440" s="13" t="n">
        <f aca="false">IFERROR(AR440/AR439-1,"")</f>
        <v>0.125</v>
      </c>
      <c r="AT440" s="11" t="s">
        <v>153</v>
      </c>
      <c r="AU440" s="14" t="n">
        <f aca="false">IFERROR(P440/AR440,"")</f>
        <v>141488.333333333</v>
      </c>
      <c r="AV440" s="12" t="n">
        <v>2777877</v>
      </c>
      <c r="AW440" s="12" t="n">
        <v>909649</v>
      </c>
      <c r="AX440" s="12" t="n">
        <v>882175</v>
      </c>
      <c r="AY440" s="16" t="n">
        <v>32354</v>
      </c>
      <c r="AZ440" s="13" t="n">
        <f aca="false">IFERROR(AY440/AY439-1,"")</f>
        <v>0.106952237580402</v>
      </c>
      <c r="BA440" s="17" t="n">
        <v>0.947</v>
      </c>
      <c r="BB440" s="11" t="s">
        <v>99</v>
      </c>
      <c r="BC440" s="11" t="s">
        <v>100</v>
      </c>
      <c r="BD440" s="11" t="s">
        <v>83</v>
      </c>
      <c r="BE440" s="12" t="n">
        <v>1569075</v>
      </c>
      <c r="BF440" s="13" t="n">
        <f aca="false">IFERROR(P440/BE440-1,"")</f>
        <v>-0.188442235074805</v>
      </c>
      <c r="BG440" s="17" t="n">
        <v>0.005</v>
      </c>
      <c r="BH440" s="17" t="n">
        <v>-0.078</v>
      </c>
      <c r="BI440" s="14" t="n">
        <f aca="false">P440*(1+IFERROR(Q440,0))^4</f>
        <v>1607990.74499819</v>
      </c>
      <c r="BJ440" s="12" t="n">
        <v>-1561156</v>
      </c>
      <c r="BK440" s="11" t="s">
        <v>192</v>
      </c>
      <c r="BL440" s="11" t="s">
        <v>111</v>
      </c>
      <c r="BM440" s="14" t="n">
        <f aca="false">O440</f>
        <v>42944589</v>
      </c>
      <c r="BN440" s="11" t="s">
        <v>482</v>
      </c>
      <c r="BO440" s="13" t="n">
        <f aca="false">IFERROR(1-L440/M440,"")</f>
        <v>0.149121891844897</v>
      </c>
      <c r="BP440" s="11" t="s">
        <v>198</v>
      </c>
      <c r="BQ440" s="12" t="n">
        <v>2683056</v>
      </c>
      <c r="BR440" s="11" t="s">
        <v>88</v>
      </c>
      <c r="BS440" s="11" t="s">
        <v>89</v>
      </c>
      <c r="BT440" s="19" t="str">
        <f aca="false">IF(OR(Z440&lt;6,AH440&lt;0.9,S440&lt;0.02,AK440&lt;1),"REVIEW",IF(AND(S440&gt;0.25,AH440&gt;1.2),"ACCELERATING","STABLE"))</f>
        <v>STABLE</v>
      </c>
    </row>
    <row r="441" customFormat="false" ht="15" hidden="false" customHeight="false" outlineLevel="0" collapsed="false">
      <c r="A441" s="11" t="s">
        <v>480</v>
      </c>
      <c r="B441" s="11" t="s">
        <v>93</v>
      </c>
      <c r="C441" s="11" t="s">
        <v>74</v>
      </c>
      <c r="D441" s="11" t="s">
        <v>132</v>
      </c>
      <c r="E441" s="11" t="s">
        <v>105</v>
      </c>
      <c r="F441" s="11" t="s">
        <v>481</v>
      </c>
      <c r="G441" s="11" t="s">
        <v>78</v>
      </c>
      <c r="H441" s="11" t="s">
        <v>79</v>
      </c>
      <c r="I441" s="11" t="s">
        <v>78</v>
      </c>
      <c r="J441" s="12" t="n">
        <v>4288000</v>
      </c>
      <c r="K441" s="13" t="n">
        <f aca="false">IFERROR(J441/M441,"")</f>
        <v>0.149121891844897</v>
      </c>
      <c r="L441" s="12" t="n">
        <v>24467000</v>
      </c>
      <c r="M441" s="14" t="n">
        <f aca="false">L441+J441</f>
        <v>28755000</v>
      </c>
      <c r="N441" s="12" t="n">
        <v>4488000</v>
      </c>
      <c r="O441" s="12" t="n">
        <v>42944589</v>
      </c>
      <c r="P441" s="12" t="n">
        <v>1547540</v>
      </c>
      <c r="Q441" s="13" t="n">
        <f aca="false">IFERROR(P441/P440-1,"")</f>
        <v>0.215286694230777</v>
      </c>
      <c r="R441" s="12" t="n">
        <v>1678145</v>
      </c>
      <c r="S441" s="13" t="n">
        <f aca="false">IFERROR(R441/R440-1,"")</f>
        <v>0.164203758291113</v>
      </c>
      <c r="T441" s="12" t="n">
        <v>970951</v>
      </c>
      <c r="U441" s="13" t="n">
        <f aca="false">IFERROR(T441/P441,"")</f>
        <v>0.627415769543921</v>
      </c>
      <c r="V441" s="14" t="n">
        <f aca="false">T441-AV441</f>
        <v>-2450447</v>
      </c>
      <c r="W441" s="14" t="n">
        <f aca="false">V441-AA441*0.1</f>
        <v>-2507347</v>
      </c>
      <c r="X441" s="12" t="n">
        <v>2406268</v>
      </c>
      <c r="Y441" s="12" t="n">
        <v>222000</v>
      </c>
      <c r="Z441" s="15" t="n">
        <f aca="false">IFERROR(X441/Y441,"")</f>
        <v>10.839045045045</v>
      </c>
      <c r="AA441" s="12" t="n">
        <v>569000</v>
      </c>
      <c r="AB441" s="14" t="n">
        <f aca="false">W441-0.02*P441</f>
        <v>-2538297.8</v>
      </c>
      <c r="AC441" s="16" t="n">
        <v>23</v>
      </c>
      <c r="AD441" s="13" t="n">
        <f aca="false">IFERROR(AC441/AC440-1,"")</f>
        <v>0.15</v>
      </c>
      <c r="AE441" s="17" t="n">
        <v>0.061</v>
      </c>
      <c r="AF441" s="17" t="n">
        <v>0.058</v>
      </c>
      <c r="AG441" s="13" t="n">
        <f aca="false">1-AF441</f>
        <v>0.942</v>
      </c>
      <c r="AH441" s="17" t="n">
        <v>1.023</v>
      </c>
      <c r="AI441" s="12" t="n">
        <v>20900</v>
      </c>
      <c r="AJ441" s="14" t="n">
        <f aca="false">IFERROR(AM441*U441*MIN(1/AE441,5),"")</f>
        <v>53204.8572573245</v>
      </c>
      <c r="AK441" s="18" t="n">
        <f aca="false">IFERROR(AJ441/AI441,"")</f>
        <v>2.54568695011122</v>
      </c>
      <c r="AL441" s="15" t="n">
        <f aca="false">IFERROR(AI441/(AM441*U441/12),"")</f>
        <v>23.5692766533523</v>
      </c>
      <c r="AM441" s="12" t="n">
        <v>16960</v>
      </c>
      <c r="AN441" s="12" t="n">
        <v>2404533</v>
      </c>
      <c r="AO441" s="12" t="n">
        <v>3602010</v>
      </c>
      <c r="AP441" s="17" t="n">
        <v>0.249</v>
      </c>
      <c r="AQ441" s="16" t="n">
        <v>57</v>
      </c>
      <c r="AR441" s="16" t="n">
        <v>10</v>
      </c>
      <c r="AS441" s="13" t="n">
        <f aca="false">IFERROR(AR441/AR440-1,"")</f>
        <v>0.111111111111111</v>
      </c>
      <c r="AT441" s="11" t="s">
        <v>153</v>
      </c>
      <c r="AU441" s="14" t="n">
        <f aca="false">IFERROR(P441/AR441,"")</f>
        <v>154754</v>
      </c>
      <c r="AV441" s="12" t="n">
        <v>3421398</v>
      </c>
      <c r="AW441" s="12" t="n">
        <v>1054842</v>
      </c>
      <c r="AX441" s="12" t="n">
        <v>926649</v>
      </c>
      <c r="AY441" s="16" t="n">
        <v>37524</v>
      </c>
      <c r="AZ441" s="13" t="n">
        <f aca="false">IFERROR(AY441/AY440-1,"")</f>
        <v>0.15979477035297</v>
      </c>
      <c r="BA441" s="17" t="n">
        <v>0.942</v>
      </c>
      <c r="BB441" s="11" t="s">
        <v>99</v>
      </c>
      <c r="BC441" s="11" t="s">
        <v>100</v>
      </c>
      <c r="BD441" s="11" t="s">
        <v>83</v>
      </c>
      <c r="BE441" s="12" t="n">
        <v>1527935</v>
      </c>
      <c r="BF441" s="13" t="n">
        <f aca="false">IFERROR(P441/BE441-1,"")</f>
        <v>0.012831043205372</v>
      </c>
      <c r="BG441" s="17" t="n">
        <v>-0.019</v>
      </c>
      <c r="BH441" s="17" t="n">
        <v>-0.012</v>
      </c>
      <c r="BI441" s="14" t="n">
        <f aca="false">P441*(1+IFERROR(Q441,0))^4</f>
        <v>3375645.6797168</v>
      </c>
      <c r="BJ441" s="12" t="n">
        <v>-1501480</v>
      </c>
      <c r="BK441" s="11" t="s">
        <v>192</v>
      </c>
      <c r="BL441" s="11" t="s">
        <v>111</v>
      </c>
      <c r="BM441" s="14" t="n">
        <f aca="false">O441</f>
        <v>42944589</v>
      </c>
      <c r="BN441" s="11" t="s">
        <v>482</v>
      </c>
      <c r="BO441" s="13" t="n">
        <f aca="false">IFERROR(1-L441/M441,"")</f>
        <v>0.149121891844897</v>
      </c>
      <c r="BP441" s="11" t="s">
        <v>198</v>
      </c>
      <c r="BQ441" s="12" t="n">
        <v>3191854</v>
      </c>
      <c r="BR441" s="11" t="s">
        <v>88</v>
      </c>
      <c r="BS441" s="11" t="s">
        <v>89</v>
      </c>
      <c r="BT441" s="19" t="str">
        <f aca="false">IF(OR(Z441&lt;6,AH441&lt;0.9,S441&lt;0.02,AK441&lt;1),"REVIEW",IF(AND(S441&gt;0.25,AH441&gt;1.2),"ACCELERATING","STABLE"))</f>
        <v>STABLE</v>
      </c>
    </row>
    <row r="442" customFormat="false" ht="15" hidden="false" customHeight="false" outlineLevel="0" collapsed="false">
      <c r="A442" s="3" t="s">
        <v>483</v>
      </c>
      <c r="B442" s="3" t="s">
        <v>73</v>
      </c>
      <c r="C442" s="3" t="s">
        <v>74</v>
      </c>
      <c r="D442" s="3" t="s">
        <v>210</v>
      </c>
      <c r="E442" s="3" t="s">
        <v>105</v>
      </c>
      <c r="F442" s="3" t="s">
        <v>484</v>
      </c>
      <c r="G442" s="3" t="s">
        <v>78</v>
      </c>
      <c r="H442" s="3" t="s">
        <v>79</v>
      </c>
      <c r="I442" s="3" t="s">
        <v>78</v>
      </c>
      <c r="J442" s="4" t="n">
        <v>2857000</v>
      </c>
      <c r="K442" s="5" t="n">
        <f aca="false">IFERROR(J442/M442,"")</f>
        <v>0.133498434652586</v>
      </c>
      <c r="L442" s="4" t="n">
        <v>18544000</v>
      </c>
      <c r="M442" s="6" t="n">
        <f aca="false">L442+J442</f>
        <v>21401000</v>
      </c>
      <c r="N442" s="4" t="n">
        <v>2857000</v>
      </c>
      <c r="O442" s="4" t="n">
        <v>46669607</v>
      </c>
      <c r="P442" s="4" t="n">
        <v>216443</v>
      </c>
      <c r="Q442" s="7"/>
      <c r="R442" s="4" t="n">
        <v>293464</v>
      </c>
      <c r="S442" s="7"/>
      <c r="T442" s="4" t="n">
        <v>171909</v>
      </c>
      <c r="U442" s="5" t="n">
        <f aca="false">IFERROR(T442/P442,"")</f>
        <v>0.794246060163646</v>
      </c>
      <c r="V442" s="6" t="n">
        <f aca="false">T442-AV442</f>
        <v>-1262918</v>
      </c>
      <c r="W442" s="6" t="n">
        <f aca="false">V442-AA442*0.1</f>
        <v>-1262918</v>
      </c>
      <c r="X442" s="4" t="n">
        <v>3827262</v>
      </c>
      <c r="Y442" s="4" t="n">
        <v>111020</v>
      </c>
      <c r="Z442" s="8" t="n">
        <f aca="false">IFERROR(X442/Y442,"")</f>
        <v>34.4736263736264</v>
      </c>
      <c r="AA442" s="4" t="n">
        <v>0</v>
      </c>
      <c r="AB442" s="6" t="n">
        <f aca="false">W442-0.02*P442</f>
        <v>-1267246.86</v>
      </c>
      <c r="AC442" s="9" t="n">
        <v>39</v>
      </c>
      <c r="AD442" s="7"/>
      <c r="AE442" s="7" t="n">
        <v>0.089</v>
      </c>
      <c r="AF442" s="7" t="n">
        <v>0.06</v>
      </c>
      <c r="AG442" s="5" t="n">
        <f aca="false">1-AF442</f>
        <v>0.94</v>
      </c>
      <c r="AH442" s="7" t="n">
        <v>1.038</v>
      </c>
      <c r="AI442" s="4" t="n">
        <v>64024</v>
      </c>
      <c r="AJ442" s="6" t="n">
        <f aca="false">IFERROR(AM442*U442*MIN(1/AE442,5),"")</f>
        <v>214446.436244184</v>
      </c>
      <c r="AK442" s="10" t="n">
        <f aca="false">IFERROR(AJ442/AI442,"")</f>
        <v>3.34946951524716</v>
      </c>
      <c r="AL442" s="8" t="n">
        <f aca="false">IFERROR(AI442/(AM442*U442/12),"")</f>
        <v>17.913284395297</v>
      </c>
      <c r="AM442" s="4" t="n">
        <v>54000</v>
      </c>
      <c r="AN442" s="4" t="n">
        <v>388175</v>
      </c>
      <c r="AO442" s="4" t="n">
        <v>458682</v>
      </c>
      <c r="AP442" s="7" t="n">
        <v>0.179</v>
      </c>
      <c r="AQ442" s="9" t="n">
        <v>42</v>
      </c>
      <c r="AR442" s="9" t="n">
        <v>12</v>
      </c>
      <c r="AS442" s="7"/>
      <c r="AT442" s="3" t="s">
        <v>218</v>
      </c>
      <c r="AU442" s="6" t="n">
        <f aca="false">IFERROR(P442/AR442,"")</f>
        <v>18036.9166666667</v>
      </c>
      <c r="AV442" s="4" t="n">
        <v>1434827</v>
      </c>
      <c r="AW442" s="4" t="n">
        <v>626767</v>
      </c>
      <c r="AX442" s="4" t="n">
        <v>402698</v>
      </c>
      <c r="AY442" s="9" t="n">
        <v>2315</v>
      </c>
      <c r="AZ442" s="7"/>
      <c r="BA442" s="7" t="n">
        <v>0.914</v>
      </c>
      <c r="BB442" s="3" t="s">
        <v>161</v>
      </c>
      <c r="BC442" s="3" t="s">
        <v>108</v>
      </c>
      <c r="BD442" s="3" t="s">
        <v>157</v>
      </c>
      <c r="BE442" s="4" t="n">
        <v>255258</v>
      </c>
      <c r="BF442" s="5" t="n">
        <f aca="false">IFERROR(P442/BE442-1,"")</f>
        <v>-0.152061835476263</v>
      </c>
      <c r="BG442" s="7" t="n">
        <v>0.013</v>
      </c>
      <c r="BH442" s="7" t="n">
        <v>0.018</v>
      </c>
      <c r="BI442" s="6" t="n">
        <f aca="false">P442</f>
        <v>216443</v>
      </c>
      <c r="BJ442" s="4" t="n">
        <v>-1021467</v>
      </c>
      <c r="BK442" s="3" t="s">
        <v>127</v>
      </c>
      <c r="BL442" s="3" t="s">
        <v>162</v>
      </c>
      <c r="BM442" s="6" t="n">
        <f aca="false">O442</f>
        <v>46669607</v>
      </c>
      <c r="BN442" s="3" t="s">
        <v>485</v>
      </c>
      <c r="BO442" s="5" t="n">
        <f aca="false">IFERROR(1-L442/M442,"")</f>
        <v>0.133498434652586</v>
      </c>
      <c r="BP442" s="3" t="s">
        <v>87</v>
      </c>
      <c r="BQ442" s="4" t="n">
        <v>2004373</v>
      </c>
      <c r="BR442" s="3" t="s">
        <v>88</v>
      </c>
      <c r="BS442" s="3" t="s">
        <v>89</v>
      </c>
      <c r="BT442" s="3" t="s">
        <v>90</v>
      </c>
    </row>
    <row r="443" customFormat="false" ht="15" hidden="false" customHeight="false" outlineLevel="0" collapsed="false">
      <c r="A443" s="11" t="s">
        <v>483</v>
      </c>
      <c r="B443" s="11" t="s">
        <v>91</v>
      </c>
      <c r="C443" s="11" t="s">
        <v>74</v>
      </c>
      <c r="D443" s="11" t="s">
        <v>210</v>
      </c>
      <c r="E443" s="11" t="s">
        <v>105</v>
      </c>
      <c r="F443" s="11" t="s">
        <v>484</v>
      </c>
      <c r="G443" s="11" t="s">
        <v>78</v>
      </c>
      <c r="H443" s="11" t="s">
        <v>79</v>
      </c>
      <c r="I443" s="11" t="s">
        <v>78</v>
      </c>
      <c r="J443" s="12" t="n">
        <v>2857000</v>
      </c>
      <c r="K443" s="13" t="n">
        <f aca="false">IFERROR(J443/M443,"")</f>
        <v>0.133498434652586</v>
      </c>
      <c r="L443" s="12" t="n">
        <v>18544000</v>
      </c>
      <c r="M443" s="14" t="n">
        <f aca="false">L443+J443</f>
        <v>21401000</v>
      </c>
      <c r="N443" s="12" t="n">
        <v>2857000</v>
      </c>
      <c r="O443" s="12" t="n">
        <v>46669607</v>
      </c>
      <c r="P443" s="12" t="n">
        <v>267934</v>
      </c>
      <c r="Q443" s="13" t="n">
        <f aca="false">IFERROR(P443/P442-1,"")</f>
        <v>0.237896351464358</v>
      </c>
      <c r="R443" s="12" t="n">
        <v>320406</v>
      </c>
      <c r="S443" s="13" t="n">
        <f aca="false">IFERROR(R443/R442-1,"")</f>
        <v>0.0918068315023308</v>
      </c>
      <c r="T443" s="12" t="n">
        <v>213667</v>
      </c>
      <c r="U443" s="13" t="n">
        <f aca="false">IFERROR(T443/P443,"")</f>
        <v>0.797461315099987</v>
      </c>
      <c r="V443" s="14" t="n">
        <f aca="false">T443-AV443</f>
        <v>-1112416</v>
      </c>
      <c r="W443" s="14" t="n">
        <f aca="false">V443-AA443*0.1</f>
        <v>-1112416</v>
      </c>
      <c r="X443" s="12" t="n">
        <v>3547272</v>
      </c>
      <c r="Y443" s="12" t="n">
        <v>114680</v>
      </c>
      <c r="Z443" s="15" t="n">
        <f aca="false">IFERROR(X443/Y443,"")</f>
        <v>30.931914893617</v>
      </c>
      <c r="AA443" s="12" t="n">
        <v>0</v>
      </c>
      <c r="AB443" s="14" t="n">
        <f aca="false">W443-0.02*P443</f>
        <v>-1117774.68</v>
      </c>
      <c r="AC443" s="16" t="n">
        <v>43</v>
      </c>
      <c r="AD443" s="13" t="n">
        <f aca="false">IFERROR(AC443/AC442-1,"")</f>
        <v>0.102564102564103</v>
      </c>
      <c r="AE443" s="17" t="n">
        <v>0.087</v>
      </c>
      <c r="AF443" s="17" t="n">
        <v>0.094</v>
      </c>
      <c r="AG443" s="13" t="n">
        <f aca="false">1-AF443</f>
        <v>0.906</v>
      </c>
      <c r="AH443" s="17" t="n">
        <v>1.033</v>
      </c>
      <c r="AI443" s="12" t="n">
        <v>62816</v>
      </c>
      <c r="AJ443" s="14" t="n">
        <f aca="false">IFERROR(AM443*U443*MIN(1/AE443,5),"")</f>
        <v>219620.846178536</v>
      </c>
      <c r="AK443" s="18" t="n">
        <f aca="false">IFERROR(AJ443/AI443,"")</f>
        <v>3.49625646616366</v>
      </c>
      <c r="AL443" s="15" t="n">
        <f aca="false">IFERROR(AI443/(AM443*U443/12),"")</f>
        <v>17.1612124512811</v>
      </c>
      <c r="AM443" s="12" t="n">
        <v>55080</v>
      </c>
      <c r="AN443" s="12" t="n">
        <v>345534</v>
      </c>
      <c r="AO443" s="12" t="n">
        <v>1136390</v>
      </c>
      <c r="AP443" s="17" t="n">
        <v>0.179</v>
      </c>
      <c r="AQ443" s="16" t="n">
        <v>42</v>
      </c>
      <c r="AR443" s="16" t="n">
        <v>14</v>
      </c>
      <c r="AS443" s="13" t="n">
        <f aca="false">IFERROR(AR443/AR442-1,"")</f>
        <v>0.166666666666667</v>
      </c>
      <c r="AT443" s="11" t="s">
        <v>218</v>
      </c>
      <c r="AU443" s="14" t="n">
        <f aca="false">IFERROR(P443/AR443,"")</f>
        <v>19138.1428571429</v>
      </c>
      <c r="AV443" s="12" t="n">
        <v>1326083</v>
      </c>
      <c r="AW443" s="12" t="n">
        <v>631586</v>
      </c>
      <c r="AX443" s="12" t="n">
        <v>288975</v>
      </c>
      <c r="AY443" s="16" t="n">
        <v>2554</v>
      </c>
      <c r="AZ443" s="13" t="n">
        <f aca="false">IFERROR(AY443/AY442-1,"")</f>
        <v>0.103239740820734</v>
      </c>
      <c r="BA443" s="17" t="n">
        <v>0.935</v>
      </c>
      <c r="BB443" s="11" t="s">
        <v>161</v>
      </c>
      <c r="BC443" s="11" t="s">
        <v>108</v>
      </c>
      <c r="BD443" s="11" t="s">
        <v>157</v>
      </c>
      <c r="BE443" s="12" t="n">
        <v>332569</v>
      </c>
      <c r="BF443" s="13" t="n">
        <f aca="false">IFERROR(P443/BE443-1,"")</f>
        <v>-0.19435064603135</v>
      </c>
      <c r="BG443" s="17" t="n">
        <v>0.013</v>
      </c>
      <c r="BH443" s="17" t="n">
        <v>-0.033</v>
      </c>
      <c r="BI443" s="14" t="n">
        <f aca="false">P443*(1+IFERROR(Q443,0))^4</f>
        <v>629165.58565816</v>
      </c>
      <c r="BJ443" s="12" t="n">
        <v>-745845</v>
      </c>
      <c r="BK443" s="11" t="s">
        <v>127</v>
      </c>
      <c r="BL443" s="11" t="s">
        <v>162</v>
      </c>
      <c r="BM443" s="14" t="n">
        <f aca="false">O443</f>
        <v>46669607</v>
      </c>
      <c r="BN443" s="11" t="s">
        <v>485</v>
      </c>
      <c r="BO443" s="13" t="n">
        <f aca="false">IFERROR(1-L443/M443,"")</f>
        <v>0.133498434652586</v>
      </c>
      <c r="BP443" s="11" t="s">
        <v>87</v>
      </c>
      <c r="BQ443" s="12" t="n">
        <v>2171473</v>
      </c>
      <c r="BR443" s="11" t="s">
        <v>88</v>
      </c>
      <c r="BS443" s="11" t="s">
        <v>89</v>
      </c>
      <c r="BT443" s="19" t="str">
        <f aca="false">IF(OR(Z443&lt;6,AH443&lt;0.9,S443&lt;0.02,AK443&lt;1),"REVIEW",IF(AND(S443&gt;0.25,AH443&gt;1.2),"ACCELERATING","STABLE"))</f>
        <v>STABLE</v>
      </c>
    </row>
    <row r="444" customFormat="false" ht="15" hidden="false" customHeight="false" outlineLevel="0" collapsed="false">
      <c r="A444" s="11" t="s">
        <v>483</v>
      </c>
      <c r="B444" s="11" t="s">
        <v>92</v>
      </c>
      <c r="C444" s="11" t="s">
        <v>74</v>
      </c>
      <c r="D444" s="11" t="s">
        <v>210</v>
      </c>
      <c r="E444" s="11" t="s">
        <v>105</v>
      </c>
      <c r="F444" s="11" t="s">
        <v>484</v>
      </c>
      <c r="G444" s="11" t="s">
        <v>78</v>
      </c>
      <c r="H444" s="11" t="s">
        <v>79</v>
      </c>
      <c r="I444" s="11" t="s">
        <v>78</v>
      </c>
      <c r="J444" s="12" t="n">
        <v>2857000</v>
      </c>
      <c r="K444" s="13" t="n">
        <f aca="false">IFERROR(J444/M444,"")</f>
        <v>0.133498434652586</v>
      </c>
      <c r="L444" s="12" t="n">
        <v>18544000</v>
      </c>
      <c r="M444" s="14" t="n">
        <f aca="false">L444+J444</f>
        <v>21401000</v>
      </c>
      <c r="N444" s="12" t="n">
        <v>2857000</v>
      </c>
      <c r="O444" s="12" t="n">
        <v>46669607</v>
      </c>
      <c r="P444" s="12" t="n">
        <v>278951</v>
      </c>
      <c r="Q444" s="13" t="n">
        <f aca="false">IFERROR(P444/P443-1,"")</f>
        <v>0.0411183351123785</v>
      </c>
      <c r="R444" s="12" t="n">
        <v>338775</v>
      </c>
      <c r="S444" s="13" t="n">
        <f aca="false">IFERROR(R444/R443-1,"")</f>
        <v>0.0573303870714033</v>
      </c>
      <c r="T444" s="12" t="n">
        <v>223349</v>
      </c>
      <c r="U444" s="13" t="n">
        <f aca="false">IFERROR(T444/P444,"")</f>
        <v>0.800674670461837</v>
      </c>
      <c r="V444" s="14" t="n">
        <f aca="false">T444-AV444</f>
        <v>-1394649</v>
      </c>
      <c r="W444" s="14" t="n">
        <f aca="false">V444-AA444*0.1</f>
        <v>-1394649</v>
      </c>
      <c r="X444" s="12" t="n">
        <v>3247518</v>
      </c>
      <c r="Y444" s="12" t="n">
        <v>118340</v>
      </c>
      <c r="Z444" s="15" t="n">
        <f aca="false">IFERROR(X444/Y444,"")</f>
        <v>27.4422680412371</v>
      </c>
      <c r="AA444" s="12" t="n">
        <v>0</v>
      </c>
      <c r="AB444" s="14" t="n">
        <f aca="false">W444-0.02*P444</f>
        <v>-1400228.02</v>
      </c>
      <c r="AC444" s="16" t="n">
        <v>47</v>
      </c>
      <c r="AD444" s="13" t="n">
        <f aca="false">IFERROR(AC444/AC443-1,"")</f>
        <v>0.0930232558139534</v>
      </c>
      <c r="AE444" s="17" t="n">
        <v>0.084</v>
      </c>
      <c r="AF444" s="17" t="n">
        <v>0.053</v>
      </c>
      <c r="AG444" s="13" t="n">
        <f aca="false">1-AF444</f>
        <v>0.947</v>
      </c>
      <c r="AH444" s="17" t="n">
        <v>1.028</v>
      </c>
      <c r="AI444" s="12" t="n">
        <v>61608</v>
      </c>
      <c r="AJ444" s="14" t="n">
        <f aca="false">IFERROR(AM444*U444*MIN(1/AE444,5),"")</f>
        <v>224829.447465684</v>
      </c>
      <c r="AK444" s="18" t="n">
        <f aca="false">IFERROR(AJ444/AI444,"")</f>
        <v>3.64935475044936</v>
      </c>
      <c r="AL444" s="15" t="n">
        <f aca="false">IFERROR(AI444/(AM444*U444/12),"")</f>
        <v>16.4412626622863</v>
      </c>
      <c r="AM444" s="12" t="n">
        <v>56160</v>
      </c>
      <c r="AN444" s="12" t="n">
        <v>440281</v>
      </c>
      <c r="AO444" s="12" t="n">
        <v>928026</v>
      </c>
      <c r="AP444" s="17" t="n">
        <v>0.179</v>
      </c>
      <c r="AQ444" s="16" t="n">
        <v>42</v>
      </c>
      <c r="AR444" s="16" t="n">
        <v>15</v>
      </c>
      <c r="AS444" s="13" t="n">
        <f aca="false">IFERROR(AR444/AR443-1,"")</f>
        <v>0.0714285714285714</v>
      </c>
      <c r="AT444" s="11" t="s">
        <v>218</v>
      </c>
      <c r="AU444" s="14" t="n">
        <f aca="false">IFERROR(P444/AR444,"")</f>
        <v>18596.7333333333</v>
      </c>
      <c r="AV444" s="12" t="n">
        <v>1617998</v>
      </c>
      <c r="AW444" s="12" t="n">
        <v>807907</v>
      </c>
      <c r="AX444" s="12" t="n">
        <v>297360</v>
      </c>
      <c r="AY444" s="16" t="n">
        <v>2729</v>
      </c>
      <c r="AZ444" s="13" t="n">
        <f aca="false">IFERROR(AY444/AY443-1,"")</f>
        <v>0.0685199686765858</v>
      </c>
      <c r="BA444" s="17" t="n">
        <v>0.938</v>
      </c>
      <c r="BB444" s="11" t="s">
        <v>161</v>
      </c>
      <c r="BC444" s="11" t="s">
        <v>108</v>
      </c>
      <c r="BD444" s="11" t="s">
        <v>157</v>
      </c>
      <c r="BE444" s="12" t="n">
        <v>268731</v>
      </c>
      <c r="BF444" s="13" t="n">
        <f aca="false">IFERROR(P444/BE444-1,"")</f>
        <v>0.0380305956514135</v>
      </c>
      <c r="BG444" s="17" t="n">
        <v>-0.038</v>
      </c>
      <c r="BH444" s="17" t="n">
        <v>-0.007</v>
      </c>
      <c r="BI444" s="14" t="n">
        <f aca="false">P444*(1+IFERROR(Q444,0))^4</f>
        <v>327739.134297743</v>
      </c>
      <c r="BJ444" s="12" t="n">
        <v>-1394706</v>
      </c>
      <c r="BK444" s="11" t="s">
        <v>127</v>
      </c>
      <c r="BL444" s="11" t="s">
        <v>162</v>
      </c>
      <c r="BM444" s="14" t="n">
        <f aca="false">O444</f>
        <v>46669607</v>
      </c>
      <c r="BN444" s="11" t="s">
        <v>485</v>
      </c>
      <c r="BO444" s="13" t="n">
        <f aca="false">IFERROR(1-L444/M444,"")</f>
        <v>0.133498434652586</v>
      </c>
      <c r="BP444" s="11" t="s">
        <v>87</v>
      </c>
      <c r="BQ444" s="12" t="n">
        <v>1802038</v>
      </c>
      <c r="BR444" s="11" t="s">
        <v>88</v>
      </c>
      <c r="BS444" s="11" t="s">
        <v>89</v>
      </c>
      <c r="BT444" s="19" t="str">
        <f aca="false">IF(OR(Z444&lt;6,AH444&lt;0.9,S444&lt;0.02,AK444&lt;1),"REVIEW",IF(AND(S444&gt;0.25,AH444&gt;1.2),"ACCELERATING","STABLE"))</f>
        <v>STABLE</v>
      </c>
    </row>
    <row r="445" customFormat="false" ht="15" hidden="false" customHeight="false" outlineLevel="0" collapsed="false">
      <c r="A445" s="11" t="s">
        <v>483</v>
      </c>
      <c r="B445" s="11" t="s">
        <v>93</v>
      </c>
      <c r="C445" s="11" t="s">
        <v>74</v>
      </c>
      <c r="D445" s="11" t="s">
        <v>210</v>
      </c>
      <c r="E445" s="11" t="s">
        <v>105</v>
      </c>
      <c r="F445" s="11" t="s">
        <v>484</v>
      </c>
      <c r="G445" s="11" t="s">
        <v>78</v>
      </c>
      <c r="H445" s="11" t="s">
        <v>79</v>
      </c>
      <c r="I445" s="11" t="s">
        <v>78</v>
      </c>
      <c r="J445" s="12" t="n">
        <v>2857000</v>
      </c>
      <c r="K445" s="13" t="n">
        <f aca="false">IFERROR(J445/M445,"")</f>
        <v>0.133498434652586</v>
      </c>
      <c r="L445" s="12" t="n">
        <v>18544000</v>
      </c>
      <c r="M445" s="14" t="n">
        <f aca="false">L445+J445</f>
        <v>21401000</v>
      </c>
      <c r="N445" s="12" t="n">
        <v>2857000</v>
      </c>
      <c r="O445" s="12" t="n">
        <v>46669607</v>
      </c>
      <c r="P445" s="12" t="n">
        <v>343400</v>
      </c>
      <c r="Q445" s="13" t="n">
        <f aca="false">IFERROR(P445/P444-1,"")</f>
        <v>0.231040577018903</v>
      </c>
      <c r="R445" s="12" t="n">
        <v>405853</v>
      </c>
      <c r="S445" s="13" t="n">
        <f aca="false">IFERROR(R445/R444-1,"")</f>
        <v>0.198001623496421</v>
      </c>
      <c r="T445" s="12" t="n">
        <v>276057</v>
      </c>
      <c r="U445" s="13" t="n">
        <f aca="false">IFERROR(T445/P445,"")</f>
        <v>0.80389341875364</v>
      </c>
      <c r="V445" s="14" t="n">
        <f aca="false">T445-AV445</f>
        <v>-1244325</v>
      </c>
      <c r="W445" s="14" t="n">
        <f aca="false">V445-AA445*0.1</f>
        <v>-1244325</v>
      </c>
      <c r="X445" s="12" t="n">
        <v>2928000</v>
      </c>
      <c r="Y445" s="12" t="n">
        <v>122000</v>
      </c>
      <c r="Z445" s="15" t="n">
        <f aca="false">IFERROR(X445/Y445,"")</f>
        <v>24</v>
      </c>
      <c r="AA445" s="12" t="n">
        <v>0</v>
      </c>
      <c r="AB445" s="14" t="n">
        <f aca="false">W445-0.02*P445</f>
        <v>-1251193</v>
      </c>
      <c r="AC445" s="16" t="n">
        <v>54</v>
      </c>
      <c r="AD445" s="13" t="n">
        <f aca="false">IFERROR(AC445/AC444-1,"")</f>
        <v>0.148936170212766</v>
      </c>
      <c r="AE445" s="17" t="n">
        <v>0.082</v>
      </c>
      <c r="AF445" s="17" t="n">
        <v>0.07</v>
      </c>
      <c r="AG445" s="13" t="n">
        <f aca="false">1-AF445</f>
        <v>0.93</v>
      </c>
      <c r="AH445" s="17" t="n">
        <v>1.023</v>
      </c>
      <c r="AI445" s="12" t="n">
        <v>60400</v>
      </c>
      <c r="AJ445" s="14" t="n">
        <f aca="false">IFERROR(AM445*U445*MIN(1/AE445,5),"")</f>
        <v>230074.296447292</v>
      </c>
      <c r="AK445" s="18" t="n">
        <f aca="false">IFERROR(AJ445/AI445,"")</f>
        <v>3.80917709349821</v>
      </c>
      <c r="AL445" s="15" t="n">
        <f aca="false">IFERROR(AI445/(AM445*U445/12),"")</f>
        <v>15.7514335845431</v>
      </c>
      <c r="AM445" s="12" t="n">
        <v>57240</v>
      </c>
      <c r="AN445" s="12" t="n">
        <v>392963</v>
      </c>
      <c r="AO445" s="12" t="n">
        <v>947659</v>
      </c>
      <c r="AP445" s="17" t="n">
        <v>0.179</v>
      </c>
      <c r="AQ445" s="16" t="n">
        <v>42</v>
      </c>
      <c r="AR445" s="16" t="n">
        <v>16</v>
      </c>
      <c r="AS445" s="13" t="n">
        <f aca="false">IFERROR(AR445/AR444-1,"")</f>
        <v>0.0666666666666667</v>
      </c>
      <c r="AT445" s="11" t="s">
        <v>218</v>
      </c>
      <c r="AU445" s="14" t="n">
        <f aca="false">IFERROR(P445/AR445,"")</f>
        <v>21462.5</v>
      </c>
      <c r="AV445" s="12" t="n">
        <v>1520382</v>
      </c>
      <c r="AW445" s="12" t="n">
        <v>650626</v>
      </c>
      <c r="AX445" s="12" t="n">
        <v>427908</v>
      </c>
      <c r="AY445" s="16" t="n">
        <v>3200</v>
      </c>
      <c r="AZ445" s="13" t="n">
        <f aca="false">IFERROR(AY445/AY444-1,"")</f>
        <v>0.172590692561378</v>
      </c>
      <c r="BA445" s="17" t="n">
        <v>0.915</v>
      </c>
      <c r="BB445" s="11" t="s">
        <v>161</v>
      </c>
      <c r="BC445" s="11" t="s">
        <v>108</v>
      </c>
      <c r="BD445" s="11" t="s">
        <v>157</v>
      </c>
      <c r="BE445" s="12" t="n">
        <v>422348</v>
      </c>
      <c r="BF445" s="13" t="n">
        <f aca="false">IFERROR(P445/BE445-1,"")</f>
        <v>-0.186926420866205</v>
      </c>
      <c r="BG445" s="17" t="n">
        <v>0.021</v>
      </c>
      <c r="BH445" s="17" t="n">
        <v>0.02</v>
      </c>
      <c r="BI445" s="14" t="n">
        <f aca="false">P445*(1+IFERROR(Q445,0))^4</f>
        <v>788659.907679424</v>
      </c>
      <c r="BJ445" s="12" t="n">
        <v>-736048</v>
      </c>
      <c r="BK445" s="11" t="s">
        <v>127</v>
      </c>
      <c r="BL445" s="11" t="s">
        <v>162</v>
      </c>
      <c r="BM445" s="14" t="n">
        <f aca="false">O445</f>
        <v>46669607</v>
      </c>
      <c r="BN445" s="11" t="s">
        <v>485</v>
      </c>
      <c r="BO445" s="13" t="n">
        <f aca="false">IFERROR(1-L445/M445,"")</f>
        <v>0.133498434652586</v>
      </c>
      <c r="BP445" s="11" t="s">
        <v>87</v>
      </c>
      <c r="BQ445" s="12" t="n">
        <v>2398455</v>
      </c>
      <c r="BR445" s="11" t="s">
        <v>88</v>
      </c>
      <c r="BS445" s="11" t="s">
        <v>89</v>
      </c>
      <c r="BT445" s="19" t="str">
        <f aca="false">IF(OR(Z445&lt;6,AH445&lt;0.9,S445&lt;0.02,AK445&lt;1),"REVIEW",IF(AND(S445&gt;0.25,AH445&gt;1.2),"ACCELERATING","STABLE"))</f>
        <v>STABLE</v>
      </c>
    </row>
    <row r="446" customFormat="false" ht="15" hidden="false" customHeight="false" outlineLevel="0" collapsed="false">
      <c r="A446" s="3" t="s">
        <v>486</v>
      </c>
      <c r="B446" s="3" t="s">
        <v>73</v>
      </c>
      <c r="C446" s="3" t="s">
        <v>74</v>
      </c>
      <c r="D446" s="3" t="s">
        <v>151</v>
      </c>
      <c r="E446" s="3" t="s">
        <v>105</v>
      </c>
      <c r="F446" s="3" t="s">
        <v>487</v>
      </c>
      <c r="G446" s="3" t="s">
        <v>78</v>
      </c>
      <c r="H446" s="3" t="s">
        <v>79</v>
      </c>
      <c r="I446" s="3" t="s">
        <v>78</v>
      </c>
      <c r="J446" s="4" t="n">
        <v>5848000</v>
      </c>
      <c r="K446" s="5" t="n">
        <f aca="false">IFERROR(J446/M446,"")</f>
        <v>0.17226853624768</v>
      </c>
      <c r="L446" s="4" t="n">
        <v>28099000</v>
      </c>
      <c r="M446" s="6" t="n">
        <f aca="false">L446+J446</f>
        <v>33947000</v>
      </c>
      <c r="N446" s="4" t="n">
        <v>6532000</v>
      </c>
      <c r="O446" s="4" t="n">
        <v>57657691</v>
      </c>
      <c r="P446" s="4" t="n">
        <v>962386</v>
      </c>
      <c r="Q446" s="7"/>
      <c r="R446" s="4" t="n">
        <v>1061640</v>
      </c>
      <c r="S446" s="7"/>
      <c r="T446" s="4" t="n">
        <v>657897</v>
      </c>
      <c r="U446" s="5" t="n">
        <f aca="false">IFERROR(T446/P446,"")</f>
        <v>0.683610318520843</v>
      </c>
      <c r="V446" s="6" t="n">
        <f aca="false">T446-AV446</f>
        <v>-2180722</v>
      </c>
      <c r="W446" s="6" t="n">
        <f aca="false">V446-AA446*0.1</f>
        <v>-2180722</v>
      </c>
      <c r="X446" s="4" t="n">
        <v>1032499</v>
      </c>
      <c r="Y446" s="4" t="n">
        <v>192920</v>
      </c>
      <c r="Z446" s="8" t="n">
        <f aca="false">IFERROR(X446/Y446,"")</f>
        <v>5.35195417789757</v>
      </c>
      <c r="AA446" s="4" t="n">
        <v>0</v>
      </c>
      <c r="AB446" s="6" t="n">
        <f aca="false">W446-0.02*P446</f>
        <v>-2199969.72</v>
      </c>
      <c r="AC446" s="9" t="n">
        <v>23</v>
      </c>
      <c r="AD446" s="7"/>
      <c r="AE446" s="7" t="n">
        <v>0.066</v>
      </c>
      <c r="AF446" s="7" t="n">
        <v>0.066</v>
      </c>
      <c r="AG446" s="5" t="n">
        <f aca="false">1-AF446</f>
        <v>0.934</v>
      </c>
      <c r="AH446" s="7" t="n">
        <v>1.176</v>
      </c>
      <c r="AI446" s="4" t="n">
        <v>16112</v>
      </c>
      <c r="AJ446" s="6" t="n">
        <f aca="false">IFERROR(AM446*U446*MIN(1/AE446,5),"")</f>
        <v>51270.7738890632</v>
      </c>
      <c r="AK446" s="10" t="n">
        <f aca="false">IFERROR(AJ446/AI446,"")</f>
        <v>3.18214832975814</v>
      </c>
      <c r="AL446" s="8" t="n">
        <f aca="false">IFERROR(AI446/(AM446*U446/12),"")</f>
        <v>18.8551864282707</v>
      </c>
      <c r="AM446" s="4" t="n">
        <v>15000</v>
      </c>
      <c r="AN446" s="4" t="n">
        <v>1073257</v>
      </c>
      <c r="AO446" s="4" t="n">
        <v>3761812</v>
      </c>
      <c r="AP446" s="7" t="n">
        <v>0.353</v>
      </c>
      <c r="AQ446" s="9" t="n">
        <v>41</v>
      </c>
      <c r="AR446" s="9" t="n">
        <v>7</v>
      </c>
      <c r="AS446" s="7"/>
      <c r="AT446" s="3" t="s">
        <v>153</v>
      </c>
      <c r="AU446" s="6" t="n">
        <f aca="false">IFERROR(P446/AR446,"")</f>
        <v>137483.714285714</v>
      </c>
      <c r="AV446" s="4" t="n">
        <v>2838619</v>
      </c>
      <c r="AW446" s="4" t="n">
        <v>1022430</v>
      </c>
      <c r="AX446" s="4" t="n">
        <v>848058</v>
      </c>
      <c r="AY446" s="9" t="n">
        <v>8588</v>
      </c>
      <c r="AZ446" s="7"/>
      <c r="BA446" s="7" t="n">
        <v>0.948</v>
      </c>
      <c r="BB446" s="3" t="s">
        <v>161</v>
      </c>
      <c r="BC446" s="3" t="s">
        <v>82</v>
      </c>
      <c r="BD446" s="3" t="s">
        <v>157</v>
      </c>
      <c r="BE446" s="4" t="n">
        <v>987968</v>
      </c>
      <c r="BF446" s="5" t="n">
        <f aca="false">IFERROR(P446/BE446-1,"")</f>
        <v>-0.0258935512081363</v>
      </c>
      <c r="BG446" s="7" t="n">
        <v>0.032</v>
      </c>
      <c r="BH446" s="7" t="n">
        <v>-0.079</v>
      </c>
      <c r="BI446" s="6" t="n">
        <f aca="false">P446</f>
        <v>962386</v>
      </c>
      <c r="BJ446" s="4" t="n">
        <v>-1531287</v>
      </c>
      <c r="BK446" s="3" t="s">
        <v>110</v>
      </c>
      <c r="BL446" s="3" t="s">
        <v>85</v>
      </c>
      <c r="BM446" s="6" t="n">
        <f aca="false">O446</f>
        <v>57657691</v>
      </c>
      <c r="BN446" s="3" t="s">
        <v>488</v>
      </c>
      <c r="BO446" s="5" t="n">
        <f aca="false">IFERROR(1-L446/M446,"")</f>
        <v>0.17226853624768</v>
      </c>
      <c r="BP446" s="3" t="s">
        <v>87</v>
      </c>
      <c r="BQ446" s="4" t="n">
        <v>3638740</v>
      </c>
      <c r="BR446" s="3" t="s">
        <v>88</v>
      </c>
      <c r="BS446" s="3" t="s">
        <v>89</v>
      </c>
      <c r="BT446" s="3" t="s">
        <v>90</v>
      </c>
    </row>
    <row r="447" customFormat="false" ht="15" hidden="false" customHeight="false" outlineLevel="0" collapsed="false">
      <c r="A447" s="11" t="s">
        <v>486</v>
      </c>
      <c r="B447" s="11" t="s">
        <v>91</v>
      </c>
      <c r="C447" s="11" t="s">
        <v>74</v>
      </c>
      <c r="D447" s="11" t="s">
        <v>151</v>
      </c>
      <c r="E447" s="11" t="s">
        <v>105</v>
      </c>
      <c r="F447" s="11" t="s">
        <v>487</v>
      </c>
      <c r="G447" s="11" t="s">
        <v>78</v>
      </c>
      <c r="H447" s="11" t="s">
        <v>79</v>
      </c>
      <c r="I447" s="11" t="s">
        <v>78</v>
      </c>
      <c r="J447" s="12" t="n">
        <v>5848000</v>
      </c>
      <c r="K447" s="13" t="n">
        <f aca="false">IFERROR(J447/M447,"")</f>
        <v>0.17226853624768</v>
      </c>
      <c r="L447" s="12" t="n">
        <v>28099000</v>
      </c>
      <c r="M447" s="14" t="n">
        <f aca="false">L447+J447</f>
        <v>33947000</v>
      </c>
      <c r="N447" s="12" t="n">
        <v>6532000</v>
      </c>
      <c r="O447" s="12" t="n">
        <v>57657691</v>
      </c>
      <c r="P447" s="12" t="n">
        <v>1319265</v>
      </c>
      <c r="Q447" s="13" t="n">
        <f aca="false">IFERROR(P447/P446-1,"")</f>
        <v>0.370827297986463</v>
      </c>
      <c r="R447" s="12" t="n">
        <v>1331915</v>
      </c>
      <c r="S447" s="13" t="n">
        <f aca="false">IFERROR(R447/R446-1,"")</f>
        <v>0.254582532685279</v>
      </c>
      <c r="T447" s="12" t="n">
        <v>905515</v>
      </c>
      <c r="U447" s="13" t="n">
        <f aca="false">IFERROR(T447/P447,"")</f>
        <v>0.686378400093992</v>
      </c>
      <c r="V447" s="14" t="n">
        <f aca="false">T447-AV447</f>
        <v>-2438121</v>
      </c>
      <c r="W447" s="14" t="n">
        <f aca="false">V447-AA447*0.1</f>
        <v>-2438121</v>
      </c>
      <c r="X447" s="12" t="n">
        <v>1327500</v>
      </c>
      <c r="Y447" s="12" t="n">
        <v>199280</v>
      </c>
      <c r="Z447" s="15" t="n">
        <f aca="false">IFERROR(X447/Y447,"")</f>
        <v>6.66148133279807</v>
      </c>
      <c r="AA447" s="12" t="n">
        <v>0</v>
      </c>
      <c r="AB447" s="14" t="n">
        <f aca="false">W447-0.02*P447</f>
        <v>-2464506.3</v>
      </c>
      <c r="AC447" s="16" t="n">
        <v>29</v>
      </c>
      <c r="AD447" s="13" t="n">
        <f aca="false">IFERROR(AC447/AC446-1,"")</f>
        <v>0.260869565217391</v>
      </c>
      <c r="AE447" s="17" t="n">
        <v>0.065</v>
      </c>
      <c r="AF447" s="17" t="n">
        <v>0.041</v>
      </c>
      <c r="AG447" s="13" t="n">
        <f aca="false">1-AF447</f>
        <v>0.959</v>
      </c>
      <c r="AH447" s="17" t="n">
        <v>1.206</v>
      </c>
      <c r="AI447" s="12" t="n">
        <v>15808</v>
      </c>
      <c r="AJ447" s="14" t="n">
        <f aca="false">IFERROR(AM447*U447*MIN(1/AE447,5),"")</f>
        <v>52507.9476071904</v>
      </c>
      <c r="AK447" s="18" t="n">
        <f aca="false">IFERROR(AJ447/AI447,"")</f>
        <v>3.32160599741842</v>
      </c>
      <c r="AL447" s="15" t="n">
        <f aca="false">IFERROR(AI447/(AM447*U447/12),"")</f>
        <v>18.063551199821</v>
      </c>
      <c r="AM447" s="12" t="n">
        <v>15300</v>
      </c>
      <c r="AN447" s="12" t="n">
        <v>1992261</v>
      </c>
      <c r="AO447" s="12" t="n">
        <v>4011102</v>
      </c>
      <c r="AP447" s="17" t="n">
        <v>0.353</v>
      </c>
      <c r="AQ447" s="16" t="n">
        <v>41</v>
      </c>
      <c r="AR447" s="16" t="n">
        <v>9</v>
      </c>
      <c r="AS447" s="13" t="n">
        <f aca="false">IFERROR(AR447/AR446-1,"")</f>
        <v>0.285714285714286</v>
      </c>
      <c r="AT447" s="11" t="s">
        <v>153</v>
      </c>
      <c r="AU447" s="14" t="n">
        <f aca="false">IFERROR(P447/AR447,"")</f>
        <v>146585</v>
      </c>
      <c r="AV447" s="12" t="n">
        <v>3343636</v>
      </c>
      <c r="AW447" s="12" t="n">
        <v>1047830</v>
      </c>
      <c r="AX447" s="12" t="n">
        <v>647640</v>
      </c>
      <c r="AY447" s="16" t="n">
        <v>11249</v>
      </c>
      <c r="AZ447" s="13" t="n">
        <f aca="false">IFERROR(AY447/AY446-1,"")</f>
        <v>0.30985095482068</v>
      </c>
      <c r="BA447" s="17" t="n">
        <v>0.954</v>
      </c>
      <c r="BB447" s="11" t="s">
        <v>161</v>
      </c>
      <c r="BC447" s="11" t="s">
        <v>82</v>
      </c>
      <c r="BD447" s="11" t="s">
        <v>157</v>
      </c>
      <c r="BE447" s="12" t="n">
        <v>1410158</v>
      </c>
      <c r="BF447" s="13" t="n">
        <f aca="false">IFERROR(P447/BE447-1,"")</f>
        <v>-0.0644558978497445</v>
      </c>
      <c r="BG447" s="17" t="n">
        <v>0.087</v>
      </c>
      <c r="BH447" s="17" t="n">
        <v>-0.025</v>
      </c>
      <c r="BI447" s="14" t="n">
        <f aca="false">P447*(1+IFERROR(Q447,0))^4</f>
        <v>4658681.4723436</v>
      </c>
      <c r="BJ447" s="12" t="n">
        <v>-1562176</v>
      </c>
      <c r="BK447" s="11" t="s">
        <v>110</v>
      </c>
      <c r="BL447" s="11" t="s">
        <v>85</v>
      </c>
      <c r="BM447" s="14" t="n">
        <f aca="false">O447</f>
        <v>57657691</v>
      </c>
      <c r="BN447" s="11" t="s">
        <v>488</v>
      </c>
      <c r="BO447" s="13" t="n">
        <f aca="false">IFERROR(1-L447/M447,"")</f>
        <v>0.17226853624768</v>
      </c>
      <c r="BP447" s="11" t="s">
        <v>87</v>
      </c>
      <c r="BQ447" s="12" t="n">
        <v>2493756</v>
      </c>
      <c r="BR447" s="11" t="s">
        <v>88</v>
      </c>
      <c r="BS447" s="11" t="s">
        <v>89</v>
      </c>
      <c r="BT447" s="19" t="str">
        <f aca="false">IF(OR(Z447&lt;6,AH447&lt;0.9,S447&lt;0.02,AK447&lt;1),"REVIEW",IF(AND(S447&gt;0.25,AH447&gt;1.2),"ACCELERATING","STABLE"))</f>
        <v>ACCELERATING</v>
      </c>
    </row>
    <row r="448" customFormat="false" ht="15" hidden="false" customHeight="false" outlineLevel="0" collapsed="false">
      <c r="A448" s="11" t="s">
        <v>486</v>
      </c>
      <c r="B448" s="11" t="s">
        <v>92</v>
      </c>
      <c r="C448" s="11" t="s">
        <v>74</v>
      </c>
      <c r="D448" s="11" t="s">
        <v>151</v>
      </c>
      <c r="E448" s="11" t="s">
        <v>105</v>
      </c>
      <c r="F448" s="11" t="s">
        <v>487</v>
      </c>
      <c r="G448" s="11" t="s">
        <v>78</v>
      </c>
      <c r="H448" s="11" t="s">
        <v>79</v>
      </c>
      <c r="I448" s="11" t="s">
        <v>78</v>
      </c>
      <c r="J448" s="12" t="n">
        <v>5848000</v>
      </c>
      <c r="K448" s="13" t="n">
        <f aca="false">IFERROR(J448/M448,"")</f>
        <v>0.17226853624768</v>
      </c>
      <c r="L448" s="12" t="n">
        <v>28099000</v>
      </c>
      <c r="M448" s="14" t="n">
        <f aca="false">L448+J448</f>
        <v>33947000</v>
      </c>
      <c r="N448" s="12" t="n">
        <v>6532000</v>
      </c>
      <c r="O448" s="12" t="n">
        <v>57657691</v>
      </c>
      <c r="P448" s="12" t="n">
        <v>1691045</v>
      </c>
      <c r="Q448" s="13" t="n">
        <f aca="false">IFERROR(P448/P447-1,"")</f>
        <v>0.281808431209802</v>
      </c>
      <c r="R448" s="12" t="n">
        <v>1868045</v>
      </c>
      <c r="S448" s="13" t="n">
        <f aca="false">IFERROR(R448/R447-1,"")</f>
        <v>0.402525686699226</v>
      </c>
      <c r="T448" s="12" t="n">
        <v>1165376</v>
      </c>
      <c r="U448" s="13" t="n">
        <f aca="false">IFERROR(T448/P448,"")</f>
        <v>0.689145469221694</v>
      </c>
      <c r="V448" s="14" t="n">
        <f aca="false">T448-AV448</f>
        <v>-2113445</v>
      </c>
      <c r="W448" s="14" t="n">
        <f aca="false">V448-AA448*0.1</f>
        <v>-2113445</v>
      </c>
      <c r="X448" s="12" t="n">
        <v>1622500</v>
      </c>
      <c r="Y448" s="12" t="n">
        <v>205640</v>
      </c>
      <c r="Z448" s="15" t="n">
        <f aca="false">IFERROR(X448/Y448,"")</f>
        <v>7.89000194514686</v>
      </c>
      <c r="AA448" s="12" t="n">
        <v>0</v>
      </c>
      <c r="AB448" s="14" t="n">
        <f aca="false">W448-0.02*P448</f>
        <v>-2147265.9</v>
      </c>
      <c r="AC448" s="16" t="n">
        <v>40</v>
      </c>
      <c r="AD448" s="13" t="n">
        <f aca="false">IFERROR(AC448/AC447-1,"")</f>
        <v>0.379310344827586</v>
      </c>
      <c r="AE448" s="17" t="n">
        <v>0.063</v>
      </c>
      <c r="AF448" s="17" t="n">
        <v>0.053</v>
      </c>
      <c r="AG448" s="13" t="n">
        <f aca="false">1-AF448</f>
        <v>0.947</v>
      </c>
      <c r="AH448" s="17" t="n">
        <v>1.236</v>
      </c>
      <c r="AI448" s="12" t="n">
        <v>15504</v>
      </c>
      <c r="AJ448" s="14" t="n">
        <f aca="false">IFERROR(AM448*U448*MIN(1/AE448,5),"")</f>
        <v>53753.3465992922</v>
      </c>
      <c r="AK448" s="18" t="n">
        <f aca="false">IFERROR(AJ448/AI448,"")</f>
        <v>3.46706311914939</v>
      </c>
      <c r="AL448" s="15" t="n">
        <f aca="false">IFERROR(AI448/(AM448*U448/12),"")</f>
        <v>17.3057132039524</v>
      </c>
      <c r="AM448" s="12" t="n">
        <v>15600</v>
      </c>
      <c r="AN448" s="12" t="n">
        <v>2471658</v>
      </c>
      <c r="AO448" s="12" t="n">
        <v>3557377</v>
      </c>
      <c r="AP448" s="17" t="n">
        <v>0.353</v>
      </c>
      <c r="AQ448" s="16" t="n">
        <v>41</v>
      </c>
      <c r="AR448" s="16" t="n">
        <v>11</v>
      </c>
      <c r="AS448" s="13" t="n">
        <f aca="false">IFERROR(AR448/AR447-1,"")</f>
        <v>0.222222222222222</v>
      </c>
      <c r="AT448" s="11" t="s">
        <v>153</v>
      </c>
      <c r="AU448" s="14" t="n">
        <f aca="false">IFERROR(P448/AR448,"")</f>
        <v>153731.363636364</v>
      </c>
      <c r="AV448" s="12" t="n">
        <v>3278821</v>
      </c>
      <c r="AW448" s="12" t="n">
        <v>1501704</v>
      </c>
      <c r="AX448" s="12" t="n">
        <v>1009638</v>
      </c>
      <c r="AY448" s="16" t="n">
        <v>15302</v>
      </c>
      <c r="AZ448" s="13" t="n">
        <f aca="false">IFERROR(AY448/AY447-1,"")</f>
        <v>0.360298693217175</v>
      </c>
      <c r="BA448" s="17" t="n">
        <v>0.94</v>
      </c>
      <c r="BB448" s="11" t="s">
        <v>161</v>
      </c>
      <c r="BC448" s="11" t="s">
        <v>82</v>
      </c>
      <c r="BD448" s="11" t="s">
        <v>157</v>
      </c>
      <c r="BE448" s="12" t="n">
        <v>1995475</v>
      </c>
      <c r="BF448" s="13" t="n">
        <f aca="false">IFERROR(P448/BE448-1,"")</f>
        <v>-0.152560167378694</v>
      </c>
      <c r="BG448" s="17" t="n">
        <v>0.012</v>
      </c>
      <c r="BH448" s="17" t="n">
        <v>0.085</v>
      </c>
      <c r="BI448" s="14" t="n">
        <f aca="false">P448*(1+IFERROR(Q448,0))^4</f>
        <v>4565072.30006019</v>
      </c>
      <c r="BJ448" s="12" t="n">
        <v>-2053306</v>
      </c>
      <c r="BK448" s="11" t="s">
        <v>110</v>
      </c>
      <c r="BL448" s="11" t="s">
        <v>85</v>
      </c>
      <c r="BM448" s="14" t="n">
        <f aca="false">O448</f>
        <v>57657691</v>
      </c>
      <c r="BN448" s="11" t="s">
        <v>488</v>
      </c>
      <c r="BO448" s="13" t="n">
        <f aca="false">IFERROR(1-L448/M448,"")</f>
        <v>0.17226853624768</v>
      </c>
      <c r="BP448" s="11" t="s">
        <v>87</v>
      </c>
      <c r="BQ448" s="12" t="n">
        <v>4076183</v>
      </c>
      <c r="BR448" s="11" t="s">
        <v>88</v>
      </c>
      <c r="BS448" s="11" t="s">
        <v>89</v>
      </c>
      <c r="BT448" s="19" t="str">
        <f aca="false">IF(OR(Z448&lt;6,AH448&lt;0.9,S448&lt;0.02,AK448&lt;1),"REVIEW",IF(AND(S448&gt;0.25,AH448&gt;1.2),"ACCELERATING","STABLE"))</f>
        <v>ACCELERATING</v>
      </c>
    </row>
    <row r="449" customFormat="false" ht="15" hidden="false" customHeight="false" outlineLevel="0" collapsed="false">
      <c r="A449" s="11" t="s">
        <v>486</v>
      </c>
      <c r="B449" s="11" t="s">
        <v>93</v>
      </c>
      <c r="C449" s="11" t="s">
        <v>74</v>
      </c>
      <c r="D449" s="11" t="s">
        <v>151</v>
      </c>
      <c r="E449" s="11" t="s">
        <v>105</v>
      </c>
      <c r="F449" s="11" t="s">
        <v>487</v>
      </c>
      <c r="G449" s="11" t="s">
        <v>78</v>
      </c>
      <c r="H449" s="11" t="s">
        <v>79</v>
      </c>
      <c r="I449" s="11" t="s">
        <v>78</v>
      </c>
      <c r="J449" s="12" t="n">
        <v>5848000</v>
      </c>
      <c r="K449" s="13" t="n">
        <f aca="false">IFERROR(J449/M449,"")</f>
        <v>0.17226853624768</v>
      </c>
      <c r="L449" s="12" t="n">
        <v>28099000</v>
      </c>
      <c r="M449" s="14" t="n">
        <f aca="false">L449+J449</f>
        <v>33947000</v>
      </c>
      <c r="N449" s="12" t="n">
        <v>6532000</v>
      </c>
      <c r="O449" s="12" t="n">
        <v>57657691</v>
      </c>
      <c r="P449" s="12" t="n">
        <v>2247715</v>
      </c>
      <c r="Q449" s="13" t="n">
        <f aca="false">IFERROR(P449/P448-1,"")</f>
        <v>0.32918698201408</v>
      </c>
      <c r="R449" s="12" t="n">
        <v>2559360</v>
      </c>
      <c r="S449" s="13" t="n">
        <f aca="false">IFERROR(R449/R448-1,"")</f>
        <v>0.370074061385031</v>
      </c>
      <c r="T449" s="12" t="n">
        <v>1555224</v>
      </c>
      <c r="U449" s="13" t="n">
        <f aca="false">IFERROR(T449/P449,"")</f>
        <v>0.691913343106221</v>
      </c>
      <c r="V449" s="14" t="n">
        <f aca="false">T449-AV449</f>
        <v>-2424343</v>
      </c>
      <c r="W449" s="14" t="n">
        <f aca="false">V449-AA449*0.1</f>
        <v>-2424343</v>
      </c>
      <c r="X449" s="12" t="n">
        <v>2950000</v>
      </c>
      <c r="Y449" s="12" t="n">
        <v>212000</v>
      </c>
      <c r="Z449" s="15" t="n">
        <f aca="false">IFERROR(X449/Y449,"")</f>
        <v>13.9150943396226</v>
      </c>
      <c r="AA449" s="12" t="n">
        <v>0</v>
      </c>
      <c r="AB449" s="14" t="n">
        <f aca="false">W449-0.02*P449</f>
        <v>-2469297.3</v>
      </c>
      <c r="AC449" s="16" t="n">
        <v>45</v>
      </c>
      <c r="AD449" s="13" t="n">
        <f aca="false">IFERROR(AC449/AC448-1,"")</f>
        <v>0.125</v>
      </c>
      <c r="AE449" s="17" t="n">
        <v>0.061</v>
      </c>
      <c r="AF449" s="17" t="n">
        <v>0.066</v>
      </c>
      <c r="AG449" s="13" t="n">
        <f aca="false">1-AF449</f>
        <v>0.934</v>
      </c>
      <c r="AH449" s="17" t="n">
        <v>1.266</v>
      </c>
      <c r="AI449" s="12" t="n">
        <v>15200</v>
      </c>
      <c r="AJ449" s="14" t="n">
        <f aca="false">IFERROR(AM449*U449*MIN(1/AE449,5),"")</f>
        <v>55007.1107769446</v>
      </c>
      <c r="AK449" s="18" t="n">
        <f aca="false">IFERROR(AJ449/AI449,"")</f>
        <v>3.61888886690425</v>
      </c>
      <c r="AL449" s="15" t="n">
        <f aca="false">IFERROR(AI449/(AM449*U449/12),"")</f>
        <v>16.5796746478503</v>
      </c>
      <c r="AM449" s="12" t="n">
        <v>15900</v>
      </c>
      <c r="AN449" s="12" t="n">
        <v>3668029</v>
      </c>
      <c r="AO449" s="12" t="n">
        <v>7039888</v>
      </c>
      <c r="AP449" s="17" t="n">
        <v>0.353</v>
      </c>
      <c r="AQ449" s="16" t="n">
        <v>41</v>
      </c>
      <c r="AR449" s="16" t="n">
        <v>14</v>
      </c>
      <c r="AS449" s="13" t="n">
        <f aca="false">IFERROR(AR449/AR448-1,"")</f>
        <v>0.272727272727273</v>
      </c>
      <c r="AT449" s="11" t="s">
        <v>153</v>
      </c>
      <c r="AU449" s="14" t="n">
        <f aca="false">IFERROR(P449/AR449,"")</f>
        <v>160551.071428571</v>
      </c>
      <c r="AV449" s="12" t="n">
        <v>3979567</v>
      </c>
      <c r="AW449" s="12" t="n">
        <v>1817077</v>
      </c>
      <c r="AX449" s="12" t="n">
        <v>745521</v>
      </c>
      <c r="AY449" s="16" t="n">
        <v>19862</v>
      </c>
      <c r="AZ449" s="13" t="n">
        <f aca="false">IFERROR(AY449/AY448-1,"")</f>
        <v>0.298000261403738</v>
      </c>
      <c r="BA449" s="17" t="n">
        <v>0.954</v>
      </c>
      <c r="BB449" s="11" t="s">
        <v>161</v>
      </c>
      <c r="BC449" s="11" t="s">
        <v>82</v>
      </c>
      <c r="BD449" s="11" t="s">
        <v>157</v>
      </c>
      <c r="BE449" s="12" t="n">
        <v>2601838</v>
      </c>
      <c r="BF449" s="13" t="n">
        <f aca="false">IFERROR(P449/BE449-1,"")</f>
        <v>-0.13610493812451</v>
      </c>
      <c r="BG449" s="17" t="n">
        <v>-0.048</v>
      </c>
      <c r="BH449" s="17" t="n">
        <v>-0.074</v>
      </c>
      <c r="BI449" s="14" t="n">
        <f aca="false">P449*(1+IFERROR(Q449,0))^4</f>
        <v>7015935.05995768</v>
      </c>
      <c r="BJ449" s="12" t="n">
        <v>-2480243</v>
      </c>
      <c r="BK449" s="11" t="s">
        <v>110</v>
      </c>
      <c r="BL449" s="11" t="s">
        <v>85</v>
      </c>
      <c r="BM449" s="14" t="n">
        <f aca="false">O449</f>
        <v>57657691</v>
      </c>
      <c r="BN449" s="11" t="s">
        <v>488</v>
      </c>
      <c r="BO449" s="13" t="n">
        <f aca="false">IFERROR(1-L449/M449,"")</f>
        <v>0.17226853624768</v>
      </c>
      <c r="BP449" s="11" t="s">
        <v>87</v>
      </c>
      <c r="BQ449" s="12" t="n">
        <v>2760725</v>
      </c>
      <c r="BR449" s="11" t="s">
        <v>88</v>
      </c>
      <c r="BS449" s="11" t="s">
        <v>89</v>
      </c>
      <c r="BT449" s="19" t="str">
        <f aca="false">IF(OR(Z449&lt;6,AH449&lt;0.9,S449&lt;0.02,AK449&lt;1),"REVIEW",IF(AND(S449&gt;0.25,AH449&gt;1.2),"ACCELERATING","STABLE"))</f>
        <v>ACCELERATING</v>
      </c>
    </row>
    <row r="450" customFormat="false" ht="15" hidden="false" customHeight="false" outlineLevel="0" collapsed="false">
      <c r="A450" s="3" t="s">
        <v>489</v>
      </c>
      <c r="B450" s="3" t="s">
        <v>73</v>
      </c>
      <c r="C450" s="3" t="s">
        <v>74</v>
      </c>
      <c r="D450" s="3" t="s">
        <v>210</v>
      </c>
      <c r="E450" s="3" t="s">
        <v>187</v>
      </c>
      <c r="F450" s="3" t="s">
        <v>490</v>
      </c>
      <c r="G450" s="3" t="s">
        <v>78</v>
      </c>
      <c r="H450" s="3" t="s">
        <v>79</v>
      </c>
      <c r="I450" s="3" t="s">
        <v>78</v>
      </c>
      <c r="J450" s="4" t="n">
        <v>5879000</v>
      </c>
      <c r="K450" s="5" t="n">
        <f aca="false">IFERROR(J450/M450,"")</f>
        <v>0.185703455682608</v>
      </c>
      <c r="L450" s="4" t="n">
        <v>25779000</v>
      </c>
      <c r="M450" s="6" t="n">
        <f aca="false">L450+J450</f>
        <v>31658000</v>
      </c>
      <c r="N450" s="4" t="n">
        <v>5879000</v>
      </c>
      <c r="O450" s="4" t="n">
        <v>68163507</v>
      </c>
      <c r="P450" s="4" t="n">
        <v>1146321</v>
      </c>
      <c r="Q450" s="7"/>
      <c r="R450" s="4" t="n">
        <v>1260648</v>
      </c>
      <c r="S450" s="7"/>
      <c r="T450" s="4" t="n">
        <v>790849</v>
      </c>
      <c r="U450" s="5" t="n">
        <f aca="false">IFERROR(T450/P450,"")</f>
        <v>0.689901868673783</v>
      </c>
      <c r="V450" s="6" t="n">
        <f aca="false">T450-AV450</f>
        <v>-1949246</v>
      </c>
      <c r="W450" s="6" t="n">
        <f aca="false">V450-AA450*0.1</f>
        <v>-2037246</v>
      </c>
      <c r="X450" s="4" t="n">
        <v>5787942</v>
      </c>
      <c r="Y450" s="4" t="n">
        <v>183820</v>
      </c>
      <c r="Z450" s="8" t="n">
        <f aca="false">IFERROR(X450/Y450,"")</f>
        <v>31.4870090305734</v>
      </c>
      <c r="AA450" s="4" t="n">
        <v>880000</v>
      </c>
      <c r="AB450" s="6" t="n">
        <f aca="false">W450-0.02*P450</f>
        <v>-2060172.42</v>
      </c>
      <c r="AC450" s="9" t="n">
        <v>37</v>
      </c>
      <c r="AD450" s="7"/>
      <c r="AE450" s="7" t="n">
        <v>0.072</v>
      </c>
      <c r="AF450" s="7" t="n">
        <v>0.058</v>
      </c>
      <c r="AG450" s="5" t="n">
        <f aca="false">1-AF450</f>
        <v>0.942</v>
      </c>
      <c r="AH450" s="7" t="n">
        <v>1.077</v>
      </c>
      <c r="AI450" s="4" t="n">
        <v>26076</v>
      </c>
      <c r="AJ450" s="6" t="n">
        <f aca="false">IFERROR(AM450*U450*MIN(1/AE450,5),"")</f>
        <v>55192.1494939027</v>
      </c>
      <c r="AK450" s="10" t="n">
        <f aca="false">IFERROR(AJ450/AI450,"")</f>
        <v>2.11658803090592</v>
      </c>
      <c r="AL450" s="8" t="n">
        <f aca="false">IFERROR(AI450/(AM450*U450/12),"")</f>
        <v>28.3475098242522</v>
      </c>
      <c r="AM450" s="4" t="n">
        <v>16000</v>
      </c>
      <c r="AN450" s="4" t="n">
        <v>1823297</v>
      </c>
      <c r="AO450" s="4" t="n">
        <v>3935505</v>
      </c>
      <c r="AP450" s="7" t="n">
        <v>0.39</v>
      </c>
      <c r="AQ450" s="9" t="n">
        <v>25</v>
      </c>
      <c r="AR450" s="9" t="n">
        <v>1</v>
      </c>
      <c r="AS450" s="7"/>
      <c r="AT450" s="3" t="s">
        <v>153</v>
      </c>
      <c r="AU450" s="6" t="n">
        <f aca="false">IFERROR(P450/AR450,"")</f>
        <v>1146321</v>
      </c>
      <c r="AV450" s="4" t="n">
        <v>2740095</v>
      </c>
      <c r="AW450" s="4" t="n">
        <v>1302579</v>
      </c>
      <c r="AX450" s="4" t="n">
        <v>632488</v>
      </c>
      <c r="AY450" s="9" t="n">
        <v>6326</v>
      </c>
      <c r="AZ450" s="7"/>
      <c r="BA450" s="7" t="n">
        <v>0.926</v>
      </c>
      <c r="BB450" s="3" t="s">
        <v>107</v>
      </c>
      <c r="BC450" s="3" t="s">
        <v>82</v>
      </c>
      <c r="BD450" s="3" t="s">
        <v>109</v>
      </c>
      <c r="BE450" s="4" t="n">
        <v>1064146</v>
      </c>
      <c r="BF450" s="5" t="n">
        <f aca="false">IFERROR(P450/BE450-1,"")</f>
        <v>0.0772215466674686</v>
      </c>
      <c r="BG450" s="7" t="n">
        <v>0.036</v>
      </c>
      <c r="BH450" s="7" t="n">
        <v>-0.001</v>
      </c>
      <c r="BI450" s="6" t="n">
        <f aca="false">P450</f>
        <v>1146321</v>
      </c>
      <c r="BJ450" s="4" t="n">
        <v>-1479326</v>
      </c>
      <c r="BK450" s="3" t="s">
        <v>192</v>
      </c>
      <c r="BL450" s="3" t="s">
        <v>162</v>
      </c>
      <c r="BM450" s="6" t="n">
        <f aca="false">O450</f>
        <v>68163507</v>
      </c>
      <c r="BN450" s="3" t="s">
        <v>491</v>
      </c>
      <c r="BO450" s="5" t="n">
        <f aca="false">IFERROR(1-L450/M450,"")</f>
        <v>0.185703455682608</v>
      </c>
      <c r="BP450" s="3" t="s">
        <v>142</v>
      </c>
      <c r="BQ450" s="4" t="n">
        <v>2283926</v>
      </c>
      <c r="BR450" s="3" t="s">
        <v>88</v>
      </c>
      <c r="BS450" s="3" t="s">
        <v>89</v>
      </c>
      <c r="BT450" s="3" t="s">
        <v>90</v>
      </c>
    </row>
    <row r="451" customFormat="false" ht="15" hidden="false" customHeight="false" outlineLevel="0" collapsed="false">
      <c r="A451" s="11" t="s">
        <v>489</v>
      </c>
      <c r="B451" s="11" t="s">
        <v>91</v>
      </c>
      <c r="C451" s="11" t="s">
        <v>74</v>
      </c>
      <c r="D451" s="11" t="s">
        <v>210</v>
      </c>
      <c r="E451" s="11" t="s">
        <v>187</v>
      </c>
      <c r="F451" s="11" t="s">
        <v>490</v>
      </c>
      <c r="G451" s="11" t="s">
        <v>78</v>
      </c>
      <c r="H451" s="11" t="s">
        <v>79</v>
      </c>
      <c r="I451" s="11" t="s">
        <v>78</v>
      </c>
      <c r="J451" s="12" t="n">
        <v>5879000</v>
      </c>
      <c r="K451" s="13" t="n">
        <f aca="false">IFERROR(J451/M451,"")</f>
        <v>0.185703455682608</v>
      </c>
      <c r="L451" s="12" t="n">
        <v>25779000</v>
      </c>
      <c r="M451" s="14" t="n">
        <f aca="false">L451+J451</f>
        <v>31658000</v>
      </c>
      <c r="N451" s="12" t="n">
        <v>5879000</v>
      </c>
      <c r="O451" s="12" t="n">
        <v>68163507</v>
      </c>
      <c r="P451" s="12" t="n">
        <v>1367939</v>
      </c>
      <c r="Q451" s="13" t="n">
        <f aca="false">IFERROR(P451/P450-1,"")</f>
        <v>0.193329791567981</v>
      </c>
      <c r="R451" s="12" t="n">
        <v>1589355</v>
      </c>
      <c r="S451" s="13" t="n">
        <f aca="false">IFERROR(R451/R450-1,"")</f>
        <v>0.260744474270375</v>
      </c>
      <c r="T451" s="12" t="n">
        <v>947564</v>
      </c>
      <c r="U451" s="13" t="n">
        <f aca="false">IFERROR(T451/P451,"")</f>
        <v>0.692694630389221</v>
      </c>
      <c r="V451" s="14" t="n">
        <f aca="false">T451-AV451</f>
        <v>-1964246</v>
      </c>
      <c r="W451" s="14" t="n">
        <f aca="false">V451-AA451*0.1</f>
        <v>-2052246</v>
      </c>
      <c r="X451" s="12" t="n">
        <v>5324352</v>
      </c>
      <c r="Y451" s="12" t="n">
        <v>189880</v>
      </c>
      <c r="Z451" s="15" t="n">
        <f aca="false">IFERROR(X451/Y451,"")</f>
        <v>28.0406151253423</v>
      </c>
      <c r="AA451" s="12" t="n">
        <v>880000</v>
      </c>
      <c r="AB451" s="14" t="n">
        <f aca="false">W451-0.02*P451</f>
        <v>-2079604.78</v>
      </c>
      <c r="AC451" s="16" t="n">
        <v>42</v>
      </c>
      <c r="AD451" s="13" t="n">
        <f aca="false">IFERROR(AC451/AC450-1,"")</f>
        <v>0.135135135135135</v>
      </c>
      <c r="AE451" s="17" t="n">
        <v>0.07</v>
      </c>
      <c r="AF451" s="17" t="n">
        <v>0.067</v>
      </c>
      <c r="AG451" s="13" t="n">
        <f aca="false">1-AF451</f>
        <v>0.933</v>
      </c>
      <c r="AH451" s="17" t="n">
        <v>1.072</v>
      </c>
      <c r="AI451" s="12" t="n">
        <v>25584</v>
      </c>
      <c r="AJ451" s="14" t="n">
        <f aca="false">IFERROR(AM451*U451*MIN(1/AE451,5),"")</f>
        <v>56523.8818397604</v>
      </c>
      <c r="AK451" s="18" t="n">
        <f aca="false">IFERROR(AJ451/AI451,"")</f>
        <v>2.209344974975</v>
      </c>
      <c r="AL451" s="15" t="n">
        <f aca="false">IFERROR(AI451/(AM451*U451/12),"")</f>
        <v>27.1573704784057</v>
      </c>
      <c r="AM451" s="12" t="n">
        <v>16320</v>
      </c>
      <c r="AN451" s="12" t="n">
        <v>2354815</v>
      </c>
      <c r="AO451" s="12" t="n">
        <v>5546606</v>
      </c>
      <c r="AP451" s="17" t="n">
        <v>0.39</v>
      </c>
      <c r="AQ451" s="16" t="n">
        <v>25</v>
      </c>
      <c r="AR451" s="16" t="n">
        <v>1</v>
      </c>
      <c r="AS451" s="13" t="n">
        <f aca="false">IFERROR(AR451/AR450-1,"")</f>
        <v>0</v>
      </c>
      <c r="AT451" s="11" t="s">
        <v>153</v>
      </c>
      <c r="AU451" s="14" t="n">
        <f aca="false">IFERROR(P451/AR451,"")</f>
        <v>1367939</v>
      </c>
      <c r="AV451" s="12" t="n">
        <v>2911810</v>
      </c>
      <c r="AW451" s="12" t="n">
        <v>1314499</v>
      </c>
      <c r="AX451" s="12" t="n">
        <v>920566</v>
      </c>
      <c r="AY451" s="16" t="n">
        <v>8265</v>
      </c>
      <c r="AZ451" s="13" t="n">
        <f aca="false">IFERROR(AY451/AY450-1,"")</f>
        <v>0.306512804299715</v>
      </c>
      <c r="BA451" s="17" t="n">
        <v>0.944</v>
      </c>
      <c r="BB451" s="11" t="s">
        <v>107</v>
      </c>
      <c r="BC451" s="11" t="s">
        <v>82</v>
      </c>
      <c r="BD451" s="11" t="s">
        <v>109</v>
      </c>
      <c r="BE451" s="12" t="n">
        <v>1613120</v>
      </c>
      <c r="BF451" s="13" t="n">
        <f aca="false">IFERROR(P451/BE451-1,"")</f>
        <v>-0.151991792303114</v>
      </c>
      <c r="BG451" s="17" t="n">
        <v>0.036</v>
      </c>
      <c r="BH451" s="17" t="n">
        <v>0.066</v>
      </c>
      <c r="BI451" s="14" t="n">
        <f aca="false">P451*(1+IFERROR(Q451,0))^4</f>
        <v>2774014.09415132</v>
      </c>
      <c r="BJ451" s="12" t="n">
        <v>-1228198</v>
      </c>
      <c r="BK451" s="11" t="s">
        <v>192</v>
      </c>
      <c r="BL451" s="11" t="s">
        <v>162</v>
      </c>
      <c r="BM451" s="14" t="n">
        <f aca="false">O451</f>
        <v>68163507</v>
      </c>
      <c r="BN451" s="11" t="s">
        <v>491</v>
      </c>
      <c r="BO451" s="13" t="n">
        <f aca="false">IFERROR(1-L451/M451,"")</f>
        <v>0.185703455682608</v>
      </c>
      <c r="BP451" s="11" t="s">
        <v>142</v>
      </c>
      <c r="BQ451" s="12" t="n">
        <v>3274787</v>
      </c>
      <c r="BR451" s="11" t="s">
        <v>88</v>
      </c>
      <c r="BS451" s="11" t="s">
        <v>89</v>
      </c>
      <c r="BT451" s="19" t="str">
        <f aca="false">IF(OR(Z451&lt;6,AH451&lt;0.9,S451&lt;0.02,AK451&lt;1),"REVIEW",IF(AND(S451&gt;0.25,AH451&gt;1.2),"ACCELERATING","STABLE"))</f>
        <v>STABLE</v>
      </c>
    </row>
    <row r="452" customFormat="false" ht="15" hidden="false" customHeight="false" outlineLevel="0" collapsed="false">
      <c r="A452" s="11" t="s">
        <v>489</v>
      </c>
      <c r="B452" s="11" t="s">
        <v>92</v>
      </c>
      <c r="C452" s="11" t="s">
        <v>74</v>
      </c>
      <c r="D452" s="11" t="s">
        <v>210</v>
      </c>
      <c r="E452" s="11" t="s">
        <v>187</v>
      </c>
      <c r="F452" s="11" t="s">
        <v>490</v>
      </c>
      <c r="G452" s="11" t="s">
        <v>78</v>
      </c>
      <c r="H452" s="11" t="s">
        <v>79</v>
      </c>
      <c r="I452" s="11" t="s">
        <v>78</v>
      </c>
      <c r="J452" s="12" t="n">
        <v>5879000</v>
      </c>
      <c r="K452" s="13" t="n">
        <f aca="false">IFERROR(J452/M452,"")</f>
        <v>0.185703455682608</v>
      </c>
      <c r="L452" s="12" t="n">
        <v>25779000</v>
      </c>
      <c r="M452" s="14" t="n">
        <f aca="false">L452+J452</f>
        <v>31658000</v>
      </c>
      <c r="N452" s="12" t="n">
        <v>5879000</v>
      </c>
      <c r="O452" s="12" t="n">
        <v>68163507</v>
      </c>
      <c r="P452" s="12" t="n">
        <v>1649456</v>
      </c>
      <c r="Q452" s="13" t="n">
        <f aca="false">IFERROR(P452/P451-1,"")</f>
        <v>0.205796457298169</v>
      </c>
      <c r="R452" s="12" t="n">
        <v>1800217</v>
      </c>
      <c r="S452" s="13" t="n">
        <f aca="false">IFERROR(R452/R451-1,"")</f>
        <v>0.132671429605091</v>
      </c>
      <c r="T452" s="12" t="n">
        <v>1147177</v>
      </c>
      <c r="U452" s="13" t="n">
        <f aca="false">IFERROR(T452/P452,"")</f>
        <v>0.695488088193926</v>
      </c>
      <c r="V452" s="14" t="n">
        <f aca="false">T452-AV452</f>
        <v>-2535488</v>
      </c>
      <c r="W452" s="14" t="n">
        <f aca="false">V452-AA452*0.1</f>
        <v>-2623488</v>
      </c>
      <c r="X452" s="12" t="n">
        <v>4828038</v>
      </c>
      <c r="Y452" s="12" t="n">
        <v>195940</v>
      </c>
      <c r="Z452" s="15" t="n">
        <f aca="false">IFERROR(X452/Y452,"")</f>
        <v>24.6403899152802</v>
      </c>
      <c r="AA452" s="12" t="n">
        <v>880000</v>
      </c>
      <c r="AB452" s="14" t="n">
        <f aca="false">W452-0.02*P452</f>
        <v>-2656477.12</v>
      </c>
      <c r="AC452" s="16" t="n">
        <v>49</v>
      </c>
      <c r="AD452" s="13" t="n">
        <f aca="false">IFERROR(AC452/AC451-1,"")</f>
        <v>0.166666666666667</v>
      </c>
      <c r="AE452" s="17" t="n">
        <v>0.068</v>
      </c>
      <c r="AF452" s="17" t="n">
        <v>0.064</v>
      </c>
      <c r="AG452" s="13" t="n">
        <f aca="false">1-AF452</f>
        <v>0.936</v>
      </c>
      <c r="AH452" s="17" t="n">
        <v>1.067</v>
      </c>
      <c r="AI452" s="12" t="n">
        <v>25092</v>
      </c>
      <c r="AJ452" s="14" t="n">
        <f aca="false">IFERROR(AM452*U452*MIN(1/AE452,5),"")</f>
        <v>57864.6089377346</v>
      </c>
      <c r="AK452" s="18" t="n">
        <f aca="false">IFERROR(AJ452/AI452,"")</f>
        <v>2.30609791717418</v>
      </c>
      <c r="AL452" s="15" t="n">
        <f aca="false">IFERROR(AI452/(AM452*U452/12),"")</f>
        <v>26.0179758860899</v>
      </c>
      <c r="AM452" s="12" t="n">
        <v>16640</v>
      </c>
      <c r="AN452" s="12" t="n">
        <v>2193175</v>
      </c>
      <c r="AO452" s="12" t="n">
        <v>4544221</v>
      </c>
      <c r="AP452" s="17" t="n">
        <v>0.39</v>
      </c>
      <c r="AQ452" s="16" t="n">
        <v>25</v>
      </c>
      <c r="AR452" s="16" t="n">
        <v>1</v>
      </c>
      <c r="AS452" s="13" t="n">
        <f aca="false">IFERROR(AR452/AR451-1,"")</f>
        <v>0</v>
      </c>
      <c r="AT452" s="11" t="s">
        <v>153</v>
      </c>
      <c r="AU452" s="14" t="n">
        <f aca="false">IFERROR(P452/AR452,"")</f>
        <v>1649456</v>
      </c>
      <c r="AV452" s="12" t="n">
        <v>3682665</v>
      </c>
      <c r="AW452" s="12" t="n">
        <v>1323067</v>
      </c>
      <c r="AX452" s="12" t="n">
        <v>890832</v>
      </c>
      <c r="AY452" s="16" t="n">
        <v>9082</v>
      </c>
      <c r="AZ452" s="13" t="n">
        <f aca="false">IFERROR(AY452/AY451-1,"")</f>
        <v>0.0988505747126436</v>
      </c>
      <c r="BA452" s="17" t="n">
        <v>0.943</v>
      </c>
      <c r="BB452" s="11" t="s">
        <v>107</v>
      </c>
      <c r="BC452" s="11" t="s">
        <v>82</v>
      </c>
      <c r="BD452" s="11" t="s">
        <v>109</v>
      </c>
      <c r="BE452" s="12" t="n">
        <v>1751078</v>
      </c>
      <c r="BF452" s="13" t="n">
        <f aca="false">IFERROR(P452/BE452-1,"")</f>
        <v>-0.0580339653630506</v>
      </c>
      <c r="BG452" s="17" t="n">
        <v>-0.038</v>
      </c>
      <c r="BH452" s="17" t="n">
        <v>-0.057</v>
      </c>
      <c r="BI452" s="14" t="n">
        <f aca="false">P452*(1+IFERROR(Q452,0))^4</f>
        <v>3486877.97442686</v>
      </c>
      <c r="BJ452" s="12" t="n">
        <v>-1693338</v>
      </c>
      <c r="BK452" s="11" t="s">
        <v>192</v>
      </c>
      <c r="BL452" s="11" t="s">
        <v>162</v>
      </c>
      <c r="BM452" s="14" t="n">
        <f aca="false">O452</f>
        <v>68163507</v>
      </c>
      <c r="BN452" s="11" t="s">
        <v>491</v>
      </c>
      <c r="BO452" s="13" t="n">
        <f aca="false">IFERROR(1-L452/M452,"")</f>
        <v>0.185703455682608</v>
      </c>
      <c r="BP452" s="11" t="s">
        <v>142</v>
      </c>
      <c r="BQ452" s="12" t="n">
        <v>2748900</v>
      </c>
      <c r="BR452" s="11" t="s">
        <v>88</v>
      </c>
      <c r="BS452" s="11" t="s">
        <v>89</v>
      </c>
      <c r="BT452" s="19" t="str">
        <f aca="false">IF(OR(Z452&lt;6,AH452&lt;0.9,S452&lt;0.02,AK452&lt;1),"REVIEW",IF(AND(S452&gt;0.25,AH452&gt;1.2),"ACCELERATING","STABLE"))</f>
        <v>STABLE</v>
      </c>
    </row>
    <row r="453" customFormat="false" ht="15" hidden="false" customHeight="false" outlineLevel="0" collapsed="false">
      <c r="A453" s="11" t="s">
        <v>489</v>
      </c>
      <c r="B453" s="11" t="s">
        <v>93</v>
      </c>
      <c r="C453" s="11" t="s">
        <v>74</v>
      </c>
      <c r="D453" s="11" t="s">
        <v>210</v>
      </c>
      <c r="E453" s="11" t="s">
        <v>187</v>
      </c>
      <c r="F453" s="11" t="s">
        <v>490</v>
      </c>
      <c r="G453" s="11" t="s">
        <v>78</v>
      </c>
      <c r="H453" s="11" t="s">
        <v>79</v>
      </c>
      <c r="I453" s="11" t="s">
        <v>78</v>
      </c>
      <c r="J453" s="12" t="n">
        <v>5879000</v>
      </c>
      <c r="K453" s="13" t="n">
        <f aca="false">IFERROR(J453/M453,"")</f>
        <v>0.185703455682608</v>
      </c>
      <c r="L453" s="12" t="n">
        <v>25779000</v>
      </c>
      <c r="M453" s="14" t="n">
        <f aca="false">L453+J453</f>
        <v>31658000</v>
      </c>
      <c r="N453" s="12" t="n">
        <v>5879000</v>
      </c>
      <c r="O453" s="12" t="n">
        <v>68163507</v>
      </c>
      <c r="P453" s="12" t="n">
        <v>2045585</v>
      </c>
      <c r="Q453" s="13" t="n">
        <f aca="false">IFERROR(P453/P452-1,"")</f>
        <v>0.240157360972345</v>
      </c>
      <c r="R453" s="12" t="n">
        <v>2179858</v>
      </c>
      <c r="S453" s="13" t="n">
        <f aca="false">IFERROR(R453/R452-1,"")</f>
        <v>0.210886243158464</v>
      </c>
      <c r="T453" s="12" t="n">
        <v>1428393</v>
      </c>
      <c r="U453" s="13" t="n">
        <f aca="false">IFERROR(T453/P453,"")</f>
        <v>0.698280931860568</v>
      </c>
      <c r="V453" s="14" t="n">
        <f aca="false">T453-AV453</f>
        <v>-1975625</v>
      </c>
      <c r="W453" s="14" t="n">
        <f aca="false">V453-AA453*0.1</f>
        <v>-2063625</v>
      </c>
      <c r="X453" s="12" t="n">
        <v>4299000</v>
      </c>
      <c r="Y453" s="12" t="n">
        <v>202000</v>
      </c>
      <c r="Z453" s="15" t="n">
        <f aca="false">IFERROR(X453/Y453,"")</f>
        <v>21.2821782178218</v>
      </c>
      <c r="AA453" s="12" t="n">
        <v>880000</v>
      </c>
      <c r="AB453" s="14" t="n">
        <f aca="false">W453-0.02*P453</f>
        <v>-2104536.7</v>
      </c>
      <c r="AC453" s="16" t="n">
        <v>56</v>
      </c>
      <c r="AD453" s="13" t="n">
        <f aca="false">IFERROR(AC453/AC452-1,"")</f>
        <v>0.142857142857143</v>
      </c>
      <c r="AE453" s="17" t="n">
        <v>0.066</v>
      </c>
      <c r="AF453" s="17" t="n">
        <v>0.046</v>
      </c>
      <c r="AG453" s="13" t="n">
        <f aca="false">1-AF453</f>
        <v>0.954</v>
      </c>
      <c r="AH453" s="17" t="n">
        <v>1.062</v>
      </c>
      <c r="AI453" s="12" t="n">
        <v>24600</v>
      </c>
      <c r="AJ453" s="14" t="n">
        <f aca="false">IFERROR(AM453*U453*MIN(1/AE453,5),"")</f>
        <v>59214.2230217762</v>
      </c>
      <c r="AK453" s="18" t="n">
        <f aca="false">IFERROR(AJ453/AI453,"")</f>
        <v>2.40708223665757</v>
      </c>
      <c r="AL453" s="15" t="n">
        <f aca="false">IFERROR(AI453/(AM453*U453/12),"")</f>
        <v>24.9264437609389</v>
      </c>
      <c r="AM453" s="12" t="n">
        <v>16960</v>
      </c>
      <c r="AN453" s="12" t="n">
        <v>2297166</v>
      </c>
      <c r="AO453" s="12" t="n">
        <v>6780343</v>
      </c>
      <c r="AP453" s="17" t="n">
        <v>0.39</v>
      </c>
      <c r="AQ453" s="16" t="n">
        <v>25</v>
      </c>
      <c r="AR453" s="16" t="n">
        <v>1</v>
      </c>
      <c r="AS453" s="13" t="n">
        <f aca="false">IFERROR(AR453/AR452-1,"")</f>
        <v>0</v>
      </c>
      <c r="AT453" s="11" t="s">
        <v>153</v>
      </c>
      <c r="AU453" s="14" t="n">
        <f aca="false">IFERROR(P453/AR453,"")</f>
        <v>2045585</v>
      </c>
      <c r="AV453" s="12" t="n">
        <v>3404018</v>
      </c>
      <c r="AW453" s="12" t="n">
        <v>1531862</v>
      </c>
      <c r="AX453" s="12" t="n">
        <v>1148298</v>
      </c>
      <c r="AY453" s="16" t="n">
        <v>10742</v>
      </c>
      <c r="AZ453" s="13" t="n">
        <f aca="false">IFERROR(AY453/AY452-1,"")</f>
        <v>0.18277912354107</v>
      </c>
      <c r="BA453" s="17" t="n">
        <v>0.95</v>
      </c>
      <c r="BB453" s="11" t="s">
        <v>107</v>
      </c>
      <c r="BC453" s="11" t="s">
        <v>82</v>
      </c>
      <c r="BD453" s="11" t="s">
        <v>109</v>
      </c>
      <c r="BE453" s="12" t="n">
        <v>2548271</v>
      </c>
      <c r="BF453" s="13" t="n">
        <f aca="false">IFERROR(P453/BE453-1,"")</f>
        <v>-0.197265518463303</v>
      </c>
      <c r="BG453" s="17" t="n">
        <v>0.051</v>
      </c>
      <c r="BH453" s="17" t="n">
        <v>0.098</v>
      </c>
      <c r="BI453" s="14" t="n">
        <f aca="false">P453*(1+IFERROR(Q453,0))^4</f>
        <v>4838655.60439583</v>
      </c>
      <c r="BJ453" s="12" t="n">
        <v>-2224220</v>
      </c>
      <c r="BK453" s="11" t="s">
        <v>192</v>
      </c>
      <c r="BL453" s="11" t="s">
        <v>162</v>
      </c>
      <c r="BM453" s="14" t="n">
        <f aca="false">O453</f>
        <v>68163507</v>
      </c>
      <c r="BN453" s="11" t="s">
        <v>491</v>
      </c>
      <c r="BO453" s="13" t="n">
        <f aca="false">IFERROR(1-L453/M453,"")</f>
        <v>0.185703455682608</v>
      </c>
      <c r="BP453" s="11" t="s">
        <v>142</v>
      </c>
      <c r="BQ453" s="12" t="n">
        <v>3279618</v>
      </c>
      <c r="BR453" s="11" t="s">
        <v>88</v>
      </c>
      <c r="BS453" s="11" t="s">
        <v>89</v>
      </c>
      <c r="BT453" s="19" t="str">
        <f aca="false">IF(OR(Z453&lt;6,AH453&lt;0.9,S453&lt;0.02,AK453&lt;1),"REVIEW",IF(AND(S453&gt;0.25,AH453&gt;1.2),"ACCELERATING","STABLE"))</f>
        <v>STABLE</v>
      </c>
    </row>
    <row r="454" customFormat="false" ht="15" hidden="false" customHeight="false" outlineLevel="0" collapsed="false">
      <c r="A454" s="3" t="s">
        <v>492</v>
      </c>
      <c r="B454" s="3" t="s">
        <v>73</v>
      </c>
      <c r="C454" s="3" t="s">
        <v>74</v>
      </c>
      <c r="D454" s="3" t="s">
        <v>95</v>
      </c>
      <c r="E454" s="3" t="s">
        <v>105</v>
      </c>
      <c r="F454" s="3" t="s">
        <v>493</v>
      </c>
      <c r="G454" s="3" t="s">
        <v>78</v>
      </c>
      <c r="H454" s="3" t="s">
        <v>79</v>
      </c>
      <c r="I454" s="3" t="s">
        <v>78</v>
      </c>
      <c r="J454" s="4" t="n">
        <v>6816000</v>
      </c>
      <c r="K454" s="5" t="n">
        <f aca="false">IFERROR(J454/M454,"")</f>
        <v>0.18586387434555</v>
      </c>
      <c r="L454" s="4" t="n">
        <v>29856000</v>
      </c>
      <c r="M454" s="6" t="n">
        <f aca="false">L454+J454</f>
        <v>36672000</v>
      </c>
      <c r="N454" s="4" t="n">
        <v>6816000</v>
      </c>
      <c r="O454" s="4" t="n">
        <v>49880817</v>
      </c>
      <c r="P454" s="4" t="n">
        <v>1056177</v>
      </c>
      <c r="Q454" s="7"/>
      <c r="R454" s="4" t="n">
        <v>1169910</v>
      </c>
      <c r="S454" s="7"/>
      <c r="T454" s="4" t="n">
        <v>746578</v>
      </c>
      <c r="U454" s="5" t="n">
        <f aca="false">IFERROR(T454/P454,"")</f>
        <v>0.706868261664475</v>
      </c>
      <c r="V454" s="6" t="n">
        <f aca="false">T454-AV454</f>
        <v>-1444747</v>
      </c>
      <c r="W454" s="6" t="n">
        <f aca="false">V454-AA454*0.1</f>
        <v>-1530947</v>
      </c>
      <c r="X454" s="4" t="n">
        <v>4423311</v>
      </c>
      <c r="Y454" s="4" t="n">
        <v>128310</v>
      </c>
      <c r="Z454" s="8" t="n">
        <f aca="false">IFERROR(X454/Y454,"")</f>
        <v>34.4736263736264</v>
      </c>
      <c r="AA454" s="4" t="n">
        <v>862000</v>
      </c>
      <c r="AB454" s="6" t="n">
        <f aca="false">W454-0.02*P454</f>
        <v>-1552070.54</v>
      </c>
      <c r="AC454" s="9" t="n">
        <v>18</v>
      </c>
      <c r="AD454" s="7"/>
      <c r="AE454" s="7" t="n">
        <v>0.117</v>
      </c>
      <c r="AF454" s="7" t="n">
        <v>0.075</v>
      </c>
      <c r="AG454" s="5" t="n">
        <f aca="false">1-AF454</f>
        <v>0.925</v>
      </c>
      <c r="AH454" s="7" t="n">
        <v>1.105</v>
      </c>
      <c r="AI454" s="4" t="n">
        <v>101760</v>
      </c>
      <c r="AJ454" s="6" t="n">
        <f aca="false">IFERROR(AM454*U454*MIN(1/AE454,5),"")</f>
        <v>187320.089341086</v>
      </c>
      <c r="AK454" s="10" t="n">
        <f aca="false">IFERROR(AJ454/AI454,"")</f>
        <v>1.84080276475124</v>
      </c>
      <c r="AL454" s="8" t="n">
        <f aca="false">IFERROR(AI454/(AM454*U454/12),"")</f>
        <v>32.5944751653545</v>
      </c>
      <c r="AM454" s="4" t="n">
        <v>53000</v>
      </c>
      <c r="AN454" s="4" t="n">
        <v>1192463</v>
      </c>
      <c r="AO454" s="4" t="n">
        <v>2729021</v>
      </c>
      <c r="AP454" s="7" t="n">
        <v>0.196</v>
      </c>
      <c r="AQ454" s="9" t="n">
        <v>87</v>
      </c>
      <c r="AR454" s="9" t="n">
        <v>6</v>
      </c>
      <c r="AS454" s="7"/>
      <c r="AT454" s="3" t="s">
        <v>201</v>
      </c>
      <c r="AU454" s="6" t="n">
        <f aca="false">IFERROR(P454/AR454,"")</f>
        <v>176029.5</v>
      </c>
      <c r="AV454" s="4" t="n">
        <v>2191325</v>
      </c>
      <c r="AW454" s="4" t="n">
        <v>969623</v>
      </c>
      <c r="AX454" s="4" t="n">
        <v>642551</v>
      </c>
      <c r="AY454" s="9" t="n">
        <v>10940</v>
      </c>
      <c r="AZ454" s="7"/>
      <c r="BA454" s="7" t="n">
        <v>0.909</v>
      </c>
      <c r="BB454" s="3" t="s">
        <v>81</v>
      </c>
      <c r="BC454" s="3" t="s">
        <v>108</v>
      </c>
      <c r="BD454" s="3" t="s">
        <v>109</v>
      </c>
      <c r="BE454" s="4" t="n">
        <v>1081135</v>
      </c>
      <c r="BF454" s="5" t="n">
        <f aca="false">IFERROR(P454/BE454-1,"")</f>
        <v>-0.023084998635693</v>
      </c>
      <c r="BG454" s="7" t="n">
        <v>-0.057</v>
      </c>
      <c r="BH454" s="7" t="n">
        <v>-0.054</v>
      </c>
      <c r="BI454" s="6" t="n">
        <f aca="false">P454</f>
        <v>1056177</v>
      </c>
      <c r="BJ454" s="4" t="n">
        <v>-1151121</v>
      </c>
      <c r="BK454" s="3" t="s">
        <v>84</v>
      </c>
      <c r="BL454" s="3" t="s">
        <v>128</v>
      </c>
      <c r="BM454" s="6" t="n">
        <f aca="false">O454</f>
        <v>49880817</v>
      </c>
      <c r="BN454" s="3" t="s">
        <v>494</v>
      </c>
      <c r="BO454" s="5" t="n">
        <f aca="false">IFERROR(1-L454/M454,"")</f>
        <v>0.18586387434555</v>
      </c>
      <c r="BP454" s="3" t="s">
        <v>142</v>
      </c>
      <c r="BQ454" s="4" t="n">
        <v>2416826</v>
      </c>
      <c r="BR454" s="3" t="s">
        <v>88</v>
      </c>
      <c r="BS454" s="3" t="s">
        <v>89</v>
      </c>
      <c r="BT454" s="3" t="s">
        <v>90</v>
      </c>
    </row>
    <row r="455" customFormat="false" ht="15" hidden="false" customHeight="false" outlineLevel="0" collapsed="false">
      <c r="A455" s="11" t="s">
        <v>492</v>
      </c>
      <c r="B455" s="11" t="s">
        <v>91</v>
      </c>
      <c r="C455" s="11" t="s">
        <v>74</v>
      </c>
      <c r="D455" s="11" t="s">
        <v>95</v>
      </c>
      <c r="E455" s="11" t="s">
        <v>105</v>
      </c>
      <c r="F455" s="11" t="s">
        <v>493</v>
      </c>
      <c r="G455" s="11" t="s">
        <v>78</v>
      </c>
      <c r="H455" s="11" t="s">
        <v>79</v>
      </c>
      <c r="I455" s="11" t="s">
        <v>78</v>
      </c>
      <c r="J455" s="12" t="n">
        <v>6816000</v>
      </c>
      <c r="K455" s="13" t="n">
        <f aca="false">IFERROR(J455/M455,"")</f>
        <v>0.18586387434555</v>
      </c>
      <c r="L455" s="12" t="n">
        <v>29856000</v>
      </c>
      <c r="M455" s="14" t="n">
        <f aca="false">L455+J455</f>
        <v>36672000</v>
      </c>
      <c r="N455" s="12" t="n">
        <v>6816000</v>
      </c>
      <c r="O455" s="12" t="n">
        <v>49880817</v>
      </c>
      <c r="P455" s="12" t="n">
        <v>1214324</v>
      </c>
      <c r="Q455" s="13" t="n">
        <f aca="false">IFERROR(P455/P454-1,"")</f>
        <v>0.149735318985359</v>
      </c>
      <c r="R455" s="12" t="n">
        <v>1326875</v>
      </c>
      <c r="S455" s="13" t="n">
        <f aca="false">IFERROR(R455/R454-1,"")</f>
        <v>0.134168440307374</v>
      </c>
      <c r="T455" s="12" t="n">
        <v>861842</v>
      </c>
      <c r="U455" s="13" t="n">
        <f aca="false">IFERROR(T455/P455,"")</f>
        <v>0.709729857929185</v>
      </c>
      <c r="V455" s="14" t="n">
        <f aca="false">T455-AV455</f>
        <v>-1619323</v>
      </c>
      <c r="W455" s="14" t="n">
        <f aca="false">V455-AA455*0.1</f>
        <v>-1705523</v>
      </c>
      <c r="X455" s="12" t="n">
        <v>4099716</v>
      </c>
      <c r="Y455" s="12" t="n">
        <v>132540</v>
      </c>
      <c r="Z455" s="15" t="n">
        <f aca="false">IFERROR(X455/Y455,"")</f>
        <v>30.931914893617</v>
      </c>
      <c r="AA455" s="12" t="n">
        <v>862000</v>
      </c>
      <c r="AB455" s="14" t="n">
        <f aca="false">W455-0.02*P455</f>
        <v>-1729809.48</v>
      </c>
      <c r="AC455" s="16" t="n">
        <v>20</v>
      </c>
      <c r="AD455" s="13" t="n">
        <f aca="false">IFERROR(AC455/AC454-1,"")</f>
        <v>0.111111111111111</v>
      </c>
      <c r="AE455" s="17" t="n">
        <v>0.113</v>
      </c>
      <c r="AF455" s="17" t="n">
        <v>0.104</v>
      </c>
      <c r="AG455" s="13" t="n">
        <f aca="false">1-AF455</f>
        <v>0.896</v>
      </c>
      <c r="AH455" s="17" t="n">
        <v>1.1</v>
      </c>
      <c r="AI455" s="12" t="n">
        <v>99840</v>
      </c>
      <c r="AJ455" s="14" t="n">
        <f aca="false">IFERROR(AM455*U455*MIN(1/AE455,5),"")</f>
        <v>191839.980598259</v>
      </c>
      <c r="AK455" s="18" t="n">
        <f aca="false">IFERROR(AJ455/AI455,"")</f>
        <v>1.92147416464602</v>
      </c>
      <c r="AL455" s="15" t="n">
        <f aca="false">IFERROR(AI455/(AM455*U455/12),"")</f>
        <v>31.2260248427818</v>
      </c>
      <c r="AM455" s="12" t="n">
        <v>54060</v>
      </c>
      <c r="AN455" s="12" t="n">
        <v>1601486</v>
      </c>
      <c r="AO455" s="12" t="n">
        <v>4154272</v>
      </c>
      <c r="AP455" s="17" t="n">
        <v>0.196</v>
      </c>
      <c r="AQ455" s="16" t="n">
        <v>87</v>
      </c>
      <c r="AR455" s="16" t="n">
        <v>7</v>
      </c>
      <c r="AS455" s="13" t="n">
        <f aca="false">IFERROR(AR455/AR454-1,"")</f>
        <v>0.166666666666667</v>
      </c>
      <c r="AT455" s="11" t="s">
        <v>201</v>
      </c>
      <c r="AU455" s="14" t="n">
        <f aca="false">IFERROR(P455/AR455,"")</f>
        <v>173474.857142857</v>
      </c>
      <c r="AV455" s="12" t="n">
        <v>2481165</v>
      </c>
      <c r="AW455" s="12" t="n">
        <v>1077878</v>
      </c>
      <c r="AX455" s="12" t="n">
        <v>529698</v>
      </c>
      <c r="AY455" s="16" t="n">
        <v>12919</v>
      </c>
      <c r="AZ455" s="13" t="n">
        <f aca="false">IFERROR(AY455/AY454-1,"")</f>
        <v>0.180895795246801</v>
      </c>
      <c r="BA455" s="17" t="n">
        <v>0.894</v>
      </c>
      <c r="BB455" s="11" t="s">
        <v>81</v>
      </c>
      <c r="BC455" s="11" t="s">
        <v>108</v>
      </c>
      <c r="BD455" s="11" t="s">
        <v>109</v>
      </c>
      <c r="BE455" s="12" t="n">
        <v>1240052</v>
      </c>
      <c r="BF455" s="13" t="n">
        <f aca="false">IFERROR(P455/BE455-1,"")</f>
        <v>-0.020747517039608</v>
      </c>
      <c r="BG455" s="17" t="n">
        <v>-0.03</v>
      </c>
      <c r="BH455" s="17" t="n">
        <v>-0.061</v>
      </c>
      <c r="BI455" s="14" t="n">
        <f aca="false">P455*(1+IFERROR(Q455,0))^4</f>
        <v>2121905.65179669</v>
      </c>
      <c r="BJ455" s="12" t="n">
        <v>-1011410</v>
      </c>
      <c r="BK455" s="11" t="s">
        <v>84</v>
      </c>
      <c r="BL455" s="11" t="s">
        <v>128</v>
      </c>
      <c r="BM455" s="14" t="n">
        <f aca="false">O455</f>
        <v>49880817</v>
      </c>
      <c r="BN455" s="11" t="s">
        <v>494</v>
      </c>
      <c r="BO455" s="13" t="n">
        <f aca="false">IFERROR(1-L455/M455,"")</f>
        <v>0.18586387434555</v>
      </c>
      <c r="BP455" s="11" t="s">
        <v>142</v>
      </c>
      <c r="BQ455" s="12" t="n">
        <v>2007090</v>
      </c>
      <c r="BR455" s="11" t="s">
        <v>88</v>
      </c>
      <c r="BS455" s="11" t="s">
        <v>89</v>
      </c>
      <c r="BT455" s="19" t="str">
        <f aca="false">IF(OR(Z455&lt;6,AH455&lt;0.9,S455&lt;0.02,AK455&lt;1),"REVIEW",IF(AND(S455&gt;0.25,AH455&gt;1.2),"ACCELERATING","STABLE"))</f>
        <v>STABLE</v>
      </c>
    </row>
    <row r="456" customFormat="false" ht="15" hidden="false" customHeight="false" outlineLevel="0" collapsed="false">
      <c r="A456" s="11" t="s">
        <v>492</v>
      </c>
      <c r="B456" s="11" t="s">
        <v>92</v>
      </c>
      <c r="C456" s="11" t="s">
        <v>74</v>
      </c>
      <c r="D456" s="11" t="s">
        <v>95</v>
      </c>
      <c r="E456" s="11" t="s">
        <v>105</v>
      </c>
      <c r="F456" s="11" t="s">
        <v>493</v>
      </c>
      <c r="G456" s="11" t="s">
        <v>78</v>
      </c>
      <c r="H456" s="11" t="s">
        <v>79</v>
      </c>
      <c r="I456" s="11" t="s">
        <v>78</v>
      </c>
      <c r="J456" s="12" t="n">
        <v>6816000</v>
      </c>
      <c r="K456" s="13" t="n">
        <f aca="false">IFERROR(J456/M456,"")</f>
        <v>0.18586387434555</v>
      </c>
      <c r="L456" s="12" t="n">
        <v>29856000</v>
      </c>
      <c r="M456" s="14" t="n">
        <f aca="false">L456+J456</f>
        <v>36672000</v>
      </c>
      <c r="N456" s="12" t="n">
        <v>6816000</v>
      </c>
      <c r="O456" s="12" t="n">
        <v>49880817</v>
      </c>
      <c r="P456" s="12" t="n">
        <v>1365512</v>
      </c>
      <c r="Q456" s="13" t="n">
        <f aca="false">IFERROR(P456/P455-1,"")</f>
        <v>0.124503839173071</v>
      </c>
      <c r="R456" s="12" t="n">
        <v>1491508</v>
      </c>
      <c r="S456" s="13" t="n">
        <f aca="false">IFERROR(R456/R455-1,"")</f>
        <v>0.124075741874706</v>
      </c>
      <c r="T456" s="12" t="n">
        <v>973052</v>
      </c>
      <c r="U456" s="13" t="n">
        <f aca="false">IFERROR(T456/P456,"")</f>
        <v>0.712591321057596</v>
      </c>
      <c r="V456" s="14" t="n">
        <f aca="false">T456-AV456</f>
        <v>-1688089</v>
      </c>
      <c r="W456" s="14" t="n">
        <f aca="false">V456-AA456*0.1</f>
        <v>-1774289</v>
      </c>
      <c r="X456" s="12" t="n">
        <v>3753279</v>
      </c>
      <c r="Y456" s="12" t="n">
        <v>136770</v>
      </c>
      <c r="Z456" s="15" t="n">
        <f aca="false">IFERROR(X456/Y456,"")</f>
        <v>27.4422680412371</v>
      </c>
      <c r="AA456" s="12" t="n">
        <v>862000</v>
      </c>
      <c r="AB456" s="14" t="n">
        <f aca="false">W456-0.02*P456</f>
        <v>-1801599.24</v>
      </c>
      <c r="AC456" s="16" t="n">
        <v>21</v>
      </c>
      <c r="AD456" s="13" t="n">
        <f aca="false">IFERROR(AC456/AC455-1,"")</f>
        <v>0.05</v>
      </c>
      <c r="AE456" s="17" t="n">
        <v>0.11</v>
      </c>
      <c r="AF456" s="17" t="n">
        <v>0.074</v>
      </c>
      <c r="AG456" s="13" t="n">
        <f aca="false">1-AF456</f>
        <v>0.926</v>
      </c>
      <c r="AH456" s="17" t="n">
        <v>1.095</v>
      </c>
      <c r="AI456" s="12" t="n">
        <v>97920</v>
      </c>
      <c r="AJ456" s="14" t="n">
        <f aca="false">IFERROR(AM456*U456*MIN(1/AE456,5),"")</f>
        <v>196390.168083473</v>
      </c>
      <c r="AK456" s="18" t="n">
        <f aca="false">IFERROR(AJ456/AI456,"")</f>
        <v>2.0056185466041</v>
      </c>
      <c r="AL456" s="15" t="n">
        <f aca="false">IFERROR(AI456/(AM456*U456/12),"")</f>
        <v>29.9159578981714</v>
      </c>
      <c r="AM456" s="12" t="n">
        <v>55120</v>
      </c>
      <c r="AN456" s="12" t="n">
        <v>1716763</v>
      </c>
      <c r="AO456" s="12" t="n">
        <v>4886343</v>
      </c>
      <c r="AP456" s="17" t="n">
        <v>0.196</v>
      </c>
      <c r="AQ456" s="16" t="n">
        <v>87</v>
      </c>
      <c r="AR456" s="16" t="n">
        <v>7</v>
      </c>
      <c r="AS456" s="13" t="n">
        <f aca="false">IFERROR(AR456/AR455-1,"")</f>
        <v>0</v>
      </c>
      <c r="AT456" s="11" t="s">
        <v>201</v>
      </c>
      <c r="AU456" s="14" t="n">
        <f aca="false">IFERROR(P456/AR456,"")</f>
        <v>195073.142857143</v>
      </c>
      <c r="AV456" s="12" t="n">
        <v>2661141</v>
      </c>
      <c r="AW456" s="12" t="n">
        <v>1053681</v>
      </c>
      <c r="AX456" s="12" t="n">
        <v>835788</v>
      </c>
      <c r="AY456" s="16" t="n">
        <v>14577</v>
      </c>
      <c r="AZ456" s="13" t="n">
        <f aca="false">IFERROR(AY456/AY455-1,"")</f>
        <v>0.128338106664603</v>
      </c>
      <c r="BA456" s="17" t="n">
        <v>0.91</v>
      </c>
      <c r="BB456" s="11" t="s">
        <v>81</v>
      </c>
      <c r="BC456" s="11" t="s">
        <v>108</v>
      </c>
      <c r="BD456" s="11" t="s">
        <v>109</v>
      </c>
      <c r="BE456" s="12" t="n">
        <v>1569661</v>
      </c>
      <c r="BF456" s="13" t="n">
        <f aca="false">IFERROR(P456/BE456-1,"")</f>
        <v>-0.130059293057546</v>
      </c>
      <c r="BG456" s="17" t="n">
        <v>0.086</v>
      </c>
      <c r="BH456" s="17" t="n">
        <v>-0.053</v>
      </c>
      <c r="BI456" s="14" t="n">
        <f aca="false">P456*(1+IFERROR(Q456,0))^4</f>
        <v>2183430.08992008</v>
      </c>
      <c r="BJ456" s="12" t="n">
        <v>-1133987</v>
      </c>
      <c r="BK456" s="11" t="s">
        <v>84</v>
      </c>
      <c r="BL456" s="11" t="s">
        <v>128</v>
      </c>
      <c r="BM456" s="14" t="n">
        <f aca="false">O456</f>
        <v>49880817</v>
      </c>
      <c r="BN456" s="11" t="s">
        <v>494</v>
      </c>
      <c r="BO456" s="13" t="n">
        <f aca="false">IFERROR(1-L456/M456,"")</f>
        <v>0.18586387434555</v>
      </c>
      <c r="BP456" s="11" t="s">
        <v>142</v>
      </c>
      <c r="BQ456" s="12" t="n">
        <v>2715232</v>
      </c>
      <c r="BR456" s="11" t="s">
        <v>88</v>
      </c>
      <c r="BS456" s="11" t="s">
        <v>89</v>
      </c>
      <c r="BT456" s="19" t="str">
        <f aca="false">IF(OR(Z456&lt;6,AH456&lt;0.9,S456&lt;0.02,AK456&lt;1),"REVIEW",IF(AND(S456&gt;0.25,AH456&gt;1.2),"ACCELERATING","STABLE"))</f>
        <v>STABLE</v>
      </c>
    </row>
    <row r="457" customFormat="false" ht="15" hidden="false" customHeight="false" outlineLevel="0" collapsed="false">
      <c r="A457" s="11" t="s">
        <v>492</v>
      </c>
      <c r="B457" s="11" t="s">
        <v>93</v>
      </c>
      <c r="C457" s="11" t="s">
        <v>74</v>
      </c>
      <c r="D457" s="11" t="s">
        <v>95</v>
      </c>
      <c r="E457" s="11" t="s">
        <v>105</v>
      </c>
      <c r="F457" s="11" t="s">
        <v>493</v>
      </c>
      <c r="G457" s="11" t="s">
        <v>78</v>
      </c>
      <c r="H457" s="11" t="s">
        <v>79</v>
      </c>
      <c r="I457" s="11" t="s">
        <v>78</v>
      </c>
      <c r="J457" s="12" t="n">
        <v>6816000</v>
      </c>
      <c r="K457" s="13" t="n">
        <f aca="false">IFERROR(J457/M457,"")</f>
        <v>0.18586387434555</v>
      </c>
      <c r="L457" s="12" t="n">
        <v>29856000</v>
      </c>
      <c r="M457" s="14" t="n">
        <f aca="false">L457+J457</f>
        <v>36672000</v>
      </c>
      <c r="N457" s="12" t="n">
        <v>6816000</v>
      </c>
      <c r="O457" s="12" t="n">
        <v>49880817</v>
      </c>
      <c r="P457" s="12" t="n">
        <v>1684608</v>
      </c>
      <c r="Q457" s="13" t="n">
        <f aca="false">IFERROR(P457/P456-1,"")</f>
        <v>0.23368231110382</v>
      </c>
      <c r="R457" s="12" t="n">
        <v>1667538</v>
      </c>
      <c r="S457" s="13" t="n">
        <f aca="false">IFERROR(R457/R456-1,"")</f>
        <v>0.118021492341979</v>
      </c>
      <c r="T457" s="12" t="n">
        <v>1205258</v>
      </c>
      <c r="U457" s="13" t="n">
        <f aca="false">IFERROR(T457/P457,"")</f>
        <v>0.715453090570625</v>
      </c>
      <c r="V457" s="14" t="n">
        <f aca="false">T457-AV457</f>
        <v>-1545615</v>
      </c>
      <c r="W457" s="14" t="n">
        <f aca="false">V457-AA457*0.1</f>
        <v>-1631815</v>
      </c>
      <c r="X457" s="12" t="n">
        <v>3384000</v>
      </c>
      <c r="Y457" s="12" t="n">
        <v>141000</v>
      </c>
      <c r="Z457" s="15" t="n">
        <f aca="false">IFERROR(X457/Y457,"")</f>
        <v>24</v>
      </c>
      <c r="AA457" s="12" t="n">
        <v>862000</v>
      </c>
      <c r="AB457" s="14" t="n">
        <f aca="false">W457-0.02*P457</f>
        <v>-1665507.16</v>
      </c>
      <c r="AC457" s="16" t="n">
        <v>24</v>
      </c>
      <c r="AD457" s="13" t="n">
        <f aca="false">IFERROR(AC457/AC456-1,"")</f>
        <v>0.142857142857143</v>
      </c>
      <c r="AE457" s="17" t="n">
        <v>0.107</v>
      </c>
      <c r="AF457" s="17" t="n">
        <v>0.068</v>
      </c>
      <c r="AG457" s="13" t="n">
        <f aca="false">1-AF457</f>
        <v>0.932</v>
      </c>
      <c r="AH457" s="17" t="n">
        <v>1.09</v>
      </c>
      <c r="AI457" s="12" t="n">
        <v>96000</v>
      </c>
      <c r="AJ457" s="14" t="n">
        <f aca="false">IFERROR(AM457*U457*MIN(1/AE457,5),"")</f>
        <v>200970.773141289</v>
      </c>
      <c r="AK457" s="18" t="n">
        <f aca="false">IFERROR(AJ457/AI457,"")</f>
        <v>2.09344555355509</v>
      </c>
      <c r="AL457" s="15" t="n">
        <f aca="false">IFERROR(AI457/(AM457*U457/12),"")</f>
        <v>28.660883918432</v>
      </c>
      <c r="AM457" s="12" t="n">
        <v>56180</v>
      </c>
      <c r="AN457" s="12" t="n">
        <v>2299017</v>
      </c>
      <c r="AO457" s="12" t="n">
        <v>5324210</v>
      </c>
      <c r="AP457" s="17" t="n">
        <v>0.196</v>
      </c>
      <c r="AQ457" s="16" t="n">
        <v>87</v>
      </c>
      <c r="AR457" s="16" t="n">
        <v>8</v>
      </c>
      <c r="AS457" s="13" t="n">
        <f aca="false">IFERROR(AR457/AR456-1,"")</f>
        <v>0.142857142857143</v>
      </c>
      <c r="AT457" s="11" t="s">
        <v>201</v>
      </c>
      <c r="AU457" s="14" t="n">
        <f aca="false">IFERROR(P457/AR457,"")</f>
        <v>210576</v>
      </c>
      <c r="AV457" s="12" t="n">
        <v>2750873</v>
      </c>
      <c r="AW457" s="12" t="n">
        <v>932011</v>
      </c>
      <c r="AX457" s="12" t="n">
        <v>797781</v>
      </c>
      <c r="AY457" s="16" t="n">
        <v>16198</v>
      </c>
      <c r="AZ457" s="13" t="n">
        <f aca="false">IFERROR(AY457/AY456-1,"")</f>
        <v>0.111202579405914</v>
      </c>
      <c r="BA457" s="17" t="n">
        <v>0.922</v>
      </c>
      <c r="BB457" s="11" t="s">
        <v>81</v>
      </c>
      <c r="BC457" s="11" t="s">
        <v>108</v>
      </c>
      <c r="BD457" s="11" t="s">
        <v>109</v>
      </c>
      <c r="BE457" s="12" t="n">
        <v>1660873</v>
      </c>
      <c r="BF457" s="13" t="n">
        <f aca="false">IFERROR(P457/BE457-1,"")</f>
        <v>0.0142906772522644</v>
      </c>
      <c r="BG457" s="17" t="n">
        <v>0.086</v>
      </c>
      <c r="BH457" s="17" t="n">
        <v>-0.012</v>
      </c>
      <c r="BI457" s="14" t="n">
        <f aca="false">P457*(1+IFERROR(Q457,0))^4</f>
        <v>3902224.1264549</v>
      </c>
      <c r="BJ457" s="12" t="n">
        <v>-1448559</v>
      </c>
      <c r="BK457" s="11" t="s">
        <v>84</v>
      </c>
      <c r="BL457" s="11" t="s">
        <v>128</v>
      </c>
      <c r="BM457" s="14" t="n">
        <f aca="false">O457</f>
        <v>49880817</v>
      </c>
      <c r="BN457" s="11" t="s">
        <v>494</v>
      </c>
      <c r="BO457" s="13" t="n">
        <f aca="false">IFERROR(1-L457/M457,"")</f>
        <v>0.18586387434555</v>
      </c>
      <c r="BP457" s="11" t="s">
        <v>142</v>
      </c>
      <c r="BQ457" s="12" t="n">
        <v>2243843</v>
      </c>
      <c r="BR457" s="11" t="s">
        <v>88</v>
      </c>
      <c r="BS457" s="11" t="s">
        <v>89</v>
      </c>
      <c r="BT457" s="19" t="str">
        <f aca="false">IF(OR(Z457&lt;6,AH457&lt;0.9,S457&lt;0.02,AK457&lt;1),"REVIEW",IF(AND(S457&gt;0.25,AH457&gt;1.2),"ACCELERATING","STABLE"))</f>
        <v>STABLE</v>
      </c>
    </row>
    <row r="458" customFormat="false" ht="15" hidden="false" customHeight="false" outlineLevel="0" collapsed="false">
      <c r="A458" s="3" t="s">
        <v>495</v>
      </c>
      <c r="B458" s="3" t="s">
        <v>73</v>
      </c>
      <c r="C458" s="3" t="s">
        <v>74</v>
      </c>
      <c r="D458" s="3" t="s">
        <v>115</v>
      </c>
      <c r="E458" s="3" t="s">
        <v>105</v>
      </c>
      <c r="F458" s="3" t="s">
        <v>496</v>
      </c>
      <c r="G458" s="3" t="s">
        <v>78</v>
      </c>
      <c r="H458" s="3" t="s">
        <v>79</v>
      </c>
      <c r="I458" s="3" t="s">
        <v>78</v>
      </c>
      <c r="J458" s="4" t="n">
        <v>6116000</v>
      </c>
      <c r="K458" s="5" t="n">
        <f aca="false">IFERROR(J458/M458,"")</f>
        <v>0.186105955025409</v>
      </c>
      <c r="L458" s="4" t="n">
        <v>26747000</v>
      </c>
      <c r="M458" s="6" t="n">
        <f aca="false">L458+J458</f>
        <v>32863000</v>
      </c>
      <c r="N458" s="4" t="n">
        <v>6116000</v>
      </c>
      <c r="O458" s="4" t="n">
        <v>65770551</v>
      </c>
      <c r="P458" s="4" t="n">
        <v>1037073</v>
      </c>
      <c r="Q458" s="7"/>
      <c r="R458" s="4" t="n">
        <v>1064804</v>
      </c>
      <c r="S458" s="7"/>
      <c r="T458" s="4" t="n">
        <v>662197</v>
      </c>
      <c r="U458" s="5" t="n">
        <f aca="false">IFERROR(T458/P458,"")</f>
        <v>0.638524964009284</v>
      </c>
      <c r="V458" s="6" t="n">
        <f aca="false">T458-AV458</f>
        <v>-2122652</v>
      </c>
      <c r="W458" s="6" t="n">
        <f aca="false">V458-AA458*0.1</f>
        <v>-2122652</v>
      </c>
      <c r="X458" s="4" t="n">
        <v>5803635</v>
      </c>
      <c r="Y458" s="4" t="n">
        <v>168350</v>
      </c>
      <c r="Z458" s="8" t="n">
        <f aca="false">IFERROR(X458/Y458,"")</f>
        <v>34.4736263736264</v>
      </c>
      <c r="AA458" s="4" t="n">
        <v>0</v>
      </c>
      <c r="AB458" s="6" t="n">
        <f aca="false">W458-0.02*P458</f>
        <v>-2143393.46</v>
      </c>
      <c r="AC458" s="9" t="n">
        <v>47</v>
      </c>
      <c r="AD458" s="7"/>
      <c r="AE458" s="7" t="n">
        <v>0.088</v>
      </c>
      <c r="AF458" s="7" t="n">
        <v>0.061</v>
      </c>
      <c r="AG458" s="5" t="n">
        <f aca="false">1-AF458</f>
        <v>0.939</v>
      </c>
      <c r="AH458" s="7" t="n">
        <v>1.12</v>
      </c>
      <c r="AI458" s="4" t="n">
        <v>9540</v>
      </c>
      <c r="AJ458" s="6" t="n">
        <f aca="false">IFERROR(AM458*U458*MIN(1/AE458,5),"")</f>
        <v>28733.6233804178</v>
      </c>
      <c r="AK458" s="10" t="n">
        <f aca="false">IFERROR(AJ458/AI458,"")</f>
        <v>3.01191020759096</v>
      </c>
      <c r="AL458" s="8" t="n">
        <f aca="false">IFERROR(AI458/(AM458*U458/12),"")</f>
        <v>19.9209125985168</v>
      </c>
      <c r="AM458" s="4" t="n">
        <v>9000</v>
      </c>
      <c r="AN458" s="4" t="n">
        <v>1191674</v>
      </c>
      <c r="AO458" s="4" t="n">
        <v>4046571</v>
      </c>
      <c r="AP458" s="7" t="n">
        <v>0.389</v>
      </c>
      <c r="AQ458" s="9" t="n">
        <v>79</v>
      </c>
      <c r="AR458" s="9" t="n">
        <v>1</v>
      </c>
      <c r="AS458" s="7"/>
      <c r="AT458" s="3" t="s">
        <v>218</v>
      </c>
      <c r="AU458" s="6" t="n">
        <f aca="false">IFERROR(P458/AR458,"")</f>
        <v>1037073</v>
      </c>
      <c r="AV458" s="4" t="n">
        <v>2784849</v>
      </c>
      <c r="AW458" s="4" t="n">
        <v>1221266</v>
      </c>
      <c r="AX458" s="4" t="n">
        <v>672181</v>
      </c>
      <c r="AY458" s="9" t="n">
        <v>14738</v>
      </c>
      <c r="AZ458" s="7"/>
      <c r="BA458" s="7" t="n">
        <v>0.915</v>
      </c>
      <c r="BB458" s="3" t="s">
        <v>107</v>
      </c>
      <c r="BC458" s="3" t="s">
        <v>126</v>
      </c>
      <c r="BD458" s="3" t="s">
        <v>175</v>
      </c>
      <c r="BE458" s="4" t="n">
        <v>965302</v>
      </c>
      <c r="BF458" s="5" t="n">
        <f aca="false">IFERROR(P458/BE458-1,"")</f>
        <v>0.0743508249231846</v>
      </c>
      <c r="BG458" s="7" t="n">
        <v>-0.048</v>
      </c>
      <c r="BH458" s="7" t="n">
        <v>-0.036</v>
      </c>
      <c r="BI458" s="6" t="n">
        <f aca="false">P458</f>
        <v>1037073</v>
      </c>
      <c r="BJ458" s="4" t="n">
        <v>-1648404</v>
      </c>
      <c r="BK458" s="3" t="s">
        <v>192</v>
      </c>
      <c r="BL458" s="3" t="s">
        <v>111</v>
      </c>
      <c r="BM458" s="6" t="n">
        <f aca="false">O458</f>
        <v>65770551</v>
      </c>
      <c r="BN458" s="3" t="s">
        <v>497</v>
      </c>
      <c r="BO458" s="5" t="n">
        <f aca="false">IFERROR(1-L458/M458,"")</f>
        <v>0.186105955025409</v>
      </c>
      <c r="BP458" s="3" t="s">
        <v>142</v>
      </c>
      <c r="BQ458" s="4" t="n">
        <v>2176352</v>
      </c>
      <c r="BR458" s="3" t="s">
        <v>88</v>
      </c>
      <c r="BS458" s="3" t="s">
        <v>89</v>
      </c>
      <c r="BT458" s="3" t="s">
        <v>90</v>
      </c>
    </row>
    <row r="459" customFormat="false" ht="15" hidden="false" customHeight="false" outlineLevel="0" collapsed="false">
      <c r="A459" s="11" t="s">
        <v>495</v>
      </c>
      <c r="B459" s="11" t="s">
        <v>91</v>
      </c>
      <c r="C459" s="11" t="s">
        <v>74</v>
      </c>
      <c r="D459" s="11" t="s">
        <v>115</v>
      </c>
      <c r="E459" s="11" t="s">
        <v>105</v>
      </c>
      <c r="F459" s="11" t="s">
        <v>496</v>
      </c>
      <c r="G459" s="11" t="s">
        <v>78</v>
      </c>
      <c r="H459" s="11" t="s">
        <v>79</v>
      </c>
      <c r="I459" s="11" t="s">
        <v>78</v>
      </c>
      <c r="J459" s="12" t="n">
        <v>6116000</v>
      </c>
      <c r="K459" s="13" t="n">
        <f aca="false">IFERROR(J459/M459,"")</f>
        <v>0.186105955025409</v>
      </c>
      <c r="L459" s="12" t="n">
        <v>26747000</v>
      </c>
      <c r="M459" s="14" t="n">
        <f aca="false">L459+J459</f>
        <v>32863000</v>
      </c>
      <c r="N459" s="12" t="n">
        <v>6116000</v>
      </c>
      <c r="O459" s="12" t="n">
        <v>65770551</v>
      </c>
      <c r="P459" s="12" t="n">
        <v>1205323</v>
      </c>
      <c r="Q459" s="13" t="n">
        <f aca="false">IFERROR(P459/P458-1,"")</f>
        <v>0.162235445335092</v>
      </c>
      <c r="R459" s="12" t="n">
        <v>1310643</v>
      </c>
      <c r="S459" s="13" t="n">
        <f aca="false">IFERROR(R459/R458-1,"")</f>
        <v>0.230877231866146</v>
      </c>
      <c r="T459" s="12" t="n">
        <v>772745</v>
      </c>
      <c r="U459" s="13" t="n">
        <f aca="false">IFERROR(T459/P459,"")</f>
        <v>0.641110308191248</v>
      </c>
      <c r="V459" s="14" t="n">
        <f aca="false">T459-AV459</f>
        <v>-2199861</v>
      </c>
      <c r="W459" s="14" t="n">
        <f aca="false">V459-AA459*0.1</f>
        <v>-2199861</v>
      </c>
      <c r="X459" s="12" t="n">
        <v>5379060</v>
      </c>
      <c r="Y459" s="12" t="n">
        <v>173900</v>
      </c>
      <c r="Z459" s="15" t="n">
        <f aca="false">IFERROR(X459/Y459,"")</f>
        <v>30.931914893617</v>
      </c>
      <c r="AA459" s="12" t="n">
        <v>0</v>
      </c>
      <c r="AB459" s="14" t="n">
        <f aca="false">W459-0.02*P459</f>
        <v>-2223967.46</v>
      </c>
      <c r="AC459" s="16" t="n">
        <v>56</v>
      </c>
      <c r="AD459" s="13" t="n">
        <f aca="false">IFERROR(AC459/AC458-1,"")</f>
        <v>0.191489361702128</v>
      </c>
      <c r="AE459" s="17" t="n">
        <v>0.086</v>
      </c>
      <c r="AF459" s="17" t="n">
        <v>0.075</v>
      </c>
      <c r="AG459" s="13" t="n">
        <f aca="false">1-AF459</f>
        <v>0.925</v>
      </c>
      <c r="AH459" s="17" t="n">
        <v>1.115</v>
      </c>
      <c r="AI459" s="12" t="n">
        <v>9360</v>
      </c>
      <c r="AJ459" s="14" t="n">
        <f aca="false">IFERROR(AM459*U459*MIN(1/AE459,5),"")</f>
        <v>29426.9631459783</v>
      </c>
      <c r="AK459" s="18" t="n">
        <f aca="false">IFERROR(AJ459/AI459,"")</f>
        <v>3.14390631901478</v>
      </c>
      <c r="AL459" s="15" t="n">
        <f aca="false">IFERROR(AI459/(AM459*U459/12),"")</f>
        <v>19.0845381228797</v>
      </c>
      <c r="AM459" s="12" t="n">
        <v>9180</v>
      </c>
      <c r="AN459" s="12" t="n">
        <v>1869061</v>
      </c>
      <c r="AO459" s="12" t="n">
        <v>2762035</v>
      </c>
      <c r="AP459" s="17" t="n">
        <v>0.389</v>
      </c>
      <c r="AQ459" s="16" t="n">
        <v>79</v>
      </c>
      <c r="AR459" s="16" t="n">
        <v>2</v>
      </c>
      <c r="AS459" s="13" t="n">
        <f aca="false">IFERROR(AR459/AR458-1,"")</f>
        <v>1</v>
      </c>
      <c r="AT459" s="11" t="s">
        <v>218</v>
      </c>
      <c r="AU459" s="14" t="n">
        <f aca="false">IFERROR(P459/AR459,"")</f>
        <v>602661.5</v>
      </c>
      <c r="AV459" s="12" t="n">
        <v>2972606</v>
      </c>
      <c r="AW459" s="12" t="n">
        <v>1073835</v>
      </c>
      <c r="AX459" s="12" t="n">
        <v>821015</v>
      </c>
      <c r="AY459" s="16" t="n">
        <v>18465</v>
      </c>
      <c r="AZ459" s="13" t="n">
        <f aca="false">IFERROR(AY459/AY458-1,"")</f>
        <v>0.252883701994843</v>
      </c>
      <c r="BA459" s="17" t="n">
        <v>0.929</v>
      </c>
      <c r="BB459" s="11" t="s">
        <v>107</v>
      </c>
      <c r="BC459" s="11" t="s">
        <v>126</v>
      </c>
      <c r="BD459" s="11" t="s">
        <v>175</v>
      </c>
      <c r="BE459" s="12" t="n">
        <v>1470038</v>
      </c>
      <c r="BF459" s="13" t="n">
        <f aca="false">IFERROR(P459/BE459-1,"")</f>
        <v>-0.180073576329319</v>
      </c>
      <c r="BG459" s="17" t="n">
        <v>0.012</v>
      </c>
      <c r="BH459" s="17" t="n">
        <v>0.017</v>
      </c>
      <c r="BI459" s="14" t="n">
        <f aca="false">P459*(1+IFERROR(Q459,0))^4</f>
        <v>2199276.88020358</v>
      </c>
      <c r="BJ459" s="12" t="n">
        <v>-1752854</v>
      </c>
      <c r="BK459" s="11" t="s">
        <v>192</v>
      </c>
      <c r="BL459" s="11" t="s">
        <v>111</v>
      </c>
      <c r="BM459" s="14" t="n">
        <f aca="false">O459</f>
        <v>65770551</v>
      </c>
      <c r="BN459" s="11" t="s">
        <v>497</v>
      </c>
      <c r="BO459" s="13" t="n">
        <f aca="false">IFERROR(1-L459/M459,"")</f>
        <v>0.186105955025409</v>
      </c>
      <c r="BP459" s="11" t="s">
        <v>142</v>
      </c>
      <c r="BQ459" s="12" t="n">
        <v>2845578</v>
      </c>
      <c r="BR459" s="11" t="s">
        <v>88</v>
      </c>
      <c r="BS459" s="11" t="s">
        <v>89</v>
      </c>
      <c r="BT459" s="19" t="str">
        <f aca="false">IF(OR(Z459&lt;6,AH459&lt;0.9,S459&lt;0.02,AK459&lt;1),"REVIEW",IF(AND(S459&gt;0.25,AH459&gt;1.2),"ACCELERATING","STABLE"))</f>
        <v>STABLE</v>
      </c>
    </row>
    <row r="460" customFormat="false" ht="15" hidden="false" customHeight="false" outlineLevel="0" collapsed="false">
      <c r="A460" s="11" t="s">
        <v>495</v>
      </c>
      <c r="B460" s="11" t="s">
        <v>92</v>
      </c>
      <c r="C460" s="11" t="s">
        <v>74</v>
      </c>
      <c r="D460" s="11" t="s">
        <v>115</v>
      </c>
      <c r="E460" s="11" t="s">
        <v>105</v>
      </c>
      <c r="F460" s="11" t="s">
        <v>496</v>
      </c>
      <c r="G460" s="11" t="s">
        <v>78</v>
      </c>
      <c r="H460" s="11" t="s">
        <v>79</v>
      </c>
      <c r="I460" s="11" t="s">
        <v>78</v>
      </c>
      <c r="J460" s="12" t="n">
        <v>6116000</v>
      </c>
      <c r="K460" s="13" t="n">
        <f aca="false">IFERROR(J460/M460,"")</f>
        <v>0.186105955025409</v>
      </c>
      <c r="L460" s="12" t="n">
        <v>26747000</v>
      </c>
      <c r="M460" s="14" t="n">
        <f aca="false">L460+J460</f>
        <v>32863000</v>
      </c>
      <c r="N460" s="12" t="n">
        <v>6116000</v>
      </c>
      <c r="O460" s="12" t="n">
        <v>65770551</v>
      </c>
      <c r="P460" s="12" t="n">
        <v>1410725</v>
      </c>
      <c r="Q460" s="13" t="n">
        <f aca="false">IFERROR(P460/P459-1,"")</f>
        <v>0.170412412274552</v>
      </c>
      <c r="R460" s="12" t="n">
        <v>1639436</v>
      </c>
      <c r="S460" s="13" t="n">
        <f aca="false">IFERROR(R460/R459-1,"")</f>
        <v>0.250863888946113</v>
      </c>
      <c r="T460" s="12" t="n">
        <v>908078</v>
      </c>
      <c r="U460" s="13" t="n">
        <f aca="false">IFERROR(T460/P460,"")</f>
        <v>0.643695971929327</v>
      </c>
      <c r="V460" s="14" t="n">
        <f aca="false">T460-AV460</f>
        <v>-2318859</v>
      </c>
      <c r="W460" s="14" t="n">
        <f aca="false">V460-AA460*0.1</f>
        <v>-2318859</v>
      </c>
      <c r="X460" s="12" t="n">
        <v>4924515</v>
      </c>
      <c r="Y460" s="12" t="n">
        <v>179450</v>
      </c>
      <c r="Z460" s="15" t="n">
        <f aca="false">IFERROR(X460/Y460,"")</f>
        <v>27.4422680412371</v>
      </c>
      <c r="AA460" s="12" t="n">
        <v>0</v>
      </c>
      <c r="AB460" s="14" t="n">
        <f aca="false">W460-0.02*P460</f>
        <v>-2347073.5</v>
      </c>
      <c r="AC460" s="16" t="n">
        <v>63</v>
      </c>
      <c r="AD460" s="13" t="n">
        <f aca="false">IFERROR(AC460/AC459-1,"")</f>
        <v>0.125</v>
      </c>
      <c r="AE460" s="17" t="n">
        <v>0.083</v>
      </c>
      <c r="AF460" s="17" t="n">
        <v>0.077</v>
      </c>
      <c r="AG460" s="13" t="n">
        <f aca="false">1-AF460</f>
        <v>0.923</v>
      </c>
      <c r="AH460" s="17" t="n">
        <v>1.11</v>
      </c>
      <c r="AI460" s="12" t="n">
        <v>9180</v>
      </c>
      <c r="AJ460" s="14" t="n">
        <f aca="false">IFERROR(AM460*U460*MIN(1/AE460,5),"")</f>
        <v>30124.9714862925</v>
      </c>
      <c r="AK460" s="18" t="n">
        <f aca="false">IFERROR(AJ460/AI460,"")</f>
        <v>3.281587307875</v>
      </c>
      <c r="AL460" s="15" t="n">
        <f aca="false">IFERROR(AI460/(AM460*U460/12),"")</f>
        <v>18.2838347332752</v>
      </c>
      <c r="AM460" s="12" t="n">
        <v>9360</v>
      </c>
      <c r="AN460" s="12" t="n">
        <v>1726290</v>
      </c>
      <c r="AO460" s="12" t="n">
        <v>6122855</v>
      </c>
      <c r="AP460" s="17" t="n">
        <v>0.389</v>
      </c>
      <c r="AQ460" s="16" t="n">
        <v>79</v>
      </c>
      <c r="AR460" s="16" t="n">
        <v>2</v>
      </c>
      <c r="AS460" s="13" t="n">
        <f aca="false">IFERROR(AR460/AR459-1,"")</f>
        <v>0</v>
      </c>
      <c r="AT460" s="11" t="s">
        <v>218</v>
      </c>
      <c r="AU460" s="14" t="n">
        <f aca="false">IFERROR(P460/AR460,"")</f>
        <v>705362.5</v>
      </c>
      <c r="AV460" s="12" t="n">
        <v>3226937</v>
      </c>
      <c r="AW460" s="12" t="n">
        <v>1119872</v>
      </c>
      <c r="AX460" s="12" t="n">
        <v>1072835</v>
      </c>
      <c r="AY460" s="16" t="n">
        <v>20321</v>
      </c>
      <c r="AZ460" s="13" t="n">
        <f aca="false">IFERROR(AY460/AY459-1,"")</f>
        <v>0.100514486867046</v>
      </c>
      <c r="BA460" s="17" t="n">
        <v>0.926</v>
      </c>
      <c r="BB460" s="11" t="s">
        <v>107</v>
      </c>
      <c r="BC460" s="11" t="s">
        <v>126</v>
      </c>
      <c r="BD460" s="11" t="s">
        <v>175</v>
      </c>
      <c r="BE460" s="12" t="n">
        <v>1594058</v>
      </c>
      <c r="BF460" s="13" t="n">
        <f aca="false">IFERROR(P460/BE460-1,"")</f>
        <v>-0.11501024429475</v>
      </c>
      <c r="BG460" s="17" t="n">
        <v>0.015</v>
      </c>
      <c r="BH460" s="17" t="n">
        <v>-0.042</v>
      </c>
      <c r="BI460" s="14" t="n">
        <f aca="false">P460*(1+IFERROR(Q460,0))^4</f>
        <v>2647268.78126072</v>
      </c>
      <c r="BJ460" s="12" t="n">
        <v>-1735796</v>
      </c>
      <c r="BK460" s="11" t="s">
        <v>192</v>
      </c>
      <c r="BL460" s="11" t="s">
        <v>111</v>
      </c>
      <c r="BM460" s="14" t="n">
        <f aca="false">O460</f>
        <v>65770551</v>
      </c>
      <c r="BN460" s="11" t="s">
        <v>497</v>
      </c>
      <c r="BO460" s="13" t="n">
        <f aca="false">IFERROR(1-L460/M460,"")</f>
        <v>0.186105955025409</v>
      </c>
      <c r="BP460" s="11" t="s">
        <v>142</v>
      </c>
      <c r="BQ460" s="12" t="n">
        <v>3524411</v>
      </c>
      <c r="BR460" s="11" t="s">
        <v>88</v>
      </c>
      <c r="BS460" s="11" t="s">
        <v>89</v>
      </c>
      <c r="BT460" s="19" t="str">
        <f aca="false">IF(OR(Z460&lt;6,AH460&lt;0.9,S460&lt;0.02,AK460&lt;1),"REVIEW",IF(AND(S460&gt;0.25,AH460&gt;1.2),"ACCELERATING","STABLE"))</f>
        <v>STABLE</v>
      </c>
    </row>
    <row r="461" customFormat="false" ht="15" hidden="false" customHeight="false" outlineLevel="0" collapsed="false">
      <c r="A461" s="11" t="s">
        <v>495</v>
      </c>
      <c r="B461" s="11" t="s">
        <v>93</v>
      </c>
      <c r="C461" s="11" t="s">
        <v>74</v>
      </c>
      <c r="D461" s="11" t="s">
        <v>115</v>
      </c>
      <c r="E461" s="11" t="s">
        <v>105</v>
      </c>
      <c r="F461" s="11" t="s">
        <v>496</v>
      </c>
      <c r="G461" s="11" t="s">
        <v>78</v>
      </c>
      <c r="H461" s="11" t="s">
        <v>79</v>
      </c>
      <c r="I461" s="11" t="s">
        <v>78</v>
      </c>
      <c r="J461" s="12" t="n">
        <v>6116000</v>
      </c>
      <c r="K461" s="13" t="n">
        <f aca="false">IFERROR(J461/M461,"")</f>
        <v>0.186105955025409</v>
      </c>
      <c r="L461" s="12" t="n">
        <v>26747000</v>
      </c>
      <c r="M461" s="14" t="n">
        <f aca="false">L461+J461</f>
        <v>32863000</v>
      </c>
      <c r="N461" s="12" t="n">
        <v>6116000</v>
      </c>
      <c r="O461" s="12" t="n">
        <v>65770551</v>
      </c>
      <c r="P461" s="12" t="n">
        <v>1762810</v>
      </c>
      <c r="Q461" s="13" t="n">
        <f aca="false">IFERROR(P461/P460-1,"")</f>
        <v>0.24957734498219</v>
      </c>
      <c r="R461" s="12" t="n">
        <v>1838288</v>
      </c>
      <c r="S461" s="13" t="n">
        <f aca="false">IFERROR(R461/R460-1,"")</f>
        <v>0.1212929324475</v>
      </c>
      <c r="T461" s="12" t="n">
        <v>1139271</v>
      </c>
      <c r="U461" s="13" t="n">
        <f aca="false">IFERROR(T461/P461,"")</f>
        <v>0.646281221458921</v>
      </c>
      <c r="V461" s="14" t="n">
        <f aca="false">T461-AV461</f>
        <v>-1958928</v>
      </c>
      <c r="W461" s="14" t="n">
        <f aca="false">V461-AA461*0.1</f>
        <v>-1958928</v>
      </c>
      <c r="X461" s="12" t="n">
        <v>4440000</v>
      </c>
      <c r="Y461" s="12" t="n">
        <v>185000</v>
      </c>
      <c r="Z461" s="15" t="n">
        <f aca="false">IFERROR(X461/Y461,"")</f>
        <v>24</v>
      </c>
      <c r="AA461" s="12" t="n">
        <v>0</v>
      </c>
      <c r="AB461" s="14" t="n">
        <f aca="false">W461-0.02*P461</f>
        <v>-1994184.2</v>
      </c>
      <c r="AC461" s="16" t="n">
        <v>73</v>
      </c>
      <c r="AD461" s="13" t="n">
        <f aca="false">IFERROR(AC461/AC460-1,"")</f>
        <v>0.158730158730159</v>
      </c>
      <c r="AE461" s="17" t="n">
        <v>0.081</v>
      </c>
      <c r="AF461" s="17" t="n">
        <v>0.071</v>
      </c>
      <c r="AG461" s="13" t="n">
        <f aca="false">1-AF461</f>
        <v>0.929</v>
      </c>
      <c r="AH461" s="17" t="n">
        <v>1.105</v>
      </c>
      <c r="AI461" s="12" t="n">
        <v>9000</v>
      </c>
      <c r="AJ461" s="14" t="n">
        <f aca="false">IFERROR(AM461*U461*MIN(1/AE461,5),"")</f>
        <v>30827.6142635905</v>
      </c>
      <c r="AK461" s="18" t="n">
        <f aca="false">IFERROR(AJ461/AI461,"")</f>
        <v>3.42529047373228</v>
      </c>
      <c r="AL461" s="15" t="n">
        <f aca="false">IFERROR(AI461/(AM461*U461/12),"")</f>
        <v>17.5167625811958</v>
      </c>
      <c r="AM461" s="12" t="n">
        <v>9540</v>
      </c>
      <c r="AN461" s="12" t="n">
        <v>2748771</v>
      </c>
      <c r="AO461" s="12" t="n">
        <v>3695092</v>
      </c>
      <c r="AP461" s="17" t="n">
        <v>0.389</v>
      </c>
      <c r="AQ461" s="16" t="n">
        <v>79</v>
      </c>
      <c r="AR461" s="16" t="n">
        <v>2</v>
      </c>
      <c r="AS461" s="13" t="n">
        <f aca="false">IFERROR(AR461/AR460-1,"")</f>
        <v>0</v>
      </c>
      <c r="AT461" s="11" t="s">
        <v>218</v>
      </c>
      <c r="AU461" s="14" t="n">
        <f aca="false">IFERROR(P461/AR461,"")</f>
        <v>881405</v>
      </c>
      <c r="AV461" s="12" t="n">
        <v>3098199</v>
      </c>
      <c r="AW461" s="12" t="n">
        <v>1326713</v>
      </c>
      <c r="AX461" s="12" t="n">
        <v>609163</v>
      </c>
      <c r="AY461" s="16" t="n">
        <v>24219</v>
      </c>
      <c r="AZ461" s="13" t="n">
        <f aca="false">IFERROR(AY461/AY460-1,"")</f>
        <v>0.191821268638354</v>
      </c>
      <c r="BA461" s="17" t="n">
        <v>0.924</v>
      </c>
      <c r="BB461" s="11" t="s">
        <v>107</v>
      </c>
      <c r="BC461" s="11" t="s">
        <v>126</v>
      </c>
      <c r="BD461" s="11" t="s">
        <v>175</v>
      </c>
      <c r="BE461" s="12" t="n">
        <v>1905782</v>
      </c>
      <c r="BF461" s="13" t="n">
        <f aca="false">IFERROR(P461/BE461-1,"")</f>
        <v>-0.0750201229731418</v>
      </c>
      <c r="BG461" s="17" t="n">
        <v>-0.015</v>
      </c>
      <c r="BH461" s="17" t="n">
        <v>0.011</v>
      </c>
      <c r="BI461" s="14" t="n">
        <f aca="false">P461*(1+IFERROR(Q461,0))^4</f>
        <v>4297917.51802459</v>
      </c>
      <c r="BJ461" s="12" t="n">
        <v>-2110923</v>
      </c>
      <c r="BK461" s="11" t="s">
        <v>192</v>
      </c>
      <c r="BL461" s="11" t="s">
        <v>111</v>
      </c>
      <c r="BM461" s="14" t="n">
        <f aca="false">O461</f>
        <v>65770551</v>
      </c>
      <c r="BN461" s="11" t="s">
        <v>497</v>
      </c>
      <c r="BO461" s="13" t="n">
        <f aca="false">IFERROR(1-L461/M461,"")</f>
        <v>0.186105955025409</v>
      </c>
      <c r="BP461" s="11" t="s">
        <v>142</v>
      </c>
      <c r="BQ461" s="12" t="n">
        <v>3665004</v>
      </c>
      <c r="BR461" s="11" t="s">
        <v>88</v>
      </c>
      <c r="BS461" s="11" t="s">
        <v>89</v>
      </c>
      <c r="BT461" s="19" t="str">
        <f aca="false">IF(OR(Z461&lt;6,AH461&lt;0.9,S461&lt;0.02,AK461&lt;1),"REVIEW",IF(AND(S461&gt;0.25,AH461&gt;1.2),"ACCELERATING","STABLE"))</f>
        <v>STABLE</v>
      </c>
    </row>
    <row r="462" customFormat="false" ht="15" hidden="false" customHeight="false" outlineLevel="0" collapsed="false">
      <c r="A462" s="3" t="s">
        <v>498</v>
      </c>
      <c r="B462" s="3" t="s">
        <v>73</v>
      </c>
      <c r="C462" s="3" t="s">
        <v>74</v>
      </c>
      <c r="D462" s="3" t="s">
        <v>132</v>
      </c>
      <c r="E462" s="3" t="s">
        <v>105</v>
      </c>
      <c r="F462" s="3" t="s">
        <v>499</v>
      </c>
      <c r="G462" s="3" t="s">
        <v>78</v>
      </c>
      <c r="H462" s="3" t="s">
        <v>79</v>
      </c>
      <c r="I462" s="3" t="s">
        <v>78</v>
      </c>
      <c r="J462" s="4" t="n">
        <v>3178000</v>
      </c>
      <c r="K462" s="5" t="n">
        <f aca="false">IFERROR(J462/M462,"")</f>
        <v>0.156067377105535</v>
      </c>
      <c r="L462" s="4" t="n">
        <v>17185000</v>
      </c>
      <c r="M462" s="6" t="n">
        <f aca="false">L462+J462</f>
        <v>20363000</v>
      </c>
      <c r="N462" s="4" t="n">
        <v>6495000</v>
      </c>
      <c r="O462" s="4" t="n">
        <v>18253444</v>
      </c>
      <c r="P462" s="4" t="n">
        <v>510603</v>
      </c>
      <c r="Q462" s="7"/>
      <c r="R462" s="4" t="n">
        <v>635427</v>
      </c>
      <c r="S462" s="7"/>
      <c r="T462" s="4" t="n">
        <v>383689</v>
      </c>
      <c r="U462" s="5" t="n">
        <f aca="false">IFERROR(T462/P462,"")</f>
        <v>0.751442901823922</v>
      </c>
      <c r="V462" s="6" t="n">
        <f aca="false">T462-AV462</f>
        <v>-2212962</v>
      </c>
      <c r="W462" s="6" t="n">
        <f aca="false">V462-AA462*0.1</f>
        <v>-2212962</v>
      </c>
      <c r="X462" s="4" t="n">
        <v>6180087</v>
      </c>
      <c r="Y462" s="4" t="n">
        <v>179270</v>
      </c>
      <c r="Z462" s="8" t="n">
        <f aca="false">IFERROR(X462/Y462,"")</f>
        <v>34.4736263736264</v>
      </c>
      <c r="AA462" s="4" t="n">
        <v>0</v>
      </c>
      <c r="AB462" s="6" t="n">
        <f aca="false">W462-0.02*P462</f>
        <v>-2223174.06</v>
      </c>
      <c r="AC462" s="9" t="n">
        <v>20</v>
      </c>
      <c r="AD462" s="7"/>
      <c r="AE462" s="7" t="n">
        <v>0.097</v>
      </c>
      <c r="AF462" s="7" t="n">
        <v>0.061</v>
      </c>
      <c r="AG462" s="5" t="n">
        <f aca="false">1-AF462</f>
        <v>0.939</v>
      </c>
      <c r="AH462" s="7" t="n">
        <v>1.055</v>
      </c>
      <c r="AI462" s="4" t="n">
        <v>24910</v>
      </c>
      <c r="AJ462" s="6" t="n">
        <f aca="false">IFERROR(AM462*U462*MIN(1/AE462,5),"")</f>
        <v>63872.6466550334</v>
      </c>
      <c r="AK462" s="10" t="n">
        <f aca="false">IFERROR(AJ462/AI462,"")</f>
        <v>2.56413675853205</v>
      </c>
      <c r="AL462" s="8" t="n">
        <f aca="false">IFERROR(AI462/(AM462*U462/12),"")</f>
        <v>23.399687945798</v>
      </c>
      <c r="AM462" s="4" t="n">
        <v>17000</v>
      </c>
      <c r="AN462" s="4" t="n">
        <v>652372</v>
      </c>
      <c r="AO462" s="4" t="n">
        <v>2474635</v>
      </c>
      <c r="AP462" s="7" t="n">
        <v>0.266</v>
      </c>
      <c r="AQ462" s="9" t="n">
        <v>79</v>
      </c>
      <c r="AR462" s="9" t="n">
        <v>6</v>
      </c>
      <c r="AS462" s="7"/>
      <c r="AT462" s="3" t="s">
        <v>98</v>
      </c>
      <c r="AU462" s="6" t="n">
        <f aca="false">IFERROR(P462/AR462,"")</f>
        <v>85100.5</v>
      </c>
      <c r="AV462" s="4" t="n">
        <v>2596651</v>
      </c>
      <c r="AW462" s="4" t="n">
        <v>1027501</v>
      </c>
      <c r="AX462" s="4" t="n">
        <v>699277</v>
      </c>
      <c r="AY462" s="9" t="n">
        <v>10159</v>
      </c>
      <c r="AZ462" s="7"/>
      <c r="BA462" s="7" t="n">
        <v>0.925</v>
      </c>
      <c r="BB462" s="3" t="s">
        <v>99</v>
      </c>
      <c r="BC462" s="3" t="s">
        <v>126</v>
      </c>
      <c r="BD462" s="3" t="s">
        <v>83</v>
      </c>
      <c r="BE462" s="4" t="n">
        <v>555239</v>
      </c>
      <c r="BF462" s="5" t="n">
        <f aca="false">IFERROR(P462/BE462-1,"")</f>
        <v>-0.0803906065676222</v>
      </c>
      <c r="BG462" s="7" t="n">
        <v>0.004</v>
      </c>
      <c r="BH462" s="7" t="n">
        <v>0.086</v>
      </c>
      <c r="BI462" s="6" t="n">
        <f aca="false">P462</f>
        <v>510603</v>
      </c>
      <c r="BJ462" s="4" t="n">
        <v>-1390334</v>
      </c>
      <c r="BK462" s="3" t="s">
        <v>84</v>
      </c>
      <c r="BL462" s="3" t="s">
        <v>128</v>
      </c>
      <c r="BM462" s="6" t="n">
        <f aca="false">O462</f>
        <v>18253444</v>
      </c>
      <c r="BN462" s="3" t="s">
        <v>500</v>
      </c>
      <c r="BO462" s="5" t="n">
        <f aca="false">IFERROR(1-L462/M462,"")</f>
        <v>0.156067377105535</v>
      </c>
      <c r="BP462" s="3" t="s">
        <v>87</v>
      </c>
      <c r="BQ462" s="4" t="n">
        <v>2764136</v>
      </c>
      <c r="BR462" s="3" t="s">
        <v>88</v>
      </c>
      <c r="BS462" s="3" t="s">
        <v>89</v>
      </c>
      <c r="BT462" s="3" t="s">
        <v>90</v>
      </c>
    </row>
    <row r="463" customFormat="false" ht="15" hidden="false" customHeight="false" outlineLevel="0" collapsed="false">
      <c r="A463" s="11" t="s">
        <v>498</v>
      </c>
      <c r="B463" s="11" t="s">
        <v>91</v>
      </c>
      <c r="C463" s="11" t="s">
        <v>74</v>
      </c>
      <c r="D463" s="11" t="s">
        <v>132</v>
      </c>
      <c r="E463" s="11" t="s">
        <v>105</v>
      </c>
      <c r="F463" s="11" t="s">
        <v>499</v>
      </c>
      <c r="G463" s="11" t="s">
        <v>78</v>
      </c>
      <c r="H463" s="11" t="s">
        <v>79</v>
      </c>
      <c r="I463" s="11" t="s">
        <v>78</v>
      </c>
      <c r="J463" s="12" t="n">
        <v>3178000</v>
      </c>
      <c r="K463" s="13" t="n">
        <f aca="false">IFERROR(J463/M463,"")</f>
        <v>0.156067377105535</v>
      </c>
      <c r="L463" s="12" t="n">
        <v>17185000</v>
      </c>
      <c r="M463" s="14" t="n">
        <f aca="false">L463+J463</f>
        <v>20363000</v>
      </c>
      <c r="N463" s="12" t="n">
        <v>6495000</v>
      </c>
      <c r="O463" s="12" t="n">
        <v>18253444</v>
      </c>
      <c r="P463" s="12" t="n">
        <v>596868</v>
      </c>
      <c r="Q463" s="13" t="n">
        <f aca="false">IFERROR(P463/P462-1,"")</f>
        <v>0.168947303482353</v>
      </c>
      <c r="R463" s="12" t="n">
        <v>769901</v>
      </c>
      <c r="S463" s="13" t="n">
        <f aca="false">IFERROR(R463/R462-1,"")</f>
        <v>0.211627771561485</v>
      </c>
      <c r="T463" s="12" t="n">
        <v>450328</v>
      </c>
      <c r="U463" s="13" t="n">
        <f aca="false">IFERROR(T463/P463,"")</f>
        <v>0.754485078777887</v>
      </c>
      <c r="V463" s="14" t="n">
        <f aca="false">T463-AV463</f>
        <v>-1871596</v>
      </c>
      <c r="W463" s="14" t="n">
        <f aca="false">V463-AA463*0.1</f>
        <v>-1871596</v>
      </c>
      <c r="X463" s="12" t="n">
        <v>5727972</v>
      </c>
      <c r="Y463" s="12" t="n">
        <v>185180</v>
      </c>
      <c r="Z463" s="15" t="n">
        <f aca="false">IFERROR(X463/Y463,"")</f>
        <v>30.931914893617</v>
      </c>
      <c r="AA463" s="12" t="n">
        <v>0</v>
      </c>
      <c r="AB463" s="14" t="n">
        <f aca="false">W463-0.02*P463</f>
        <v>-1883533.36</v>
      </c>
      <c r="AC463" s="16" t="n">
        <v>22</v>
      </c>
      <c r="AD463" s="13" t="n">
        <f aca="false">IFERROR(AC463/AC462-1,"")</f>
        <v>0.1</v>
      </c>
      <c r="AE463" s="17" t="n">
        <v>0.094</v>
      </c>
      <c r="AF463" s="17" t="n">
        <v>0.076</v>
      </c>
      <c r="AG463" s="13" t="n">
        <f aca="false">1-AF463</f>
        <v>0.924</v>
      </c>
      <c r="AH463" s="17" t="n">
        <v>1.05</v>
      </c>
      <c r="AI463" s="12" t="n">
        <v>24440</v>
      </c>
      <c r="AJ463" s="14" t="n">
        <f aca="false">IFERROR(AM463*U463*MIN(1/AE463,5),"")</f>
        <v>65413.8563300428</v>
      </c>
      <c r="AK463" s="18" t="n">
        <f aca="false">IFERROR(AJ463/AI463,"")</f>
        <v>2.67650803314414</v>
      </c>
      <c r="AL463" s="15" t="n">
        <f aca="false">IFERROR(AI463/(AM463*U463/12),"")</f>
        <v>22.4172687909018</v>
      </c>
      <c r="AM463" s="12" t="n">
        <v>17340</v>
      </c>
      <c r="AN463" s="12" t="n">
        <v>1063327</v>
      </c>
      <c r="AO463" s="12" t="n">
        <v>2621964</v>
      </c>
      <c r="AP463" s="17" t="n">
        <v>0.266</v>
      </c>
      <c r="AQ463" s="16" t="n">
        <v>79</v>
      </c>
      <c r="AR463" s="16" t="n">
        <v>6</v>
      </c>
      <c r="AS463" s="13" t="n">
        <f aca="false">IFERROR(AR463/AR462-1,"")</f>
        <v>0</v>
      </c>
      <c r="AT463" s="11" t="s">
        <v>98</v>
      </c>
      <c r="AU463" s="14" t="n">
        <f aca="false">IFERROR(P463/AR463,"")</f>
        <v>99478</v>
      </c>
      <c r="AV463" s="12" t="n">
        <v>2321924</v>
      </c>
      <c r="AW463" s="12" t="n">
        <v>829769</v>
      </c>
      <c r="AX463" s="12" t="n">
        <v>550288</v>
      </c>
      <c r="AY463" s="16" t="n">
        <v>10985</v>
      </c>
      <c r="AZ463" s="13" t="n">
        <f aca="false">IFERROR(AY463/AY462-1,"")</f>
        <v>0.0813072152770942</v>
      </c>
      <c r="BA463" s="17" t="n">
        <v>0.924</v>
      </c>
      <c r="BB463" s="11" t="s">
        <v>99</v>
      </c>
      <c r="BC463" s="11" t="s">
        <v>126</v>
      </c>
      <c r="BD463" s="11" t="s">
        <v>83</v>
      </c>
      <c r="BE463" s="12" t="n">
        <v>687168</v>
      </c>
      <c r="BF463" s="13" t="n">
        <f aca="false">IFERROR(P463/BE463-1,"")</f>
        <v>-0.131408913104219</v>
      </c>
      <c r="BG463" s="17" t="n">
        <v>0.043</v>
      </c>
      <c r="BH463" s="17" t="n">
        <v>0.065</v>
      </c>
      <c r="BI463" s="14" t="n">
        <f aca="false">P463*(1+IFERROR(Q463,0))^4</f>
        <v>1114443.43313647</v>
      </c>
      <c r="BJ463" s="12" t="n">
        <v>-1875562</v>
      </c>
      <c r="BK463" s="11" t="s">
        <v>84</v>
      </c>
      <c r="BL463" s="11" t="s">
        <v>128</v>
      </c>
      <c r="BM463" s="14" t="n">
        <f aca="false">O463</f>
        <v>18253444</v>
      </c>
      <c r="BN463" s="11" t="s">
        <v>500</v>
      </c>
      <c r="BO463" s="13" t="n">
        <f aca="false">IFERROR(1-L463/M463,"")</f>
        <v>0.156067377105535</v>
      </c>
      <c r="BP463" s="11" t="s">
        <v>87</v>
      </c>
      <c r="BQ463" s="12" t="n">
        <v>3557297</v>
      </c>
      <c r="BR463" s="11" t="s">
        <v>88</v>
      </c>
      <c r="BS463" s="11" t="s">
        <v>89</v>
      </c>
      <c r="BT463" s="19" t="str">
        <f aca="false">IF(OR(Z463&lt;6,AH463&lt;0.9,S463&lt;0.02,AK463&lt;1),"REVIEW",IF(AND(S463&gt;0.25,AH463&gt;1.2),"ACCELERATING","STABLE"))</f>
        <v>STABLE</v>
      </c>
    </row>
    <row r="464" customFormat="false" ht="15" hidden="false" customHeight="false" outlineLevel="0" collapsed="false">
      <c r="A464" s="11" t="s">
        <v>498</v>
      </c>
      <c r="B464" s="11" t="s">
        <v>92</v>
      </c>
      <c r="C464" s="11" t="s">
        <v>74</v>
      </c>
      <c r="D464" s="11" t="s">
        <v>132</v>
      </c>
      <c r="E464" s="11" t="s">
        <v>105</v>
      </c>
      <c r="F464" s="11" t="s">
        <v>499</v>
      </c>
      <c r="G464" s="11" t="s">
        <v>78</v>
      </c>
      <c r="H464" s="11" t="s">
        <v>79</v>
      </c>
      <c r="I464" s="11" t="s">
        <v>78</v>
      </c>
      <c r="J464" s="12" t="n">
        <v>3178000</v>
      </c>
      <c r="K464" s="13" t="n">
        <f aca="false">IFERROR(J464/M464,"")</f>
        <v>0.156067377105535</v>
      </c>
      <c r="L464" s="12" t="n">
        <v>17185000</v>
      </c>
      <c r="M464" s="14" t="n">
        <f aca="false">L464+J464</f>
        <v>20363000</v>
      </c>
      <c r="N464" s="12" t="n">
        <v>6495000</v>
      </c>
      <c r="O464" s="12" t="n">
        <v>18253444</v>
      </c>
      <c r="P464" s="12" t="n">
        <v>774595</v>
      </c>
      <c r="Q464" s="13" t="n">
        <f aca="false">IFERROR(P464/P463-1,"")</f>
        <v>0.297766005213883</v>
      </c>
      <c r="R464" s="12" t="n">
        <v>906211</v>
      </c>
      <c r="S464" s="13" t="n">
        <f aca="false">IFERROR(R464/R463-1,"")</f>
        <v>0.177048737435073</v>
      </c>
      <c r="T464" s="12" t="n">
        <v>586776</v>
      </c>
      <c r="U464" s="13" t="n">
        <f aca="false">IFERROR(T464/P464,"")</f>
        <v>0.75752619110632</v>
      </c>
      <c r="V464" s="14" t="n">
        <f aca="false">T464-AV464</f>
        <v>-1905731</v>
      </c>
      <c r="W464" s="14" t="n">
        <f aca="false">V464-AA464*0.1</f>
        <v>-1905731</v>
      </c>
      <c r="X464" s="12" t="n">
        <v>5243943</v>
      </c>
      <c r="Y464" s="12" t="n">
        <v>191090</v>
      </c>
      <c r="Z464" s="15" t="n">
        <f aca="false">IFERROR(X464/Y464,"")</f>
        <v>27.4422680412371</v>
      </c>
      <c r="AA464" s="12" t="n">
        <v>0</v>
      </c>
      <c r="AB464" s="14" t="n">
        <f aca="false">W464-0.02*P464</f>
        <v>-1921222.9</v>
      </c>
      <c r="AC464" s="16" t="n">
        <v>27</v>
      </c>
      <c r="AD464" s="13" t="n">
        <f aca="false">IFERROR(AC464/AC463-1,"")</f>
        <v>0.227272727272727</v>
      </c>
      <c r="AE464" s="17" t="n">
        <v>0.092</v>
      </c>
      <c r="AF464" s="17" t="n">
        <v>0.088</v>
      </c>
      <c r="AG464" s="13" t="n">
        <f aca="false">1-AF464</f>
        <v>0.912</v>
      </c>
      <c r="AH464" s="17" t="n">
        <v>1.045</v>
      </c>
      <c r="AI464" s="12" t="n">
        <v>23970</v>
      </c>
      <c r="AJ464" s="14" t="n">
        <f aca="false">IFERROR(AM464*U464*MIN(1/AE464,5),"")</f>
        <v>66965.3152937987</v>
      </c>
      <c r="AK464" s="18" t="n">
        <f aca="false">IFERROR(AJ464/AI464,"")</f>
        <v>2.79371361259068</v>
      </c>
      <c r="AL464" s="15" t="n">
        <f aca="false">IFERROR(AI464/(AM464*U464/12),"")</f>
        <v>21.4767897931959</v>
      </c>
      <c r="AM464" s="12" t="n">
        <v>17680</v>
      </c>
      <c r="AN464" s="12" t="n">
        <v>1359113</v>
      </c>
      <c r="AO464" s="12" t="n">
        <v>2835575</v>
      </c>
      <c r="AP464" s="17" t="n">
        <v>0.266</v>
      </c>
      <c r="AQ464" s="16" t="n">
        <v>79</v>
      </c>
      <c r="AR464" s="16" t="n">
        <v>7</v>
      </c>
      <c r="AS464" s="13" t="n">
        <f aca="false">IFERROR(AR464/AR463-1,"")</f>
        <v>0.166666666666667</v>
      </c>
      <c r="AT464" s="11" t="s">
        <v>98</v>
      </c>
      <c r="AU464" s="14" t="n">
        <f aca="false">IFERROR(P464/AR464,"")</f>
        <v>110656.428571429</v>
      </c>
      <c r="AV464" s="12" t="n">
        <v>2492507</v>
      </c>
      <c r="AW464" s="12" t="n">
        <v>1041103</v>
      </c>
      <c r="AX464" s="12" t="n">
        <v>508514</v>
      </c>
      <c r="AY464" s="16" t="n">
        <v>13597</v>
      </c>
      <c r="AZ464" s="13" t="n">
        <f aca="false">IFERROR(AY464/AY463-1,"")</f>
        <v>0.237778789258079</v>
      </c>
      <c r="BA464" s="17" t="n">
        <v>0.914</v>
      </c>
      <c r="BB464" s="11" t="s">
        <v>99</v>
      </c>
      <c r="BC464" s="11" t="s">
        <v>126</v>
      </c>
      <c r="BD464" s="11" t="s">
        <v>83</v>
      </c>
      <c r="BE464" s="12" t="n">
        <v>845741</v>
      </c>
      <c r="BF464" s="13" t="n">
        <f aca="false">IFERROR(P464/BE464-1,"")</f>
        <v>-0.0841226805842451</v>
      </c>
      <c r="BG464" s="17" t="n">
        <v>-0.009</v>
      </c>
      <c r="BH464" s="17" t="n">
        <v>0.09</v>
      </c>
      <c r="BI464" s="14" t="n">
        <f aca="false">P464*(1+IFERROR(Q464,0))^4</f>
        <v>2197152.81659912</v>
      </c>
      <c r="BJ464" s="12" t="n">
        <v>-1269409</v>
      </c>
      <c r="BK464" s="11" t="s">
        <v>84</v>
      </c>
      <c r="BL464" s="11" t="s">
        <v>128</v>
      </c>
      <c r="BM464" s="14" t="n">
        <f aca="false">O464</f>
        <v>18253444</v>
      </c>
      <c r="BN464" s="11" t="s">
        <v>500</v>
      </c>
      <c r="BO464" s="13" t="n">
        <f aca="false">IFERROR(1-L464/M464,"")</f>
        <v>0.156067377105535</v>
      </c>
      <c r="BP464" s="11" t="s">
        <v>87</v>
      </c>
      <c r="BQ464" s="12" t="n">
        <v>3284126</v>
      </c>
      <c r="BR464" s="11" t="s">
        <v>88</v>
      </c>
      <c r="BS464" s="11" t="s">
        <v>89</v>
      </c>
      <c r="BT464" s="19" t="str">
        <f aca="false">IF(OR(Z464&lt;6,AH464&lt;0.9,S464&lt;0.02,AK464&lt;1),"REVIEW",IF(AND(S464&gt;0.25,AH464&gt;1.2),"ACCELERATING","STABLE"))</f>
        <v>STABLE</v>
      </c>
    </row>
    <row r="465" customFormat="false" ht="15" hidden="false" customHeight="false" outlineLevel="0" collapsed="false">
      <c r="A465" s="11" t="s">
        <v>498</v>
      </c>
      <c r="B465" s="11" t="s">
        <v>93</v>
      </c>
      <c r="C465" s="11" t="s">
        <v>74</v>
      </c>
      <c r="D465" s="11" t="s">
        <v>132</v>
      </c>
      <c r="E465" s="11" t="s">
        <v>105</v>
      </c>
      <c r="F465" s="11" t="s">
        <v>499</v>
      </c>
      <c r="G465" s="11" t="s">
        <v>78</v>
      </c>
      <c r="H465" s="11" t="s">
        <v>79</v>
      </c>
      <c r="I465" s="11" t="s">
        <v>78</v>
      </c>
      <c r="J465" s="12" t="n">
        <v>3178000</v>
      </c>
      <c r="K465" s="13" t="n">
        <f aca="false">IFERROR(J465/M465,"")</f>
        <v>0.156067377105535</v>
      </c>
      <c r="L465" s="12" t="n">
        <v>17185000</v>
      </c>
      <c r="M465" s="14" t="n">
        <f aca="false">L465+J465</f>
        <v>20363000</v>
      </c>
      <c r="N465" s="12" t="n">
        <v>6495000</v>
      </c>
      <c r="O465" s="12" t="n">
        <v>18253444</v>
      </c>
      <c r="P465" s="12" t="n">
        <v>869184</v>
      </c>
      <c r="Q465" s="13" t="n">
        <f aca="false">IFERROR(P465/P464-1,"")</f>
        <v>0.122114137065176</v>
      </c>
      <c r="R465" s="12" t="n">
        <v>1030729</v>
      </c>
      <c r="S465" s="13" t="n">
        <f aca="false">IFERROR(R465/R464-1,"")</f>
        <v>0.137405085570579</v>
      </c>
      <c r="T465" s="12" t="n">
        <v>661075</v>
      </c>
      <c r="U465" s="13" t="n">
        <f aca="false">IFERROR(T465/P465,"")</f>
        <v>0.760569683749356</v>
      </c>
      <c r="V465" s="14" t="n">
        <f aca="false">T465-AV465</f>
        <v>-2289457</v>
      </c>
      <c r="W465" s="14" t="n">
        <f aca="false">V465-AA465*0.1</f>
        <v>-2289457</v>
      </c>
      <c r="X465" s="12" t="n">
        <v>4728000</v>
      </c>
      <c r="Y465" s="12" t="n">
        <v>197000</v>
      </c>
      <c r="Z465" s="15" t="n">
        <f aca="false">IFERROR(X465/Y465,"")</f>
        <v>24</v>
      </c>
      <c r="AA465" s="12" t="n">
        <v>0</v>
      </c>
      <c r="AB465" s="14" t="n">
        <f aca="false">W465-0.02*P465</f>
        <v>-2306840.68</v>
      </c>
      <c r="AC465" s="16" t="n">
        <v>29</v>
      </c>
      <c r="AD465" s="13" t="n">
        <f aca="false">IFERROR(AC465/AC464-1,"")</f>
        <v>0.0740740740740742</v>
      </c>
      <c r="AE465" s="17" t="n">
        <v>0.089</v>
      </c>
      <c r="AF465" s="17" t="n">
        <v>0.087</v>
      </c>
      <c r="AG465" s="13" t="n">
        <f aca="false">1-AF465</f>
        <v>0.913</v>
      </c>
      <c r="AH465" s="17" t="n">
        <v>1.04</v>
      </c>
      <c r="AI465" s="12" t="n">
        <v>23500</v>
      </c>
      <c r="AJ465" s="14" t="n">
        <f aca="false">IFERROR(AM465*U465*MIN(1/AE465,5),"")</f>
        <v>68527.328505817</v>
      </c>
      <c r="AK465" s="18" t="n">
        <f aca="false">IFERROR(AJ465/AI465,"")</f>
        <v>2.91605653216242</v>
      </c>
      <c r="AL465" s="15" t="n">
        <f aca="false">IFERROR(AI465/(AM465*U465/12),"")</f>
        <v>20.5757327878368</v>
      </c>
      <c r="AM465" s="12" t="n">
        <v>18020</v>
      </c>
      <c r="AN465" s="12" t="n">
        <v>1380534</v>
      </c>
      <c r="AO465" s="12" t="n">
        <v>1689014</v>
      </c>
      <c r="AP465" s="17" t="n">
        <v>0.266</v>
      </c>
      <c r="AQ465" s="16" t="n">
        <v>79</v>
      </c>
      <c r="AR465" s="16" t="n">
        <v>7</v>
      </c>
      <c r="AS465" s="13" t="n">
        <f aca="false">IFERROR(AR465/AR464-1,"")</f>
        <v>0</v>
      </c>
      <c r="AT465" s="11" t="s">
        <v>98</v>
      </c>
      <c r="AU465" s="14" t="n">
        <f aca="false">IFERROR(P465/AR465,"")</f>
        <v>124169.142857143</v>
      </c>
      <c r="AV465" s="12" t="n">
        <v>2950532</v>
      </c>
      <c r="AW465" s="12" t="n">
        <v>1374330</v>
      </c>
      <c r="AX465" s="12" t="n">
        <v>759520</v>
      </c>
      <c r="AY465" s="16" t="n">
        <v>15960</v>
      </c>
      <c r="AZ465" s="13" t="n">
        <f aca="false">IFERROR(AY465/AY464-1,"")</f>
        <v>0.173788335662278</v>
      </c>
      <c r="BA465" s="17" t="n">
        <v>0.909</v>
      </c>
      <c r="BB465" s="11" t="s">
        <v>99</v>
      </c>
      <c r="BC465" s="11" t="s">
        <v>126</v>
      </c>
      <c r="BD465" s="11" t="s">
        <v>83</v>
      </c>
      <c r="BE465" s="12" t="n">
        <v>993911</v>
      </c>
      <c r="BF465" s="13" t="n">
        <f aca="false">IFERROR(P465/BE465-1,"")</f>
        <v>-0.125491115401681</v>
      </c>
      <c r="BG465" s="17" t="n">
        <v>0.082</v>
      </c>
      <c r="BH465" s="17" t="n">
        <v>-0.039</v>
      </c>
      <c r="BI465" s="14" t="n">
        <f aca="false">P465*(1+IFERROR(Q465,0))^4</f>
        <v>1378033.76468377</v>
      </c>
      <c r="BJ465" s="12" t="n">
        <v>-1443678</v>
      </c>
      <c r="BK465" s="11" t="s">
        <v>84</v>
      </c>
      <c r="BL465" s="11" t="s">
        <v>128</v>
      </c>
      <c r="BM465" s="14" t="n">
        <f aca="false">O465</f>
        <v>18253444</v>
      </c>
      <c r="BN465" s="11" t="s">
        <v>500</v>
      </c>
      <c r="BO465" s="13" t="n">
        <f aca="false">IFERROR(1-L465/M465,"")</f>
        <v>0.156067377105535</v>
      </c>
      <c r="BP465" s="11" t="s">
        <v>87</v>
      </c>
      <c r="BQ465" s="12" t="n">
        <v>2730620</v>
      </c>
      <c r="BR465" s="11" t="s">
        <v>88</v>
      </c>
      <c r="BS465" s="11" t="s">
        <v>89</v>
      </c>
      <c r="BT465" s="19" t="str">
        <f aca="false">IF(OR(Z465&lt;6,AH465&lt;0.9,S465&lt;0.02,AK465&lt;1),"REVIEW",IF(AND(S465&gt;0.25,AH465&gt;1.2),"ACCELERATING","STABLE"))</f>
        <v>STABLE</v>
      </c>
    </row>
    <row r="466" customFormat="false" ht="15" hidden="false" customHeight="false" outlineLevel="0" collapsed="false">
      <c r="A466" s="3" t="s">
        <v>501</v>
      </c>
      <c r="B466" s="3" t="s">
        <v>73</v>
      </c>
      <c r="C466" s="3" t="s">
        <v>74</v>
      </c>
      <c r="D466" s="3" t="s">
        <v>115</v>
      </c>
      <c r="E466" s="3" t="s">
        <v>105</v>
      </c>
      <c r="F466" s="3" t="s">
        <v>502</v>
      </c>
      <c r="G466" s="3" t="s">
        <v>78</v>
      </c>
      <c r="H466" s="3" t="s">
        <v>79</v>
      </c>
      <c r="I466" s="3" t="s">
        <v>78</v>
      </c>
      <c r="J466" s="4" t="n">
        <v>3379000</v>
      </c>
      <c r="K466" s="5" t="n">
        <f aca="false">IFERROR(J466/M466,"")</f>
        <v>0.117269382938849</v>
      </c>
      <c r="L466" s="4" t="n">
        <v>25435000</v>
      </c>
      <c r="M466" s="6" t="n">
        <f aca="false">L466+J466</f>
        <v>28814000</v>
      </c>
      <c r="N466" s="4" t="n">
        <v>7984000</v>
      </c>
      <c r="O466" s="4" t="n">
        <v>57269968</v>
      </c>
      <c r="P466" s="4" t="n">
        <v>624661</v>
      </c>
      <c r="Q466" s="7"/>
      <c r="R466" s="4" t="n">
        <v>707856</v>
      </c>
      <c r="S466" s="7"/>
      <c r="T466" s="4" t="n">
        <v>457079</v>
      </c>
      <c r="U466" s="5" t="n">
        <f aca="false">IFERROR(T466/P466,"")</f>
        <v>0.731723286710712</v>
      </c>
      <c r="V466" s="6" t="n">
        <f aca="false">T466-AV466</f>
        <v>-1218174</v>
      </c>
      <c r="W466" s="6" t="n">
        <f aca="false">V466-AA466*0.1</f>
        <v>-1218174</v>
      </c>
      <c r="X466" s="4" t="n">
        <v>4611537</v>
      </c>
      <c r="Y466" s="4" t="n">
        <v>133770</v>
      </c>
      <c r="Z466" s="8" t="n">
        <f aca="false">IFERROR(X466/Y466,"")</f>
        <v>34.4736263736264</v>
      </c>
      <c r="AA466" s="4" t="n">
        <v>0</v>
      </c>
      <c r="AB466" s="6" t="n">
        <f aca="false">W466-0.02*P466</f>
        <v>-1230667.22</v>
      </c>
      <c r="AC466" s="9" t="n">
        <v>13</v>
      </c>
      <c r="AD466" s="7"/>
      <c r="AE466" s="7" t="n">
        <v>0.111</v>
      </c>
      <c r="AF466" s="7" t="n">
        <v>0.092</v>
      </c>
      <c r="AG466" s="5" t="n">
        <f aca="false">1-AF466</f>
        <v>0.908</v>
      </c>
      <c r="AH466" s="7" t="n">
        <v>1.102</v>
      </c>
      <c r="AI466" s="4" t="n">
        <v>55862</v>
      </c>
      <c r="AJ466" s="6" t="n">
        <f aca="false">IFERROR(AM466*U466*MIN(1/AE466,5),"")</f>
        <v>142686.040908589</v>
      </c>
      <c r="AK466" s="10" t="n">
        <f aca="false">IFERROR(AJ466/AI466,"")</f>
        <v>2.55425944127652</v>
      </c>
      <c r="AL466" s="8" t="n">
        <f aca="false">IFERROR(AI466/(AM466*U466/12),"")</f>
        <v>23.4901745024047</v>
      </c>
      <c r="AM466" s="4" t="n">
        <v>39000</v>
      </c>
      <c r="AN466" s="4" t="n">
        <v>889385</v>
      </c>
      <c r="AO466" s="4" t="n">
        <v>2544440</v>
      </c>
      <c r="AP466" s="7" t="n">
        <v>0.375</v>
      </c>
      <c r="AQ466" s="9" t="n">
        <v>89</v>
      </c>
      <c r="AR466" s="9" t="n">
        <v>1</v>
      </c>
      <c r="AS466" s="7"/>
      <c r="AT466" s="3" t="s">
        <v>80</v>
      </c>
      <c r="AU466" s="6" t="n">
        <f aca="false">IFERROR(P466/AR466,"")</f>
        <v>624661</v>
      </c>
      <c r="AV466" s="4" t="n">
        <v>1675253</v>
      </c>
      <c r="AW466" s="4" t="n">
        <v>807682</v>
      </c>
      <c r="AX466" s="4" t="n">
        <v>353440</v>
      </c>
      <c r="AY466" s="9" t="n">
        <v>16860</v>
      </c>
      <c r="AZ466" s="7"/>
      <c r="BA466" s="7" t="n">
        <v>0.903</v>
      </c>
      <c r="BB466" s="3" t="s">
        <v>81</v>
      </c>
      <c r="BC466" s="3" t="s">
        <v>126</v>
      </c>
      <c r="BD466" s="3" t="s">
        <v>109</v>
      </c>
      <c r="BE466" s="4" t="n">
        <v>655741</v>
      </c>
      <c r="BF466" s="5" t="n">
        <f aca="false">IFERROR(P466/BE466-1,"")</f>
        <v>-0.0473967618312718</v>
      </c>
      <c r="BG466" s="7" t="n">
        <v>-0.04</v>
      </c>
      <c r="BH466" s="7" t="n">
        <v>0.036</v>
      </c>
      <c r="BI466" s="6" t="n">
        <f aca="false">P466</f>
        <v>624661</v>
      </c>
      <c r="BJ466" s="4" t="n">
        <v>-907547</v>
      </c>
      <c r="BK466" s="3" t="s">
        <v>110</v>
      </c>
      <c r="BL466" s="3" t="s">
        <v>85</v>
      </c>
      <c r="BM466" s="6" t="n">
        <f aca="false">O466</f>
        <v>57269968</v>
      </c>
      <c r="BN466" s="3" t="s">
        <v>503</v>
      </c>
      <c r="BO466" s="5" t="n">
        <f aca="false">IFERROR(1-L466/M466,"")</f>
        <v>0.117269382938849</v>
      </c>
      <c r="BP466" s="3" t="s">
        <v>113</v>
      </c>
      <c r="BQ466" s="4" t="n">
        <v>1961723</v>
      </c>
      <c r="BR466" s="3" t="s">
        <v>88</v>
      </c>
      <c r="BS466" s="3" t="s">
        <v>89</v>
      </c>
      <c r="BT466" s="3" t="s">
        <v>90</v>
      </c>
    </row>
    <row r="467" customFormat="false" ht="15" hidden="false" customHeight="false" outlineLevel="0" collapsed="false">
      <c r="A467" s="11" t="s">
        <v>501</v>
      </c>
      <c r="B467" s="11" t="s">
        <v>91</v>
      </c>
      <c r="C467" s="11" t="s">
        <v>74</v>
      </c>
      <c r="D467" s="11" t="s">
        <v>115</v>
      </c>
      <c r="E467" s="11" t="s">
        <v>105</v>
      </c>
      <c r="F467" s="11" t="s">
        <v>502</v>
      </c>
      <c r="G467" s="11" t="s">
        <v>78</v>
      </c>
      <c r="H467" s="11" t="s">
        <v>79</v>
      </c>
      <c r="I467" s="11" t="s">
        <v>78</v>
      </c>
      <c r="J467" s="12" t="n">
        <v>3379000</v>
      </c>
      <c r="K467" s="13" t="n">
        <f aca="false">IFERROR(J467/M467,"")</f>
        <v>0.117269382938849</v>
      </c>
      <c r="L467" s="12" t="n">
        <v>25435000</v>
      </c>
      <c r="M467" s="14" t="n">
        <f aca="false">L467+J467</f>
        <v>28814000</v>
      </c>
      <c r="N467" s="12" t="n">
        <v>7984000</v>
      </c>
      <c r="O467" s="12" t="n">
        <v>57269968</v>
      </c>
      <c r="P467" s="12" t="n">
        <v>714950</v>
      </c>
      <c r="Q467" s="13" t="n">
        <f aca="false">IFERROR(P467/P466-1,"")</f>
        <v>0.144540798929339</v>
      </c>
      <c r="R467" s="12" t="n">
        <v>849804</v>
      </c>
      <c r="S467" s="13" t="n">
        <f aca="false">IFERROR(R467/R466-1,"")</f>
        <v>0.200532311656608</v>
      </c>
      <c r="T467" s="12" t="n">
        <v>525264</v>
      </c>
      <c r="U467" s="13" t="n">
        <f aca="false">IFERROR(T467/P467,"")</f>
        <v>0.734686341702217</v>
      </c>
      <c r="V467" s="14" t="n">
        <f aca="false">T467-AV467</f>
        <v>-1427184</v>
      </c>
      <c r="W467" s="14" t="n">
        <f aca="false">V467-AA467*0.1</f>
        <v>-1427184</v>
      </c>
      <c r="X467" s="12" t="n">
        <v>4274172</v>
      </c>
      <c r="Y467" s="12" t="n">
        <v>138180</v>
      </c>
      <c r="Z467" s="15" t="n">
        <f aca="false">IFERROR(X467/Y467,"")</f>
        <v>30.931914893617</v>
      </c>
      <c r="AA467" s="12" t="n">
        <v>0</v>
      </c>
      <c r="AB467" s="14" t="n">
        <f aca="false">W467-0.02*P467</f>
        <v>-1441483</v>
      </c>
      <c r="AC467" s="16" t="n">
        <v>15</v>
      </c>
      <c r="AD467" s="13" t="n">
        <f aca="false">IFERROR(AC467/AC466-1,"")</f>
        <v>0.153846153846154</v>
      </c>
      <c r="AE467" s="17" t="n">
        <v>0.108</v>
      </c>
      <c r="AF467" s="17" t="n">
        <v>0.067</v>
      </c>
      <c r="AG467" s="13" t="n">
        <f aca="false">1-AF467</f>
        <v>0.933</v>
      </c>
      <c r="AH467" s="17" t="n">
        <v>1.097</v>
      </c>
      <c r="AI467" s="12" t="n">
        <v>54808</v>
      </c>
      <c r="AJ467" s="14" t="n">
        <f aca="false">IFERROR(AM467*U467*MIN(1/AE467,5),"")</f>
        <v>146129.113364571</v>
      </c>
      <c r="AK467" s="18" t="n">
        <f aca="false">IFERROR(AJ467/AI467,"")</f>
        <v>2.66620043359676</v>
      </c>
      <c r="AL467" s="15" t="n">
        <f aca="false">IFERROR(AI467/(AM467*U467/12),"")</f>
        <v>22.5039345294303</v>
      </c>
      <c r="AM467" s="12" t="n">
        <v>39780</v>
      </c>
      <c r="AN467" s="12" t="n">
        <v>1221877</v>
      </c>
      <c r="AO467" s="12" t="n">
        <v>3387428</v>
      </c>
      <c r="AP467" s="17" t="n">
        <v>0.375</v>
      </c>
      <c r="AQ467" s="16" t="n">
        <v>89</v>
      </c>
      <c r="AR467" s="16" t="n">
        <v>2</v>
      </c>
      <c r="AS467" s="13" t="n">
        <f aca="false">IFERROR(AR467/AR466-1,"")</f>
        <v>1</v>
      </c>
      <c r="AT467" s="11" t="s">
        <v>80</v>
      </c>
      <c r="AU467" s="14" t="n">
        <f aca="false">IFERROR(P467/AR467,"")</f>
        <v>357475</v>
      </c>
      <c r="AV467" s="12" t="n">
        <v>1952448</v>
      </c>
      <c r="AW467" s="12" t="n">
        <v>700440</v>
      </c>
      <c r="AX467" s="12" t="n">
        <v>513225</v>
      </c>
      <c r="AY467" s="16" t="n">
        <v>19785</v>
      </c>
      <c r="AZ467" s="13" t="n">
        <f aca="false">IFERROR(AY467/AY466-1,"")</f>
        <v>0.173487544483986</v>
      </c>
      <c r="BA467" s="17" t="n">
        <v>0.892</v>
      </c>
      <c r="BB467" s="11" t="s">
        <v>81</v>
      </c>
      <c r="BC467" s="11" t="s">
        <v>126</v>
      </c>
      <c r="BD467" s="11" t="s">
        <v>109</v>
      </c>
      <c r="BE467" s="12" t="n">
        <v>765658</v>
      </c>
      <c r="BF467" s="13" t="n">
        <f aca="false">IFERROR(P467/BE467-1,"")</f>
        <v>-0.0662280025807868</v>
      </c>
      <c r="BG467" s="17" t="n">
        <v>-0.005</v>
      </c>
      <c r="BH467" s="17" t="n">
        <v>-0.079</v>
      </c>
      <c r="BI467" s="14" t="n">
        <f aca="false">P467*(1+IFERROR(Q467,0))^4</f>
        <v>1226876.31953706</v>
      </c>
      <c r="BJ467" s="12" t="n">
        <v>-1386989</v>
      </c>
      <c r="BK467" s="11" t="s">
        <v>110</v>
      </c>
      <c r="BL467" s="11" t="s">
        <v>85</v>
      </c>
      <c r="BM467" s="14" t="n">
        <f aca="false">O467</f>
        <v>57269968</v>
      </c>
      <c r="BN467" s="11" t="s">
        <v>503</v>
      </c>
      <c r="BO467" s="13" t="n">
        <f aca="false">IFERROR(1-L467/M467,"")</f>
        <v>0.117269382938849</v>
      </c>
      <c r="BP467" s="11" t="s">
        <v>113</v>
      </c>
      <c r="BQ467" s="12" t="n">
        <v>2468774</v>
      </c>
      <c r="BR467" s="11" t="s">
        <v>88</v>
      </c>
      <c r="BS467" s="11" t="s">
        <v>89</v>
      </c>
      <c r="BT467" s="19" t="str">
        <f aca="false">IF(OR(Z467&lt;6,AH467&lt;0.9,S467&lt;0.02,AK467&lt;1),"REVIEW",IF(AND(S467&gt;0.25,AH467&gt;1.2),"ACCELERATING","STABLE"))</f>
        <v>STABLE</v>
      </c>
    </row>
    <row r="468" customFormat="false" ht="15" hidden="false" customHeight="false" outlineLevel="0" collapsed="false">
      <c r="A468" s="11" t="s">
        <v>501</v>
      </c>
      <c r="B468" s="11" t="s">
        <v>92</v>
      </c>
      <c r="C468" s="11" t="s">
        <v>74</v>
      </c>
      <c r="D468" s="11" t="s">
        <v>115</v>
      </c>
      <c r="E468" s="11" t="s">
        <v>105</v>
      </c>
      <c r="F468" s="11" t="s">
        <v>502</v>
      </c>
      <c r="G468" s="11" t="s">
        <v>78</v>
      </c>
      <c r="H468" s="11" t="s">
        <v>79</v>
      </c>
      <c r="I468" s="11" t="s">
        <v>78</v>
      </c>
      <c r="J468" s="12" t="n">
        <v>3379000</v>
      </c>
      <c r="K468" s="13" t="n">
        <f aca="false">IFERROR(J468/M468,"")</f>
        <v>0.117269382938849</v>
      </c>
      <c r="L468" s="12" t="n">
        <v>25435000</v>
      </c>
      <c r="M468" s="14" t="n">
        <f aca="false">L468+J468</f>
        <v>28814000</v>
      </c>
      <c r="N468" s="12" t="n">
        <v>7984000</v>
      </c>
      <c r="O468" s="12" t="n">
        <v>57269968</v>
      </c>
      <c r="P468" s="12" t="n">
        <v>916527</v>
      </c>
      <c r="Q468" s="13" t="n">
        <f aca="false">IFERROR(P468/P467-1,"")</f>
        <v>0.281945590600741</v>
      </c>
      <c r="R468" s="12" t="n">
        <v>1069448</v>
      </c>
      <c r="S468" s="13" t="n">
        <f aca="false">IFERROR(R468/R467-1,"")</f>
        <v>0.258464304710263</v>
      </c>
      <c r="T468" s="12" t="n">
        <v>676075</v>
      </c>
      <c r="U468" s="13" t="n">
        <f aca="false">IFERROR(T468/P468,"")</f>
        <v>0.737648754482956</v>
      </c>
      <c r="V468" s="14" t="n">
        <f aca="false">T468-AV468</f>
        <v>-1849137</v>
      </c>
      <c r="W468" s="14" t="n">
        <f aca="false">V468-AA468*0.1</f>
        <v>-1849137</v>
      </c>
      <c r="X468" s="12" t="n">
        <v>3912993</v>
      </c>
      <c r="Y468" s="12" t="n">
        <v>142590</v>
      </c>
      <c r="Z468" s="15" t="n">
        <f aca="false">IFERROR(X468/Y468,"")</f>
        <v>27.4422680412371</v>
      </c>
      <c r="AA468" s="12" t="n">
        <v>0</v>
      </c>
      <c r="AB468" s="14" t="n">
        <f aca="false">W468-0.02*P468</f>
        <v>-1867467.54</v>
      </c>
      <c r="AC468" s="16" t="n">
        <v>17</v>
      </c>
      <c r="AD468" s="13" t="n">
        <f aca="false">IFERROR(AC468/AC467-1,"")</f>
        <v>0.133333333333333</v>
      </c>
      <c r="AE468" s="17" t="n">
        <v>0.105</v>
      </c>
      <c r="AF468" s="17" t="n">
        <v>0.069</v>
      </c>
      <c r="AG468" s="13" t="n">
        <f aca="false">1-AF468</f>
        <v>0.931</v>
      </c>
      <c r="AH468" s="17" t="n">
        <v>1.092</v>
      </c>
      <c r="AI468" s="12" t="n">
        <v>53754</v>
      </c>
      <c r="AJ468" s="14" t="n">
        <f aca="false">IFERROR(AM468*U468*MIN(1/AE468,5),"")</f>
        <v>149595.167409143</v>
      </c>
      <c r="AK468" s="18" t="n">
        <f aca="false">IFERROR(AJ468/AI468,"")</f>
        <v>2.78295880137559</v>
      </c>
      <c r="AL468" s="15" t="n">
        <f aca="false">IFERROR(AI468/(AM468*U468/12),"")</f>
        <v>21.5597873638455</v>
      </c>
      <c r="AM468" s="12" t="n">
        <v>40560</v>
      </c>
      <c r="AN468" s="12" t="n">
        <v>1266314</v>
      </c>
      <c r="AO468" s="12" t="n">
        <v>4072831</v>
      </c>
      <c r="AP468" s="17" t="n">
        <v>0.375</v>
      </c>
      <c r="AQ468" s="16" t="n">
        <v>89</v>
      </c>
      <c r="AR468" s="16" t="n">
        <v>2</v>
      </c>
      <c r="AS468" s="13" t="n">
        <f aca="false">IFERROR(AR468/AR467-1,"")</f>
        <v>0</v>
      </c>
      <c r="AT468" s="11" t="s">
        <v>80</v>
      </c>
      <c r="AU468" s="14" t="n">
        <f aca="false">IFERROR(P468/AR468,"")</f>
        <v>458263.5</v>
      </c>
      <c r="AV468" s="12" t="n">
        <v>2525212</v>
      </c>
      <c r="AW468" s="12" t="n">
        <v>1065405</v>
      </c>
      <c r="AX468" s="12" t="n">
        <v>815387</v>
      </c>
      <c r="AY468" s="16" t="n">
        <v>22475</v>
      </c>
      <c r="AZ468" s="13" t="n">
        <f aca="false">IFERROR(AY468/AY467-1,"")</f>
        <v>0.135961587060905</v>
      </c>
      <c r="BA468" s="17" t="n">
        <v>0.888</v>
      </c>
      <c r="BB468" s="11" t="s">
        <v>81</v>
      </c>
      <c r="BC468" s="11" t="s">
        <v>126</v>
      </c>
      <c r="BD468" s="11" t="s">
        <v>109</v>
      </c>
      <c r="BE468" s="12" t="n">
        <v>1076968</v>
      </c>
      <c r="BF468" s="13" t="n">
        <f aca="false">IFERROR(P468/BE468-1,"")</f>
        <v>-0.148974714197636</v>
      </c>
      <c r="BG468" s="17" t="n">
        <v>0.04</v>
      </c>
      <c r="BH468" s="17" t="n">
        <v>0.091</v>
      </c>
      <c r="BI468" s="14" t="n">
        <f aca="false">P468*(1+IFERROR(Q468,0))^4</f>
        <v>2475276.02248974</v>
      </c>
      <c r="BJ468" s="12" t="n">
        <v>-1171851</v>
      </c>
      <c r="BK468" s="11" t="s">
        <v>110</v>
      </c>
      <c r="BL468" s="11" t="s">
        <v>85</v>
      </c>
      <c r="BM468" s="14" t="n">
        <f aca="false">O468</f>
        <v>57269968</v>
      </c>
      <c r="BN468" s="11" t="s">
        <v>503</v>
      </c>
      <c r="BO468" s="13" t="n">
        <f aca="false">IFERROR(1-L468/M468,"")</f>
        <v>0.117269382938849</v>
      </c>
      <c r="BP468" s="11" t="s">
        <v>113</v>
      </c>
      <c r="BQ468" s="12" t="n">
        <v>2015752</v>
      </c>
      <c r="BR468" s="11" t="s">
        <v>88</v>
      </c>
      <c r="BS468" s="11" t="s">
        <v>89</v>
      </c>
      <c r="BT468" s="19" t="str">
        <f aca="false">IF(OR(Z468&lt;6,AH468&lt;0.9,S468&lt;0.02,AK468&lt;1),"REVIEW",IF(AND(S468&gt;0.25,AH468&gt;1.2),"ACCELERATING","STABLE"))</f>
        <v>STABLE</v>
      </c>
    </row>
    <row r="469" customFormat="false" ht="15" hidden="false" customHeight="false" outlineLevel="0" collapsed="false">
      <c r="A469" s="11" t="s">
        <v>501</v>
      </c>
      <c r="B469" s="11" t="s">
        <v>93</v>
      </c>
      <c r="C469" s="11" t="s">
        <v>74</v>
      </c>
      <c r="D469" s="11" t="s">
        <v>115</v>
      </c>
      <c r="E469" s="11" t="s">
        <v>105</v>
      </c>
      <c r="F469" s="11" t="s">
        <v>502</v>
      </c>
      <c r="G469" s="11" t="s">
        <v>78</v>
      </c>
      <c r="H469" s="11" t="s">
        <v>79</v>
      </c>
      <c r="I469" s="11" t="s">
        <v>78</v>
      </c>
      <c r="J469" s="12" t="n">
        <v>3379000</v>
      </c>
      <c r="K469" s="13" t="n">
        <f aca="false">IFERROR(J469/M469,"")</f>
        <v>0.117269382938849</v>
      </c>
      <c r="L469" s="12" t="n">
        <v>25435000</v>
      </c>
      <c r="M469" s="14" t="n">
        <f aca="false">L469+J469</f>
        <v>28814000</v>
      </c>
      <c r="N469" s="12" t="n">
        <v>7984000</v>
      </c>
      <c r="O469" s="12" t="n">
        <v>57269968</v>
      </c>
      <c r="P469" s="12" t="n">
        <v>1012509</v>
      </c>
      <c r="Q469" s="13" t="n">
        <f aca="false">IFERROR(P469/P468-1,"")</f>
        <v>0.104723592430992</v>
      </c>
      <c r="R469" s="12" t="n">
        <v>1181869</v>
      </c>
      <c r="S469" s="13" t="n">
        <f aca="false">IFERROR(R469/R468-1,"")</f>
        <v>0.105120585573118</v>
      </c>
      <c r="T469" s="12" t="n">
        <v>749876</v>
      </c>
      <c r="U469" s="13" t="n">
        <f aca="false">IFERROR(T469/P469,"")</f>
        <v>0.74061168838993</v>
      </c>
      <c r="V469" s="14" t="n">
        <f aca="false">T469-AV469</f>
        <v>-1538501</v>
      </c>
      <c r="W469" s="14" t="n">
        <f aca="false">V469-AA469*0.1</f>
        <v>-1538501</v>
      </c>
      <c r="X469" s="12" t="n">
        <v>3528000</v>
      </c>
      <c r="Y469" s="12" t="n">
        <v>147000</v>
      </c>
      <c r="Z469" s="15" t="n">
        <f aca="false">IFERROR(X469/Y469,"")</f>
        <v>24</v>
      </c>
      <c r="AA469" s="12" t="n">
        <v>0</v>
      </c>
      <c r="AB469" s="14" t="n">
        <f aca="false">W469-0.02*P469</f>
        <v>-1558751.18</v>
      </c>
      <c r="AC469" s="16" t="n">
        <v>20</v>
      </c>
      <c r="AD469" s="13" t="n">
        <f aca="false">IFERROR(AC469/AC468-1,"")</f>
        <v>0.176470588235294</v>
      </c>
      <c r="AE469" s="17" t="n">
        <v>0.102</v>
      </c>
      <c r="AF469" s="17" t="n">
        <v>0.107</v>
      </c>
      <c r="AG469" s="13" t="n">
        <f aca="false">1-AF469</f>
        <v>0.893</v>
      </c>
      <c r="AH469" s="17" t="n">
        <v>1.087</v>
      </c>
      <c r="AI469" s="12" t="n">
        <v>52700</v>
      </c>
      <c r="AJ469" s="14" t="n">
        <f aca="false">IFERROR(AM469*U469*MIN(1/AE469,5),"")</f>
        <v>153084.435990199</v>
      </c>
      <c r="AK469" s="18" t="n">
        <f aca="false">IFERROR(AJ469/AI469,"")</f>
        <v>2.90482800740415</v>
      </c>
      <c r="AL469" s="15" t="n">
        <f aca="false">IFERROR(AI469/(AM469*U469/12),"")</f>
        <v>20.6552676602764</v>
      </c>
      <c r="AM469" s="12" t="n">
        <v>41340</v>
      </c>
      <c r="AN469" s="12" t="n">
        <v>1556248</v>
      </c>
      <c r="AO469" s="12" t="n">
        <v>2027316</v>
      </c>
      <c r="AP469" s="17" t="n">
        <v>0.375</v>
      </c>
      <c r="AQ469" s="16" t="n">
        <v>89</v>
      </c>
      <c r="AR469" s="16" t="n">
        <v>2</v>
      </c>
      <c r="AS469" s="13" t="n">
        <f aca="false">IFERROR(AR469/AR468-1,"")</f>
        <v>0</v>
      </c>
      <c r="AT469" s="11" t="s">
        <v>80</v>
      </c>
      <c r="AU469" s="14" t="n">
        <f aca="false">IFERROR(P469/AR469,"")</f>
        <v>506254.5</v>
      </c>
      <c r="AV469" s="12" t="n">
        <v>2288377</v>
      </c>
      <c r="AW469" s="12" t="n">
        <v>798027</v>
      </c>
      <c r="AX469" s="12" t="n">
        <v>558622</v>
      </c>
      <c r="AY469" s="16" t="n">
        <v>25936</v>
      </c>
      <c r="AZ469" s="13" t="n">
        <f aca="false">IFERROR(AY469/AY468-1,"")</f>
        <v>0.153993325917686</v>
      </c>
      <c r="BA469" s="17" t="n">
        <v>0.902</v>
      </c>
      <c r="BB469" s="11" t="s">
        <v>81</v>
      </c>
      <c r="BC469" s="11" t="s">
        <v>126</v>
      </c>
      <c r="BD469" s="11" t="s">
        <v>109</v>
      </c>
      <c r="BE469" s="12" t="n">
        <v>1013800</v>
      </c>
      <c r="BF469" s="13" t="n">
        <f aca="false">IFERROR(P469/BE469-1,"")</f>
        <v>-0.00127342671138286</v>
      </c>
      <c r="BG469" s="17" t="n">
        <v>0.068</v>
      </c>
      <c r="BH469" s="17" t="n">
        <v>0.048</v>
      </c>
      <c r="BI469" s="14" t="n">
        <f aca="false">P469*(1+IFERROR(Q469,0))^4</f>
        <v>1508041.89823875</v>
      </c>
      <c r="BJ469" s="12" t="n">
        <v>-1078084</v>
      </c>
      <c r="BK469" s="11" t="s">
        <v>110</v>
      </c>
      <c r="BL469" s="11" t="s">
        <v>85</v>
      </c>
      <c r="BM469" s="14" t="n">
        <f aca="false">O469</f>
        <v>57269968</v>
      </c>
      <c r="BN469" s="11" t="s">
        <v>503</v>
      </c>
      <c r="BO469" s="13" t="n">
        <f aca="false">IFERROR(1-L469/M469,"")</f>
        <v>0.117269382938849</v>
      </c>
      <c r="BP469" s="11" t="s">
        <v>113</v>
      </c>
      <c r="BQ469" s="12" t="n">
        <v>2748982</v>
      </c>
      <c r="BR469" s="11" t="s">
        <v>88</v>
      </c>
      <c r="BS469" s="11" t="s">
        <v>89</v>
      </c>
      <c r="BT469" s="19" t="str">
        <f aca="false">IF(OR(Z469&lt;6,AH469&lt;0.9,S469&lt;0.02,AK469&lt;1),"REVIEW",IF(AND(S469&gt;0.25,AH469&gt;1.2),"ACCELERATING","STABLE"))</f>
        <v>STABLE</v>
      </c>
    </row>
    <row r="470" customFormat="false" ht="15" hidden="false" customHeight="false" outlineLevel="0" collapsed="false">
      <c r="A470" s="3" t="s">
        <v>504</v>
      </c>
      <c r="B470" s="3" t="s">
        <v>73</v>
      </c>
      <c r="C470" s="3" t="s">
        <v>74</v>
      </c>
      <c r="D470" s="3" t="s">
        <v>75</v>
      </c>
      <c r="E470" s="3" t="s">
        <v>187</v>
      </c>
      <c r="F470" s="3" t="s">
        <v>505</v>
      </c>
      <c r="G470" s="3" t="s">
        <v>78</v>
      </c>
      <c r="H470" s="3" t="s">
        <v>79</v>
      </c>
      <c r="I470" s="3" t="s">
        <v>78</v>
      </c>
      <c r="J470" s="4" t="n">
        <v>2564000</v>
      </c>
      <c r="K470" s="5" t="n">
        <f aca="false">IFERROR(J470/M470,"")</f>
        <v>0.192637114951165</v>
      </c>
      <c r="L470" s="4" t="n">
        <v>10746000</v>
      </c>
      <c r="M470" s="6" t="n">
        <f aca="false">L470+J470</f>
        <v>13310000</v>
      </c>
      <c r="N470" s="4" t="n">
        <v>7743000</v>
      </c>
      <c r="O470" s="4" t="n">
        <v>11778182</v>
      </c>
      <c r="P470" s="4" t="n">
        <v>228773</v>
      </c>
      <c r="Q470" s="7"/>
      <c r="R470" s="4" t="n">
        <v>261483</v>
      </c>
      <c r="S470" s="7"/>
      <c r="T470" s="4" t="n">
        <v>190570</v>
      </c>
      <c r="U470" s="5" t="n">
        <f aca="false">IFERROR(T470/P470,"")</f>
        <v>0.833009140064606</v>
      </c>
      <c r="V470" s="6" t="n">
        <f aca="false">T470-AV470</f>
        <v>-1737181</v>
      </c>
      <c r="W470" s="6" t="n">
        <f aca="false">V470-AA470*0.1</f>
        <v>-1737181</v>
      </c>
      <c r="X470" s="4" t="n">
        <v>3369263</v>
      </c>
      <c r="Y470" s="4" t="n">
        <v>146510</v>
      </c>
      <c r="Z470" s="8" t="n">
        <f aca="false">IFERROR(X470/Y470,"")</f>
        <v>22.9968125042659</v>
      </c>
      <c r="AA470" s="4" t="n">
        <v>0</v>
      </c>
      <c r="AB470" s="6" t="n">
        <f aca="false">W470-0.02*P470</f>
        <v>-1741756.46</v>
      </c>
      <c r="AC470" s="9" t="n">
        <v>17</v>
      </c>
      <c r="AD470" s="7"/>
      <c r="AE470" s="7" t="n">
        <v>0.102</v>
      </c>
      <c r="AF470" s="7" t="n">
        <v>0.094</v>
      </c>
      <c r="AG470" s="5" t="n">
        <f aca="false">1-AF470</f>
        <v>0.906</v>
      </c>
      <c r="AH470" s="7" t="n">
        <v>1.036</v>
      </c>
      <c r="AI470" s="4" t="n">
        <v>70066</v>
      </c>
      <c r="AJ470" s="6" t="n">
        <f aca="false">IFERROR(AM470*U470*MIN(1/AE470,5),"")</f>
        <v>224912.467817444</v>
      </c>
      <c r="AK470" s="10" t="n">
        <f aca="false">IFERROR(AJ470/AI470,"")</f>
        <v>3.21000867492712</v>
      </c>
      <c r="AL470" s="8" t="n">
        <f aca="false">IFERROR(AI470/(AM470*U470/12),"")</f>
        <v>18.6915382717345</v>
      </c>
      <c r="AM470" s="4" t="n">
        <v>54000</v>
      </c>
      <c r="AN470" s="4" t="n">
        <v>271461</v>
      </c>
      <c r="AO470" s="4" t="n">
        <v>737060</v>
      </c>
      <c r="AP470" s="7" t="n">
        <v>0.349</v>
      </c>
      <c r="AQ470" s="9" t="n">
        <v>34</v>
      </c>
      <c r="AR470" s="9" t="n">
        <v>2</v>
      </c>
      <c r="AS470" s="7"/>
      <c r="AT470" s="3" t="s">
        <v>218</v>
      </c>
      <c r="AU470" s="6" t="n">
        <f aca="false">IFERROR(P470/AR470,"")</f>
        <v>114386.5</v>
      </c>
      <c r="AV470" s="4" t="n">
        <v>1927751</v>
      </c>
      <c r="AW470" s="4" t="n">
        <v>953798</v>
      </c>
      <c r="AX470" s="4" t="n">
        <v>500305</v>
      </c>
      <c r="AY470" s="9" t="n">
        <v>19583</v>
      </c>
      <c r="AZ470" s="7"/>
      <c r="BA470" s="7" t="n">
        <v>0.926</v>
      </c>
      <c r="BB470" s="3" t="s">
        <v>161</v>
      </c>
      <c r="BC470" s="3" t="s">
        <v>100</v>
      </c>
      <c r="BD470" s="3" t="s">
        <v>109</v>
      </c>
      <c r="BE470" s="4" t="n">
        <v>217097</v>
      </c>
      <c r="BF470" s="5" t="n">
        <f aca="false">IFERROR(P470/BE470-1,"")</f>
        <v>0.0537824106275076</v>
      </c>
      <c r="BG470" s="7" t="n">
        <v>-0.009</v>
      </c>
      <c r="BH470" s="7" t="n">
        <v>-0.073</v>
      </c>
      <c r="BI470" s="6" t="n">
        <f aca="false">P470</f>
        <v>228773</v>
      </c>
      <c r="BJ470" s="4" t="n">
        <v>-1555649</v>
      </c>
      <c r="BK470" s="3" t="s">
        <v>192</v>
      </c>
      <c r="BL470" s="3" t="s">
        <v>162</v>
      </c>
      <c r="BM470" s="6" t="n">
        <f aca="false">O470</f>
        <v>11778182</v>
      </c>
      <c r="BN470" s="3" t="s">
        <v>506</v>
      </c>
      <c r="BO470" s="5" t="n">
        <f aca="false">IFERROR(1-L470/M470,"")</f>
        <v>0.192637114951165</v>
      </c>
      <c r="BP470" s="3" t="s">
        <v>142</v>
      </c>
      <c r="BQ470" s="4" t="n">
        <v>2670236</v>
      </c>
      <c r="BR470" s="3" t="s">
        <v>88</v>
      </c>
      <c r="BS470" s="3" t="s">
        <v>89</v>
      </c>
      <c r="BT470" s="3" t="s">
        <v>90</v>
      </c>
    </row>
    <row r="471" customFormat="false" ht="15" hidden="false" customHeight="false" outlineLevel="0" collapsed="false">
      <c r="A471" s="11" t="s">
        <v>504</v>
      </c>
      <c r="B471" s="11" t="s">
        <v>91</v>
      </c>
      <c r="C471" s="11" t="s">
        <v>74</v>
      </c>
      <c r="D471" s="11" t="s">
        <v>75</v>
      </c>
      <c r="E471" s="11" t="s">
        <v>187</v>
      </c>
      <c r="F471" s="11" t="s">
        <v>505</v>
      </c>
      <c r="G471" s="11" t="s">
        <v>78</v>
      </c>
      <c r="H471" s="11" t="s">
        <v>79</v>
      </c>
      <c r="I471" s="11" t="s">
        <v>78</v>
      </c>
      <c r="J471" s="12" t="n">
        <v>2564000</v>
      </c>
      <c r="K471" s="13" t="n">
        <f aca="false">IFERROR(J471/M471,"")</f>
        <v>0.192637114951165</v>
      </c>
      <c r="L471" s="12" t="n">
        <v>10746000</v>
      </c>
      <c r="M471" s="14" t="n">
        <f aca="false">L471+J471</f>
        <v>13310000</v>
      </c>
      <c r="N471" s="12" t="n">
        <v>7743000</v>
      </c>
      <c r="O471" s="12" t="n">
        <v>11778182</v>
      </c>
      <c r="P471" s="12" t="n">
        <v>283323</v>
      </c>
      <c r="Q471" s="13" t="n">
        <f aca="false">IFERROR(P471/P470-1,"")</f>
        <v>0.238445970459801</v>
      </c>
      <c r="R471" s="12" t="n">
        <v>314667</v>
      </c>
      <c r="S471" s="13" t="n">
        <f aca="false">IFERROR(R471/R470-1,"")</f>
        <v>0.2033937196682</v>
      </c>
      <c r="T471" s="12" t="n">
        <v>236965</v>
      </c>
      <c r="U471" s="13" t="n">
        <f aca="false">IFERROR(T471/P471,"")</f>
        <v>0.836377562005203</v>
      </c>
      <c r="V471" s="14" t="n">
        <f aca="false">T471-AV471</f>
        <v>-1800221</v>
      </c>
      <c r="W471" s="14" t="n">
        <f aca="false">V471-AA471*0.1</f>
        <v>-1800221</v>
      </c>
      <c r="X471" s="12" t="n">
        <v>2999768</v>
      </c>
      <c r="Y471" s="12" t="n">
        <v>151340</v>
      </c>
      <c r="Z471" s="15" t="n">
        <f aca="false">IFERROR(X471/Y471,"")</f>
        <v>19.8213823179596</v>
      </c>
      <c r="AA471" s="12" t="n">
        <v>0</v>
      </c>
      <c r="AB471" s="14" t="n">
        <f aca="false">W471-0.02*P471</f>
        <v>-1805887.46</v>
      </c>
      <c r="AC471" s="16" t="n">
        <v>20</v>
      </c>
      <c r="AD471" s="13" t="n">
        <f aca="false">IFERROR(AC471/AC470-1,"")</f>
        <v>0.176470588235294</v>
      </c>
      <c r="AE471" s="17" t="n">
        <v>0.1</v>
      </c>
      <c r="AF471" s="17" t="n">
        <v>0.107</v>
      </c>
      <c r="AG471" s="13" t="n">
        <f aca="false">1-AF471</f>
        <v>0.893</v>
      </c>
      <c r="AH471" s="17" t="n">
        <v>1.031</v>
      </c>
      <c r="AI471" s="12" t="n">
        <v>68744</v>
      </c>
      <c r="AJ471" s="14" t="n">
        <f aca="false">IFERROR(AM471*U471*MIN(1/AE471,5),"")</f>
        <v>230338.380576233</v>
      </c>
      <c r="AK471" s="18" t="n">
        <f aca="false">IFERROR(AJ471/AI471,"")</f>
        <v>3.35066886675539</v>
      </c>
      <c r="AL471" s="15" t="n">
        <f aca="false">IFERROR(AI471/(AM471*U471/12),"")</f>
        <v>17.9068724442773</v>
      </c>
      <c r="AM471" s="12" t="n">
        <v>55080</v>
      </c>
      <c r="AN471" s="12" t="n">
        <v>440036</v>
      </c>
      <c r="AO471" s="12" t="n">
        <v>1107967</v>
      </c>
      <c r="AP471" s="17" t="n">
        <v>0.349</v>
      </c>
      <c r="AQ471" s="16" t="n">
        <v>34</v>
      </c>
      <c r="AR471" s="16" t="n">
        <v>2</v>
      </c>
      <c r="AS471" s="13" t="n">
        <f aca="false">IFERROR(AR471/AR470-1,"")</f>
        <v>0</v>
      </c>
      <c r="AT471" s="11" t="s">
        <v>218</v>
      </c>
      <c r="AU471" s="14" t="n">
        <f aca="false">IFERROR(P471/AR471,"")</f>
        <v>141661.5</v>
      </c>
      <c r="AV471" s="12" t="n">
        <v>2037186</v>
      </c>
      <c r="AW471" s="12" t="n">
        <v>680249</v>
      </c>
      <c r="AX471" s="12" t="n">
        <v>629287</v>
      </c>
      <c r="AY471" s="16" t="n">
        <v>23714</v>
      </c>
      <c r="AZ471" s="13" t="n">
        <f aca="false">IFERROR(AY471/AY470-1,"")</f>
        <v>0.21094827145994</v>
      </c>
      <c r="BA471" s="17" t="n">
        <v>0.9</v>
      </c>
      <c r="BB471" s="11" t="s">
        <v>161</v>
      </c>
      <c r="BC471" s="11" t="s">
        <v>100</v>
      </c>
      <c r="BD471" s="11" t="s">
        <v>109</v>
      </c>
      <c r="BE471" s="12" t="n">
        <v>288652</v>
      </c>
      <c r="BF471" s="13" t="n">
        <f aca="false">IFERROR(P471/BE471-1,"")</f>
        <v>-0.0184616770367085</v>
      </c>
      <c r="BG471" s="17" t="n">
        <v>-0.03</v>
      </c>
      <c r="BH471" s="17" t="n">
        <v>0.047</v>
      </c>
      <c r="BI471" s="14" t="n">
        <f aca="false">P471*(1+IFERROR(Q471,0))^4</f>
        <v>666484.554707253</v>
      </c>
      <c r="BJ471" s="12" t="n">
        <v>-960586</v>
      </c>
      <c r="BK471" s="11" t="s">
        <v>192</v>
      </c>
      <c r="BL471" s="11" t="s">
        <v>162</v>
      </c>
      <c r="BM471" s="14" t="n">
        <f aca="false">O471</f>
        <v>11778182</v>
      </c>
      <c r="BN471" s="11" t="s">
        <v>506</v>
      </c>
      <c r="BO471" s="13" t="n">
        <f aca="false">IFERROR(1-L471/M471,"")</f>
        <v>0.192637114951165</v>
      </c>
      <c r="BP471" s="11" t="s">
        <v>142</v>
      </c>
      <c r="BQ471" s="12" t="n">
        <v>2731051</v>
      </c>
      <c r="BR471" s="11" t="s">
        <v>88</v>
      </c>
      <c r="BS471" s="11" t="s">
        <v>89</v>
      </c>
      <c r="BT471" s="19" t="str">
        <f aca="false">IF(OR(Z471&lt;6,AH471&lt;0.9,S471&lt;0.02,AK471&lt;1),"REVIEW",IF(AND(S471&gt;0.25,AH471&gt;1.2),"ACCELERATING","STABLE"))</f>
        <v>STABLE</v>
      </c>
    </row>
    <row r="472" customFormat="false" ht="15" hidden="false" customHeight="false" outlineLevel="0" collapsed="false">
      <c r="A472" s="11" t="s">
        <v>504</v>
      </c>
      <c r="B472" s="11" t="s">
        <v>92</v>
      </c>
      <c r="C472" s="11" t="s">
        <v>74</v>
      </c>
      <c r="D472" s="11" t="s">
        <v>75</v>
      </c>
      <c r="E472" s="11" t="s">
        <v>187</v>
      </c>
      <c r="F472" s="11" t="s">
        <v>505</v>
      </c>
      <c r="G472" s="11" t="s">
        <v>78</v>
      </c>
      <c r="H472" s="11" t="s">
        <v>79</v>
      </c>
      <c r="I472" s="11" t="s">
        <v>78</v>
      </c>
      <c r="J472" s="12" t="n">
        <v>2564000</v>
      </c>
      <c r="K472" s="13" t="n">
        <f aca="false">IFERROR(J472/M472,"")</f>
        <v>0.192637114951165</v>
      </c>
      <c r="L472" s="12" t="n">
        <v>10746000</v>
      </c>
      <c r="M472" s="14" t="n">
        <f aca="false">L472+J472</f>
        <v>13310000</v>
      </c>
      <c r="N472" s="12" t="n">
        <v>7743000</v>
      </c>
      <c r="O472" s="12" t="n">
        <v>11778182</v>
      </c>
      <c r="P472" s="12" t="n">
        <v>337191</v>
      </c>
      <c r="Q472" s="13" t="n">
        <f aca="false">IFERROR(P472/P471-1,"")</f>
        <v>0.190129287068117</v>
      </c>
      <c r="R472" s="12" t="n">
        <v>387203</v>
      </c>
      <c r="S472" s="13" t="n">
        <f aca="false">IFERROR(R472/R471-1,"")</f>
        <v>0.230516704961118</v>
      </c>
      <c r="T472" s="12" t="n">
        <v>283157</v>
      </c>
      <c r="U472" s="13" t="n">
        <f aca="false">IFERROR(T472/P472,"")</f>
        <v>0.839752543810481</v>
      </c>
      <c r="V472" s="14" t="n">
        <f aca="false">T472-AV472</f>
        <v>-1478002</v>
      </c>
      <c r="W472" s="14" t="n">
        <f aca="false">V472-AA472*0.1</f>
        <v>-1478002</v>
      </c>
      <c r="X472" s="12" t="n">
        <v>2604191</v>
      </c>
      <c r="Y472" s="12" t="n">
        <v>156170</v>
      </c>
      <c r="Z472" s="15" t="n">
        <f aca="false">IFERROR(X472/Y472,"")</f>
        <v>16.6753601844144</v>
      </c>
      <c r="AA472" s="12" t="n">
        <v>0</v>
      </c>
      <c r="AB472" s="14" t="n">
        <f aca="false">W472-0.02*P472</f>
        <v>-1484745.82</v>
      </c>
      <c r="AC472" s="16" t="n">
        <v>23</v>
      </c>
      <c r="AD472" s="13" t="n">
        <f aca="false">IFERROR(AC472/AC471-1,"")</f>
        <v>0.15</v>
      </c>
      <c r="AE472" s="17" t="n">
        <v>0.097</v>
      </c>
      <c r="AF472" s="17" t="n">
        <v>0.064</v>
      </c>
      <c r="AG472" s="13" t="n">
        <f aca="false">1-AF472</f>
        <v>0.936</v>
      </c>
      <c r="AH472" s="17" t="n">
        <v>1.026</v>
      </c>
      <c r="AI472" s="12" t="n">
        <v>67422</v>
      </c>
      <c r="AJ472" s="14" t="n">
        <f aca="false">IFERROR(AM472*U472*MIN(1/AE472,5),"")</f>
        <v>235802.514301983</v>
      </c>
      <c r="AK472" s="18" t="n">
        <f aca="false">IFERROR(AJ472/AI472,"")</f>
        <v>3.49741203616005</v>
      </c>
      <c r="AL472" s="15" t="n">
        <f aca="false">IFERROR(AI472/(AM472*U472/12),"")</f>
        <v>17.1555422637238</v>
      </c>
      <c r="AM472" s="12" t="n">
        <v>56160</v>
      </c>
      <c r="AN472" s="12" t="n">
        <v>361163</v>
      </c>
      <c r="AO472" s="12" t="n">
        <v>1329529</v>
      </c>
      <c r="AP472" s="17" t="n">
        <v>0.349</v>
      </c>
      <c r="AQ472" s="16" t="n">
        <v>34</v>
      </c>
      <c r="AR472" s="16" t="n">
        <v>3</v>
      </c>
      <c r="AS472" s="13" t="n">
        <f aca="false">IFERROR(AR472/AR471-1,"")</f>
        <v>0.5</v>
      </c>
      <c r="AT472" s="11" t="s">
        <v>218</v>
      </c>
      <c r="AU472" s="14" t="n">
        <f aca="false">IFERROR(P472/AR472,"")</f>
        <v>112397</v>
      </c>
      <c r="AV472" s="12" t="n">
        <v>1761159</v>
      </c>
      <c r="AW472" s="12" t="n">
        <v>709907</v>
      </c>
      <c r="AX472" s="12" t="n">
        <v>343744</v>
      </c>
      <c r="AY472" s="16" t="n">
        <v>27989</v>
      </c>
      <c r="AZ472" s="13" t="n">
        <f aca="false">IFERROR(AY472/AY471-1,"")</f>
        <v>0.180273256304293</v>
      </c>
      <c r="BA472" s="17" t="n">
        <v>0.898</v>
      </c>
      <c r="BB472" s="11" t="s">
        <v>161</v>
      </c>
      <c r="BC472" s="11" t="s">
        <v>100</v>
      </c>
      <c r="BD472" s="11" t="s">
        <v>109</v>
      </c>
      <c r="BE472" s="12" t="n">
        <v>357811</v>
      </c>
      <c r="BF472" s="13" t="n">
        <f aca="false">IFERROR(P472/BE472-1,"")</f>
        <v>-0.0576281891836752</v>
      </c>
      <c r="BG472" s="17" t="n">
        <v>-0.056</v>
      </c>
      <c r="BH472" s="17" t="n">
        <v>0.008</v>
      </c>
      <c r="BI472" s="14" t="n">
        <f aca="false">P472*(1+IFERROR(Q472,0))^4</f>
        <v>676476.235674342</v>
      </c>
      <c r="BJ472" s="12" t="n">
        <v>-1337927</v>
      </c>
      <c r="BK472" s="11" t="s">
        <v>192</v>
      </c>
      <c r="BL472" s="11" t="s">
        <v>162</v>
      </c>
      <c r="BM472" s="14" t="n">
        <f aca="false">O472</f>
        <v>11778182</v>
      </c>
      <c r="BN472" s="11" t="s">
        <v>506</v>
      </c>
      <c r="BO472" s="13" t="n">
        <f aca="false">IFERROR(1-L472/M472,"")</f>
        <v>0.192637114951165</v>
      </c>
      <c r="BP472" s="11" t="s">
        <v>142</v>
      </c>
      <c r="BQ472" s="12" t="n">
        <v>2079692</v>
      </c>
      <c r="BR472" s="11" t="s">
        <v>88</v>
      </c>
      <c r="BS472" s="11" t="s">
        <v>89</v>
      </c>
      <c r="BT472" s="19" t="str">
        <f aca="false">IF(OR(Z472&lt;6,AH472&lt;0.9,S472&lt;0.02,AK472&lt;1),"REVIEW",IF(AND(S472&gt;0.25,AH472&gt;1.2),"ACCELERATING","STABLE"))</f>
        <v>STABLE</v>
      </c>
    </row>
    <row r="473" customFormat="false" ht="15" hidden="false" customHeight="false" outlineLevel="0" collapsed="false">
      <c r="A473" s="11" t="s">
        <v>504</v>
      </c>
      <c r="B473" s="11" t="s">
        <v>93</v>
      </c>
      <c r="C473" s="11" t="s">
        <v>74</v>
      </c>
      <c r="D473" s="11" t="s">
        <v>75</v>
      </c>
      <c r="E473" s="11" t="s">
        <v>187</v>
      </c>
      <c r="F473" s="11" t="s">
        <v>505</v>
      </c>
      <c r="G473" s="11" t="s">
        <v>78</v>
      </c>
      <c r="H473" s="11" t="s">
        <v>79</v>
      </c>
      <c r="I473" s="11" t="s">
        <v>78</v>
      </c>
      <c r="J473" s="12" t="n">
        <v>2564000</v>
      </c>
      <c r="K473" s="13" t="n">
        <f aca="false">IFERROR(J473/M473,"")</f>
        <v>0.192637114951165</v>
      </c>
      <c r="L473" s="12" t="n">
        <v>10746000</v>
      </c>
      <c r="M473" s="14" t="n">
        <f aca="false">L473+J473</f>
        <v>13310000</v>
      </c>
      <c r="N473" s="12" t="n">
        <v>7743000</v>
      </c>
      <c r="O473" s="12" t="n">
        <v>11778182</v>
      </c>
      <c r="P473" s="12" t="n">
        <v>401750</v>
      </c>
      <c r="Q473" s="13" t="n">
        <f aca="false">IFERROR(P473/P472-1,"")</f>
        <v>0.191461219308938</v>
      </c>
      <c r="R473" s="12" t="n">
        <v>436655</v>
      </c>
      <c r="S473" s="13" t="n">
        <f aca="false">IFERROR(R473/R472-1,"")</f>
        <v>0.127715952614003</v>
      </c>
      <c r="T473" s="12" t="n">
        <v>338725</v>
      </c>
      <c r="U473" s="13" t="n">
        <f aca="false">IFERROR(T473/P473,"")</f>
        <v>0.84312383322962</v>
      </c>
      <c r="V473" s="14" t="n">
        <f aca="false">T473-AV473</f>
        <v>-1668575</v>
      </c>
      <c r="W473" s="14" t="n">
        <f aca="false">V473-AA473*0.1</f>
        <v>-1668575</v>
      </c>
      <c r="X473" s="12" t="n">
        <v>2182532</v>
      </c>
      <c r="Y473" s="12" t="n">
        <v>161000</v>
      </c>
      <c r="Z473" s="15" t="n">
        <f aca="false">IFERROR(X473/Y473,"")</f>
        <v>13.556099378882</v>
      </c>
      <c r="AA473" s="12" t="n">
        <v>0</v>
      </c>
      <c r="AB473" s="14" t="n">
        <f aca="false">W473-0.02*P473</f>
        <v>-1676610</v>
      </c>
      <c r="AC473" s="16" t="n">
        <v>26</v>
      </c>
      <c r="AD473" s="13" t="n">
        <f aca="false">IFERROR(AC473/AC472-1,"")</f>
        <v>0.130434782608696</v>
      </c>
      <c r="AE473" s="17" t="n">
        <v>0.094</v>
      </c>
      <c r="AF473" s="17" t="n">
        <v>0.066</v>
      </c>
      <c r="AG473" s="13" t="n">
        <f aca="false">1-AF473</f>
        <v>0.934</v>
      </c>
      <c r="AH473" s="17" t="n">
        <v>1.021</v>
      </c>
      <c r="AI473" s="12" t="n">
        <v>66100</v>
      </c>
      <c r="AJ473" s="14" t="n">
        <f aca="false">IFERROR(AM473*U473*MIN(1/AE473,5),"")</f>
        <v>241302.041070317</v>
      </c>
      <c r="AK473" s="18" t="n">
        <f aca="false">IFERROR(AJ473/AI473,"")</f>
        <v>3.65056037927863</v>
      </c>
      <c r="AL473" s="15" t="n">
        <f aca="false">IFERROR(AI473/(AM473*U473/12),"")</f>
        <v>16.4358327944863</v>
      </c>
      <c r="AM473" s="12" t="n">
        <v>57240</v>
      </c>
      <c r="AN473" s="12" t="n">
        <v>443366</v>
      </c>
      <c r="AO473" s="12" t="n">
        <v>1177222</v>
      </c>
      <c r="AP473" s="17" t="n">
        <v>0.349</v>
      </c>
      <c r="AQ473" s="16" t="n">
        <v>34</v>
      </c>
      <c r="AR473" s="16" t="n">
        <v>3</v>
      </c>
      <c r="AS473" s="13" t="n">
        <f aca="false">IFERROR(AR473/AR472-1,"")</f>
        <v>0</v>
      </c>
      <c r="AT473" s="11" t="s">
        <v>218</v>
      </c>
      <c r="AU473" s="14" t="n">
        <f aca="false">IFERROR(P473/AR473,"")</f>
        <v>133916.666666667</v>
      </c>
      <c r="AV473" s="12" t="n">
        <v>2007300</v>
      </c>
      <c r="AW473" s="12" t="n">
        <v>771170</v>
      </c>
      <c r="AX473" s="12" t="n">
        <v>462547</v>
      </c>
      <c r="AY473" s="16" t="n">
        <v>32644</v>
      </c>
      <c r="AZ473" s="13" t="n">
        <f aca="false">IFERROR(AY473/AY472-1,"")</f>
        <v>0.166315338168566</v>
      </c>
      <c r="BA473" s="17" t="n">
        <v>0.916</v>
      </c>
      <c r="BB473" s="11" t="s">
        <v>161</v>
      </c>
      <c r="BC473" s="11" t="s">
        <v>100</v>
      </c>
      <c r="BD473" s="11" t="s">
        <v>109</v>
      </c>
      <c r="BE473" s="12" t="n">
        <v>447818</v>
      </c>
      <c r="BF473" s="13" t="n">
        <f aca="false">IFERROR(P473/BE473-1,"")</f>
        <v>-0.102872148953369</v>
      </c>
      <c r="BG473" s="17" t="n">
        <v>0.033</v>
      </c>
      <c r="BH473" s="17" t="n">
        <v>-0.017</v>
      </c>
      <c r="BI473" s="14" t="n">
        <f aca="false">P473*(1+IFERROR(Q473,0))^4</f>
        <v>809609.377679222</v>
      </c>
      <c r="BJ473" s="12" t="n">
        <v>-978587</v>
      </c>
      <c r="BK473" s="11" t="s">
        <v>192</v>
      </c>
      <c r="BL473" s="11" t="s">
        <v>162</v>
      </c>
      <c r="BM473" s="14" t="n">
        <f aca="false">O473</f>
        <v>11778182</v>
      </c>
      <c r="BN473" s="11" t="s">
        <v>506</v>
      </c>
      <c r="BO473" s="13" t="n">
        <f aca="false">IFERROR(1-L473/M473,"")</f>
        <v>0.192637114951165</v>
      </c>
      <c r="BP473" s="11" t="s">
        <v>142</v>
      </c>
      <c r="BQ473" s="12" t="n">
        <v>2245227</v>
      </c>
      <c r="BR473" s="11" t="s">
        <v>88</v>
      </c>
      <c r="BS473" s="11" t="s">
        <v>89</v>
      </c>
      <c r="BT473" s="19" t="str">
        <f aca="false">IF(OR(Z473&lt;6,AH473&lt;0.9,S473&lt;0.02,AK473&lt;1),"REVIEW",IF(AND(S473&gt;0.25,AH473&gt;1.2),"ACCELERATING","STABLE"))</f>
        <v>STABLE</v>
      </c>
    </row>
    <row r="474" customFormat="false" ht="15" hidden="false" customHeight="false" outlineLevel="0" collapsed="false">
      <c r="A474" s="3" t="s">
        <v>507</v>
      </c>
      <c r="B474" s="3" t="s">
        <v>73</v>
      </c>
      <c r="C474" s="3" t="s">
        <v>74</v>
      </c>
      <c r="D474" s="3" t="s">
        <v>75</v>
      </c>
      <c r="E474" s="3" t="s">
        <v>105</v>
      </c>
      <c r="F474" s="3" t="s">
        <v>508</v>
      </c>
      <c r="G474" s="3" t="s">
        <v>78</v>
      </c>
      <c r="H474" s="3" t="s">
        <v>79</v>
      </c>
      <c r="I474" s="3" t="s">
        <v>78</v>
      </c>
      <c r="J474" s="4" t="n">
        <v>3189000</v>
      </c>
      <c r="K474" s="5" t="n">
        <f aca="false">IFERROR(J474/M474,"")</f>
        <v>0.196077225774717</v>
      </c>
      <c r="L474" s="4" t="n">
        <v>13075000</v>
      </c>
      <c r="M474" s="6" t="n">
        <f aca="false">L474+J474</f>
        <v>16264000</v>
      </c>
      <c r="N474" s="4" t="n">
        <v>7722000</v>
      </c>
      <c r="O474" s="4" t="n">
        <v>33783516</v>
      </c>
      <c r="P474" s="4" t="n">
        <v>828643</v>
      </c>
      <c r="Q474" s="7"/>
      <c r="R474" s="4" t="n">
        <v>1066547</v>
      </c>
      <c r="S474" s="7"/>
      <c r="T474" s="4" t="n">
        <v>592823</v>
      </c>
      <c r="U474" s="5" t="n">
        <f aca="false">IFERROR(T474/P474,"")</f>
        <v>0.715414237494313</v>
      </c>
      <c r="V474" s="6" t="n">
        <f aca="false">T474-AV474</f>
        <v>-2504691</v>
      </c>
      <c r="W474" s="6" t="n">
        <f aca="false">V474-AA474*0.1</f>
        <v>-2510491</v>
      </c>
      <c r="X474" s="4" t="n">
        <v>3778399</v>
      </c>
      <c r="Y474" s="4" t="n">
        <v>198380</v>
      </c>
      <c r="Z474" s="8" t="n">
        <f aca="false">IFERROR(X474/Y474,"")</f>
        <v>19.0462697852606</v>
      </c>
      <c r="AA474" s="4" t="n">
        <v>58000</v>
      </c>
      <c r="AB474" s="6" t="n">
        <f aca="false">W474-0.02*P474</f>
        <v>-2527063.86</v>
      </c>
      <c r="AC474" s="9" t="n">
        <v>30</v>
      </c>
      <c r="AD474" s="7"/>
      <c r="AE474" s="7" t="n">
        <v>0.111</v>
      </c>
      <c r="AF474" s="7" t="n">
        <v>0.115</v>
      </c>
      <c r="AG474" s="5" t="n">
        <f aca="false">1-AF474</f>
        <v>0.885</v>
      </c>
      <c r="AH474" s="7" t="n">
        <v>1.16</v>
      </c>
      <c r="AI474" s="4" t="n">
        <v>35192</v>
      </c>
      <c r="AJ474" s="6" t="n">
        <f aca="false">IFERROR(AM474*U474*MIN(1/AE474,5),"")</f>
        <v>110889.206811619</v>
      </c>
      <c r="AK474" s="10" t="n">
        <f aca="false">IFERROR(AJ474/AI474,"")</f>
        <v>3.15097768844108</v>
      </c>
      <c r="AL474" s="8" t="n">
        <f aca="false">IFERROR(AI474/(AM474*U474/12),"")</f>
        <v>19.0417089337388</v>
      </c>
      <c r="AM474" s="4" t="n">
        <v>31000</v>
      </c>
      <c r="AN474" s="4" t="n">
        <v>1142136</v>
      </c>
      <c r="AO474" s="4" t="n">
        <v>4243891</v>
      </c>
      <c r="AP474" s="7" t="n">
        <v>0.192</v>
      </c>
      <c r="AQ474" s="9" t="n">
        <v>47</v>
      </c>
      <c r="AR474" s="9" t="n">
        <v>2</v>
      </c>
      <c r="AS474" s="7"/>
      <c r="AT474" s="3" t="s">
        <v>98</v>
      </c>
      <c r="AU474" s="6" t="n">
        <f aca="false">IFERROR(P474/AR474,"")</f>
        <v>414321.5</v>
      </c>
      <c r="AV474" s="4" t="n">
        <v>3097514</v>
      </c>
      <c r="AW474" s="4" t="n">
        <v>1477670</v>
      </c>
      <c r="AX474" s="4" t="n">
        <v>674043</v>
      </c>
      <c r="AY474" s="9" t="n">
        <v>6681</v>
      </c>
      <c r="AZ474" s="7"/>
      <c r="BA474" s="7" t="n">
        <v>0.922</v>
      </c>
      <c r="BB474" s="3" t="s">
        <v>99</v>
      </c>
      <c r="BC474" s="3" t="s">
        <v>126</v>
      </c>
      <c r="BD474" s="3" t="s">
        <v>157</v>
      </c>
      <c r="BE474" s="4" t="n">
        <v>763737</v>
      </c>
      <c r="BF474" s="5" t="n">
        <f aca="false">IFERROR(P474/BE474-1,"")</f>
        <v>0.084984752604627</v>
      </c>
      <c r="BG474" s="7" t="n">
        <v>0.085</v>
      </c>
      <c r="BH474" s="7" t="n">
        <v>0.031</v>
      </c>
      <c r="BI474" s="6" t="n">
        <f aca="false">P474</f>
        <v>828643</v>
      </c>
      <c r="BJ474" s="4" t="n">
        <v>-1556202</v>
      </c>
      <c r="BK474" s="3" t="s">
        <v>110</v>
      </c>
      <c r="BL474" s="3" t="s">
        <v>128</v>
      </c>
      <c r="BM474" s="6" t="n">
        <f aca="false">O474</f>
        <v>33783516</v>
      </c>
      <c r="BN474" s="3" t="s">
        <v>509</v>
      </c>
      <c r="BO474" s="5" t="n">
        <f aca="false">IFERROR(1-L474/M474,"")</f>
        <v>0.196077225774717</v>
      </c>
      <c r="BP474" s="3" t="s">
        <v>142</v>
      </c>
      <c r="BQ474" s="4" t="n">
        <v>2493357</v>
      </c>
      <c r="BR474" s="3" t="s">
        <v>88</v>
      </c>
      <c r="BS474" s="3" t="s">
        <v>89</v>
      </c>
      <c r="BT474" s="3" t="s">
        <v>90</v>
      </c>
    </row>
    <row r="475" customFormat="false" ht="15" hidden="false" customHeight="false" outlineLevel="0" collapsed="false">
      <c r="A475" s="11" t="s">
        <v>507</v>
      </c>
      <c r="B475" s="11" t="s">
        <v>91</v>
      </c>
      <c r="C475" s="11" t="s">
        <v>74</v>
      </c>
      <c r="D475" s="11" t="s">
        <v>75</v>
      </c>
      <c r="E475" s="11" t="s">
        <v>105</v>
      </c>
      <c r="F475" s="11" t="s">
        <v>508</v>
      </c>
      <c r="G475" s="11" t="s">
        <v>78</v>
      </c>
      <c r="H475" s="11" t="s">
        <v>79</v>
      </c>
      <c r="I475" s="11" t="s">
        <v>78</v>
      </c>
      <c r="J475" s="12" t="n">
        <v>3189000</v>
      </c>
      <c r="K475" s="13" t="n">
        <f aca="false">IFERROR(J475/M475,"")</f>
        <v>0.196077225774717</v>
      </c>
      <c r="L475" s="12" t="n">
        <v>13075000</v>
      </c>
      <c r="M475" s="14" t="n">
        <f aca="false">L475+J475</f>
        <v>16264000</v>
      </c>
      <c r="N475" s="12" t="n">
        <v>7722000</v>
      </c>
      <c r="O475" s="12" t="n">
        <v>33783516</v>
      </c>
      <c r="P475" s="12" t="n">
        <v>1040742</v>
      </c>
      <c r="Q475" s="13" t="n">
        <f aca="false">IFERROR(P475/P474-1,"")</f>
        <v>0.255959442124051</v>
      </c>
      <c r="R475" s="12" t="n">
        <v>1329956</v>
      </c>
      <c r="S475" s="13" t="n">
        <f aca="false">IFERROR(R475/R474-1,"")</f>
        <v>0.246973644855782</v>
      </c>
      <c r="T475" s="12" t="n">
        <v>747576</v>
      </c>
      <c r="U475" s="13" t="n">
        <f aca="false">IFERROR(T475/P475,"")</f>
        <v>0.718310589944482</v>
      </c>
      <c r="V475" s="14" t="n">
        <f aca="false">T475-AV475</f>
        <v>-2129873</v>
      </c>
      <c r="W475" s="14" t="n">
        <f aca="false">V475-AA475*0.1</f>
        <v>-2135673</v>
      </c>
      <c r="X475" s="12" t="n">
        <v>3278089</v>
      </c>
      <c r="Y475" s="12" t="n">
        <v>204920</v>
      </c>
      <c r="Z475" s="15" t="n">
        <f aca="false">IFERROR(X475/Y475,"")</f>
        <v>15.9969207495608</v>
      </c>
      <c r="AA475" s="12" t="n">
        <v>58000</v>
      </c>
      <c r="AB475" s="14" t="n">
        <f aca="false">W475-0.02*P475</f>
        <v>-2156487.84</v>
      </c>
      <c r="AC475" s="16" t="n">
        <v>33</v>
      </c>
      <c r="AD475" s="13" t="n">
        <f aca="false">IFERROR(AC475/AC474-1,"")</f>
        <v>0.1</v>
      </c>
      <c r="AE475" s="17" t="n">
        <v>0.108</v>
      </c>
      <c r="AF475" s="17" t="n">
        <v>0.105</v>
      </c>
      <c r="AG475" s="13" t="n">
        <f aca="false">1-AF475</f>
        <v>0.895</v>
      </c>
      <c r="AH475" s="17" t="n">
        <v>1.155</v>
      </c>
      <c r="AI475" s="12" t="n">
        <v>34528</v>
      </c>
      <c r="AJ475" s="14" t="n">
        <f aca="false">IFERROR(AM475*U475*MIN(1/AE475,5),"")</f>
        <v>113564.904270223</v>
      </c>
      <c r="AK475" s="18" t="n">
        <f aca="false">IFERROR(AJ475/AI475,"")</f>
        <v>3.28906696797447</v>
      </c>
      <c r="AL475" s="15" t="n">
        <f aca="false">IFERROR(AI475/(AM475*U475/12),"")</f>
        <v>18.2422555041347</v>
      </c>
      <c r="AM475" s="12" t="n">
        <v>31620</v>
      </c>
      <c r="AN475" s="12" t="n">
        <v>1356650</v>
      </c>
      <c r="AO475" s="12" t="n">
        <v>2221549</v>
      </c>
      <c r="AP475" s="17" t="n">
        <v>0.192</v>
      </c>
      <c r="AQ475" s="16" t="n">
        <v>47</v>
      </c>
      <c r="AR475" s="16" t="n">
        <v>2</v>
      </c>
      <c r="AS475" s="13" t="n">
        <f aca="false">IFERROR(AR475/AR474-1,"")</f>
        <v>0</v>
      </c>
      <c r="AT475" s="11" t="s">
        <v>98</v>
      </c>
      <c r="AU475" s="14" t="n">
        <f aca="false">IFERROR(P475/AR475,"")</f>
        <v>520371</v>
      </c>
      <c r="AV475" s="12" t="n">
        <v>2877449</v>
      </c>
      <c r="AW475" s="12" t="n">
        <v>1021556</v>
      </c>
      <c r="AX475" s="12" t="n">
        <v>600008</v>
      </c>
      <c r="AY475" s="16" t="n">
        <v>7626</v>
      </c>
      <c r="AZ475" s="13" t="n">
        <f aca="false">IFERROR(AY475/AY474-1,"")</f>
        <v>0.141445891333633</v>
      </c>
      <c r="BA475" s="17" t="n">
        <v>0.922</v>
      </c>
      <c r="BB475" s="11" t="s">
        <v>99</v>
      </c>
      <c r="BC475" s="11" t="s">
        <v>126</v>
      </c>
      <c r="BD475" s="11" t="s">
        <v>157</v>
      </c>
      <c r="BE475" s="12" t="n">
        <v>1289064</v>
      </c>
      <c r="BF475" s="13" t="n">
        <f aca="false">IFERROR(P475/BE475-1,"")</f>
        <v>-0.192637448567333</v>
      </c>
      <c r="BG475" s="17" t="n">
        <v>-0.037</v>
      </c>
      <c r="BH475" s="17" t="n">
        <v>0.052</v>
      </c>
      <c r="BI475" s="14" t="n">
        <f aca="false">P475*(1+IFERROR(Q475,0))^4</f>
        <v>2589676.65732828</v>
      </c>
      <c r="BJ475" s="12" t="n">
        <v>-2380415</v>
      </c>
      <c r="BK475" s="11" t="s">
        <v>110</v>
      </c>
      <c r="BL475" s="11" t="s">
        <v>128</v>
      </c>
      <c r="BM475" s="14" t="n">
        <f aca="false">O475</f>
        <v>33783516</v>
      </c>
      <c r="BN475" s="11" t="s">
        <v>509</v>
      </c>
      <c r="BO475" s="13" t="n">
        <f aca="false">IFERROR(1-L475/M475,"")</f>
        <v>0.196077225774717</v>
      </c>
      <c r="BP475" s="11" t="s">
        <v>142</v>
      </c>
      <c r="BQ475" s="12" t="n">
        <v>3148243</v>
      </c>
      <c r="BR475" s="11" t="s">
        <v>88</v>
      </c>
      <c r="BS475" s="11" t="s">
        <v>89</v>
      </c>
      <c r="BT475" s="19" t="str">
        <f aca="false">IF(OR(Z475&lt;6,AH475&lt;0.9,S475&lt;0.02,AK475&lt;1),"REVIEW",IF(AND(S475&gt;0.25,AH475&gt;1.2),"ACCELERATING","STABLE"))</f>
        <v>STABLE</v>
      </c>
    </row>
    <row r="476" customFormat="false" ht="15" hidden="false" customHeight="false" outlineLevel="0" collapsed="false">
      <c r="A476" s="11" t="s">
        <v>507</v>
      </c>
      <c r="B476" s="11" t="s">
        <v>92</v>
      </c>
      <c r="C476" s="11" t="s">
        <v>74</v>
      </c>
      <c r="D476" s="11" t="s">
        <v>75</v>
      </c>
      <c r="E476" s="11" t="s">
        <v>105</v>
      </c>
      <c r="F476" s="11" t="s">
        <v>508</v>
      </c>
      <c r="G476" s="11" t="s">
        <v>78</v>
      </c>
      <c r="H476" s="11" t="s">
        <v>79</v>
      </c>
      <c r="I476" s="11" t="s">
        <v>78</v>
      </c>
      <c r="J476" s="12" t="n">
        <v>3189000</v>
      </c>
      <c r="K476" s="13" t="n">
        <f aca="false">IFERROR(J476/M476,"")</f>
        <v>0.196077225774717</v>
      </c>
      <c r="L476" s="12" t="n">
        <v>13075000</v>
      </c>
      <c r="M476" s="14" t="n">
        <f aca="false">L476+J476</f>
        <v>16264000</v>
      </c>
      <c r="N476" s="12" t="n">
        <v>7722000</v>
      </c>
      <c r="O476" s="12" t="n">
        <v>33783516</v>
      </c>
      <c r="P476" s="12" t="n">
        <v>1238429</v>
      </c>
      <c r="Q476" s="13" t="n">
        <f aca="false">IFERROR(P476/P475-1,"")</f>
        <v>0.189948133158842</v>
      </c>
      <c r="R476" s="12" t="n">
        <v>1503745</v>
      </c>
      <c r="S476" s="13" t="n">
        <f aca="false">IFERROR(R476/R475-1,"")</f>
        <v>0.130672744060706</v>
      </c>
      <c r="T476" s="12" t="n">
        <v>893164</v>
      </c>
      <c r="U476" s="13" t="n">
        <f aca="false">IFERROR(T476/P476,"")</f>
        <v>0.721207271470549</v>
      </c>
      <c r="V476" s="14" t="n">
        <f aca="false">T476-AV476</f>
        <v>-2406741</v>
      </c>
      <c r="W476" s="14" t="n">
        <f aca="false">V476-AA476*0.1</f>
        <v>-2412541</v>
      </c>
      <c r="X476" s="12" t="n">
        <v>2742463</v>
      </c>
      <c r="Y476" s="12" t="n">
        <v>211460</v>
      </c>
      <c r="Z476" s="15" t="n">
        <f aca="false">IFERROR(X476/Y476,"")</f>
        <v>12.9691809325641</v>
      </c>
      <c r="AA476" s="12" t="n">
        <v>58000</v>
      </c>
      <c r="AB476" s="14" t="n">
        <f aca="false">W476-0.02*P476</f>
        <v>-2437309.58</v>
      </c>
      <c r="AC476" s="16" t="n">
        <v>41</v>
      </c>
      <c r="AD476" s="13" t="n">
        <f aca="false">IFERROR(AC476/AC475-1,"")</f>
        <v>0.242424242424242</v>
      </c>
      <c r="AE476" s="17" t="n">
        <v>0.105</v>
      </c>
      <c r="AF476" s="17" t="n">
        <v>0.083</v>
      </c>
      <c r="AG476" s="13" t="n">
        <f aca="false">1-AF476</f>
        <v>0.917</v>
      </c>
      <c r="AH476" s="17" t="n">
        <v>1.15</v>
      </c>
      <c r="AI476" s="12" t="n">
        <v>33864</v>
      </c>
      <c r="AJ476" s="14" t="n">
        <f aca="false">IFERROR(AM476*U476*MIN(1/AE476,5),"")</f>
        <v>116258.612161052</v>
      </c>
      <c r="AK476" s="18" t="n">
        <f aca="false">IFERROR(AJ476/AI476,"")</f>
        <v>3.43310335935071</v>
      </c>
      <c r="AL476" s="15" t="n">
        <f aca="false">IFERROR(AI476/(AM476*U476/12),"")</f>
        <v>17.4768988054434</v>
      </c>
      <c r="AM476" s="12" t="n">
        <v>32240</v>
      </c>
      <c r="AN476" s="12" t="n">
        <v>1793371</v>
      </c>
      <c r="AO476" s="12" t="n">
        <v>3790867</v>
      </c>
      <c r="AP476" s="17" t="n">
        <v>0.192</v>
      </c>
      <c r="AQ476" s="16" t="n">
        <v>47</v>
      </c>
      <c r="AR476" s="16" t="n">
        <v>3</v>
      </c>
      <c r="AS476" s="13" t="n">
        <f aca="false">IFERROR(AR476/AR475-1,"")</f>
        <v>0.5</v>
      </c>
      <c r="AT476" s="11" t="s">
        <v>98</v>
      </c>
      <c r="AU476" s="14" t="n">
        <f aca="false">IFERROR(P476/AR476,"")</f>
        <v>412809.666666667</v>
      </c>
      <c r="AV476" s="12" t="n">
        <v>3299905</v>
      </c>
      <c r="AW476" s="12" t="n">
        <v>1348311</v>
      </c>
      <c r="AX476" s="12" t="n">
        <v>974755</v>
      </c>
      <c r="AY476" s="16" t="n">
        <v>9215</v>
      </c>
      <c r="AZ476" s="13" t="n">
        <f aca="false">IFERROR(AY476/AY475-1,"")</f>
        <v>0.208366115919224</v>
      </c>
      <c r="BA476" s="17" t="n">
        <v>0.907</v>
      </c>
      <c r="BB476" s="11" t="s">
        <v>99</v>
      </c>
      <c r="BC476" s="11" t="s">
        <v>126</v>
      </c>
      <c r="BD476" s="11" t="s">
        <v>157</v>
      </c>
      <c r="BE476" s="12" t="n">
        <v>1436633</v>
      </c>
      <c r="BF476" s="13" t="n">
        <f aca="false">IFERROR(P476/BE476-1,"")</f>
        <v>-0.137964253918711</v>
      </c>
      <c r="BG476" s="17" t="n">
        <v>0.059</v>
      </c>
      <c r="BH476" s="17" t="n">
        <v>-0.053</v>
      </c>
      <c r="BI476" s="14" t="n">
        <f aca="false">P476*(1+IFERROR(Q476,0))^4</f>
        <v>2483037.28683742</v>
      </c>
      <c r="BJ476" s="12" t="n">
        <v>-1723883</v>
      </c>
      <c r="BK476" s="11" t="s">
        <v>110</v>
      </c>
      <c r="BL476" s="11" t="s">
        <v>128</v>
      </c>
      <c r="BM476" s="14" t="n">
        <f aca="false">O476</f>
        <v>33783516</v>
      </c>
      <c r="BN476" s="11" t="s">
        <v>509</v>
      </c>
      <c r="BO476" s="13" t="n">
        <f aca="false">IFERROR(1-L476/M476,"")</f>
        <v>0.196077225774717</v>
      </c>
      <c r="BP476" s="11" t="s">
        <v>142</v>
      </c>
      <c r="BQ476" s="12" t="n">
        <v>2672893</v>
      </c>
      <c r="BR476" s="11" t="s">
        <v>88</v>
      </c>
      <c r="BS476" s="11" t="s">
        <v>89</v>
      </c>
      <c r="BT476" s="19" t="str">
        <f aca="false">IF(OR(Z476&lt;6,AH476&lt;0.9,S476&lt;0.02,AK476&lt;1),"REVIEW",IF(AND(S476&gt;0.25,AH476&gt;1.2),"ACCELERATING","STABLE"))</f>
        <v>STABLE</v>
      </c>
    </row>
    <row r="477" customFormat="false" ht="15" hidden="false" customHeight="false" outlineLevel="0" collapsed="false">
      <c r="A477" s="11" t="s">
        <v>507</v>
      </c>
      <c r="B477" s="11" t="s">
        <v>93</v>
      </c>
      <c r="C477" s="11" t="s">
        <v>74</v>
      </c>
      <c r="D477" s="11" t="s">
        <v>75</v>
      </c>
      <c r="E477" s="11" t="s">
        <v>105</v>
      </c>
      <c r="F477" s="11" t="s">
        <v>508</v>
      </c>
      <c r="G477" s="11" t="s">
        <v>78</v>
      </c>
      <c r="H477" s="11" t="s">
        <v>79</v>
      </c>
      <c r="I477" s="11" t="s">
        <v>78</v>
      </c>
      <c r="J477" s="12" t="n">
        <v>3189000</v>
      </c>
      <c r="K477" s="13" t="n">
        <f aca="false">IFERROR(J477/M477,"")</f>
        <v>0.196077225774717</v>
      </c>
      <c r="L477" s="12" t="n">
        <v>13075000</v>
      </c>
      <c r="M477" s="14" t="n">
        <f aca="false">L477+J477</f>
        <v>16264000</v>
      </c>
      <c r="N477" s="12" t="n">
        <v>7722000</v>
      </c>
      <c r="O477" s="12" t="n">
        <v>33783516</v>
      </c>
      <c r="P477" s="12" t="n">
        <v>1439894</v>
      </c>
      <c r="Q477" s="13" t="n">
        <f aca="false">IFERROR(P477/P476-1,"")</f>
        <v>0.162677876567813</v>
      </c>
      <c r="R477" s="12" t="n">
        <v>1932777</v>
      </c>
      <c r="S477" s="13" t="n">
        <f aca="false">IFERROR(R477/R476-1,"")</f>
        <v>0.285309011833788</v>
      </c>
      <c r="T477" s="12" t="n">
        <v>1042633</v>
      </c>
      <c r="U477" s="13" t="n">
        <f aca="false">IFERROR(T477/P477,"")</f>
        <v>0.72410399654419</v>
      </c>
      <c r="V477" s="14" t="n">
        <f aca="false">T477-AV477</f>
        <v>-2544135</v>
      </c>
      <c r="W477" s="14" t="n">
        <f aca="false">V477-AA477*0.1</f>
        <v>-2549935</v>
      </c>
      <c r="X477" s="12" t="n">
        <v>2171521</v>
      </c>
      <c r="Y477" s="12" t="n">
        <v>218000</v>
      </c>
      <c r="Z477" s="15" t="n">
        <f aca="false">IFERROR(X477/Y477,"")</f>
        <v>9.96110550458716</v>
      </c>
      <c r="AA477" s="12" t="n">
        <v>58000</v>
      </c>
      <c r="AB477" s="14" t="n">
        <f aca="false">W477-0.02*P477</f>
        <v>-2578732.88</v>
      </c>
      <c r="AC477" s="16" t="n">
        <v>48</v>
      </c>
      <c r="AD477" s="13" t="n">
        <f aca="false">IFERROR(AC477/AC476-1,"")</f>
        <v>0.170731707317073</v>
      </c>
      <c r="AE477" s="17" t="n">
        <v>0.102</v>
      </c>
      <c r="AF477" s="17" t="n">
        <v>0.094</v>
      </c>
      <c r="AG477" s="13" t="n">
        <f aca="false">1-AF477</f>
        <v>0.906</v>
      </c>
      <c r="AH477" s="17" t="n">
        <v>1.145</v>
      </c>
      <c r="AI477" s="12" t="n">
        <v>33200</v>
      </c>
      <c r="AJ477" s="14" t="n">
        <f aca="false">IFERROR(AM477*U477*MIN(1/AE477,5),"")</f>
        <v>118970.28663221</v>
      </c>
      <c r="AK477" s="18" t="n">
        <f aca="false">IFERROR(AJ477/AI477,"")</f>
        <v>3.58344236844007</v>
      </c>
      <c r="AL477" s="15" t="n">
        <f aca="false">IFERROR(AI477/(AM477*U477/12),"")</f>
        <v>16.7436765631922</v>
      </c>
      <c r="AM477" s="12" t="n">
        <v>32860</v>
      </c>
      <c r="AN477" s="12" t="n">
        <v>2089584</v>
      </c>
      <c r="AO477" s="12" t="n">
        <v>5707548</v>
      </c>
      <c r="AP477" s="17" t="n">
        <v>0.192</v>
      </c>
      <c r="AQ477" s="16" t="n">
        <v>47</v>
      </c>
      <c r="AR477" s="16" t="n">
        <v>3</v>
      </c>
      <c r="AS477" s="13" t="n">
        <f aca="false">IFERROR(AR477/AR476-1,"")</f>
        <v>0</v>
      </c>
      <c r="AT477" s="11" t="s">
        <v>98</v>
      </c>
      <c r="AU477" s="14" t="n">
        <f aca="false">IFERROR(P477/AR477,"")</f>
        <v>479964.666666667</v>
      </c>
      <c r="AV477" s="12" t="n">
        <v>3586768</v>
      </c>
      <c r="AW477" s="12" t="n">
        <v>1641348</v>
      </c>
      <c r="AX477" s="12" t="n">
        <v>1150851</v>
      </c>
      <c r="AY477" s="16" t="n">
        <v>11658</v>
      </c>
      <c r="AZ477" s="13" t="n">
        <f aca="false">IFERROR(AY477/AY476-1,"")</f>
        <v>0.265111231687466</v>
      </c>
      <c r="BA477" s="17" t="n">
        <v>0.904</v>
      </c>
      <c r="BB477" s="11" t="s">
        <v>99</v>
      </c>
      <c r="BC477" s="11" t="s">
        <v>126</v>
      </c>
      <c r="BD477" s="11" t="s">
        <v>157</v>
      </c>
      <c r="BE477" s="12" t="n">
        <v>1729856</v>
      </c>
      <c r="BF477" s="13" t="n">
        <f aca="false">IFERROR(P477/BE477-1,"")</f>
        <v>-0.167622044840727</v>
      </c>
      <c r="BG477" s="17" t="n">
        <v>0.085</v>
      </c>
      <c r="BH477" s="17" t="n">
        <v>0.025</v>
      </c>
      <c r="BI477" s="14" t="n">
        <f aca="false">P477*(1+IFERROR(Q477,0))^4</f>
        <v>2631286.61889022</v>
      </c>
      <c r="BJ477" s="12" t="n">
        <v>-2437980</v>
      </c>
      <c r="BK477" s="11" t="s">
        <v>110</v>
      </c>
      <c r="BL477" s="11" t="s">
        <v>128</v>
      </c>
      <c r="BM477" s="14" t="n">
        <f aca="false">O477</f>
        <v>33783516</v>
      </c>
      <c r="BN477" s="11" t="s">
        <v>509</v>
      </c>
      <c r="BO477" s="13" t="n">
        <f aca="false">IFERROR(1-L477/M477,"")</f>
        <v>0.196077225774717</v>
      </c>
      <c r="BP477" s="11" t="s">
        <v>142</v>
      </c>
      <c r="BQ477" s="12" t="n">
        <v>2980182</v>
      </c>
      <c r="BR477" s="11" t="s">
        <v>88</v>
      </c>
      <c r="BS477" s="11" t="s">
        <v>89</v>
      </c>
      <c r="BT477" s="19" t="str">
        <f aca="false">IF(OR(Z477&lt;6,AH477&lt;0.9,S477&lt;0.02,AK477&lt;1),"REVIEW",IF(AND(S477&gt;0.25,AH477&gt;1.2),"ACCELERATING","STABLE"))</f>
        <v>STABLE</v>
      </c>
    </row>
    <row r="478" customFormat="false" ht="15" hidden="false" customHeight="false" outlineLevel="0" collapsed="false">
      <c r="A478" s="3" t="s">
        <v>510</v>
      </c>
      <c r="B478" s="3" t="s">
        <v>73</v>
      </c>
      <c r="C478" s="3" t="s">
        <v>74</v>
      </c>
      <c r="D478" s="3" t="s">
        <v>95</v>
      </c>
      <c r="E478" s="3" t="s">
        <v>105</v>
      </c>
      <c r="F478" s="3" t="s">
        <v>511</v>
      </c>
      <c r="G478" s="3" t="s">
        <v>78</v>
      </c>
      <c r="H478" s="3" t="s">
        <v>79</v>
      </c>
      <c r="I478" s="3" t="s">
        <v>78</v>
      </c>
      <c r="J478" s="4" t="n">
        <v>2363000</v>
      </c>
      <c r="K478" s="5" t="n">
        <f aca="false">IFERROR(J478/M478,"")</f>
        <v>0.0942560829676905</v>
      </c>
      <c r="L478" s="4" t="n">
        <v>22707000</v>
      </c>
      <c r="M478" s="6" t="n">
        <f aca="false">L478+J478</f>
        <v>25070000</v>
      </c>
      <c r="N478" s="4" t="n">
        <v>4432000</v>
      </c>
      <c r="O478" s="4" t="n">
        <v>52534126</v>
      </c>
      <c r="P478" s="4" t="n">
        <v>99413</v>
      </c>
      <c r="Q478" s="7"/>
      <c r="R478" s="4" t="n">
        <v>113814</v>
      </c>
      <c r="S478" s="7"/>
      <c r="T478" s="4" t="n">
        <v>62551</v>
      </c>
      <c r="U478" s="5" t="n">
        <f aca="false">IFERROR(T478/P478,"")</f>
        <v>0.629203424099464</v>
      </c>
      <c r="V478" s="6" t="n">
        <f aca="false">T478-AV478</f>
        <v>-984508</v>
      </c>
      <c r="W478" s="6" t="n">
        <f aca="false">V478-AA478*0.1</f>
        <v>-1130908</v>
      </c>
      <c r="X478" s="4" t="n">
        <v>3500520</v>
      </c>
      <c r="Y478" s="4" t="n">
        <v>109200</v>
      </c>
      <c r="Z478" s="8" t="n">
        <f aca="false">IFERROR(X478/Y478,"")</f>
        <v>32.056043956044</v>
      </c>
      <c r="AA478" s="4" t="n">
        <v>1464000</v>
      </c>
      <c r="AB478" s="6" t="n">
        <f aca="false">W478-0.02*P478</f>
        <v>-1132896.26</v>
      </c>
      <c r="AC478" s="9" t="n">
        <v>21</v>
      </c>
      <c r="AD478" s="7"/>
      <c r="AE478" s="7" t="n">
        <v>0.102</v>
      </c>
      <c r="AF478" s="7" t="n">
        <v>0.088</v>
      </c>
      <c r="AG478" s="5" t="n">
        <f aca="false">1-AF478</f>
        <v>0.912</v>
      </c>
      <c r="AH478" s="7" t="n">
        <v>1.188</v>
      </c>
      <c r="AI478" s="4" t="n">
        <v>38690</v>
      </c>
      <c r="AJ478" s="6" t="n">
        <f aca="false">IFERROR(AM478*U478*MIN(1/AE478,5),"")</f>
        <v>69212.376650941</v>
      </c>
      <c r="AK478" s="10" t="n">
        <f aca="false">IFERROR(AJ478/AI478,"")</f>
        <v>1.78889575215666</v>
      </c>
      <c r="AL478" s="8" t="n">
        <f aca="false">IFERROR(AI478/(AM478*U478/12),"")</f>
        <v>33.5402439899951</v>
      </c>
      <c r="AM478" s="4" t="n">
        <v>22000</v>
      </c>
      <c r="AN478" s="4" t="n">
        <v>114053</v>
      </c>
      <c r="AO478" s="4" t="n">
        <v>294088</v>
      </c>
      <c r="AP478" s="7" t="n">
        <v>0.291</v>
      </c>
      <c r="AQ478" s="9" t="n">
        <v>37</v>
      </c>
      <c r="AR478" s="9" t="n">
        <v>2</v>
      </c>
      <c r="AS478" s="7"/>
      <c r="AT478" s="3" t="s">
        <v>201</v>
      </c>
      <c r="AU478" s="6" t="n">
        <f aca="false">IFERROR(P478/AR478,"")</f>
        <v>49706.5</v>
      </c>
      <c r="AV478" s="4" t="n">
        <v>1047059</v>
      </c>
      <c r="AW478" s="4" t="n">
        <v>458151</v>
      </c>
      <c r="AX478" s="4" t="n">
        <v>309392</v>
      </c>
      <c r="AY478" s="9" t="n">
        <v>5694</v>
      </c>
      <c r="AZ478" s="7"/>
      <c r="BA478" s="7" t="n">
        <v>0.92</v>
      </c>
      <c r="BB478" s="3" t="s">
        <v>161</v>
      </c>
      <c r="BC478" s="3" t="s">
        <v>108</v>
      </c>
      <c r="BD478" s="3" t="s">
        <v>101</v>
      </c>
      <c r="BE478" s="4" t="n">
        <v>111287</v>
      </c>
      <c r="BF478" s="5" t="n">
        <f aca="false">IFERROR(P478/BE478-1,"")</f>
        <v>-0.106697098493085</v>
      </c>
      <c r="BG478" s="7" t="n">
        <v>0.028</v>
      </c>
      <c r="BH478" s="7" t="n">
        <v>-0.069</v>
      </c>
      <c r="BI478" s="6" t="n">
        <f aca="false">P478</f>
        <v>99413</v>
      </c>
      <c r="BJ478" s="4" t="n">
        <v>-672262</v>
      </c>
      <c r="BK478" s="3" t="s">
        <v>192</v>
      </c>
      <c r="BL478" s="3" t="s">
        <v>111</v>
      </c>
      <c r="BM478" s="6" t="n">
        <f aca="false">O478</f>
        <v>52534126</v>
      </c>
      <c r="BN478" s="3" t="s">
        <v>512</v>
      </c>
      <c r="BO478" s="5" t="n">
        <f aca="false">IFERROR(1-L478/M478,"")</f>
        <v>0.0942560829676905</v>
      </c>
      <c r="BP478" s="3" t="s">
        <v>198</v>
      </c>
      <c r="BQ478" s="4" t="n">
        <v>1314587</v>
      </c>
      <c r="BR478" s="3" t="s">
        <v>88</v>
      </c>
      <c r="BS478" s="3" t="s">
        <v>89</v>
      </c>
      <c r="BT478" s="3" t="s">
        <v>90</v>
      </c>
    </row>
    <row r="479" customFormat="false" ht="15" hidden="false" customHeight="false" outlineLevel="0" collapsed="false">
      <c r="A479" s="11" t="s">
        <v>510</v>
      </c>
      <c r="B479" s="11" t="s">
        <v>91</v>
      </c>
      <c r="C479" s="11" t="s">
        <v>74</v>
      </c>
      <c r="D479" s="11" t="s">
        <v>95</v>
      </c>
      <c r="E479" s="11" t="s">
        <v>105</v>
      </c>
      <c r="F479" s="11" t="s">
        <v>511</v>
      </c>
      <c r="G479" s="11" t="s">
        <v>78</v>
      </c>
      <c r="H479" s="11" t="s">
        <v>79</v>
      </c>
      <c r="I479" s="11" t="s">
        <v>78</v>
      </c>
      <c r="J479" s="12" t="n">
        <v>2363000</v>
      </c>
      <c r="K479" s="13" t="n">
        <f aca="false">IFERROR(J479/M479,"")</f>
        <v>0.0942560829676905</v>
      </c>
      <c r="L479" s="12" t="n">
        <v>22707000</v>
      </c>
      <c r="M479" s="14" t="n">
        <f aca="false">L479+J479</f>
        <v>25070000</v>
      </c>
      <c r="N479" s="12" t="n">
        <v>4432000</v>
      </c>
      <c r="O479" s="12" t="n">
        <v>52534126</v>
      </c>
      <c r="P479" s="12" t="n">
        <v>122078</v>
      </c>
      <c r="Q479" s="13" t="n">
        <f aca="false">IFERROR(P479/P478-1,"")</f>
        <v>0.227988291269754</v>
      </c>
      <c r="R479" s="12" t="n">
        <v>141343</v>
      </c>
      <c r="S479" s="13" t="n">
        <f aca="false">IFERROR(R479/R478-1,"")</f>
        <v>0.241877097720843</v>
      </c>
      <c r="T479" s="12" t="n">
        <v>77122</v>
      </c>
      <c r="U479" s="13" t="n">
        <f aca="false">IFERROR(T479/P479,"")</f>
        <v>0.631743639312571</v>
      </c>
      <c r="V479" s="14" t="n">
        <f aca="false">T479-AV479</f>
        <v>-1141004</v>
      </c>
      <c r="W479" s="14" t="n">
        <f aca="false">V479-AA479*0.1</f>
        <v>-1287404</v>
      </c>
      <c r="X479" s="12" t="n">
        <v>3225120</v>
      </c>
      <c r="Y479" s="12" t="n">
        <v>112800</v>
      </c>
      <c r="Z479" s="15" t="n">
        <f aca="false">IFERROR(X479/Y479,"")</f>
        <v>28.5914893617021</v>
      </c>
      <c r="AA479" s="12" t="n">
        <v>1464000</v>
      </c>
      <c r="AB479" s="14" t="n">
        <f aca="false">W479-0.02*P479</f>
        <v>-1289845.56</v>
      </c>
      <c r="AC479" s="16" t="n">
        <v>24</v>
      </c>
      <c r="AD479" s="13" t="n">
        <f aca="false">IFERROR(AC479/AC478-1,"")</f>
        <v>0.142857142857143</v>
      </c>
      <c r="AE479" s="17" t="n">
        <v>0.1</v>
      </c>
      <c r="AF479" s="17" t="n">
        <v>0.105</v>
      </c>
      <c r="AG479" s="13" t="n">
        <f aca="false">1-AF479</f>
        <v>0.895</v>
      </c>
      <c r="AH479" s="17" t="n">
        <v>1.183</v>
      </c>
      <c r="AI479" s="12" t="n">
        <v>37960</v>
      </c>
      <c r="AJ479" s="14" t="n">
        <f aca="false">IFERROR(AM479*U479*MIN(1/AE479,5),"")</f>
        <v>70881.6363308704</v>
      </c>
      <c r="AK479" s="18" t="n">
        <f aca="false">IFERROR(AJ479/AI479,"")</f>
        <v>1.86727176846339</v>
      </c>
      <c r="AL479" s="15" t="n">
        <f aca="false">IFERROR(AI479/(AM479*U479/12),"")</f>
        <v>32.1324410368904</v>
      </c>
      <c r="AM479" s="12" t="n">
        <v>22440</v>
      </c>
      <c r="AN479" s="12" t="n">
        <v>154726</v>
      </c>
      <c r="AO479" s="12" t="n">
        <v>492293</v>
      </c>
      <c r="AP479" s="17" t="n">
        <v>0.291</v>
      </c>
      <c r="AQ479" s="16" t="n">
        <v>37</v>
      </c>
      <c r="AR479" s="16" t="n">
        <v>2</v>
      </c>
      <c r="AS479" s="13" t="n">
        <f aca="false">IFERROR(AR479/AR478-1,"")</f>
        <v>0</v>
      </c>
      <c r="AT479" s="11" t="s">
        <v>201</v>
      </c>
      <c r="AU479" s="14" t="n">
        <f aca="false">IFERROR(P479/AR479,"")</f>
        <v>61039</v>
      </c>
      <c r="AV479" s="12" t="n">
        <v>1218126</v>
      </c>
      <c r="AW479" s="12" t="n">
        <v>472035</v>
      </c>
      <c r="AX479" s="12" t="n">
        <v>236786</v>
      </c>
      <c r="AY479" s="16" t="n">
        <v>6944</v>
      </c>
      <c r="AZ479" s="13" t="n">
        <f aca="false">IFERROR(AY479/AY478-1,"")</f>
        <v>0.21952932911837</v>
      </c>
      <c r="BA479" s="17" t="n">
        <v>0.92</v>
      </c>
      <c r="BB479" s="11" t="s">
        <v>161</v>
      </c>
      <c r="BC479" s="11" t="s">
        <v>108</v>
      </c>
      <c r="BD479" s="11" t="s">
        <v>101</v>
      </c>
      <c r="BE479" s="12" t="n">
        <v>146875</v>
      </c>
      <c r="BF479" s="13" t="n">
        <f aca="false">IFERROR(P479/BE479-1,"")</f>
        <v>-0.168830638297872</v>
      </c>
      <c r="BG479" s="17" t="n">
        <v>-0.028</v>
      </c>
      <c r="BH479" s="17" t="n">
        <v>0.053</v>
      </c>
      <c r="BI479" s="14" t="n">
        <f aca="false">P479*(1+IFERROR(Q479,0))^4</f>
        <v>277596.706462358</v>
      </c>
      <c r="BJ479" s="12" t="n">
        <v>-996841</v>
      </c>
      <c r="BK479" s="11" t="s">
        <v>192</v>
      </c>
      <c r="BL479" s="11" t="s">
        <v>111</v>
      </c>
      <c r="BM479" s="14" t="n">
        <f aca="false">O479</f>
        <v>52534126</v>
      </c>
      <c r="BN479" s="11" t="s">
        <v>512</v>
      </c>
      <c r="BO479" s="13" t="n">
        <f aca="false">IFERROR(1-L479/M479,"")</f>
        <v>0.0942560829676905</v>
      </c>
      <c r="BP479" s="11" t="s">
        <v>198</v>
      </c>
      <c r="BQ479" s="12" t="n">
        <v>1723089</v>
      </c>
      <c r="BR479" s="11" t="s">
        <v>88</v>
      </c>
      <c r="BS479" s="11" t="s">
        <v>89</v>
      </c>
      <c r="BT479" s="19" t="str">
        <f aca="false">IF(OR(Z479&lt;6,AH479&lt;0.9,S479&lt;0.02,AK479&lt;1),"REVIEW",IF(AND(S479&gt;0.25,AH479&gt;1.2),"ACCELERATING","STABLE"))</f>
        <v>STABLE</v>
      </c>
    </row>
    <row r="480" customFormat="false" ht="15" hidden="false" customHeight="false" outlineLevel="0" collapsed="false">
      <c r="A480" s="11" t="s">
        <v>510</v>
      </c>
      <c r="B480" s="11" t="s">
        <v>92</v>
      </c>
      <c r="C480" s="11" t="s">
        <v>74</v>
      </c>
      <c r="D480" s="11" t="s">
        <v>95</v>
      </c>
      <c r="E480" s="11" t="s">
        <v>105</v>
      </c>
      <c r="F480" s="11" t="s">
        <v>511</v>
      </c>
      <c r="G480" s="11" t="s">
        <v>78</v>
      </c>
      <c r="H480" s="11" t="s">
        <v>79</v>
      </c>
      <c r="I480" s="11" t="s">
        <v>78</v>
      </c>
      <c r="J480" s="12" t="n">
        <v>2363000</v>
      </c>
      <c r="K480" s="13" t="n">
        <f aca="false">IFERROR(J480/M480,"")</f>
        <v>0.0942560829676905</v>
      </c>
      <c r="L480" s="12" t="n">
        <v>22707000</v>
      </c>
      <c r="M480" s="14" t="n">
        <f aca="false">L480+J480</f>
        <v>25070000</v>
      </c>
      <c r="N480" s="12" t="n">
        <v>4432000</v>
      </c>
      <c r="O480" s="12" t="n">
        <v>52534126</v>
      </c>
      <c r="P480" s="12" t="n">
        <v>162267</v>
      </c>
      <c r="Q480" s="13" t="n">
        <f aca="false">IFERROR(P480/P479-1,"")</f>
        <v>0.329207555824964</v>
      </c>
      <c r="R480" s="12" t="n">
        <v>167940</v>
      </c>
      <c r="S480" s="13" t="n">
        <f aca="false">IFERROR(R480/R479-1,"")</f>
        <v>0.188173450400798</v>
      </c>
      <c r="T480" s="12" t="n">
        <v>102925</v>
      </c>
      <c r="U480" s="13" t="n">
        <f aca="false">IFERROR(T480/P480,"")</f>
        <v>0.634294095533904</v>
      </c>
      <c r="V480" s="14" t="n">
        <f aca="false">T480-AV480</f>
        <v>-1242261</v>
      </c>
      <c r="W480" s="14" t="n">
        <f aca="false">V480-AA480*0.1</f>
        <v>-1388661</v>
      </c>
      <c r="X480" s="12" t="n">
        <v>2930280</v>
      </c>
      <c r="Y480" s="12" t="n">
        <v>116400</v>
      </c>
      <c r="Z480" s="15" t="n">
        <f aca="false">IFERROR(X480/Y480,"")</f>
        <v>25.1742268041237</v>
      </c>
      <c r="AA480" s="12" t="n">
        <v>1464000</v>
      </c>
      <c r="AB480" s="14" t="n">
        <f aca="false">W480-0.02*P480</f>
        <v>-1391906.34</v>
      </c>
      <c r="AC480" s="16" t="n">
        <v>28</v>
      </c>
      <c r="AD480" s="13" t="n">
        <f aca="false">IFERROR(AC480/AC479-1,"")</f>
        <v>0.166666666666667</v>
      </c>
      <c r="AE480" s="17" t="n">
        <v>0.097</v>
      </c>
      <c r="AF480" s="17" t="n">
        <v>0.075</v>
      </c>
      <c r="AG480" s="13" t="n">
        <f aca="false">1-AF480</f>
        <v>0.925</v>
      </c>
      <c r="AH480" s="17" t="n">
        <v>1.178</v>
      </c>
      <c r="AI480" s="12" t="n">
        <v>37230</v>
      </c>
      <c r="AJ480" s="14" t="n">
        <f aca="false">IFERROR(AM480*U480*MIN(1/AE480,5),"")</f>
        <v>72563.2445290786</v>
      </c>
      <c r="AK480" s="18" t="n">
        <f aca="false">IFERROR(AJ480/AI480,"")</f>
        <v>1.94905303596773</v>
      </c>
      <c r="AL480" s="15" t="n">
        <f aca="false">IFERROR(AI480/(AM480*U480/12),"")</f>
        <v>30.784180262293</v>
      </c>
      <c r="AM480" s="12" t="n">
        <v>22880</v>
      </c>
      <c r="AN480" s="12" t="n">
        <v>229756</v>
      </c>
      <c r="AO480" s="12" t="n">
        <v>519557</v>
      </c>
      <c r="AP480" s="17" t="n">
        <v>0.291</v>
      </c>
      <c r="AQ480" s="16" t="n">
        <v>37</v>
      </c>
      <c r="AR480" s="16" t="n">
        <v>2</v>
      </c>
      <c r="AS480" s="13" t="n">
        <f aca="false">IFERROR(AR480/AR479-1,"")</f>
        <v>0</v>
      </c>
      <c r="AT480" s="11" t="s">
        <v>201</v>
      </c>
      <c r="AU480" s="14" t="n">
        <f aca="false">IFERROR(P480/AR480,"")</f>
        <v>81133.5</v>
      </c>
      <c r="AV480" s="12" t="n">
        <v>1345186</v>
      </c>
      <c r="AW480" s="12" t="n">
        <v>629727</v>
      </c>
      <c r="AX480" s="12" t="n">
        <v>279434</v>
      </c>
      <c r="AY480" s="16" t="n">
        <v>8001</v>
      </c>
      <c r="AZ480" s="13" t="n">
        <f aca="false">IFERROR(AY480/AY479-1,"")</f>
        <v>0.152217741935484</v>
      </c>
      <c r="BA480" s="17" t="n">
        <v>0.921</v>
      </c>
      <c r="BB480" s="11" t="s">
        <v>161</v>
      </c>
      <c r="BC480" s="11" t="s">
        <v>108</v>
      </c>
      <c r="BD480" s="11" t="s">
        <v>101</v>
      </c>
      <c r="BE480" s="12" t="n">
        <v>173105</v>
      </c>
      <c r="BF480" s="13" t="n">
        <f aca="false">IFERROR(P480/BE480-1,"")</f>
        <v>-0.0626093989197308</v>
      </c>
      <c r="BG480" s="17" t="n">
        <v>-0.007</v>
      </c>
      <c r="BH480" s="17" t="n">
        <v>0.091</v>
      </c>
      <c r="BI480" s="14" t="n">
        <f aca="false">P480*(1+IFERROR(Q480,0))^4</f>
        <v>506525.614797024</v>
      </c>
      <c r="BJ480" s="12" t="n">
        <v>-982884</v>
      </c>
      <c r="BK480" s="11" t="s">
        <v>192</v>
      </c>
      <c r="BL480" s="11" t="s">
        <v>111</v>
      </c>
      <c r="BM480" s="14" t="n">
        <f aca="false">O480</f>
        <v>52534126</v>
      </c>
      <c r="BN480" s="11" t="s">
        <v>512</v>
      </c>
      <c r="BO480" s="13" t="n">
        <f aca="false">IFERROR(1-L480/M480,"")</f>
        <v>0.0942560829676905</v>
      </c>
      <c r="BP480" s="11" t="s">
        <v>198</v>
      </c>
      <c r="BQ480" s="12" t="n">
        <v>1505747</v>
      </c>
      <c r="BR480" s="11" t="s">
        <v>88</v>
      </c>
      <c r="BS480" s="11" t="s">
        <v>89</v>
      </c>
      <c r="BT480" s="19" t="str">
        <f aca="false">IF(OR(Z480&lt;6,AH480&lt;0.9,S480&lt;0.02,AK480&lt;1),"REVIEW",IF(AND(S480&gt;0.25,AH480&gt;1.2),"ACCELERATING","STABLE"))</f>
        <v>STABLE</v>
      </c>
    </row>
    <row r="481" customFormat="false" ht="15" hidden="false" customHeight="false" outlineLevel="0" collapsed="false">
      <c r="A481" s="11" t="s">
        <v>510</v>
      </c>
      <c r="B481" s="11" t="s">
        <v>93</v>
      </c>
      <c r="C481" s="11" t="s">
        <v>74</v>
      </c>
      <c r="D481" s="11" t="s">
        <v>95</v>
      </c>
      <c r="E481" s="11" t="s">
        <v>105</v>
      </c>
      <c r="F481" s="11" t="s">
        <v>511</v>
      </c>
      <c r="G481" s="11" t="s">
        <v>78</v>
      </c>
      <c r="H481" s="11" t="s">
        <v>79</v>
      </c>
      <c r="I481" s="11" t="s">
        <v>78</v>
      </c>
      <c r="J481" s="12" t="n">
        <v>2363000</v>
      </c>
      <c r="K481" s="13" t="n">
        <f aca="false">IFERROR(J481/M481,"")</f>
        <v>0.0942560829676905</v>
      </c>
      <c r="L481" s="12" t="n">
        <v>22707000</v>
      </c>
      <c r="M481" s="14" t="n">
        <f aca="false">L481+J481</f>
        <v>25070000</v>
      </c>
      <c r="N481" s="12" t="n">
        <v>4432000</v>
      </c>
      <c r="O481" s="12" t="n">
        <v>52534126</v>
      </c>
      <c r="P481" s="12" t="n">
        <v>182931</v>
      </c>
      <c r="Q481" s="13" t="n">
        <f aca="false">IFERROR(P481/P480-1,"")</f>
        <v>0.127345671023683</v>
      </c>
      <c r="R481" s="12" t="n">
        <v>205806</v>
      </c>
      <c r="S481" s="13" t="n">
        <f aca="false">IFERROR(R481/R480-1,"")</f>
        <v>0.225473383351197</v>
      </c>
      <c r="T481" s="12" t="n">
        <v>116498</v>
      </c>
      <c r="U481" s="13" t="n">
        <f aca="false">IFERROR(T481/P481,"")</f>
        <v>0.636841213353669</v>
      </c>
      <c r="V481" s="14" t="n">
        <f aca="false">T481-AV481</f>
        <v>-1534962</v>
      </c>
      <c r="W481" s="14" t="n">
        <f aca="false">V481-AA481*0.1</f>
        <v>-1681362</v>
      </c>
      <c r="X481" s="12" t="n">
        <v>2616000</v>
      </c>
      <c r="Y481" s="12" t="n">
        <v>120000</v>
      </c>
      <c r="Z481" s="15" t="n">
        <f aca="false">IFERROR(X481/Y481,"")</f>
        <v>21.8</v>
      </c>
      <c r="AA481" s="12" t="n">
        <v>1464000</v>
      </c>
      <c r="AB481" s="14" t="n">
        <f aca="false">W481-0.02*P481</f>
        <v>-1685020.62</v>
      </c>
      <c r="AC481" s="16" t="n">
        <v>33</v>
      </c>
      <c r="AD481" s="13" t="n">
        <f aca="false">IFERROR(AC481/AC480-1,"")</f>
        <v>0.178571428571429</v>
      </c>
      <c r="AE481" s="17" t="n">
        <v>0.094</v>
      </c>
      <c r="AF481" s="17" t="n">
        <v>0.094</v>
      </c>
      <c r="AG481" s="13" t="n">
        <f aca="false">1-AF481</f>
        <v>0.906</v>
      </c>
      <c r="AH481" s="17" t="n">
        <v>1.173</v>
      </c>
      <c r="AI481" s="12" t="n">
        <v>36500</v>
      </c>
      <c r="AJ481" s="14" t="n">
        <f aca="false">IFERROR(AM481*U481*MIN(1/AE481,5),"")</f>
        <v>74255.6854770378</v>
      </c>
      <c r="AK481" s="18" t="n">
        <f aca="false">IFERROR(AJ481/AI481,"")</f>
        <v>2.03440234183665</v>
      </c>
      <c r="AL481" s="15" t="n">
        <f aca="false">IFERROR(AI481/(AM481*U481/12),"")</f>
        <v>29.4926911782023</v>
      </c>
      <c r="AM481" s="12" t="n">
        <v>23320</v>
      </c>
      <c r="AN481" s="12" t="n">
        <v>244209</v>
      </c>
      <c r="AO481" s="12" t="n">
        <v>355187</v>
      </c>
      <c r="AP481" s="17" t="n">
        <v>0.291</v>
      </c>
      <c r="AQ481" s="16" t="n">
        <v>37</v>
      </c>
      <c r="AR481" s="16" t="n">
        <v>2</v>
      </c>
      <c r="AS481" s="13" t="n">
        <f aca="false">IFERROR(AR481/AR480-1,"")</f>
        <v>0</v>
      </c>
      <c r="AT481" s="11" t="s">
        <v>201</v>
      </c>
      <c r="AU481" s="14" t="n">
        <f aca="false">IFERROR(P481/AR481,"")</f>
        <v>91465.5</v>
      </c>
      <c r="AV481" s="12" t="n">
        <v>1651460</v>
      </c>
      <c r="AW481" s="12" t="n">
        <v>513218</v>
      </c>
      <c r="AX481" s="12" t="n">
        <v>436996</v>
      </c>
      <c r="AY481" s="16" t="n">
        <v>9983</v>
      </c>
      <c r="AZ481" s="13" t="n">
        <f aca="false">IFERROR(AY481/AY480-1,"")</f>
        <v>0.24771903512061</v>
      </c>
      <c r="BA481" s="17" t="n">
        <v>0.899</v>
      </c>
      <c r="BB481" s="11" t="s">
        <v>161</v>
      </c>
      <c r="BC481" s="11" t="s">
        <v>108</v>
      </c>
      <c r="BD481" s="11" t="s">
        <v>101</v>
      </c>
      <c r="BE481" s="12" t="n">
        <v>220886</v>
      </c>
      <c r="BF481" s="13" t="n">
        <f aca="false">IFERROR(P481/BE481-1,"")</f>
        <v>-0.171830718107983</v>
      </c>
      <c r="BG481" s="17" t="n">
        <v>0.036</v>
      </c>
      <c r="BH481" s="17" t="n">
        <v>0.059</v>
      </c>
      <c r="BI481" s="14" t="n">
        <f aca="false">P481*(1+IFERROR(Q481,0))^4</f>
        <v>295471.579956681</v>
      </c>
      <c r="BJ481" s="12" t="n">
        <v>-1362981</v>
      </c>
      <c r="BK481" s="11" t="s">
        <v>192</v>
      </c>
      <c r="BL481" s="11" t="s">
        <v>111</v>
      </c>
      <c r="BM481" s="14" t="n">
        <f aca="false">O481</f>
        <v>52534126</v>
      </c>
      <c r="BN481" s="11" t="s">
        <v>512</v>
      </c>
      <c r="BO481" s="13" t="n">
        <f aca="false">IFERROR(1-L481/M481,"")</f>
        <v>0.0942560829676905</v>
      </c>
      <c r="BP481" s="11" t="s">
        <v>198</v>
      </c>
      <c r="BQ481" s="12" t="n">
        <v>2156815</v>
      </c>
      <c r="BR481" s="11" t="s">
        <v>88</v>
      </c>
      <c r="BS481" s="11" t="s">
        <v>89</v>
      </c>
      <c r="BT481" s="19" t="str">
        <f aca="false">IF(OR(Z481&lt;6,AH481&lt;0.9,S481&lt;0.02,AK481&lt;1),"REVIEW",IF(AND(S481&gt;0.25,AH481&gt;1.2),"ACCELERATING","STABLE"))</f>
        <v>STABLE</v>
      </c>
    </row>
    <row r="482" customFormat="false" ht="15" hidden="false" customHeight="false" outlineLevel="0" collapsed="false">
      <c r="A482" s="3" t="s">
        <v>513</v>
      </c>
      <c r="B482" s="3" t="s">
        <v>73</v>
      </c>
      <c r="C482" s="3" t="s">
        <v>74</v>
      </c>
      <c r="D482" s="3" t="s">
        <v>132</v>
      </c>
      <c r="E482" s="3" t="s">
        <v>477</v>
      </c>
      <c r="F482" s="3" t="s">
        <v>514</v>
      </c>
      <c r="G482" s="3" t="s">
        <v>78</v>
      </c>
      <c r="H482" s="3" t="s">
        <v>79</v>
      </c>
      <c r="I482" s="3" t="s">
        <v>78</v>
      </c>
      <c r="J482" s="4" t="n">
        <v>4805000</v>
      </c>
      <c r="K482" s="5" t="n">
        <f aca="false">IFERROR(J482/M482,"")</f>
        <v>0.187563431961902</v>
      </c>
      <c r="L482" s="4" t="n">
        <v>20813000</v>
      </c>
      <c r="M482" s="6" t="n">
        <f aca="false">L482+J482</f>
        <v>25618000</v>
      </c>
      <c r="N482" s="4" t="n">
        <v>4805000</v>
      </c>
      <c r="O482" s="4" t="n">
        <v>35865359</v>
      </c>
      <c r="P482" s="4" t="n">
        <v>1220156</v>
      </c>
      <c r="Q482" s="7"/>
      <c r="R482" s="4" t="n">
        <v>1498638</v>
      </c>
      <c r="S482" s="7"/>
      <c r="T482" s="4" t="n">
        <v>939830</v>
      </c>
      <c r="U482" s="5" t="n">
        <f aca="false">IFERROR(T482/P482,"")</f>
        <v>0.770253967525464</v>
      </c>
      <c r="V482" s="6" t="n">
        <f aca="false">T482-AV482</f>
        <v>-962450</v>
      </c>
      <c r="W482" s="6" t="n">
        <f aca="false">V482-AA482*0.1</f>
        <v>-962450</v>
      </c>
      <c r="X482" s="4" t="n">
        <v>2572422</v>
      </c>
      <c r="Y482" s="4" t="n">
        <v>74620</v>
      </c>
      <c r="Z482" s="8" t="n">
        <f aca="false">IFERROR(X482/Y482,"")</f>
        <v>34.4736263736264</v>
      </c>
      <c r="AA482" s="4" t="n">
        <v>0</v>
      </c>
      <c r="AB482" s="6" t="n">
        <f aca="false">W482-0.02*P482</f>
        <v>-986853.12</v>
      </c>
      <c r="AC482" s="9" t="n">
        <v>17</v>
      </c>
      <c r="AD482" s="7"/>
      <c r="AE482" s="7" t="n">
        <v>0.078</v>
      </c>
      <c r="AF482" s="7" t="n">
        <v>0.073</v>
      </c>
      <c r="AG482" s="5" t="n">
        <f aca="false">1-AF482</f>
        <v>0.927</v>
      </c>
      <c r="AH482" s="7" t="n">
        <v>1.106</v>
      </c>
      <c r="AI482" s="4" t="n">
        <v>27242</v>
      </c>
      <c r="AJ482" s="6" t="n">
        <f aca="false">IFERROR(AM482*U482*MIN(1/AE482,5),"")</f>
        <v>92430.4761030557</v>
      </c>
      <c r="AK482" s="10" t="n">
        <f aca="false">IFERROR(AJ482/AI482,"")</f>
        <v>3.39294016970324</v>
      </c>
      <c r="AL482" s="8" t="n">
        <f aca="false">IFERROR(AI482/(AM482*U482/12),"")</f>
        <v>17.6837777853442</v>
      </c>
      <c r="AM482" s="4" t="n">
        <v>24000</v>
      </c>
      <c r="AN482" s="4" t="n">
        <v>1807919</v>
      </c>
      <c r="AO482" s="4" t="n">
        <v>3272197</v>
      </c>
      <c r="AP482" s="7" t="n">
        <v>0.195</v>
      </c>
      <c r="AQ482" s="9" t="n">
        <v>50</v>
      </c>
      <c r="AR482" s="9" t="n">
        <v>2</v>
      </c>
      <c r="AS482" s="7"/>
      <c r="AT482" s="3" t="s">
        <v>98</v>
      </c>
      <c r="AU482" s="6" t="n">
        <f aca="false">IFERROR(P482/AR482,"")</f>
        <v>610078</v>
      </c>
      <c r="AV482" s="4" t="n">
        <v>1902280</v>
      </c>
      <c r="AW482" s="4" t="n">
        <v>853437</v>
      </c>
      <c r="AX482" s="4" t="n">
        <v>565963</v>
      </c>
      <c r="AY482" s="9" t="n">
        <v>19836</v>
      </c>
      <c r="AZ482" s="7"/>
      <c r="BA482" s="7" t="n">
        <v>0.916</v>
      </c>
      <c r="BB482" s="3" t="s">
        <v>99</v>
      </c>
      <c r="BC482" s="3" t="s">
        <v>126</v>
      </c>
      <c r="BD482" s="3" t="s">
        <v>157</v>
      </c>
      <c r="BE482" s="4" t="n">
        <v>1305157</v>
      </c>
      <c r="BF482" s="5" t="n">
        <f aca="false">IFERROR(P482/BE482-1,"")</f>
        <v>-0.0651270306943915</v>
      </c>
      <c r="BG482" s="7" t="n">
        <v>0.084</v>
      </c>
      <c r="BH482" s="7" t="n">
        <v>0.021</v>
      </c>
      <c r="BI482" s="6" t="n">
        <f aca="false">P482</f>
        <v>1220156</v>
      </c>
      <c r="BJ482" s="4" t="n">
        <v>-639262</v>
      </c>
      <c r="BK482" s="3" t="s">
        <v>110</v>
      </c>
      <c r="BL482" s="3" t="s">
        <v>162</v>
      </c>
      <c r="BM482" s="6" t="n">
        <f aca="false">O482</f>
        <v>35865359</v>
      </c>
      <c r="BN482" s="3" t="s">
        <v>515</v>
      </c>
      <c r="BO482" s="5" t="n">
        <f aca="false">IFERROR(1-L482/M482,"")</f>
        <v>0.187563431961902</v>
      </c>
      <c r="BP482" s="3" t="s">
        <v>142</v>
      </c>
      <c r="BQ482" s="4" t="n">
        <v>931205</v>
      </c>
      <c r="BR482" s="3" t="s">
        <v>88</v>
      </c>
      <c r="BS482" s="3" t="s">
        <v>89</v>
      </c>
      <c r="BT482" s="3" t="s">
        <v>90</v>
      </c>
    </row>
    <row r="483" customFormat="false" ht="15" hidden="false" customHeight="false" outlineLevel="0" collapsed="false">
      <c r="A483" s="11" t="s">
        <v>513</v>
      </c>
      <c r="B483" s="11" t="s">
        <v>91</v>
      </c>
      <c r="C483" s="11" t="s">
        <v>74</v>
      </c>
      <c r="D483" s="11" t="s">
        <v>132</v>
      </c>
      <c r="E483" s="11" t="s">
        <v>477</v>
      </c>
      <c r="F483" s="11" t="s">
        <v>514</v>
      </c>
      <c r="G483" s="11" t="s">
        <v>78</v>
      </c>
      <c r="H483" s="11" t="s">
        <v>79</v>
      </c>
      <c r="I483" s="11" t="s">
        <v>78</v>
      </c>
      <c r="J483" s="12" t="n">
        <v>4805000</v>
      </c>
      <c r="K483" s="13" t="n">
        <f aca="false">IFERROR(J483/M483,"")</f>
        <v>0.187563431961902</v>
      </c>
      <c r="L483" s="12" t="n">
        <v>20813000</v>
      </c>
      <c r="M483" s="14" t="n">
        <f aca="false">L483+J483</f>
        <v>25618000</v>
      </c>
      <c r="N483" s="12" t="n">
        <v>4805000</v>
      </c>
      <c r="O483" s="12" t="n">
        <v>35865359</v>
      </c>
      <c r="P483" s="12" t="n">
        <v>1411985</v>
      </c>
      <c r="Q483" s="13" t="n">
        <f aca="false">IFERROR(P483/P482-1,"")</f>
        <v>0.157216782116385</v>
      </c>
      <c r="R483" s="12" t="n">
        <v>1569003</v>
      </c>
      <c r="S483" s="13" t="n">
        <f aca="false">IFERROR(R483/R482-1,"")</f>
        <v>0.0469526329907557</v>
      </c>
      <c r="T483" s="12" t="n">
        <v>1091990</v>
      </c>
      <c r="U483" s="13" t="n">
        <f aca="false">IFERROR(T483/P483,"")</f>
        <v>0.773372238373637</v>
      </c>
      <c r="V483" s="14" t="n">
        <f aca="false">T483-AV483</f>
        <v>-984840</v>
      </c>
      <c r="W483" s="14" t="n">
        <f aca="false">V483-AA483*0.1</f>
        <v>-984840</v>
      </c>
      <c r="X483" s="12" t="n">
        <v>2384232</v>
      </c>
      <c r="Y483" s="12" t="n">
        <v>77080</v>
      </c>
      <c r="Z483" s="15" t="n">
        <f aca="false">IFERROR(X483/Y483,"")</f>
        <v>30.931914893617</v>
      </c>
      <c r="AA483" s="12" t="n">
        <v>0</v>
      </c>
      <c r="AB483" s="14" t="n">
        <f aca="false">W483-0.02*P483</f>
        <v>-1013079.7</v>
      </c>
      <c r="AC483" s="16" t="n">
        <v>19</v>
      </c>
      <c r="AD483" s="13" t="n">
        <f aca="false">IFERROR(AC483/AC482-1,"")</f>
        <v>0.117647058823529</v>
      </c>
      <c r="AE483" s="17" t="n">
        <v>0.076</v>
      </c>
      <c r="AF483" s="17" t="n">
        <v>0.065</v>
      </c>
      <c r="AG483" s="13" t="n">
        <f aca="false">1-AF483</f>
        <v>0.935</v>
      </c>
      <c r="AH483" s="17" t="n">
        <v>1.101</v>
      </c>
      <c r="AI483" s="12" t="n">
        <v>26728</v>
      </c>
      <c r="AJ483" s="14" t="n">
        <f aca="false">IFERROR(AM483*U483*MIN(1/AE483,5),"")</f>
        <v>94660.7619769332</v>
      </c>
      <c r="AK483" s="18" t="n">
        <f aca="false">IFERROR(AJ483/AI483,"")</f>
        <v>3.5416328186521</v>
      </c>
      <c r="AL483" s="15" t="n">
        <f aca="false">IFERROR(AI483/(AM483*U483/12),"")</f>
        <v>16.941338380424</v>
      </c>
      <c r="AM483" s="12" t="n">
        <v>24480</v>
      </c>
      <c r="AN483" s="12" t="n">
        <v>2105080</v>
      </c>
      <c r="AO483" s="12" t="n">
        <v>2921981</v>
      </c>
      <c r="AP483" s="17" t="n">
        <v>0.195</v>
      </c>
      <c r="AQ483" s="16" t="n">
        <v>50</v>
      </c>
      <c r="AR483" s="16" t="n">
        <v>2</v>
      </c>
      <c r="AS483" s="13" t="n">
        <f aca="false">IFERROR(AR483/AR482-1,"")</f>
        <v>0</v>
      </c>
      <c r="AT483" s="11" t="s">
        <v>98</v>
      </c>
      <c r="AU483" s="14" t="n">
        <f aca="false">IFERROR(P483/AR483,"")</f>
        <v>705992.5</v>
      </c>
      <c r="AV483" s="12" t="n">
        <v>2076830</v>
      </c>
      <c r="AW483" s="12" t="n">
        <v>708692</v>
      </c>
      <c r="AX483" s="12" t="n">
        <v>685981</v>
      </c>
      <c r="AY483" s="16" t="n">
        <v>23175</v>
      </c>
      <c r="AZ483" s="13" t="n">
        <f aca="false">IFERROR(AY483/AY482-1,"")</f>
        <v>0.168330308529945</v>
      </c>
      <c r="BA483" s="17" t="n">
        <v>0.93</v>
      </c>
      <c r="BB483" s="11" t="s">
        <v>99</v>
      </c>
      <c r="BC483" s="11" t="s">
        <v>126</v>
      </c>
      <c r="BD483" s="11" t="s">
        <v>157</v>
      </c>
      <c r="BE483" s="12" t="n">
        <v>1472106</v>
      </c>
      <c r="BF483" s="13" t="n">
        <f aca="false">IFERROR(P483/BE483-1,"")</f>
        <v>-0.0408401297189197</v>
      </c>
      <c r="BG483" s="17" t="n">
        <v>0.052</v>
      </c>
      <c r="BH483" s="17" t="n">
        <v>0.045</v>
      </c>
      <c r="BI483" s="14" t="n">
        <f aca="false">P483*(1+IFERROR(Q483,0))^4</f>
        <v>2532147.35896903</v>
      </c>
      <c r="BJ483" s="12" t="n">
        <v>-848380</v>
      </c>
      <c r="BK483" s="11" t="s">
        <v>110</v>
      </c>
      <c r="BL483" s="11" t="s">
        <v>162</v>
      </c>
      <c r="BM483" s="14" t="n">
        <f aca="false">O483</f>
        <v>35865359</v>
      </c>
      <c r="BN483" s="11" t="s">
        <v>515</v>
      </c>
      <c r="BO483" s="13" t="n">
        <f aca="false">IFERROR(1-L483/M483,"")</f>
        <v>0.187563431961902</v>
      </c>
      <c r="BP483" s="11" t="s">
        <v>142</v>
      </c>
      <c r="BQ483" s="12" t="n">
        <v>1292071</v>
      </c>
      <c r="BR483" s="11" t="s">
        <v>88</v>
      </c>
      <c r="BS483" s="11" t="s">
        <v>89</v>
      </c>
      <c r="BT483" s="19" t="str">
        <f aca="false">IF(OR(Z483&lt;6,AH483&lt;0.9,S483&lt;0.02,AK483&lt;1),"REVIEW",IF(AND(S483&gt;0.25,AH483&gt;1.2),"ACCELERATING","STABLE"))</f>
        <v>STABLE</v>
      </c>
    </row>
    <row r="484" customFormat="false" ht="15" hidden="false" customHeight="false" outlineLevel="0" collapsed="false">
      <c r="A484" s="11" t="s">
        <v>513</v>
      </c>
      <c r="B484" s="11" t="s">
        <v>92</v>
      </c>
      <c r="C484" s="11" t="s">
        <v>74</v>
      </c>
      <c r="D484" s="11" t="s">
        <v>132</v>
      </c>
      <c r="E484" s="11" t="s">
        <v>477</v>
      </c>
      <c r="F484" s="11" t="s">
        <v>514</v>
      </c>
      <c r="G484" s="11" t="s">
        <v>78</v>
      </c>
      <c r="H484" s="11" t="s">
        <v>79</v>
      </c>
      <c r="I484" s="11" t="s">
        <v>78</v>
      </c>
      <c r="J484" s="12" t="n">
        <v>4805000</v>
      </c>
      <c r="K484" s="13" t="n">
        <f aca="false">IFERROR(J484/M484,"")</f>
        <v>0.187563431961902</v>
      </c>
      <c r="L484" s="12" t="n">
        <v>20813000</v>
      </c>
      <c r="M484" s="14" t="n">
        <f aca="false">L484+J484</f>
        <v>25618000</v>
      </c>
      <c r="N484" s="12" t="n">
        <v>4805000</v>
      </c>
      <c r="O484" s="12" t="n">
        <v>35865359</v>
      </c>
      <c r="P484" s="12" t="n">
        <v>1503384</v>
      </c>
      <c r="Q484" s="13" t="n">
        <f aca="false">IFERROR(P484/P483-1,"")</f>
        <v>0.0647308576224253</v>
      </c>
      <c r="R484" s="12" t="n">
        <v>1726594</v>
      </c>
      <c r="S484" s="13" t="n">
        <f aca="false">IFERROR(R484/R483-1,"")</f>
        <v>0.100440215856821</v>
      </c>
      <c r="T484" s="12" t="n">
        <v>1167364</v>
      </c>
      <c r="U484" s="13" t="n">
        <f aca="false">IFERROR(T484/P484,"")</f>
        <v>0.776490903189072</v>
      </c>
      <c r="V484" s="14" t="n">
        <f aca="false">T484-AV484</f>
        <v>-981962</v>
      </c>
      <c r="W484" s="14" t="n">
        <f aca="false">V484-AA484*0.1</f>
        <v>-981962</v>
      </c>
      <c r="X484" s="12" t="n">
        <v>2182758</v>
      </c>
      <c r="Y484" s="12" t="n">
        <v>79540</v>
      </c>
      <c r="Z484" s="15" t="n">
        <f aca="false">IFERROR(X484/Y484,"")</f>
        <v>27.4422680412371</v>
      </c>
      <c r="AA484" s="12" t="n">
        <v>0</v>
      </c>
      <c r="AB484" s="14" t="n">
        <f aca="false">W484-0.02*P484</f>
        <v>-1012029.68</v>
      </c>
      <c r="AC484" s="16" t="n">
        <v>19</v>
      </c>
      <c r="AD484" s="13" t="n">
        <f aca="false">IFERROR(AC484/AC483-1,"")</f>
        <v>0</v>
      </c>
      <c r="AE484" s="17" t="n">
        <v>0.074</v>
      </c>
      <c r="AF484" s="17" t="n">
        <v>0.056</v>
      </c>
      <c r="AG484" s="13" t="n">
        <f aca="false">1-AF484</f>
        <v>0.944</v>
      </c>
      <c r="AH484" s="17" t="n">
        <v>1.096</v>
      </c>
      <c r="AI484" s="12" t="n">
        <v>26214</v>
      </c>
      <c r="AJ484" s="14" t="n">
        <f aca="false">IFERROR(AM484*U484*MIN(1/AE484,5),"")</f>
        <v>96906.0647179962</v>
      </c>
      <c r="AK484" s="18" t="n">
        <f aca="false">IFERROR(AJ484/AI484,"")</f>
        <v>3.69672940863646</v>
      </c>
      <c r="AL484" s="15" t="n">
        <f aca="false">IFERROR(AI484/(AM484*U484/12),"")</f>
        <v>16.2305631188005</v>
      </c>
      <c r="AM484" s="12" t="n">
        <v>24960</v>
      </c>
      <c r="AN484" s="12" t="n">
        <v>2532568</v>
      </c>
      <c r="AO484" s="12" t="n">
        <v>4760552</v>
      </c>
      <c r="AP484" s="17" t="n">
        <v>0.195</v>
      </c>
      <c r="AQ484" s="16" t="n">
        <v>50</v>
      </c>
      <c r="AR484" s="16" t="n">
        <v>2</v>
      </c>
      <c r="AS484" s="13" t="n">
        <f aca="false">IFERROR(AR484/AR483-1,"")</f>
        <v>0</v>
      </c>
      <c r="AT484" s="11" t="s">
        <v>98</v>
      </c>
      <c r="AU484" s="14" t="n">
        <f aca="false">IFERROR(P484/AR484,"")</f>
        <v>751692</v>
      </c>
      <c r="AV484" s="12" t="n">
        <v>2149326</v>
      </c>
      <c r="AW484" s="12" t="n">
        <v>1052485</v>
      </c>
      <c r="AX484" s="12" t="n">
        <v>554079</v>
      </c>
      <c r="AY484" s="16" t="n">
        <v>24867</v>
      </c>
      <c r="AZ484" s="13" t="n">
        <f aca="false">IFERROR(AY484/AY483-1,"")</f>
        <v>0.0730097087378641</v>
      </c>
      <c r="BA484" s="17" t="n">
        <v>0.919</v>
      </c>
      <c r="BB484" s="11" t="s">
        <v>99</v>
      </c>
      <c r="BC484" s="11" t="s">
        <v>126</v>
      </c>
      <c r="BD484" s="11" t="s">
        <v>157</v>
      </c>
      <c r="BE484" s="12" t="n">
        <v>1699567</v>
      </c>
      <c r="BF484" s="13" t="n">
        <f aca="false">IFERROR(P484/BE484-1,"")</f>
        <v>-0.115431165702794</v>
      </c>
      <c r="BG484" s="17" t="n">
        <v>0.069</v>
      </c>
      <c r="BH484" s="17" t="n">
        <v>0.092</v>
      </c>
      <c r="BI484" s="14" t="n">
        <f aca="false">P484*(1+IFERROR(Q484,0))^4</f>
        <v>1932098.60575717</v>
      </c>
      <c r="BJ484" s="12" t="n">
        <v>-674307</v>
      </c>
      <c r="BK484" s="11" t="s">
        <v>110</v>
      </c>
      <c r="BL484" s="11" t="s">
        <v>162</v>
      </c>
      <c r="BM484" s="14" t="n">
        <f aca="false">O484</f>
        <v>35865359</v>
      </c>
      <c r="BN484" s="11" t="s">
        <v>515</v>
      </c>
      <c r="BO484" s="13" t="n">
        <f aca="false">IFERROR(1-L484/M484,"")</f>
        <v>0.187563431961902</v>
      </c>
      <c r="BP484" s="11" t="s">
        <v>142</v>
      </c>
      <c r="BQ484" s="12" t="n">
        <v>1266109</v>
      </c>
      <c r="BR484" s="11" t="s">
        <v>88</v>
      </c>
      <c r="BS484" s="11" t="s">
        <v>89</v>
      </c>
      <c r="BT484" s="19" t="str">
        <f aca="false">IF(OR(Z484&lt;6,AH484&lt;0.9,S484&lt;0.02,AK484&lt;1),"REVIEW",IF(AND(S484&gt;0.25,AH484&gt;1.2),"ACCELERATING","STABLE"))</f>
        <v>STABLE</v>
      </c>
    </row>
    <row r="485" customFormat="false" ht="15" hidden="false" customHeight="false" outlineLevel="0" collapsed="false">
      <c r="A485" s="11" t="s">
        <v>513</v>
      </c>
      <c r="B485" s="11" t="s">
        <v>93</v>
      </c>
      <c r="C485" s="11" t="s">
        <v>74</v>
      </c>
      <c r="D485" s="11" t="s">
        <v>132</v>
      </c>
      <c r="E485" s="11" t="s">
        <v>477</v>
      </c>
      <c r="F485" s="11" t="s">
        <v>514</v>
      </c>
      <c r="G485" s="11" t="s">
        <v>78</v>
      </c>
      <c r="H485" s="11" t="s">
        <v>79</v>
      </c>
      <c r="I485" s="11" t="s">
        <v>78</v>
      </c>
      <c r="J485" s="12" t="n">
        <v>4805000</v>
      </c>
      <c r="K485" s="13" t="n">
        <f aca="false">IFERROR(J485/M485,"")</f>
        <v>0.187563431961902</v>
      </c>
      <c r="L485" s="12" t="n">
        <v>20813000</v>
      </c>
      <c r="M485" s="14" t="n">
        <f aca="false">L485+J485</f>
        <v>25618000</v>
      </c>
      <c r="N485" s="12" t="n">
        <v>4805000</v>
      </c>
      <c r="O485" s="12" t="n">
        <v>35865359</v>
      </c>
      <c r="P485" s="12" t="n">
        <v>1832565</v>
      </c>
      <c r="Q485" s="13" t="n">
        <f aca="false">IFERROR(P485/P484-1,"")</f>
        <v>0.218960026180936</v>
      </c>
      <c r="R485" s="12" t="n">
        <v>2000628</v>
      </c>
      <c r="S485" s="13" t="n">
        <f aca="false">IFERROR(R485/R484-1,"")</f>
        <v>0.158713629260845</v>
      </c>
      <c r="T485" s="12" t="n">
        <v>1428685</v>
      </c>
      <c r="U485" s="13" t="n">
        <f aca="false">IFERROR(T485/P485,"")</f>
        <v>0.779609454507753</v>
      </c>
      <c r="V485" s="14" t="n">
        <f aca="false">T485-AV485</f>
        <v>-991221</v>
      </c>
      <c r="W485" s="14" t="n">
        <f aca="false">V485-AA485*0.1</f>
        <v>-991221</v>
      </c>
      <c r="X485" s="12" t="n">
        <v>1968000</v>
      </c>
      <c r="Y485" s="12" t="n">
        <v>82000</v>
      </c>
      <c r="Z485" s="15" t="n">
        <f aca="false">IFERROR(X485/Y485,"")</f>
        <v>24</v>
      </c>
      <c r="AA485" s="12" t="n">
        <v>0</v>
      </c>
      <c r="AB485" s="14" t="n">
        <f aca="false">W485-0.02*P485</f>
        <v>-1027872.3</v>
      </c>
      <c r="AC485" s="16" t="n">
        <v>22</v>
      </c>
      <c r="AD485" s="13" t="n">
        <f aca="false">IFERROR(AC485/AC484-1,"")</f>
        <v>0.157894736842105</v>
      </c>
      <c r="AE485" s="17" t="n">
        <v>0.072</v>
      </c>
      <c r="AF485" s="17" t="n">
        <v>0.067</v>
      </c>
      <c r="AG485" s="13" t="n">
        <f aca="false">1-AF485</f>
        <v>0.933</v>
      </c>
      <c r="AH485" s="17" t="n">
        <v>1.091</v>
      </c>
      <c r="AI485" s="12" t="n">
        <v>25700</v>
      </c>
      <c r="AJ485" s="14" t="n">
        <f aca="false">IFERROR(AM485*U485*MIN(1/AE485,5),"")</f>
        <v>99166.3226133862</v>
      </c>
      <c r="AK485" s="18" t="n">
        <f aca="false">IFERROR(AJ485/AI485,"")</f>
        <v>3.85861177483993</v>
      </c>
      <c r="AL485" s="15" t="n">
        <f aca="false">IFERROR(AI485/(AM485*U485/12),"")</f>
        <v>15.5496337805295</v>
      </c>
      <c r="AM485" s="12" t="n">
        <v>25440</v>
      </c>
      <c r="AN485" s="12" t="n">
        <v>2958935</v>
      </c>
      <c r="AO485" s="12" t="n">
        <v>3141107</v>
      </c>
      <c r="AP485" s="17" t="n">
        <v>0.195</v>
      </c>
      <c r="AQ485" s="16" t="n">
        <v>50</v>
      </c>
      <c r="AR485" s="16" t="n">
        <v>2</v>
      </c>
      <c r="AS485" s="13" t="n">
        <f aca="false">IFERROR(AR485/AR484-1,"")</f>
        <v>0</v>
      </c>
      <c r="AT485" s="11" t="s">
        <v>98</v>
      </c>
      <c r="AU485" s="14" t="n">
        <f aca="false">IFERROR(P485/AR485,"")</f>
        <v>916282.5</v>
      </c>
      <c r="AV485" s="12" t="n">
        <v>2419906</v>
      </c>
      <c r="AW485" s="12" t="n">
        <v>728891</v>
      </c>
      <c r="AX485" s="12" t="n">
        <v>643733</v>
      </c>
      <c r="AY485" s="16" t="n">
        <v>26932</v>
      </c>
      <c r="AZ485" s="13" t="n">
        <f aca="false">IFERROR(AY485/AY484-1,"")</f>
        <v>0.0830417822817389</v>
      </c>
      <c r="BA485" s="17" t="n">
        <v>0.949</v>
      </c>
      <c r="BB485" s="11" t="s">
        <v>99</v>
      </c>
      <c r="BC485" s="11" t="s">
        <v>126</v>
      </c>
      <c r="BD485" s="11" t="s">
        <v>157</v>
      </c>
      <c r="BE485" s="12" t="n">
        <v>2029798</v>
      </c>
      <c r="BF485" s="13" t="n">
        <f aca="false">IFERROR(P485/BE485-1,"")</f>
        <v>-0.0971687823123286</v>
      </c>
      <c r="BG485" s="17" t="n">
        <v>0.057</v>
      </c>
      <c r="BH485" s="17" t="n">
        <v>-0.066</v>
      </c>
      <c r="BI485" s="14" t="n">
        <f aca="false">P485*(1+IFERROR(Q485,0))^4</f>
        <v>4045919.55297102</v>
      </c>
      <c r="BJ485" s="12" t="n">
        <v>-905279</v>
      </c>
      <c r="BK485" s="11" t="s">
        <v>110</v>
      </c>
      <c r="BL485" s="11" t="s">
        <v>162</v>
      </c>
      <c r="BM485" s="14" t="n">
        <f aca="false">O485</f>
        <v>35865359</v>
      </c>
      <c r="BN485" s="11" t="s">
        <v>515</v>
      </c>
      <c r="BO485" s="13" t="n">
        <f aca="false">IFERROR(1-L485/M485,"")</f>
        <v>0.187563431961902</v>
      </c>
      <c r="BP485" s="11" t="s">
        <v>142</v>
      </c>
      <c r="BQ485" s="12" t="n">
        <v>1566515</v>
      </c>
      <c r="BR485" s="11" t="s">
        <v>88</v>
      </c>
      <c r="BS485" s="11" t="s">
        <v>89</v>
      </c>
      <c r="BT485" s="19" t="str">
        <f aca="false">IF(OR(Z485&lt;6,AH485&lt;0.9,S485&lt;0.02,AK485&lt;1),"REVIEW",IF(AND(S485&gt;0.25,AH485&gt;1.2),"ACCELERATING","STABLE"))</f>
        <v>STABLE</v>
      </c>
    </row>
    <row r="486" customFormat="false" ht="15" hidden="false" customHeight="false" outlineLevel="0" collapsed="false">
      <c r="A486" s="3" t="s">
        <v>516</v>
      </c>
      <c r="B486" s="3" t="s">
        <v>73</v>
      </c>
      <c r="C486" s="3" t="s">
        <v>74</v>
      </c>
      <c r="D486" s="3" t="s">
        <v>132</v>
      </c>
      <c r="E486" s="3" t="s">
        <v>517</v>
      </c>
      <c r="F486" s="3" t="s">
        <v>518</v>
      </c>
      <c r="G486" s="3" t="s">
        <v>78</v>
      </c>
      <c r="H486" s="3" t="s">
        <v>79</v>
      </c>
      <c r="I486" s="3" t="s">
        <v>78</v>
      </c>
      <c r="J486" s="4" t="n">
        <v>4195000</v>
      </c>
      <c r="K486" s="5" t="n">
        <f aca="false">IFERROR(J486/M486,"")</f>
        <v>0.182470639408438</v>
      </c>
      <c r="L486" s="4" t="n">
        <v>18795000</v>
      </c>
      <c r="M486" s="6" t="n">
        <f aca="false">L486+J486</f>
        <v>22990000</v>
      </c>
      <c r="N486" s="4" t="n">
        <v>6902000</v>
      </c>
      <c r="O486" s="4" t="n">
        <v>18182999</v>
      </c>
      <c r="P486" s="4" t="n">
        <v>1318216</v>
      </c>
      <c r="Q486" s="7"/>
      <c r="R486" s="4" t="n">
        <v>1590766</v>
      </c>
      <c r="S486" s="7"/>
      <c r="T486" s="4" t="n">
        <v>693941</v>
      </c>
      <c r="U486" s="5" t="n">
        <f aca="false">IFERROR(T486/P486,"")</f>
        <v>0.526424349272047</v>
      </c>
      <c r="V486" s="6" t="n">
        <f aca="false">T486-AV486</f>
        <v>-1566394</v>
      </c>
      <c r="W486" s="6" t="n">
        <f aca="false">V486-AA486*0.1</f>
        <v>-1673894</v>
      </c>
      <c r="X486" s="4" t="n">
        <v>1686325</v>
      </c>
      <c r="Y486" s="4" t="n">
        <v>122180</v>
      </c>
      <c r="Z486" s="8" t="n">
        <f aca="false">IFERROR(X486/Y486,"")</f>
        <v>13.8019724995908</v>
      </c>
      <c r="AA486" s="4" t="n">
        <v>1075000</v>
      </c>
      <c r="AB486" s="6" t="n">
        <f aca="false">W486-0.02*P486</f>
        <v>-1700258.32</v>
      </c>
      <c r="AC486" s="9" t="n">
        <v>30</v>
      </c>
      <c r="AD486" s="7"/>
      <c r="AE486" s="7" t="n">
        <v>0.193</v>
      </c>
      <c r="AF486" s="7" t="n">
        <v>0.134</v>
      </c>
      <c r="AG486" s="5" t="n">
        <f aca="false">1-AF486</f>
        <v>0.866</v>
      </c>
      <c r="AH486" s="7" t="n">
        <v>0.875</v>
      </c>
      <c r="AI486" s="4" t="n">
        <v>34352</v>
      </c>
      <c r="AJ486" s="6" t="n">
        <f aca="false">IFERROR(AM486*U486*MIN(1/AE486,5),"")</f>
        <v>65803.0436590058</v>
      </c>
      <c r="AK486" s="10" t="n">
        <f aca="false">IFERROR(AJ486/AI486,"")</f>
        <v>1.91555203944474</v>
      </c>
      <c r="AL486" s="8" t="n">
        <f aca="false">IFERROR(AI486/(AM486*U486/12),"")</f>
        <v>31.3225632948046</v>
      </c>
      <c r="AM486" s="4" t="n">
        <v>25000</v>
      </c>
      <c r="AN486" s="4" t="n">
        <v>1680525</v>
      </c>
      <c r="AO486" s="4" t="n">
        <v>4886591</v>
      </c>
      <c r="AP486" s="7" t="n">
        <v>0.237</v>
      </c>
      <c r="AQ486" s="9" t="n">
        <v>90</v>
      </c>
      <c r="AR486" s="9" t="n">
        <v>2</v>
      </c>
      <c r="AS486" s="7"/>
      <c r="AT486" s="3" t="s">
        <v>118</v>
      </c>
      <c r="AU486" s="6" t="n">
        <f aca="false">IFERROR(P486/AR486,"")</f>
        <v>659108</v>
      </c>
      <c r="AV486" s="4" t="n">
        <v>2260335</v>
      </c>
      <c r="AW486" s="4" t="n">
        <v>702104</v>
      </c>
      <c r="AX486" s="4" t="n">
        <v>617557</v>
      </c>
      <c r="AY486" s="9" t="n">
        <v>20682</v>
      </c>
      <c r="AZ486" s="7"/>
      <c r="BA486" s="7" t="n">
        <v>0.858</v>
      </c>
      <c r="BB486" s="3" t="s">
        <v>171</v>
      </c>
      <c r="BC486" s="3" t="s">
        <v>120</v>
      </c>
      <c r="BD486" s="3" t="s">
        <v>83</v>
      </c>
      <c r="BE486" s="4" t="n">
        <v>1685441</v>
      </c>
      <c r="BF486" s="5" t="n">
        <f aca="false">IFERROR(P486/BE486-1,"")</f>
        <v>-0.217880661500462</v>
      </c>
      <c r="BG486" s="7" t="n">
        <v>0.183</v>
      </c>
      <c r="BH486" s="7" t="n">
        <v>0.237</v>
      </c>
      <c r="BI486" s="6" t="n">
        <f aca="false">P486</f>
        <v>1318216</v>
      </c>
      <c r="BJ486" s="4" t="n">
        <v>-753597</v>
      </c>
      <c r="BK486" s="3" t="s">
        <v>147</v>
      </c>
      <c r="BL486" s="3" t="s">
        <v>140</v>
      </c>
      <c r="BM486" s="6" t="n">
        <f aca="false">O486</f>
        <v>18182999</v>
      </c>
      <c r="BN486" s="3" t="s">
        <v>519</v>
      </c>
      <c r="BO486" s="5" t="n">
        <f aca="false">IFERROR(1-L486/M486,"")</f>
        <v>0.182470639408438</v>
      </c>
      <c r="BP486" s="3" t="s">
        <v>87</v>
      </c>
      <c r="BQ486" s="4" t="n">
        <v>1571298</v>
      </c>
      <c r="BR486" s="3" t="s">
        <v>88</v>
      </c>
      <c r="BS486" s="3" t="s">
        <v>89</v>
      </c>
      <c r="BT486" s="3" t="s">
        <v>90</v>
      </c>
    </row>
    <row r="487" customFormat="false" ht="15" hidden="false" customHeight="false" outlineLevel="0" collapsed="false">
      <c r="A487" s="11" t="s">
        <v>516</v>
      </c>
      <c r="B487" s="11" t="s">
        <v>91</v>
      </c>
      <c r="C487" s="11" t="s">
        <v>74</v>
      </c>
      <c r="D487" s="11" t="s">
        <v>132</v>
      </c>
      <c r="E487" s="11" t="s">
        <v>517</v>
      </c>
      <c r="F487" s="11" t="s">
        <v>518</v>
      </c>
      <c r="G487" s="11" t="s">
        <v>78</v>
      </c>
      <c r="H487" s="11" t="s">
        <v>79</v>
      </c>
      <c r="I487" s="11" t="s">
        <v>78</v>
      </c>
      <c r="J487" s="12" t="n">
        <v>4195000</v>
      </c>
      <c r="K487" s="13" t="n">
        <f aca="false">IFERROR(J487/M487,"")</f>
        <v>0.182470639408438</v>
      </c>
      <c r="L487" s="12" t="n">
        <v>18795000</v>
      </c>
      <c r="M487" s="14" t="n">
        <f aca="false">L487+J487</f>
        <v>22990000</v>
      </c>
      <c r="N487" s="12" t="n">
        <v>6902000</v>
      </c>
      <c r="O487" s="12" t="n">
        <v>18182999</v>
      </c>
      <c r="P487" s="12" t="n">
        <v>1231388</v>
      </c>
      <c r="Q487" s="13" t="n">
        <f aca="false">IFERROR(P487/P486-1,"")</f>
        <v>-0.0658678092209472</v>
      </c>
      <c r="R487" s="12" t="n">
        <v>1484817</v>
      </c>
      <c r="S487" s="13" t="n">
        <f aca="false">IFERROR(R487/R486-1,"")</f>
        <v>-0.0666025047052804</v>
      </c>
      <c r="T487" s="12" t="n">
        <v>636001</v>
      </c>
      <c r="U487" s="13" t="n">
        <f aca="false">IFERROR(T487/P487,"")</f>
        <v>0.516491146576059</v>
      </c>
      <c r="V487" s="14" t="n">
        <f aca="false">T487-AV487</f>
        <v>-1576082</v>
      </c>
      <c r="W487" s="14" t="n">
        <f aca="false">V487-AA487*0.1</f>
        <v>-1683582</v>
      </c>
      <c r="X487" s="12" t="n">
        <v>1342135</v>
      </c>
      <c r="Y487" s="12" t="n">
        <v>131120</v>
      </c>
      <c r="Z487" s="15" t="n">
        <f aca="false">IFERROR(X487/Y487,"")</f>
        <v>10.2359289200732</v>
      </c>
      <c r="AA487" s="12" t="n">
        <v>1075000</v>
      </c>
      <c r="AB487" s="14" t="n">
        <f aca="false">W487-0.02*P487</f>
        <v>-1708209.76</v>
      </c>
      <c r="AC487" s="16" t="n">
        <v>28</v>
      </c>
      <c r="AD487" s="13" t="n">
        <f aca="false">IFERROR(AC487/AC486-1,"")</f>
        <v>-0.0666666666666667</v>
      </c>
      <c r="AE487" s="17" t="n">
        <v>0.23</v>
      </c>
      <c r="AF487" s="17" t="n">
        <v>0.148</v>
      </c>
      <c r="AG487" s="13" t="n">
        <f aca="false">1-AF487</f>
        <v>0.852</v>
      </c>
      <c r="AH487" s="17" t="n">
        <v>0.835</v>
      </c>
      <c r="AI487" s="12" t="n">
        <v>37968</v>
      </c>
      <c r="AJ487" s="14" t="n">
        <f aca="false">IFERROR(AM487*U487*MIN(1/AE487,5),"")</f>
        <v>57263.1488595196</v>
      </c>
      <c r="AK487" s="18" t="n">
        <f aca="false">IFERROR(AJ487/AI487,"")</f>
        <v>1.50819502895911</v>
      </c>
      <c r="AL487" s="15" t="n">
        <f aca="false">IFERROR(AI487/(AM487*U487/12),"")</f>
        <v>34.5936115964302</v>
      </c>
      <c r="AM487" s="12" t="n">
        <v>25500</v>
      </c>
      <c r="AN487" s="12" t="n">
        <v>2013947</v>
      </c>
      <c r="AO487" s="12" t="n">
        <v>5339423</v>
      </c>
      <c r="AP487" s="17" t="n">
        <v>0.237</v>
      </c>
      <c r="AQ487" s="16" t="n">
        <v>90</v>
      </c>
      <c r="AR487" s="16" t="n">
        <v>2</v>
      </c>
      <c r="AS487" s="13" t="n">
        <f aca="false">IFERROR(AR487/AR486-1,"")</f>
        <v>0</v>
      </c>
      <c r="AT487" s="11" t="s">
        <v>118</v>
      </c>
      <c r="AU487" s="14" t="n">
        <f aca="false">IFERROR(P487/AR487,"")</f>
        <v>615694</v>
      </c>
      <c r="AV487" s="12" t="n">
        <v>2212083</v>
      </c>
      <c r="AW487" s="12" t="n">
        <v>677040</v>
      </c>
      <c r="AX487" s="12" t="n">
        <v>712737</v>
      </c>
      <c r="AY487" s="16" t="n">
        <v>19095</v>
      </c>
      <c r="AZ487" s="13" t="n">
        <f aca="false">IFERROR(AY487/AY486-1,"")</f>
        <v>-0.0767333913548013</v>
      </c>
      <c r="BA487" s="17" t="n">
        <v>0.806</v>
      </c>
      <c r="BB487" s="11" t="s">
        <v>171</v>
      </c>
      <c r="BC487" s="11" t="s">
        <v>120</v>
      </c>
      <c r="BD487" s="11" t="s">
        <v>83</v>
      </c>
      <c r="BE487" s="12" t="n">
        <v>1637874</v>
      </c>
      <c r="BF487" s="13" t="n">
        <f aca="false">IFERROR(P487/BE487-1,"")</f>
        <v>-0.248179041855478</v>
      </c>
      <c r="BG487" s="17" t="n">
        <v>0.235</v>
      </c>
      <c r="BH487" s="17" t="n">
        <v>0.305</v>
      </c>
      <c r="BI487" s="14" t="n">
        <f aca="false">P487*(1+IFERROR(Q487,0))^4</f>
        <v>937623.039986635</v>
      </c>
      <c r="BJ487" s="12" t="n">
        <v>-1438469</v>
      </c>
      <c r="BK487" s="11" t="s">
        <v>147</v>
      </c>
      <c r="BL487" s="11" t="s">
        <v>140</v>
      </c>
      <c r="BM487" s="14" t="n">
        <f aca="false">O487</f>
        <v>18182999</v>
      </c>
      <c r="BN487" s="11" t="s">
        <v>519</v>
      </c>
      <c r="BO487" s="13" t="n">
        <f aca="false">IFERROR(1-L487/M487,"")</f>
        <v>0.182470639408438</v>
      </c>
      <c r="BP487" s="11" t="s">
        <v>87</v>
      </c>
      <c r="BQ487" s="12" t="n">
        <v>2039872</v>
      </c>
      <c r="BR487" s="11" t="s">
        <v>88</v>
      </c>
      <c r="BS487" s="11" t="s">
        <v>89</v>
      </c>
      <c r="BT487" s="19" t="str">
        <f aca="false">IF(OR(Z487&lt;6,AH487&lt;0.9,S487&lt;0.02,AK487&lt;1),"REVIEW",IF(AND(S487&gt;0.25,AH487&gt;1.2),"ACCELERATING","STABLE"))</f>
        <v>REVIEW</v>
      </c>
    </row>
    <row r="488" customFormat="false" ht="15" hidden="false" customHeight="false" outlineLevel="0" collapsed="false">
      <c r="A488" s="11" t="s">
        <v>516</v>
      </c>
      <c r="B488" s="11" t="s">
        <v>92</v>
      </c>
      <c r="C488" s="11" t="s">
        <v>74</v>
      </c>
      <c r="D488" s="11" t="s">
        <v>132</v>
      </c>
      <c r="E488" s="11" t="s">
        <v>517</v>
      </c>
      <c r="F488" s="11" t="s">
        <v>518</v>
      </c>
      <c r="G488" s="11" t="s">
        <v>78</v>
      </c>
      <c r="H488" s="11" t="s">
        <v>79</v>
      </c>
      <c r="I488" s="11" t="s">
        <v>78</v>
      </c>
      <c r="J488" s="12" t="n">
        <v>4195000</v>
      </c>
      <c r="K488" s="13" t="n">
        <f aca="false">IFERROR(J488/M488,"")</f>
        <v>0.182470639408438</v>
      </c>
      <c r="L488" s="12" t="n">
        <v>18795000</v>
      </c>
      <c r="M488" s="14" t="n">
        <f aca="false">L488+J488</f>
        <v>22990000</v>
      </c>
      <c r="N488" s="12" t="n">
        <v>6902000</v>
      </c>
      <c r="O488" s="12" t="n">
        <v>18182999</v>
      </c>
      <c r="P488" s="12" t="n">
        <v>1139332</v>
      </c>
      <c r="Q488" s="13" t="n">
        <f aca="false">IFERROR(P488/P487-1,"")</f>
        <v>-0.0747579154580035</v>
      </c>
      <c r="R488" s="12" t="n">
        <v>1368683</v>
      </c>
      <c r="S488" s="13" t="n">
        <f aca="false">IFERROR(R488/R487-1,"")</f>
        <v>-0.0782143523410629</v>
      </c>
      <c r="T488" s="12" t="n">
        <v>577138</v>
      </c>
      <c r="U488" s="13" t="n">
        <f aca="false">IFERROR(T488/P488,"")</f>
        <v>0.506558228856909</v>
      </c>
      <c r="V488" s="14" t="n">
        <f aca="false">T488-AV488</f>
        <v>-1602616</v>
      </c>
      <c r="W488" s="14" t="n">
        <f aca="false">V488-AA488*0.1</f>
        <v>-1710116</v>
      </c>
      <c r="X488" s="12" t="n">
        <v>938941</v>
      </c>
      <c r="Y488" s="12" t="n">
        <v>140060</v>
      </c>
      <c r="Z488" s="15" t="n">
        <f aca="false">IFERROR(X488/Y488,"")</f>
        <v>6.70384835070684</v>
      </c>
      <c r="AA488" s="12" t="n">
        <v>1075000</v>
      </c>
      <c r="AB488" s="14" t="n">
        <f aca="false">W488-0.02*P488</f>
        <v>-1732902.64</v>
      </c>
      <c r="AC488" s="16" t="n">
        <v>26</v>
      </c>
      <c r="AD488" s="13" t="n">
        <f aca="false">IFERROR(AC488/AC487-1,"")</f>
        <v>-0.0714285714285714</v>
      </c>
      <c r="AE488" s="17" t="n">
        <v>0.266</v>
      </c>
      <c r="AF488" s="17" t="n">
        <v>0.244</v>
      </c>
      <c r="AG488" s="13" t="n">
        <f aca="false">1-AF488</f>
        <v>0.756</v>
      </c>
      <c r="AH488" s="17" t="n">
        <v>0.795</v>
      </c>
      <c r="AI488" s="12" t="n">
        <v>41584</v>
      </c>
      <c r="AJ488" s="14" t="n">
        <f aca="false">IFERROR(AM488*U488*MIN(1/AE488,5),"")</f>
        <v>49513.2103393971</v>
      </c>
      <c r="AK488" s="18" t="n">
        <f aca="false">IFERROR(AJ488/AI488,"")</f>
        <v>1.19067935598781</v>
      </c>
      <c r="AL488" s="15" t="n">
        <f aca="false">IFERROR(AI488/(AM488*U488/12),"")</f>
        <v>37.8882708665598</v>
      </c>
      <c r="AM488" s="12" t="n">
        <v>26000</v>
      </c>
      <c r="AN488" s="12" t="n">
        <v>1795973</v>
      </c>
      <c r="AO488" s="12" t="n">
        <v>4238989</v>
      </c>
      <c r="AP488" s="17" t="n">
        <v>0.237</v>
      </c>
      <c r="AQ488" s="16" t="n">
        <v>90</v>
      </c>
      <c r="AR488" s="16" t="n">
        <v>2</v>
      </c>
      <c r="AS488" s="13" t="n">
        <f aca="false">IFERROR(AR488/AR487-1,"")</f>
        <v>0</v>
      </c>
      <c r="AT488" s="11" t="s">
        <v>118</v>
      </c>
      <c r="AU488" s="14" t="n">
        <f aca="false">IFERROR(P488/AR488,"")</f>
        <v>569666</v>
      </c>
      <c r="AV488" s="12" t="n">
        <v>2179754</v>
      </c>
      <c r="AW488" s="12" t="n">
        <v>1078387</v>
      </c>
      <c r="AX488" s="12" t="n">
        <v>587900</v>
      </c>
      <c r="AY488" s="16" t="n">
        <v>18263</v>
      </c>
      <c r="AZ488" s="13" t="n">
        <f aca="false">IFERROR(AY488/AY487-1,"")</f>
        <v>-0.0435716156061796</v>
      </c>
      <c r="BA488" s="17" t="n">
        <v>0.737</v>
      </c>
      <c r="BB488" s="11" t="s">
        <v>171</v>
      </c>
      <c r="BC488" s="11" t="s">
        <v>120</v>
      </c>
      <c r="BD488" s="11" t="s">
        <v>83</v>
      </c>
      <c r="BE488" s="12" t="n">
        <v>1514279</v>
      </c>
      <c r="BF488" s="13" t="n">
        <f aca="false">IFERROR(P488/BE488-1,"")</f>
        <v>-0.247607607316749</v>
      </c>
      <c r="BG488" s="17" t="n">
        <v>0.292</v>
      </c>
      <c r="BH488" s="17" t="n">
        <v>0.31</v>
      </c>
      <c r="BI488" s="14" t="n">
        <f aca="false">P488*(1+IFERROR(Q488,0))^4</f>
        <v>834971.801784671</v>
      </c>
      <c r="BJ488" s="12" t="n">
        <v>-1510624</v>
      </c>
      <c r="BK488" s="11" t="s">
        <v>147</v>
      </c>
      <c r="BL488" s="11" t="s">
        <v>140</v>
      </c>
      <c r="BM488" s="14" t="n">
        <f aca="false">O488</f>
        <v>18182999</v>
      </c>
      <c r="BN488" s="11" t="s">
        <v>519</v>
      </c>
      <c r="BO488" s="13" t="n">
        <f aca="false">IFERROR(1-L488/M488,"")</f>
        <v>0.182470639408438</v>
      </c>
      <c r="BP488" s="11" t="s">
        <v>87</v>
      </c>
      <c r="BQ488" s="12" t="n">
        <v>2023898</v>
      </c>
      <c r="BR488" s="11" t="s">
        <v>88</v>
      </c>
      <c r="BS488" s="11" t="s">
        <v>89</v>
      </c>
      <c r="BT488" s="19" t="str">
        <f aca="false">IF(OR(Z488&lt;6,AH488&lt;0.9,S488&lt;0.02,AK488&lt;1),"REVIEW",IF(AND(S488&gt;0.25,AH488&gt;1.2),"ACCELERATING","STABLE"))</f>
        <v>REVIEW</v>
      </c>
    </row>
    <row r="489" customFormat="false" ht="15" hidden="false" customHeight="false" outlineLevel="0" collapsed="false">
      <c r="A489" s="11" t="s">
        <v>516</v>
      </c>
      <c r="B489" s="11" t="s">
        <v>93</v>
      </c>
      <c r="C489" s="11" t="s">
        <v>74</v>
      </c>
      <c r="D489" s="11" t="s">
        <v>132</v>
      </c>
      <c r="E489" s="11" t="s">
        <v>517</v>
      </c>
      <c r="F489" s="11" t="s">
        <v>518</v>
      </c>
      <c r="G489" s="11" t="s">
        <v>78</v>
      </c>
      <c r="H489" s="11" t="s">
        <v>79</v>
      </c>
      <c r="I489" s="11" t="s">
        <v>78</v>
      </c>
      <c r="J489" s="12" t="n">
        <v>4195000</v>
      </c>
      <c r="K489" s="13" t="n">
        <f aca="false">IFERROR(J489/M489,"")</f>
        <v>0.182470639408438</v>
      </c>
      <c r="L489" s="12" t="n">
        <v>18795000</v>
      </c>
      <c r="M489" s="14" t="n">
        <f aca="false">L489+J489</f>
        <v>22990000</v>
      </c>
      <c r="N489" s="12" t="n">
        <v>6902000</v>
      </c>
      <c r="O489" s="12" t="n">
        <v>18182999</v>
      </c>
      <c r="P489" s="12" t="n">
        <v>1040963</v>
      </c>
      <c r="Q489" s="13" t="n">
        <f aca="false">IFERROR(P489/P488-1,"")</f>
        <v>-0.0863391882260833</v>
      </c>
      <c r="R489" s="12" t="n">
        <v>1266991</v>
      </c>
      <c r="S489" s="13" t="n">
        <f aca="false">IFERROR(R489/R488-1,"")</f>
        <v>-0.0742991620411739</v>
      </c>
      <c r="T489" s="12" t="n">
        <v>516969</v>
      </c>
      <c r="U489" s="13" t="n">
        <f aca="false">IFERROR(T489/P489,"")</f>
        <v>0.496625720606784</v>
      </c>
      <c r="V489" s="14" t="n">
        <f aca="false">T489-AV489</f>
        <v>-1559861</v>
      </c>
      <c r="W489" s="14" t="n">
        <f aca="false">V489-AA489*0.1</f>
        <v>-1667361</v>
      </c>
      <c r="X489" s="12" t="n">
        <v>476743</v>
      </c>
      <c r="Y489" s="12" t="n">
        <v>149000</v>
      </c>
      <c r="Z489" s="15" t="n">
        <f aca="false">IFERROR(X489/Y489,"")</f>
        <v>3.19961744966443</v>
      </c>
      <c r="AA489" s="12" t="n">
        <v>1075000</v>
      </c>
      <c r="AB489" s="14" t="n">
        <f aca="false">W489-0.02*P489</f>
        <v>-1688180.26</v>
      </c>
      <c r="AC489" s="16" t="n">
        <v>25</v>
      </c>
      <c r="AD489" s="13" t="n">
        <f aca="false">IFERROR(AC489/AC488-1,"")</f>
        <v>-0.0384615384615384</v>
      </c>
      <c r="AE489" s="17" t="n">
        <v>0.302</v>
      </c>
      <c r="AF489" s="17" t="n">
        <v>0.243</v>
      </c>
      <c r="AG489" s="13" t="n">
        <f aca="false">1-AF489</f>
        <v>0.757</v>
      </c>
      <c r="AH489" s="17" t="n">
        <v>0.755</v>
      </c>
      <c r="AI489" s="12" t="n">
        <v>45200</v>
      </c>
      <c r="AJ489" s="14" t="n">
        <f aca="false">IFERROR(AM489*U489*MIN(1/AE489,5),"")</f>
        <v>43578.0847552311</v>
      </c>
      <c r="AK489" s="18" t="n">
        <f aca="false">IFERROR(AJ489/AI489,"")</f>
        <v>0.964116919363519</v>
      </c>
      <c r="AL489" s="15" t="n">
        <f aca="false">IFERROR(AI489/(AM489*U489/12),"")</f>
        <v>41.2139840507936</v>
      </c>
      <c r="AM489" s="12" t="n">
        <v>26500</v>
      </c>
      <c r="AN489" s="12" t="n">
        <v>1303437</v>
      </c>
      <c r="AO489" s="12" t="n">
        <v>4746818</v>
      </c>
      <c r="AP489" s="17" t="n">
        <v>0.237</v>
      </c>
      <c r="AQ489" s="16" t="n">
        <v>90</v>
      </c>
      <c r="AR489" s="16" t="n">
        <v>2</v>
      </c>
      <c r="AS489" s="13" t="n">
        <f aca="false">IFERROR(AR489/AR488-1,"")</f>
        <v>0</v>
      </c>
      <c r="AT489" s="11" t="s">
        <v>118</v>
      </c>
      <c r="AU489" s="14" t="n">
        <f aca="false">IFERROR(P489/AR489,"")</f>
        <v>520481.5</v>
      </c>
      <c r="AV489" s="12" t="n">
        <v>2076830</v>
      </c>
      <c r="AW489" s="12" t="n">
        <v>736522</v>
      </c>
      <c r="AX489" s="12" t="n">
        <v>481391</v>
      </c>
      <c r="AY489" s="16" t="n">
        <v>16981</v>
      </c>
      <c r="AZ489" s="13" t="n">
        <f aca="false">IFERROR(AY489/AY488-1,"")</f>
        <v>-0.0701965723046597</v>
      </c>
      <c r="BA489" s="17" t="n">
        <v>0.769</v>
      </c>
      <c r="BB489" s="11" t="s">
        <v>171</v>
      </c>
      <c r="BC489" s="11" t="s">
        <v>120</v>
      </c>
      <c r="BD489" s="11" t="s">
        <v>83</v>
      </c>
      <c r="BE489" s="12" t="n">
        <v>1464679</v>
      </c>
      <c r="BF489" s="13" t="n">
        <f aca="false">IFERROR(P489/BE489-1,"")</f>
        <v>-0.289289325510914</v>
      </c>
      <c r="BG489" s="17" t="n">
        <v>0.126</v>
      </c>
      <c r="BH489" s="17" t="n">
        <v>0.277</v>
      </c>
      <c r="BI489" s="14" t="n">
        <f aca="false">P489*(1+IFERROR(Q489,0))^4</f>
        <v>725396.21371498</v>
      </c>
      <c r="BJ489" s="12" t="n">
        <v>-1487837</v>
      </c>
      <c r="BK489" s="11" t="s">
        <v>147</v>
      </c>
      <c r="BL489" s="11" t="s">
        <v>140</v>
      </c>
      <c r="BM489" s="14" t="n">
        <f aca="false">O489</f>
        <v>18182999</v>
      </c>
      <c r="BN489" s="11" t="s">
        <v>519</v>
      </c>
      <c r="BO489" s="13" t="n">
        <f aca="false">IFERROR(1-L489/M489,"")</f>
        <v>0.182470639408438</v>
      </c>
      <c r="BP489" s="11" t="s">
        <v>87</v>
      </c>
      <c r="BQ489" s="12" t="n">
        <v>2682098</v>
      </c>
      <c r="BR489" s="11" t="s">
        <v>88</v>
      </c>
      <c r="BS489" s="11" t="s">
        <v>89</v>
      </c>
      <c r="BT489" s="19" t="str">
        <f aca="false">IF(OR(Z489&lt;6,AH489&lt;0.9,S489&lt;0.02,AK489&lt;1),"REVIEW",IF(AND(S489&gt;0.25,AH489&gt;1.2),"ACCELERATING","STABLE"))</f>
        <v>REVIEW</v>
      </c>
    </row>
    <row r="490" customFormat="false" ht="15" hidden="false" customHeight="false" outlineLevel="0" collapsed="false">
      <c r="A490" s="3" t="s">
        <v>520</v>
      </c>
      <c r="B490" s="3" t="s">
        <v>73</v>
      </c>
      <c r="C490" s="3" t="s">
        <v>74</v>
      </c>
      <c r="D490" s="3" t="s">
        <v>132</v>
      </c>
      <c r="E490" s="3" t="s">
        <v>105</v>
      </c>
      <c r="F490" s="3" t="s">
        <v>521</v>
      </c>
      <c r="G490" s="3" t="s">
        <v>78</v>
      </c>
      <c r="H490" s="3" t="s">
        <v>79</v>
      </c>
      <c r="I490" s="3" t="s">
        <v>78</v>
      </c>
      <c r="J490" s="4" t="n">
        <v>1573000</v>
      </c>
      <c r="K490" s="5" t="n">
        <f aca="false">IFERROR(J490/M490,"")</f>
        <v>0.0997526793075021</v>
      </c>
      <c r="L490" s="4" t="n">
        <v>14196000</v>
      </c>
      <c r="M490" s="6" t="n">
        <f aca="false">L490+J490</f>
        <v>15769000</v>
      </c>
      <c r="N490" s="4" t="n">
        <v>4859000</v>
      </c>
      <c r="O490" s="4" t="n">
        <v>28736652</v>
      </c>
      <c r="P490" s="4" t="n">
        <v>174386</v>
      </c>
      <c r="Q490" s="7"/>
      <c r="R490" s="4" t="n">
        <v>239303</v>
      </c>
      <c r="S490" s="7"/>
      <c r="T490" s="4" t="n">
        <v>99575</v>
      </c>
      <c r="U490" s="5" t="n">
        <f aca="false">IFERROR(T490/P490,"")</f>
        <v>0.571003406236739</v>
      </c>
      <c r="V490" s="6" t="n">
        <f aca="false">T490-AV490</f>
        <v>-1937035</v>
      </c>
      <c r="W490" s="6" t="n">
        <f aca="false">V490-AA490*0.1</f>
        <v>-1937035</v>
      </c>
      <c r="X490" s="4" t="n">
        <v>5528409</v>
      </c>
      <c r="Y490" s="4" t="n">
        <v>162890</v>
      </c>
      <c r="Z490" s="8" t="n">
        <f aca="false">IFERROR(X490/Y490,"")</f>
        <v>33.9395236048867</v>
      </c>
      <c r="AA490" s="4" t="n">
        <v>0</v>
      </c>
      <c r="AB490" s="6" t="n">
        <f aca="false">W490-0.02*P490</f>
        <v>-1940522.72</v>
      </c>
      <c r="AC490" s="9" t="n">
        <v>24</v>
      </c>
      <c r="AD490" s="7"/>
      <c r="AE490" s="7" t="n">
        <v>0.061</v>
      </c>
      <c r="AF490" s="7" t="n">
        <v>0.052</v>
      </c>
      <c r="AG490" s="5" t="n">
        <f aca="false">1-AF490</f>
        <v>0.948</v>
      </c>
      <c r="AH490" s="7" t="n">
        <v>1.038</v>
      </c>
      <c r="AI490" s="4" t="n">
        <v>69748</v>
      </c>
      <c r="AJ490" s="6" t="n">
        <f aca="false">IFERROR(AM490*U490*MIN(1/AE490,5),"")</f>
        <v>131330.78343445</v>
      </c>
      <c r="AK490" s="10" t="n">
        <f aca="false">IFERROR(AJ490/AI490,"")</f>
        <v>1.88293260644678</v>
      </c>
      <c r="AL490" s="8" t="n">
        <f aca="false">IFERROR(AI490/(AM490*U490/12),"")</f>
        <v>31.8651872056239</v>
      </c>
      <c r="AM490" s="4" t="n">
        <v>46000</v>
      </c>
      <c r="AN490" s="4" t="n">
        <v>276971</v>
      </c>
      <c r="AO490" s="4" t="n">
        <v>361999</v>
      </c>
      <c r="AP490" s="7" t="n">
        <v>0.261</v>
      </c>
      <c r="AQ490" s="9" t="n">
        <v>25</v>
      </c>
      <c r="AR490" s="9" t="n">
        <v>1</v>
      </c>
      <c r="AS490" s="7"/>
      <c r="AT490" s="3" t="s">
        <v>80</v>
      </c>
      <c r="AU490" s="6" t="n">
        <f aca="false">IFERROR(P490/AR490,"")</f>
        <v>174386</v>
      </c>
      <c r="AV490" s="4" t="n">
        <v>2036610</v>
      </c>
      <c r="AW490" s="4" t="n">
        <v>737874</v>
      </c>
      <c r="AX490" s="4" t="n">
        <v>593913</v>
      </c>
      <c r="AY490" s="9" t="n">
        <v>20601</v>
      </c>
      <c r="AZ490" s="7"/>
      <c r="BA490" s="7" t="n">
        <v>0.934</v>
      </c>
      <c r="BB490" s="3" t="s">
        <v>81</v>
      </c>
      <c r="BC490" s="3" t="s">
        <v>82</v>
      </c>
      <c r="BD490" s="3" t="s">
        <v>175</v>
      </c>
      <c r="BE490" s="4" t="n">
        <v>172322</v>
      </c>
      <c r="BF490" s="5" t="n">
        <f aca="false">IFERROR(P490/BE490-1,"")</f>
        <v>0.0119775768619212</v>
      </c>
      <c r="BG490" s="7" t="n">
        <v>0.026</v>
      </c>
      <c r="BH490" s="7" t="n">
        <v>-0.027</v>
      </c>
      <c r="BI490" s="6" t="n">
        <f aca="false">P490</f>
        <v>174386</v>
      </c>
      <c r="BJ490" s="4" t="n">
        <v>-1616757</v>
      </c>
      <c r="BK490" s="3" t="s">
        <v>110</v>
      </c>
      <c r="BL490" s="3" t="s">
        <v>111</v>
      </c>
      <c r="BM490" s="6" t="n">
        <f aca="false">O490</f>
        <v>28736652</v>
      </c>
      <c r="BN490" s="3" t="s">
        <v>522</v>
      </c>
      <c r="BO490" s="5" t="n">
        <f aca="false">IFERROR(1-L490/M490,"")</f>
        <v>0.0997526793075021</v>
      </c>
      <c r="BP490" s="3" t="s">
        <v>113</v>
      </c>
      <c r="BQ490" s="4" t="n">
        <v>2195732</v>
      </c>
      <c r="BR490" s="3" t="s">
        <v>88</v>
      </c>
      <c r="BS490" s="3" t="s">
        <v>89</v>
      </c>
      <c r="BT490" s="3" t="s">
        <v>90</v>
      </c>
    </row>
    <row r="491" customFormat="false" ht="15" hidden="false" customHeight="false" outlineLevel="0" collapsed="false">
      <c r="A491" s="11" t="s">
        <v>520</v>
      </c>
      <c r="B491" s="11" t="s">
        <v>91</v>
      </c>
      <c r="C491" s="11" t="s">
        <v>74</v>
      </c>
      <c r="D491" s="11" t="s">
        <v>132</v>
      </c>
      <c r="E491" s="11" t="s">
        <v>105</v>
      </c>
      <c r="F491" s="11" t="s">
        <v>521</v>
      </c>
      <c r="G491" s="11" t="s">
        <v>78</v>
      </c>
      <c r="H491" s="11" t="s">
        <v>79</v>
      </c>
      <c r="I491" s="11" t="s">
        <v>78</v>
      </c>
      <c r="J491" s="12" t="n">
        <v>1573000</v>
      </c>
      <c r="K491" s="13" t="n">
        <f aca="false">IFERROR(J491/M491,"")</f>
        <v>0.0997526793075021</v>
      </c>
      <c r="L491" s="12" t="n">
        <v>14196000</v>
      </c>
      <c r="M491" s="14" t="n">
        <f aca="false">L491+J491</f>
        <v>15769000</v>
      </c>
      <c r="N491" s="12" t="n">
        <v>4859000</v>
      </c>
      <c r="O491" s="12" t="n">
        <v>28736652</v>
      </c>
      <c r="P491" s="12" t="n">
        <v>198111</v>
      </c>
      <c r="Q491" s="13" t="n">
        <f aca="false">IFERROR(P491/P490-1,"")</f>
        <v>0.136048765382542</v>
      </c>
      <c r="R491" s="12" t="n">
        <v>243105</v>
      </c>
      <c r="S491" s="13" t="n">
        <f aca="false">IFERROR(R491/R490-1,"")</f>
        <v>0.0158878075076367</v>
      </c>
      <c r="T491" s="12" t="n">
        <v>113580</v>
      </c>
      <c r="U491" s="13" t="n">
        <f aca="false">IFERROR(T491/P491,"")</f>
        <v>0.573314959795266</v>
      </c>
      <c r="V491" s="14" t="n">
        <f aca="false">T491-AV491</f>
        <v>-1741223</v>
      </c>
      <c r="W491" s="14" t="n">
        <f aca="false">V491-AA491*0.1</f>
        <v>-1741223</v>
      </c>
      <c r="X491" s="12" t="n">
        <v>5117604</v>
      </c>
      <c r="Y491" s="12" t="n">
        <v>168260</v>
      </c>
      <c r="Z491" s="15" t="n">
        <f aca="false">IFERROR(X491/Y491,"")</f>
        <v>30.4148579579223</v>
      </c>
      <c r="AA491" s="12" t="n">
        <v>0</v>
      </c>
      <c r="AB491" s="14" t="n">
        <f aca="false">W491-0.02*P491</f>
        <v>-1745185.22</v>
      </c>
      <c r="AC491" s="16" t="n">
        <v>27</v>
      </c>
      <c r="AD491" s="13" t="n">
        <f aca="false">IFERROR(AC491/AC490-1,"")</f>
        <v>0.125</v>
      </c>
      <c r="AE491" s="17" t="n">
        <v>0.059</v>
      </c>
      <c r="AF491" s="17" t="n">
        <v>0.054</v>
      </c>
      <c r="AG491" s="13" t="n">
        <f aca="false">1-AF491</f>
        <v>0.946</v>
      </c>
      <c r="AH491" s="17" t="n">
        <v>1.033</v>
      </c>
      <c r="AI491" s="12" t="n">
        <v>68432</v>
      </c>
      <c r="AJ491" s="14" t="n">
        <f aca="false">IFERROR(AM491*U491*MIN(1/AE491,5),"")</f>
        <v>134499.689567969</v>
      </c>
      <c r="AK491" s="18" t="n">
        <f aca="false">IFERROR(AJ491/AI491,"")</f>
        <v>1.96545022165024</v>
      </c>
      <c r="AL491" s="15" t="n">
        <f aca="false">IFERROR(AI491/(AM491*U491/12),"")</f>
        <v>30.5273567038612</v>
      </c>
      <c r="AM491" s="12" t="n">
        <v>46920</v>
      </c>
      <c r="AN491" s="12" t="n">
        <v>286086</v>
      </c>
      <c r="AO491" s="12" t="n">
        <v>547124</v>
      </c>
      <c r="AP491" s="17" t="n">
        <v>0.261</v>
      </c>
      <c r="AQ491" s="16" t="n">
        <v>25</v>
      </c>
      <c r="AR491" s="16" t="n">
        <v>2</v>
      </c>
      <c r="AS491" s="13" t="n">
        <f aca="false">IFERROR(AR491/AR490-1,"")</f>
        <v>1</v>
      </c>
      <c r="AT491" s="11" t="s">
        <v>80</v>
      </c>
      <c r="AU491" s="14" t="n">
        <f aca="false">IFERROR(P491/AR491,"")</f>
        <v>99055.5</v>
      </c>
      <c r="AV491" s="12" t="n">
        <v>1854803</v>
      </c>
      <c r="AW491" s="12" t="n">
        <v>747015</v>
      </c>
      <c r="AX491" s="12" t="n">
        <v>567669</v>
      </c>
      <c r="AY491" s="16" t="n">
        <v>22362</v>
      </c>
      <c r="AZ491" s="13" t="n">
        <f aca="false">IFERROR(AY491/AY490-1,"")</f>
        <v>0.0854812873161497</v>
      </c>
      <c r="BA491" s="17" t="n">
        <v>0.955</v>
      </c>
      <c r="BB491" s="11" t="s">
        <v>81</v>
      </c>
      <c r="BC491" s="11" t="s">
        <v>82</v>
      </c>
      <c r="BD491" s="11" t="s">
        <v>175</v>
      </c>
      <c r="BE491" s="12" t="n">
        <v>196464</v>
      </c>
      <c r="BF491" s="13" t="n">
        <f aca="false">IFERROR(P491/BE491-1,"")</f>
        <v>0.0083832152455412</v>
      </c>
      <c r="BG491" s="17" t="n">
        <v>0.006</v>
      </c>
      <c r="BH491" s="17" t="n">
        <v>0.098</v>
      </c>
      <c r="BI491" s="14" t="n">
        <f aca="false">P491*(1+IFERROR(Q491,0))^4</f>
        <v>329986.738166308</v>
      </c>
      <c r="BJ491" s="12" t="n">
        <v>-1172175</v>
      </c>
      <c r="BK491" s="11" t="s">
        <v>110</v>
      </c>
      <c r="BL491" s="11" t="s">
        <v>111</v>
      </c>
      <c r="BM491" s="14" t="n">
        <f aca="false">O491</f>
        <v>28736652</v>
      </c>
      <c r="BN491" s="11" t="s">
        <v>522</v>
      </c>
      <c r="BO491" s="13" t="n">
        <f aca="false">IFERROR(1-L491/M491,"")</f>
        <v>0.0997526793075021</v>
      </c>
      <c r="BP491" s="11" t="s">
        <v>113</v>
      </c>
      <c r="BQ491" s="12" t="n">
        <v>2264278</v>
      </c>
      <c r="BR491" s="11" t="s">
        <v>88</v>
      </c>
      <c r="BS491" s="11" t="s">
        <v>89</v>
      </c>
      <c r="BT491" s="19" t="str">
        <f aca="false">IF(OR(Z491&lt;6,AH491&lt;0.9,S491&lt;0.02,AK491&lt;1),"REVIEW",IF(AND(S491&gt;0.25,AH491&gt;1.2),"ACCELERATING","STABLE"))</f>
        <v>REVIEW</v>
      </c>
    </row>
    <row r="492" customFormat="false" ht="15" hidden="false" customHeight="false" outlineLevel="0" collapsed="false">
      <c r="A492" s="11" t="s">
        <v>520</v>
      </c>
      <c r="B492" s="11" t="s">
        <v>92</v>
      </c>
      <c r="C492" s="11" t="s">
        <v>74</v>
      </c>
      <c r="D492" s="11" t="s">
        <v>132</v>
      </c>
      <c r="E492" s="11" t="s">
        <v>105</v>
      </c>
      <c r="F492" s="11" t="s">
        <v>521</v>
      </c>
      <c r="G492" s="11" t="s">
        <v>78</v>
      </c>
      <c r="H492" s="11" t="s">
        <v>79</v>
      </c>
      <c r="I492" s="11" t="s">
        <v>78</v>
      </c>
      <c r="J492" s="12" t="n">
        <v>1573000</v>
      </c>
      <c r="K492" s="13" t="n">
        <f aca="false">IFERROR(J492/M492,"")</f>
        <v>0.0997526793075021</v>
      </c>
      <c r="L492" s="12" t="n">
        <v>14196000</v>
      </c>
      <c r="M492" s="14" t="n">
        <f aca="false">L492+J492</f>
        <v>15769000</v>
      </c>
      <c r="N492" s="12" t="n">
        <v>4859000</v>
      </c>
      <c r="O492" s="12" t="n">
        <v>28736652</v>
      </c>
      <c r="P492" s="12" t="n">
        <v>214772</v>
      </c>
      <c r="Q492" s="13" t="n">
        <f aca="false">IFERROR(P492/P491-1,"")</f>
        <v>0.0840993180590679</v>
      </c>
      <c r="R492" s="12" t="n">
        <v>295323</v>
      </c>
      <c r="S492" s="13" t="n">
        <f aca="false">IFERROR(R492/R491-1,"")</f>
        <v>0.214796075769729</v>
      </c>
      <c r="T492" s="12" t="n">
        <v>123628</v>
      </c>
      <c r="U492" s="13" t="n">
        <f aca="false">IFERROR(T492/P492,"")</f>
        <v>0.575624383066694</v>
      </c>
      <c r="V492" s="14" t="n">
        <f aca="false">T492-AV492</f>
        <v>-1642085</v>
      </c>
      <c r="W492" s="14" t="n">
        <f aca="false">V492-AA492*0.1</f>
        <v>-1642085</v>
      </c>
      <c r="X492" s="12" t="n">
        <v>4677801</v>
      </c>
      <c r="Y492" s="12" t="n">
        <v>173630</v>
      </c>
      <c r="Z492" s="15" t="n">
        <f aca="false">IFERROR(X492/Y492,"")</f>
        <v>26.9412025571618</v>
      </c>
      <c r="AA492" s="12" t="n">
        <v>0</v>
      </c>
      <c r="AB492" s="14" t="n">
        <f aca="false">W492-0.02*P492</f>
        <v>-1646380.44</v>
      </c>
      <c r="AC492" s="16" t="n">
        <v>27</v>
      </c>
      <c r="AD492" s="13" t="n">
        <f aca="false">IFERROR(AC492/AC491-1,"")</f>
        <v>0</v>
      </c>
      <c r="AE492" s="17" t="n">
        <v>0.058</v>
      </c>
      <c r="AF492" s="17" t="n">
        <v>0.036</v>
      </c>
      <c r="AG492" s="13" t="n">
        <f aca="false">1-AF492</f>
        <v>0.964</v>
      </c>
      <c r="AH492" s="17" t="n">
        <v>1.028</v>
      </c>
      <c r="AI492" s="12" t="n">
        <v>67116</v>
      </c>
      <c r="AJ492" s="14" t="n">
        <f aca="false">IFERROR(AM492*U492*MIN(1/AE492,5),"")</f>
        <v>137689.352429553</v>
      </c>
      <c r="AK492" s="18" t="n">
        <f aca="false">IFERROR(AJ492/AI492,"")</f>
        <v>2.05151308822864</v>
      </c>
      <c r="AL492" s="15" t="n">
        <f aca="false">IFERROR(AI492/(AM492*U492/12),"")</f>
        <v>29.2467059285527</v>
      </c>
      <c r="AM492" s="12" t="n">
        <v>47840</v>
      </c>
      <c r="AN492" s="12" t="n">
        <v>294461</v>
      </c>
      <c r="AO492" s="12" t="n">
        <v>803354</v>
      </c>
      <c r="AP492" s="17" t="n">
        <v>0.261</v>
      </c>
      <c r="AQ492" s="16" t="n">
        <v>25</v>
      </c>
      <c r="AR492" s="16" t="n">
        <v>2</v>
      </c>
      <c r="AS492" s="13" t="n">
        <f aca="false">IFERROR(AR492/AR491-1,"")</f>
        <v>0</v>
      </c>
      <c r="AT492" s="11" t="s">
        <v>80</v>
      </c>
      <c r="AU492" s="14" t="n">
        <f aca="false">IFERROR(P492/AR492,"")</f>
        <v>107386</v>
      </c>
      <c r="AV492" s="12" t="n">
        <v>1765713</v>
      </c>
      <c r="AW492" s="12" t="n">
        <v>831718</v>
      </c>
      <c r="AX492" s="12" t="n">
        <v>549917</v>
      </c>
      <c r="AY492" s="16" t="n">
        <v>25548</v>
      </c>
      <c r="AZ492" s="13" t="n">
        <f aca="false">IFERROR(AY492/AY491-1,"")</f>
        <v>0.142473839549235</v>
      </c>
      <c r="BA492" s="17" t="n">
        <v>0.952</v>
      </c>
      <c r="BB492" s="11" t="s">
        <v>81</v>
      </c>
      <c r="BC492" s="11" t="s">
        <v>82</v>
      </c>
      <c r="BD492" s="11" t="s">
        <v>175</v>
      </c>
      <c r="BE492" s="12" t="n">
        <v>202133</v>
      </c>
      <c r="BF492" s="13" t="n">
        <f aca="false">IFERROR(P492/BE492-1,"")</f>
        <v>0.0625281374144746</v>
      </c>
      <c r="BG492" s="17" t="n">
        <v>-0.025</v>
      </c>
      <c r="BH492" s="17" t="n">
        <v>-0.071</v>
      </c>
      <c r="BI492" s="14" t="n">
        <f aca="false">P492*(1+IFERROR(Q492,0))^4</f>
        <v>296656.553130303</v>
      </c>
      <c r="BJ492" s="12" t="n">
        <v>-1166267</v>
      </c>
      <c r="BK492" s="11" t="s">
        <v>110</v>
      </c>
      <c r="BL492" s="11" t="s">
        <v>111</v>
      </c>
      <c r="BM492" s="14" t="n">
        <f aca="false">O492</f>
        <v>28736652</v>
      </c>
      <c r="BN492" s="11" t="s">
        <v>522</v>
      </c>
      <c r="BO492" s="13" t="n">
        <f aca="false">IFERROR(1-L492/M492,"")</f>
        <v>0.0997526793075021</v>
      </c>
      <c r="BP492" s="11" t="s">
        <v>113</v>
      </c>
      <c r="BQ492" s="12" t="n">
        <v>3037327</v>
      </c>
      <c r="BR492" s="11" t="s">
        <v>88</v>
      </c>
      <c r="BS492" s="11" t="s">
        <v>89</v>
      </c>
      <c r="BT492" s="19" t="str">
        <f aca="false">IF(OR(Z492&lt;6,AH492&lt;0.9,S492&lt;0.02,AK492&lt;1),"REVIEW",IF(AND(S492&gt;0.25,AH492&gt;1.2),"ACCELERATING","STABLE"))</f>
        <v>STABLE</v>
      </c>
    </row>
    <row r="493" customFormat="false" ht="15" hidden="false" customHeight="false" outlineLevel="0" collapsed="false">
      <c r="A493" s="11" t="s">
        <v>520</v>
      </c>
      <c r="B493" s="11" t="s">
        <v>93</v>
      </c>
      <c r="C493" s="11" t="s">
        <v>74</v>
      </c>
      <c r="D493" s="11" t="s">
        <v>132</v>
      </c>
      <c r="E493" s="11" t="s">
        <v>105</v>
      </c>
      <c r="F493" s="11" t="s">
        <v>521</v>
      </c>
      <c r="G493" s="11" t="s">
        <v>78</v>
      </c>
      <c r="H493" s="11" t="s">
        <v>79</v>
      </c>
      <c r="I493" s="11" t="s">
        <v>78</v>
      </c>
      <c r="J493" s="12" t="n">
        <v>1573000</v>
      </c>
      <c r="K493" s="13" t="n">
        <f aca="false">IFERROR(J493/M493,"")</f>
        <v>0.0997526793075021</v>
      </c>
      <c r="L493" s="12" t="n">
        <v>14196000</v>
      </c>
      <c r="M493" s="14" t="n">
        <f aca="false">L493+J493</f>
        <v>15769000</v>
      </c>
      <c r="N493" s="12" t="n">
        <v>4859000</v>
      </c>
      <c r="O493" s="12" t="n">
        <v>28736652</v>
      </c>
      <c r="P493" s="12" t="n">
        <v>245087</v>
      </c>
      <c r="Q493" s="13" t="n">
        <f aca="false">IFERROR(P493/P492-1,"")</f>
        <v>0.141149684316391</v>
      </c>
      <c r="R493" s="12" t="n">
        <v>311595</v>
      </c>
      <c r="S493" s="13" t="n">
        <f aca="false">IFERROR(R493/R492-1,"")</f>
        <v>0.055098993305635</v>
      </c>
      <c r="T493" s="12" t="n">
        <v>141645</v>
      </c>
      <c r="U493" s="13" t="n">
        <f aca="false">IFERROR(T493/P493,"")</f>
        <v>0.577937630310869</v>
      </c>
      <c r="V493" s="14" t="n">
        <f aca="false">T493-AV493</f>
        <v>-2166914</v>
      </c>
      <c r="W493" s="14" t="n">
        <f aca="false">V493-AA493*0.1</f>
        <v>-2166914</v>
      </c>
      <c r="X493" s="12" t="n">
        <v>4209000</v>
      </c>
      <c r="Y493" s="12" t="n">
        <v>179000</v>
      </c>
      <c r="Z493" s="15" t="n">
        <f aca="false">IFERROR(X493/Y493,"")</f>
        <v>23.5139664804469</v>
      </c>
      <c r="AA493" s="12" t="n">
        <v>0</v>
      </c>
      <c r="AB493" s="14" t="n">
        <f aca="false">W493-0.02*P493</f>
        <v>-2171815.74</v>
      </c>
      <c r="AC493" s="16" t="n">
        <v>31</v>
      </c>
      <c r="AD493" s="13" t="n">
        <f aca="false">IFERROR(AC493/AC492-1,"")</f>
        <v>0.148148148148148</v>
      </c>
      <c r="AE493" s="17" t="n">
        <v>0.056</v>
      </c>
      <c r="AF493" s="17" t="n">
        <v>0.037</v>
      </c>
      <c r="AG493" s="13" t="n">
        <f aca="false">1-AF493</f>
        <v>0.963</v>
      </c>
      <c r="AH493" s="17" t="n">
        <v>1.023</v>
      </c>
      <c r="AI493" s="12" t="n">
        <v>65800</v>
      </c>
      <c r="AJ493" s="14" t="n">
        <f aca="false">IFERROR(AM493*U493*MIN(1/AE493,5),"")</f>
        <v>140901.19426979</v>
      </c>
      <c r="AK493" s="18" t="n">
        <f aca="false">IFERROR(AJ493/AI493,"")</f>
        <v>2.14135553601504</v>
      </c>
      <c r="AL493" s="15" t="n">
        <f aca="false">IFERROR(AI493/(AM493*U493/12),"")</f>
        <v>28.019634755122</v>
      </c>
      <c r="AM493" s="12" t="n">
        <v>48760</v>
      </c>
      <c r="AN493" s="12" t="n">
        <v>454157</v>
      </c>
      <c r="AO493" s="12" t="n">
        <v>833003</v>
      </c>
      <c r="AP493" s="17" t="n">
        <v>0.261</v>
      </c>
      <c r="AQ493" s="16" t="n">
        <v>25</v>
      </c>
      <c r="AR493" s="16" t="n">
        <v>2</v>
      </c>
      <c r="AS493" s="13" t="n">
        <f aca="false">IFERROR(AR493/AR492-1,"")</f>
        <v>0</v>
      </c>
      <c r="AT493" s="11" t="s">
        <v>80</v>
      </c>
      <c r="AU493" s="14" t="n">
        <f aca="false">IFERROR(P493/AR493,"")</f>
        <v>122543.5</v>
      </c>
      <c r="AV493" s="12" t="n">
        <v>2308559</v>
      </c>
      <c r="AW493" s="12" t="n">
        <v>872210</v>
      </c>
      <c r="AX493" s="12" t="n">
        <v>599944</v>
      </c>
      <c r="AY493" s="16" t="n">
        <v>28169</v>
      </c>
      <c r="AZ493" s="13" t="n">
        <f aca="false">IFERROR(AY493/AY492-1,"")</f>
        <v>0.102591200876781</v>
      </c>
      <c r="BA493" s="17" t="n">
        <v>0.95</v>
      </c>
      <c r="BB493" s="11" t="s">
        <v>81</v>
      </c>
      <c r="BC493" s="11" t="s">
        <v>82</v>
      </c>
      <c r="BD493" s="11" t="s">
        <v>175</v>
      </c>
      <c r="BE493" s="12" t="n">
        <v>265837</v>
      </c>
      <c r="BF493" s="13" t="n">
        <f aca="false">IFERROR(P493/BE493-1,"")</f>
        <v>-0.0780553497067752</v>
      </c>
      <c r="BG493" s="17" t="n">
        <v>0.002</v>
      </c>
      <c r="BH493" s="17" t="n">
        <v>-0.029</v>
      </c>
      <c r="BI493" s="14" t="n">
        <f aca="false">P493*(1+IFERROR(Q493,0))^4</f>
        <v>415614.540956293</v>
      </c>
      <c r="BJ493" s="12" t="n">
        <v>-2106507</v>
      </c>
      <c r="BK493" s="11" t="s">
        <v>110</v>
      </c>
      <c r="BL493" s="11" t="s">
        <v>111</v>
      </c>
      <c r="BM493" s="14" t="n">
        <f aca="false">O493</f>
        <v>28736652</v>
      </c>
      <c r="BN493" s="11" t="s">
        <v>522</v>
      </c>
      <c r="BO493" s="13" t="n">
        <f aca="false">IFERROR(1-L493/M493,"")</f>
        <v>0.0997526793075021</v>
      </c>
      <c r="BP493" s="11" t="s">
        <v>113</v>
      </c>
      <c r="BQ493" s="12" t="n">
        <v>2486918</v>
      </c>
      <c r="BR493" s="11" t="s">
        <v>88</v>
      </c>
      <c r="BS493" s="11" t="s">
        <v>89</v>
      </c>
      <c r="BT493" s="19" t="str">
        <f aca="false">IF(OR(Z493&lt;6,AH493&lt;0.9,S493&lt;0.02,AK493&lt;1),"REVIEW",IF(AND(S493&gt;0.25,AH493&gt;1.2),"ACCELERATING","STABLE"))</f>
        <v>STABLE</v>
      </c>
    </row>
    <row r="494" customFormat="false" ht="15" hidden="false" customHeight="false" outlineLevel="0" collapsed="false">
      <c r="A494" s="3" t="s">
        <v>523</v>
      </c>
      <c r="B494" s="3" t="s">
        <v>73</v>
      </c>
      <c r="C494" s="3" t="s">
        <v>74</v>
      </c>
      <c r="D494" s="3" t="s">
        <v>132</v>
      </c>
      <c r="E494" s="3" t="s">
        <v>105</v>
      </c>
      <c r="F494" s="3" t="s">
        <v>524</v>
      </c>
      <c r="G494" s="3" t="s">
        <v>78</v>
      </c>
      <c r="H494" s="3" t="s">
        <v>79</v>
      </c>
      <c r="I494" s="3" t="s">
        <v>78</v>
      </c>
      <c r="J494" s="4" t="n">
        <v>3402000</v>
      </c>
      <c r="K494" s="5" t="n">
        <f aca="false">IFERROR(J494/M494,"")</f>
        <v>0.147925906600574</v>
      </c>
      <c r="L494" s="4" t="n">
        <v>19596000</v>
      </c>
      <c r="M494" s="6" t="n">
        <f aca="false">L494+J494</f>
        <v>22998000</v>
      </c>
      <c r="N494" s="4" t="n">
        <v>3402000</v>
      </c>
      <c r="O494" s="4" t="n">
        <v>34710961</v>
      </c>
      <c r="P494" s="4" t="n">
        <v>146230</v>
      </c>
      <c r="Q494" s="7"/>
      <c r="R494" s="4" t="n">
        <v>144184</v>
      </c>
      <c r="S494" s="7"/>
      <c r="T494" s="4" t="n">
        <v>90991</v>
      </c>
      <c r="U494" s="5" t="n">
        <f aca="false">IFERROR(T494/P494,"")</f>
        <v>0.622245777200301</v>
      </c>
      <c r="V494" s="6" t="n">
        <f aca="false">T494-AV494</f>
        <v>-1035722</v>
      </c>
      <c r="W494" s="6" t="n">
        <f aca="false">V494-AA494*0.1</f>
        <v>-1035722</v>
      </c>
      <c r="X494" s="4" t="n">
        <v>3890004</v>
      </c>
      <c r="Y494" s="4" t="n">
        <v>112840</v>
      </c>
      <c r="Z494" s="8" t="n">
        <f aca="false">IFERROR(X494/Y494,"")</f>
        <v>34.4736263736264</v>
      </c>
      <c r="AA494" s="4" t="n">
        <v>0</v>
      </c>
      <c r="AB494" s="6" t="n">
        <f aca="false">W494-0.02*P494</f>
        <v>-1038646.6</v>
      </c>
      <c r="AC494" s="9" t="n">
        <v>31</v>
      </c>
      <c r="AD494" s="7"/>
      <c r="AE494" s="7" t="n">
        <v>0.132</v>
      </c>
      <c r="AF494" s="7" t="n">
        <v>0.115</v>
      </c>
      <c r="AG494" s="5" t="n">
        <f aca="false">1-AF494</f>
        <v>0.885</v>
      </c>
      <c r="AH494" s="7" t="n">
        <v>1.063</v>
      </c>
      <c r="AI494" s="4" t="n">
        <v>53212</v>
      </c>
      <c r="AJ494" s="6" t="n">
        <f aca="false">IFERROR(AM494*U494*MIN(1/AE494,5),"")</f>
        <v>180451.275388087</v>
      </c>
      <c r="AK494" s="10" t="n">
        <f aca="false">IFERROR(AJ494/AI494,"")</f>
        <v>3.39117633969945</v>
      </c>
      <c r="AL494" s="8" t="n">
        <f aca="false">IFERROR(AI494/(AM494*U494/12),"")</f>
        <v>17.6929755311154</v>
      </c>
      <c r="AM494" s="4" t="n">
        <v>58000</v>
      </c>
      <c r="AN494" s="4" t="n">
        <v>174489</v>
      </c>
      <c r="AO494" s="4" t="n">
        <v>274754</v>
      </c>
      <c r="AP494" s="7" t="n">
        <v>0.198</v>
      </c>
      <c r="AQ494" s="9" t="n">
        <v>58</v>
      </c>
      <c r="AR494" s="9" t="n">
        <v>2</v>
      </c>
      <c r="AS494" s="7"/>
      <c r="AT494" s="3" t="s">
        <v>201</v>
      </c>
      <c r="AU494" s="6" t="n">
        <f aca="false">IFERROR(P494/AR494,"")</f>
        <v>73115</v>
      </c>
      <c r="AV494" s="4" t="n">
        <v>1126713</v>
      </c>
      <c r="AW494" s="4" t="n">
        <v>389453</v>
      </c>
      <c r="AX494" s="4" t="n">
        <v>318161</v>
      </c>
      <c r="AY494" s="9" t="n">
        <v>20254</v>
      </c>
      <c r="AZ494" s="7"/>
      <c r="BA494" s="7" t="n">
        <v>0.892</v>
      </c>
      <c r="BB494" s="3" t="s">
        <v>81</v>
      </c>
      <c r="BC494" s="3" t="s">
        <v>108</v>
      </c>
      <c r="BD494" s="3" t="s">
        <v>175</v>
      </c>
      <c r="BE494" s="4" t="n">
        <v>181222</v>
      </c>
      <c r="BF494" s="5" t="n">
        <f aca="false">IFERROR(P494/BE494-1,"")</f>
        <v>-0.193089139287724</v>
      </c>
      <c r="BG494" s="7" t="n">
        <v>-0.007</v>
      </c>
      <c r="BH494" s="7" t="n">
        <v>0.088</v>
      </c>
      <c r="BI494" s="6" t="n">
        <f aca="false">P494</f>
        <v>146230</v>
      </c>
      <c r="BJ494" s="4" t="n">
        <v>-1142549</v>
      </c>
      <c r="BK494" s="3" t="s">
        <v>102</v>
      </c>
      <c r="BL494" s="3" t="s">
        <v>128</v>
      </c>
      <c r="BM494" s="6" t="n">
        <f aca="false">O494</f>
        <v>34710961</v>
      </c>
      <c r="BN494" s="3" t="s">
        <v>525</v>
      </c>
      <c r="BO494" s="5" t="n">
        <f aca="false">IFERROR(1-L494/M494,"")</f>
        <v>0.147925906600574</v>
      </c>
      <c r="BP494" s="3" t="s">
        <v>198</v>
      </c>
      <c r="BQ494" s="4" t="n">
        <v>1967140</v>
      </c>
      <c r="BR494" s="3" t="s">
        <v>88</v>
      </c>
      <c r="BS494" s="3" t="s">
        <v>89</v>
      </c>
      <c r="BT494" s="3" t="s">
        <v>90</v>
      </c>
    </row>
    <row r="495" customFormat="false" ht="15" hidden="false" customHeight="false" outlineLevel="0" collapsed="false">
      <c r="A495" s="11" t="s">
        <v>523</v>
      </c>
      <c r="B495" s="11" t="s">
        <v>91</v>
      </c>
      <c r="C495" s="11" t="s">
        <v>74</v>
      </c>
      <c r="D495" s="11" t="s">
        <v>132</v>
      </c>
      <c r="E495" s="11" t="s">
        <v>105</v>
      </c>
      <c r="F495" s="11" t="s">
        <v>524</v>
      </c>
      <c r="G495" s="11" t="s">
        <v>78</v>
      </c>
      <c r="H495" s="11" t="s">
        <v>79</v>
      </c>
      <c r="I495" s="11" t="s">
        <v>78</v>
      </c>
      <c r="J495" s="12" t="n">
        <v>3402000</v>
      </c>
      <c r="K495" s="13" t="n">
        <f aca="false">IFERROR(J495/M495,"")</f>
        <v>0.147925906600574</v>
      </c>
      <c r="L495" s="12" t="n">
        <v>19596000</v>
      </c>
      <c r="M495" s="14" t="n">
        <f aca="false">L495+J495</f>
        <v>22998000</v>
      </c>
      <c r="N495" s="12" t="n">
        <v>3402000</v>
      </c>
      <c r="O495" s="12" t="n">
        <v>34710961</v>
      </c>
      <c r="P495" s="12" t="n">
        <v>156968</v>
      </c>
      <c r="Q495" s="13" t="n">
        <f aca="false">IFERROR(P495/P494-1,"")</f>
        <v>0.0734322642412637</v>
      </c>
      <c r="R495" s="12" t="n">
        <v>173146</v>
      </c>
      <c r="S495" s="13" t="n">
        <f aca="false">IFERROR(R495/R494-1,"")</f>
        <v>0.200868334905399</v>
      </c>
      <c r="T495" s="12" t="n">
        <v>98068</v>
      </c>
      <c r="U495" s="13" t="n">
        <f aca="false">IFERROR(T495/P495,"")</f>
        <v>0.624764283165996</v>
      </c>
      <c r="V495" s="14" t="n">
        <f aca="false">T495-AV495</f>
        <v>-1490693</v>
      </c>
      <c r="W495" s="14" t="n">
        <f aca="false">V495-AA495*0.1</f>
        <v>-1490693</v>
      </c>
      <c r="X495" s="12" t="n">
        <v>3605424</v>
      </c>
      <c r="Y495" s="12" t="n">
        <v>116560</v>
      </c>
      <c r="Z495" s="15" t="n">
        <f aca="false">IFERROR(X495/Y495,"")</f>
        <v>30.931914893617</v>
      </c>
      <c r="AA495" s="12" t="n">
        <v>0</v>
      </c>
      <c r="AB495" s="14" t="n">
        <f aca="false">W495-0.02*P495</f>
        <v>-1493832.36</v>
      </c>
      <c r="AC495" s="16" t="n">
        <v>35</v>
      </c>
      <c r="AD495" s="13" t="n">
        <f aca="false">IFERROR(AC495/AC494-1,"")</f>
        <v>0.129032258064516</v>
      </c>
      <c r="AE495" s="17" t="n">
        <v>0.128</v>
      </c>
      <c r="AF495" s="17" t="n">
        <v>0.102</v>
      </c>
      <c r="AG495" s="13" t="n">
        <f aca="false">1-AF495</f>
        <v>0.898</v>
      </c>
      <c r="AH495" s="17" t="n">
        <v>1.058</v>
      </c>
      <c r="AI495" s="12" t="n">
        <v>52208</v>
      </c>
      <c r="AJ495" s="14" t="n">
        <f aca="false">IFERROR(AM495*U495*MIN(1/AE495,5),"")</f>
        <v>184805.274960502</v>
      </c>
      <c r="AK495" s="18" t="n">
        <f aca="false">IFERROR(AJ495/AI495,"")</f>
        <v>3.53978844162775</v>
      </c>
      <c r="AL495" s="15" t="n">
        <f aca="false">IFERROR(AI495/(AM495*U495/12),"")</f>
        <v>16.9501655224371</v>
      </c>
      <c r="AM495" s="12" t="n">
        <v>59160</v>
      </c>
      <c r="AN495" s="12" t="n">
        <v>186723</v>
      </c>
      <c r="AO495" s="12" t="n">
        <v>613666</v>
      </c>
      <c r="AP495" s="17" t="n">
        <v>0.198</v>
      </c>
      <c r="AQ495" s="16" t="n">
        <v>58</v>
      </c>
      <c r="AR495" s="16" t="n">
        <v>2</v>
      </c>
      <c r="AS495" s="13" t="n">
        <f aca="false">IFERROR(AR495/AR494-1,"")</f>
        <v>0</v>
      </c>
      <c r="AT495" s="11" t="s">
        <v>201</v>
      </c>
      <c r="AU495" s="14" t="n">
        <f aca="false">IFERROR(P495/AR495,"")</f>
        <v>78484</v>
      </c>
      <c r="AV495" s="12" t="n">
        <v>1588761</v>
      </c>
      <c r="AW495" s="12" t="n">
        <v>793994</v>
      </c>
      <c r="AX495" s="12" t="n">
        <v>501259</v>
      </c>
      <c r="AY495" s="16" t="n">
        <v>23231</v>
      </c>
      <c r="AZ495" s="13" t="n">
        <f aca="false">IFERROR(AY495/AY494-1,"")</f>
        <v>0.146983311938383</v>
      </c>
      <c r="BA495" s="17" t="n">
        <v>0.876</v>
      </c>
      <c r="BB495" s="11" t="s">
        <v>81</v>
      </c>
      <c r="BC495" s="11" t="s">
        <v>108</v>
      </c>
      <c r="BD495" s="11" t="s">
        <v>175</v>
      </c>
      <c r="BE495" s="12" t="n">
        <v>183271</v>
      </c>
      <c r="BF495" s="13" t="n">
        <f aca="false">IFERROR(P495/BE495-1,"")</f>
        <v>-0.143519705790878</v>
      </c>
      <c r="BG495" s="17" t="n">
        <v>-0.033</v>
      </c>
      <c r="BH495" s="17" t="n">
        <v>0.039</v>
      </c>
      <c r="BI495" s="14" t="n">
        <f aca="false">P495*(1+IFERROR(Q495,0))^4</f>
        <v>208405.753214543</v>
      </c>
      <c r="BJ495" s="12" t="n">
        <v>-844450</v>
      </c>
      <c r="BK495" s="11" t="s">
        <v>102</v>
      </c>
      <c r="BL495" s="11" t="s">
        <v>128</v>
      </c>
      <c r="BM495" s="14" t="n">
        <f aca="false">O495</f>
        <v>34710961</v>
      </c>
      <c r="BN495" s="11" t="s">
        <v>525</v>
      </c>
      <c r="BO495" s="13" t="n">
        <f aca="false">IFERROR(1-L495/M495,"")</f>
        <v>0.147925906600574</v>
      </c>
      <c r="BP495" s="11" t="s">
        <v>198</v>
      </c>
      <c r="BQ495" s="12" t="n">
        <v>1825001</v>
      </c>
      <c r="BR495" s="11" t="s">
        <v>88</v>
      </c>
      <c r="BS495" s="11" t="s">
        <v>89</v>
      </c>
      <c r="BT495" s="19" t="str">
        <f aca="false">IF(OR(Z495&lt;6,AH495&lt;0.9,S495&lt;0.02,AK495&lt;1),"REVIEW",IF(AND(S495&gt;0.25,AH495&gt;1.2),"ACCELERATING","STABLE"))</f>
        <v>STABLE</v>
      </c>
    </row>
    <row r="496" customFormat="false" ht="15" hidden="false" customHeight="false" outlineLevel="0" collapsed="false">
      <c r="A496" s="11" t="s">
        <v>523</v>
      </c>
      <c r="B496" s="11" t="s">
        <v>92</v>
      </c>
      <c r="C496" s="11" t="s">
        <v>74</v>
      </c>
      <c r="D496" s="11" t="s">
        <v>132</v>
      </c>
      <c r="E496" s="11" t="s">
        <v>105</v>
      </c>
      <c r="F496" s="11" t="s">
        <v>524</v>
      </c>
      <c r="G496" s="11" t="s">
        <v>78</v>
      </c>
      <c r="H496" s="11" t="s">
        <v>79</v>
      </c>
      <c r="I496" s="11" t="s">
        <v>78</v>
      </c>
      <c r="J496" s="12" t="n">
        <v>3402000</v>
      </c>
      <c r="K496" s="13" t="n">
        <f aca="false">IFERROR(J496/M496,"")</f>
        <v>0.147925906600574</v>
      </c>
      <c r="L496" s="12" t="n">
        <v>19596000</v>
      </c>
      <c r="M496" s="14" t="n">
        <f aca="false">L496+J496</f>
        <v>22998000</v>
      </c>
      <c r="N496" s="12" t="n">
        <v>3402000</v>
      </c>
      <c r="O496" s="12" t="n">
        <v>34710961</v>
      </c>
      <c r="P496" s="12" t="n">
        <v>186472</v>
      </c>
      <c r="Q496" s="13" t="n">
        <f aca="false">IFERROR(P496/P495-1,"")</f>
        <v>0.187961877580144</v>
      </c>
      <c r="R496" s="12" t="n">
        <v>187774</v>
      </c>
      <c r="S496" s="13" t="n">
        <f aca="false">IFERROR(R496/R495-1,"")</f>
        <v>0.0844836149838864</v>
      </c>
      <c r="T496" s="12" t="n">
        <v>116971</v>
      </c>
      <c r="U496" s="13" t="n">
        <f aca="false">IFERROR(T496/P496,"")</f>
        <v>0.62728452529066</v>
      </c>
      <c r="V496" s="14" t="n">
        <f aca="false">T496-AV496</f>
        <v>-1406556</v>
      </c>
      <c r="W496" s="14" t="n">
        <f aca="false">V496-AA496*0.1</f>
        <v>-1406556</v>
      </c>
      <c r="X496" s="12" t="n">
        <v>3300756</v>
      </c>
      <c r="Y496" s="12" t="n">
        <v>120280</v>
      </c>
      <c r="Z496" s="15" t="n">
        <f aca="false">IFERROR(X496/Y496,"")</f>
        <v>27.4422680412371</v>
      </c>
      <c r="AA496" s="12" t="n">
        <v>0</v>
      </c>
      <c r="AB496" s="14" t="n">
        <f aca="false">W496-0.02*P496</f>
        <v>-1410285.44</v>
      </c>
      <c r="AC496" s="16" t="n">
        <v>37</v>
      </c>
      <c r="AD496" s="13" t="n">
        <f aca="false">IFERROR(AC496/AC495-1,"")</f>
        <v>0.0571428571428572</v>
      </c>
      <c r="AE496" s="17" t="n">
        <v>0.125</v>
      </c>
      <c r="AF496" s="17" t="n">
        <v>0.085</v>
      </c>
      <c r="AG496" s="13" t="n">
        <f aca="false">1-AF496</f>
        <v>0.915</v>
      </c>
      <c r="AH496" s="17" t="n">
        <v>1.053</v>
      </c>
      <c r="AI496" s="12" t="n">
        <v>51204</v>
      </c>
      <c r="AJ496" s="14" t="n">
        <f aca="false">IFERROR(AM496*U496*MIN(1/AE496,5),"")</f>
        <v>189189.012827663</v>
      </c>
      <c r="AK496" s="18" t="n">
        <f aca="false">IFERROR(AJ496/AI496,"")</f>
        <v>3.69480924981765</v>
      </c>
      <c r="AL496" s="15" t="n">
        <f aca="false">IFERROR(AI496/(AM496*U496/12),"")</f>
        <v>16.2389979950822</v>
      </c>
      <c r="AM496" s="12" t="n">
        <v>60320</v>
      </c>
      <c r="AN496" s="12" t="n">
        <v>187067</v>
      </c>
      <c r="AO496" s="12" t="n">
        <v>438816</v>
      </c>
      <c r="AP496" s="17" t="n">
        <v>0.198</v>
      </c>
      <c r="AQ496" s="16" t="n">
        <v>58</v>
      </c>
      <c r="AR496" s="16" t="n">
        <v>2</v>
      </c>
      <c r="AS496" s="13" t="n">
        <f aca="false">IFERROR(AR496/AR495-1,"")</f>
        <v>0</v>
      </c>
      <c r="AT496" s="11" t="s">
        <v>201</v>
      </c>
      <c r="AU496" s="14" t="n">
        <f aca="false">IFERROR(P496/AR496,"")</f>
        <v>93236</v>
      </c>
      <c r="AV496" s="12" t="n">
        <v>1523527</v>
      </c>
      <c r="AW496" s="12" t="n">
        <v>595715</v>
      </c>
      <c r="AX496" s="12" t="n">
        <v>498787</v>
      </c>
      <c r="AY496" s="16" t="n">
        <v>27277</v>
      </c>
      <c r="AZ496" s="13" t="n">
        <f aca="false">IFERROR(AY496/AY495-1,"")</f>
        <v>0.174163832809608</v>
      </c>
      <c r="BA496" s="17" t="n">
        <v>0.888</v>
      </c>
      <c r="BB496" s="11" t="s">
        <v>81</v>
      </c>
      <c r="BC496" s="11" t="s">
        <v>108</v>
      </c>
      <c r="BD496" s="11" t="s">
        <v>175</v>
      </c>
      <c r="BE496" s="12" t="n">
        <v>209125</v>
      </c>
      <c r="BF496" s="13" t="n">
        <f aca="false">IFERROR(P496/BE496-1,"")</f>
        <v>-0.108322773460849</v>
      </c>
      <c r="BG496" s="17" t="n">
        <v>-0.029</v>
      </c>
      <c r="BH496" s="17" t="n">
        <v>-0.017</v>
      </c>
      <c r="BI496" s="14" t="n">
        <f aca="false">P496*(1+IFERROR(Q496,0))^4</f>
        <v>371384.389729444</v>
      </c>
      <c r="BJ496" s="12" t="n">
        <v>-1206903</v>
      </c>
      <c r="BK496" s="11" t="s">
        <v>102</v>
      </c>
      <c r="BL496" s="11" t="s">
        <v>128</v>
      </c>
      <c r="BM496" s="14" t="n">
        <f aca="false">O496</f>
        <v>34710961</v>
      </c>
      <c r="BN496" s="11" t="s">
        <v>525</v>
      </c>
      <c r="BO496" s="13" t="n">
        <f aca="false">IFERROR(1-L496/M496,"")</f>
        <v>0.147925906600574</v>
      </c>
      <c r="BP496" s="11" t="s">
        <v>198</v>
      </c>
      <c r="BQ496" s="12" t="n">
        <v>1503285</v>
      </c>
      <c r="BR496" s="11" t="s">
        <v>88</v>
      </c>
      <c r="BS496" s="11" t="s">
        <v>89</v>
      </c>
      <c r="BT496" s="19" t="str">
        <f aca="false">IF(OR(Z496&lt;6,AH496&lt;0.9,S496&lt;0.02,AK496&lt;1),"REVIEW",IF(AND(S496&gt;0.25,AH496&gt;1.2),"ACCELERATING","STABLE"))</f>
        <v>STABLE</v>
      </c>
    </row>
    <row r="497" customFormat="false" ht="15" hidden="false" customHeight="false" outlineLevel="0" collapsed="false">
      <c r="A497" s="11" t="s">
        <v>523</v>
      </c>
      <c r="B497" s="11" t="s">
        <v>93</v>
      </c>
      <c r="C497" s="11" t="s">
        <v>74</v>
      </c>
      <c r="D497" s="11" t="s">
        <v>132</v>
      </c>
      <c r="E497" s="11" t="s">
        <v>105</v>
      </c>
      <c r="F497" s="11" t="s">
        <v>524</v>
      </c>
      <c r="G497" s="11" t="s">
        <v>78</v>
      </c>
      <c r="H497" s="11" t="s">
        <v>79</v>
      </c>
      <c r="I497" s="11" t="s">
        <v>78</v>
      </c>
      <c r="J497" s="12" t="n">
        <v>3402000</v>
      </c>
      <c r="K497" s="13" t="n">
        <f aca="false">IFERROR(J497/M497,"")</f>
        <v>0.147925906600574</v>
      </c>
      <c r="L497" s="12" t="n">
        <v>19596000</v>
      </c>
      <c r="M497" s="14" t="n">
        <f aca="false">L497+J497</f>
        <v>22998000</v>
      </c>
      <c r="N497" s="12" t="n">
        <v>3402000</v>
      </c>
      <c r="O497" s="12" t="n">
        <v>34710961</v>
      </c>
      <c r="P497" s="12" t="n">
        <v>196452</v>
      </c>
      <c r="Q497" s="13" t="n">
        <f aca="false">IFERROR(P497/P496-1,"")</f>
        <v>0.0535200995323695</v>
      </c>
      <c r="R497" s="12" t="n">
        <v>224507</v>
      </c>
      <c r="S497" s="13" t="n">
        <f aca="false">IFERROR(R497/R496-1,"")</f>
        <v>0.19562346224717</v>
      </c>
      <c r="T497" s="12" t="n">
        <v>123726</v>
      </c>
      <c r="U497" s="13" t="n">
        <f aca="false">IFERROR(T497/P497,"")</f>
        <v>0.629802699896158</v>
      </c>
      <c r="V497" s="14" t="n">
        <f aca="false">T497-AV497</f>
        <v>-1479240</v>
      </c>
      <c r="W497" s="14" t="n">
        <f aca="false">V497-AA497*0.1</f>
        <v>-1479240</v>
      </c>
      <c r="X497" s="12" t="n">
        <v>2976000</v>
      </c>
      <c r="Y497" s="12" t="n">
        <v>124000</v>
      </c>
      <c r="Z497" s="15" t="n">
        <f aca="false">IFERROR(X497/Y497,"")</f>
        <v>24</v>
      </c>
      <c r="AA497" s="12" t="n">
        <v>0</v>
      </c>
      <c r="AB497" s="14" t="n">
        <f aca="false">W497-0.02*P497</f>
        <v>-1483169.04</v>
      </c>
      <c r="AC497" s="16" t="n">
        <v>43</v>
      </c>
      <c r="AD497" s="13" t="n">
        <f aca="false">IFERROR(AC497/AC496-1,"")</f>
        <v>0.162162162162162</v>
      </c>
      <c r="AE497" s="17" t="n">
        <v>0.121</v>
      </c>
      <c r="AF497" s="17" t="n">
        <v>0.12</v>
      </c>
      <c r="AG497" s="13" t="n">
        <f aca="false">1-AF497</f>
        <v>0.88</v>
      </c>
      <c r="AH497" s="17" t="n">
        <v>1.048</v>
      </c>
      <c r="AI497" s="12" t="n">
        <v>50200</v>
      </c>
      <c r="AJ497" s="14" t="n">
        <f aca="false">IFERROR(AM497*U497*MIN(1/AE497,5),"")</f>
        <v>193601.349948079</v>
      </c>
      <c r="AK497" s="18" t="n">
        <f aca="false">IFERROR(AJ497/AI497,"")</f>
        <v>3.85660059657528</v>
      </c>
      <c r="AL497" s="15" t="n">
        <f aca="false">IFERROR(AI497/(AM497*U497/12),"")</f>
        <v>15.5577427575158</v>
      </c>
      <c r="AM497" s="12" t="n">
        <v>61480</v>
      </c>
      <c r="AN497" s="12" t="n">
        <v>287571</v>
      </c>
      <c r="AO497" s="12" t="n">
        <v>689950</v>
      </c>
      <c r="AP497" s="17" t="n">
        <v>0.198</v>
      </c>
      <c r="AQ497" s="16" t="n">
        <v>58</v>
      </c>
      <c r="AR497" s="16" t="n">
        <v>2</v>
      </c>
      <c r="AS497" s="13" t="n">
        <f aca="false">IFERROR(AR497/AR496-1,"")</f>
        <v>0</v>
      </c>
      <c r="AT497" s="11" t="s">
        <v>201</v>
      </c>
      <c r="AU497" s="14" t="n">
        <f aca="false">IFERROR(P497/AR497,"")</f>
        <v>98226</v>
      </c>
      <c r="AV497" s="12" t="n">
        <v>1602966</v>
      </c>
      <c r="AW497" s="12" t="n">
        <v>734123</v>
      </c>
      <c r="AX497" s="12" t="n">
        <v>298553</v>
      </c>
      <c r="AY497" s="16" t="n">
        <v>28702</v>
      </c>
      <c r="AZ497" s="13" t="n">
        <f aca="false">IFERROR(AY497/AY496-1,"")</f>
        <v>0.052241815448913</v>
      </c>
      <c r="BA497" s="17" t="n">
        <v>0.892</v>
      </c>
      <c r="BB497" s="11" t="s">
        <v>81</v>
      </c>
      <c r="BC497" s="11" t="s">
        <v>108</v>
      </c>
      <c r="BD497" s="11" t="s">
        <v>175</v>
      </c>
      <c r="BE497" s="12" t="n">
        <v>200831</v>
      </c>
      <c r="BF497" s="13" t="n">
        <f aca="false">IFERROR(P497/BE497-1,"")</f>
        <v>-0.0218044027067534</v>
      </c>
      <c r="BG497" s="17" t="n">
        <v>0.008</v>
      </c>
      <c r="BH497" s="17" t="n">
        <v>0.052</v>
      </c>
      <c r="BI497" s="14" t="n">
        <f aca="false">P497*(1+IFERROR(Q497,0))^4</f>
        <v>242006.904863526</v>
      </c>
      <c r="BJ497" s="12" t="n">
        <v>-1334564</v>
      </c>
      <c r="BK497" s="11" t="s">
        <v>102</v>
      </c>
      <c r="BL497" s="11" t="s">
        <v>128</v>
      </c>
      <c r="BM497" s="14" t="n">
        <f aca="false">O497</f>
        <v>34710961</v>
      </c>
      <c r="BN497" s="11" t="s">
        <v>525</v>
      </c>
      <c r="BO497" s="13" t="n">
        <f aca="false">IFERROR(1-L497/M497,"")</f>
        <v>0.147925906600574</v>
      </c>
      <c r="BP497" s="11" t="s">
        <v>198</v>
      </c>
      <c r="BQ497" s="12" t="n">
        <v>2143689</v>
      </c>
      <c r="BR497" s="11" t="s">
        <v>88</v>
      </c>
      <c r="BS497" s="11" t="s">
        <v>89</v>
      </c>
      <c r="BT497" s="19" t="str">
        <f aca="false">IF(OR(Z497&lt;6,AH497&lt;0.9,S497&lt;0.02,AK497&lt;1),"REVIEW",IF(AND(S497&gt;0.25,AH497&gt;1.2),"ACCELERATING","STABLE"))</f>
        <v>STABLE</v>
      </c>
    </row>
    <row r="498" customFormat="false" ht="15" hidden="false" customHeight="false" outlineLevel="0" collapsed="false">
      <c r="A498" s="3" t="s">
        <v>526</v>
      </c>
      <c r="B498" s="3" t="s">
        <v>73</v>
      </c>
      <c r="C498" s="3" t="s">
        <v>74</v>
      </c>
      <c r="D498" s="3" t="s">
        <v>75</v>
      </c>
      <c r="E498" s="3" t="s">
        <v>105</v>
      </c>
      <c r="F498" s="3" t="s">
        <v>527</v>
      </c>
      <c r="G498" s="3" t="s">
        <v>78</v>
      </c>
      <c r="H498" s="3" t="s">
        <v>79</v>
      </c>
      <c r="I498" s="3" t="s">
        <v>78</v>
      </c>
      <c r="J498" s="4" t="n">
        <v>3549000</v>
      </c>
      <c r="K498" s="5" t="n">
        <f aca="false">IFERROR(J498/M498,"")</f>
        <v>0.189725221853951</v>
      </c>
      <c r="L498" s="4" t="n">
        <v>15157000</v>
      </c>
      <c r="M498" s="6" t="n">
        <f aca="false">L498+J498</f>
        <v>18706000</v>
      </c>
      <c r="N498" s="4" t="n">
        <v>6718000</v>
      </c>
      <c r="O498" s="4" t="n">
        <v>37059641</v>
      </c>
      <c r="P498" s="4" t="n">
        <v>955693</v>
      </c>
      <c r="Q498" s="7"/>
      <c r="R498" s="4" t="n">
        <v>1067546</v>
      </c>
      <c r="S498" s="7"/>
      <c r="T498" s="4" t="n">
        <v>540468</v>
      </c>
      <c r="U498" s="5" t="n">
        <f aca="false">IFERROR(T498/P498,"")</f>
        <v>0.565524703016554</v>
      </c>
      <c r="V498" s="6" t="n">
        <f aca="false">T498-AV498</f>
        <v>-1415730</v>
      </c>
      <c r="W498" s="6" t="n">
        <f aca="false">V498-AA498*0.1</f>
        <v>-1522530</v>
      </c>
      <c r="X498" s="4" t="n">
        <v>3874488</v>
      </c>
      <c r="Y498" s="4" t="n">
        <v>116480</v>
      </c>
      <c r="Z498" s="8" t="n">
        <f aca="false">IFERROR(X498/Y498,"")</f>
        <v>33.2631181318681</v>
      </c>
      <c r="AA498" s="4" t="n">
        <v>1068000</v>
      </c>
      <c r="AB498" s="6" t="n">
        <f aca="false">W498-0.02*P498</f>
        <v>-1541643.86</v>
      </c>
      <c r="AC498" s="9" t="n">
        <v>19</v>
      </c>
      <c r="AD498" s="7"/>
      <c r="AE498" s="7" t="n">
        <v>0.059</v>
      </c>
      <c r="AF498" s="7" t="n">
        <v>0.062</v>
      </c>
      <c r="AG498" s="5" t="n">
        <f aca="false">1-AF498</f>
        <v>0.938</v>
      </c>
      <c r="AH498" s="7" t="n">
        <v>1.143</v>
      </c>
      <c r="AI498" s="4" t="n">
        <v>55226</v>
      </c>
      <c r="AJ498" s="6" t="n">
        <f aca="false">IFERROR(AM498*U498*MIN(1/AE498,5),"")</f>
        <v>130070.681693808</v>
      </c>
      <c r="AK498" s="10" t="n">
        <f aca="false">IFERROR(AJ498/AI498,"")</f>
        <v>2.35524357537768</v>
      </c>
      <c r="AL498" s="8" t="n">
        <f aca="false">IFERROR(AI498/(AM498*U498/12),"")</f>
        <v>25.4750721442383</v>
      </c>
      <c r="AM498" s="4" t="n">
        <v>46000</v>
      </c>
      <c r="AN498" s="4" t="n">
        <v>1219192</v>
      </c>
      <c r="AO498" s="4" t="n">
        <v>2040424</v>
      </c>
      <c r="AP498" s="7" t="n">
        <v>0.153</v>
      </c>
      <c r="AQ498" s="9" t="n">
        <v>57</v>
      </c>
      <c r="AR498" s="9" t="n">
        <v>3</v>
      </c>
      <c r="AS498" s="7"/>
      <c r="AT498" s="3" t="s">
        <v>201</v>
      </c>
      <c r="AU498" s="6" t="n">
        <f aca="false">IFERROR(P498/AR498,"")</f>
        <v>318564.333333333</v>
      </c>
      <c r="AV498" s="4" t="n">
        <v>1956198</v>
      </c>
      <c r="AW498" s="4" t="n">
        <v>790692</v>
      </c>
      <c r="AX498" s="4" t="n">
        <v>645947</v>
      </c>
      <c r="AY498" s="9" t="n">
        <v>28556</v>
      </c>
      <c r="AZ498" s="7"/>
      <c r="BA498" s="7" t="n">
        <v>0.941</v>
      </c>
      <c r="BB498" s="3" t="s">
        <v>81</v>
      </c>
      <c r="BC498" s="3" t="s">
        <v>108</v>
      </c>
      <c r="BD498" s="3" t="s">
        <v>157</v>
      </c>
      <c r="BE498" s="4" t="n">
        <v>1065527</v>
      </c>
      <c r="BF498" s="5" t="n">
        <f aca="false">IFERROR(P498/BE498-1,"")</f>
        <v>-0.103079509012911</v>
      </c>
      <c r="BG498" s="7" t="n">
        <v>0.083</v>
      </c>
      <c r="BH498" s="7" t="n">
        <v>0.012</v>
      </c>
      <c r="BI498" s="6" t="n">
        <f aca="false">P498</f>
        <v>955693</v>
      </c>
      <c r="BJ498" s="4" t="n">
        <v>-836134</v>
      </c>
      <c r="BK498" s="3" t="s">
        <v>110</v>
      </c>
      <c r="BL498" s="3" t="s">
        <v>128</v>
      </c>
      <c r="BM498" s="6" t="n">
        <f aca="false">O498</f>
        <v>37059641</v>
      </c>
      <c r="BN498" s="3" t="s">
        <v>528</v>
      </c>
      <c r="BO498" s="5" t="n">
        <f aca="false">IFERROR(1-L498/M498,"")</f>
        <v>0.189725221853951</v>
      </c>
      <c r="BP498" s="3" t="s">
        <v>130</v>
      </c>
      <c r="BQ498" s="4" t="n">
        <v>1753356</v>
      </c>
      <c r="BR498" s="3" t="s">
        <v>88</v>
      </c>
      <c r="BS498" s="3" t="s">
        <v>89</v>
      </c>
      <c r="BT498" s="3" t="s">
        <v>90</v>
      </c>
    </row>
    <row r="499" customFormat="false" ht="15" hidden="false" customHeight="false" outlineLevel="0" collapsed="false">
      <c r="A499" s="11" t="s">
        <v>526</v>
      </c>
      <c r="B499" s="11" t="s">
        <v>91</v>
      </c>
      <c r="C499" s="11" t="s">
        <v>74</v>
      </c>
      <c r="D499" s="11" t="s">
        <v>75</v>
      </c>
      <c r="E499" s="11" t="s">
        <v>105</v>
      </c>
      <c r="F499" s="11" t="s">
        <v>527</v>
      </c>
      <c r="G499" s="11" t="s">
        <v>78</v>
      </c>
      <c r="H499" s="11" t="s">
        <v>79</v>
      </c>
      <c r="I499" s="11" t="s">
        <v>78</v>
      </c>
      <c r="J499" s="12" t="n">
        <v>3549000</v>
      </c>
      <c r="K499" s="13" t="n">
        <f aca="false">IFERROR(J499/M499,"")</f>
        <v>0.189725221853951</v>
      </c>
      <c r="L499" s="12" t="n">
        <v>15157000</v>
      </c>
      <c r="M499" s="14" t="n">
        <f aca="false">L499+J499</f>
        <v>18706000</v>
      </c>
      <c r="N499" s="12" t="n">
        <v>6718000</v>
      </c>
      <c r="O499" s="12" t="n">
        <v>37059641</v>
      </c>
      <c r="P499" s="12" t="n">
        <v>972146</v>
      </c>
      <c r="Q499" s="13" t="n">
        <f aca="false">IFERROR(P499/P498-1,"")</f>
        <v>0.0172157795442678</v>
      </c>
      <c r="R499" s="12" t="n">
        <v>1182735</v>
      </c>
      <c r="S499" s="13" t="n">
        <f aca="false">IFERROR(R499/R498-1,"")</f>
        <v>0.107900736830076</v>
      </c>
      <c r="T499" s="12" t="n">
        <v>551998</v>
      </c>
      <c r="U499" s="13" t="n">
        <f aca="false">IFERROR(T499/P499,"")</f>
        <v>0.567813888037394</v>
      </c>
      <c r="V499" s="14" t="n">
        <f aca="false">T499-AV499</f>
        <v>-1144410</v>
      </c>
      <c r="W499" s="14" t="n">
        <f aca="false">V499-AA499*0.1</f>
        <v>-1251210</v>
      </c>
      <c r="X499" s="12" t="n">
        <v>3580728</v>
      </c>
      <c r="Y499" s="12" t="n">
        <v>120320</v>
      </c>
      <c r="Z499" s="15" t="n">
        <f aca="false">IFERROR(X499/Y499,"")</f>
        <v>29.760039893617</v>
      </c>
      <c r="AA499" s="12" t="n">
        <v>1068000</v>
      </c>
      <c r="AB499" s="14" t="n">
        <f aca="false">W499-0.02*P499</f>
        <v>-1270652.92</v>
      </c>
      <c r="AC499" s="16" t="n">
        <v>19</v>
      </c>
      <c r="AD499" s="13" t="n">
        <f aca="false">IFERROR(AC499/AC498-1,"")</f>
        <v>0</v>
      </c>
      <c r="AE499" s="17" t="n">
        <v>0.057</v>
      </c>
      <c r="AF499" s="17" t="n">
        <v>0.04</v>
      </c>
      <c r="AG499" s="13" t="n">
        <f aca="false">1-AF499</f>
        <v>0.96</v>
      </c>
      <c r="AH499" s="17" t="n">
        <v>1.138</v>
      </c>
      <c r="AI499" s="12" t="n">
        <v>54184</v>
      </c>
      <c r="AJ499" s="14" t="n">
        <f aca="false">IFERROR(AM499*U499*MIN(1/AE499,5),"")</f>
        <v>133209.138133573</v>
      </c>
      <c r="AK499" s="18" t="n">
        <f aca="false">IFERROR(AJ499/AI499,"")</f>
        <v>2.45845892022687</v>
      </c>
      <c r="AL499" s="15" t="n">
        <f aca="false">IFERROR(AI499/(AM499*U499/12),"")</f>
        <v>24.4055328752303</v>
      </c>
      <c r="AM499" s="12" t="n">
        <v>46920</v>
      </c>
      <c r="AN499" s="12" t="n">
        <v>1394070</v>
      </c>
      <c r="AO499" s="12" t="n">
        <v>2345121</v>
      </c>
      <c r="AP499" s="17" t="n">
        <v>0.153</v>
      </c>
      <c r="AQ499" s="16" t="n">
        <v>57</v>
      </c>
      <c r="AR499" s="16" t="n">
        <v>3</v>
      </c>
      <c r="AS499" s="13" t="n">
        <f aca="false">IFERROR(AR499/AR498-1,"")</f>
        <v>0</v>
      </c>
      <c r="AT499" s="11" t="s">
        <v>201</v>
      </c>
      <c r="AU499" s="14" t="n">
        <f aca="false">IFERROR(P499/AR499,"")</f>
        <v>324048.666666667</v>
      </c>
      <c r="AV499" s="12" t="n">
        <v>1696408</v>
      </c>
      <c r="AW499" s="12" t="n">
        <v>621342</v>
      </c>
      <c r="AX499" s="12" t="n">
        <v>411219</v>
      </c>
      <c r="AY499" s="16" t="n">
        <v>32300</v>
      </c>
      <c r="AZ499" s="13" t="n">
        <f aca="false">IFERROR(AY499/AY498-1,"")</f>
        <v>0.131110799831909</v>
      </c>
      <c r="BA499" s="17" t="n">
        <v>0.938</v>
      </c>
      <c r="BB499" s="11" t="s">
        <v>81</v>
      </c>
      <c r="BC499" s="11" t="s">
        <v>108</v>
      </c>
      <c r="BD499" s="11" t="s">
        <v>157</v>
      </c>
      <c r="BE499" s="12" t="n">
        <v>933198</v>
      </c>
      <c r="BF499" s="13" t="n">
        <f aca="false">IFERROR(P499/BE499-1,"")</f>
        <v>0.0417360517275005</v>
      </c>
      <c r="BG499" s="17" t="n">
        <v>0.034</v>
      </c>
      <c r="BH499" s="17" t="n">
        <v>0.062</v>
      </c>
      <c r="BI499" s="14" t="n">
        <f aca="false">P499*(1+IFERROR(Q499,0))^4</f>
        <v>1040839.69731376</v>
      </c>
      <c r="BJ499" s="12" t="n">
        <v>-834828</v>
      </c>
      <c r="BK499" s="11" t="s">
        <v>110</v>
      </c>
      <c r="BL499" s="11" t="s">
        <v>128</v>
      </c>
      <c r="BM499" s="14" t="n">
        <f aca="false">O499</f>
        <v>37059641</v>
      </c>
      <c r="BN499" s="11" t="s">
        <v>528</v>
      </c>
      <c r="BO499" s="13" t="n">
        <f aca="false">IFERROR(1-L499/M499,"")</f>
        <v>0.189725221853951</v>
      </c>
      <c r="BP499" s="11" t="s">
        <v>130</v>
      </c>
      <c r="BQ499" s="12" t="n">
        <v>2330185</v>
      </c>
      <c r="BR499" s="11" t="s">
        <v>88</v>
      </c>
      <c r="BS499" s="11" t="s">
        <v>89</v>
      </c>
      <c r="BT499" s="19" t="str">
        <f aca="false">IF(OR(Z499&lt;6,AH499&lt;0.9,S499&lt;0.02,AK499&lt;1),"REVIEW",IF(AND(S499&gt;0.25,AH499&gt;1.2),"ACCELERATING","STABLE"))</f>
        <v>STABLE</v>
      </c>
    </row>
    <row r="500" customFormat="false" ht="15" hidden="false" customHeight="false" outlineLevel="0" collapsed="false">
      <c r="A500" s="11" t="s">
        <v>526</v>
      </c>
      <c r="B500" s="11" t="s">
        <v>92</v>
      </c>
      <c r="C500" s="11" t="s">
        <v>74</v>
      </c>
      <c r="D500" s="11" t="s">
        <v>75</v>
      </c>
      <c r="E500" s="11" t="s">
        <v>105</v>
      </c>
      <c r="F500" s="11" t="s">
        <v>527</v>
      </c>
      <c r="G500" s="11" t="s">
        <v>78</v>
      </c>
      <c r="H500" s="11" t="s">
        <v>79</v>
      </c>
      <c r="I500" s="11" t="s">
        <v>78</v>
      </c>
      <c r="J500" s="12" t="n">
        <v>3549000</v>
      </c>
      <c r="K500" s="13" t="n">
        <f aca="false">IFERROR(J500/M500,"")</f>
        <v>0.189725221853951</v>
      </c>
      <c r="L500" s="12" t="n">
        <v>15157000</v>
      </c>
      <c r="M500" s="14" t="n">
        <f aca="false">L500+J500</f>
        <v>18706000</v>
      </c>
      <c r="N500" s="12" t="n">
        <v>6718000</v>
      </c>
      <c r="O500" s="12" t="n">
        <v>37059641</v>
      </c>
      <c r="P500" s="12" t="n">
        <v>1166016</v>
      </c>
      <c r="Q500" s="13" t="n">
        <f aca="false">IFERROR(P500/P499-1,"")</f>
        <v>0.199424777759719</v>
      </c>
      <c r="R500" s="12" t="n">
        <v>1312128</v>
      </c>
      <c r="S500" s="13" t="n">
        <f aca="false">IFERROR(R500/R499-1,"")</f>
        <v>0.109401514286801</v>
      </c>
      <c r="T500" s="12" t="n">
        <v>664749</v>
      </c>
      <c r="U500" s="13" t="n">
        <f aca="false">IFERROR(T500/P500,"")</f>
        <v>0.570102811625226</v>
      </c>
      <c r="V500" s="14" t="n">
        <f aca="false">T500-AV500</f>
        <v>-1567038</v>
      </c>
      <c r="W500" s="14" t="n">
        <f aca="false">V500-AA500*0.1</f>
        <v>-1673838</v>
      </c>
      <c r="X500" s="12" t="n">
        <v>3266232</v>
      </c>
      <c r="Y500" s="12" t="n">
        <v>124160</v>
      </c>
      <c r="Z500" s="15" t="n">
        <f aca="false">IFERROR(X500/Y500,"")</f>
        <v>26.3066365979381</v>
      </c>
      <c r="AA500" s="12" t="n">
        <v>1068000</v>
      </c>
      <c r="AB500" s="14" t="n">
        <f aca="false">W500-0.02*P500</f>
        <v>-1697158.32</v>
      </c>
      <c r="AC500" s="16" t="n">
        <v>22</v>
      </c>
      <c r="AD500" s="13" t="n">
        <f aca="false">IFERROR(AC500/AC499-1,"")</f>
        <v>0.157894736842105</v>
      </c>
      <c r="AE500" s="17" t="n">
        <v>0.056</v>
      </c>
      <c r="AF500" s="17" t="n">
        <v>0.035</v>
      </c>
      <c r="AG500" s="13" t="n">
        <f aca="false">1-AF500</f>
        <v>0.965</v>
      </c>
      <c r="AH500" s="17" t="n">
        <v>1.133</v>
      </c>
      <c r="AI500" s="12" t="n">
        <v>53142</v>
      </c>
      <c r="AJ500" s="14" t="n">
        <f aca="false">IFERROR(AM500*U500*MIN(1/AE500,5),"")</f>
        <v>136368.592540754</v>
      </c>
      <c r="AK500" s="18" t="n">
        <f aca="false">IFERROR(AJ500/AI500,"")</f>
        <v>2.56611705507422</v>
      </c>
      <c r="AL500" s="15" t="n">
        <f aca="false">IFERROR(AI500/(AM500*U500/12),"")</f>
        <v>23.3816301876629</v>
      </c>
      <c r="AM500" s="12" t="n">
        <v>47840</v>
      </c>
      <c r="AN500" s="12" t="n">
        <v>1532415</v>
      </c>
      <c r="AO500" s="12" t="n">
        <v>2573578</v>
      </c>
      <c r="AP500" s="17" t="n">
        <v>0.153</v>
      </c>
      <c r="AQ500" s="16" t="n">
        <v>57</v>
      </c>
      <c r="AR500" s="16" t="n">
        <v>3</v>
      </c>
      <c r="AS500" s="13" t="n">
        <f aca="false">IFERROR(AR500/AR499-1,"")</f>
        <v>0</v>
      </c>
      <c r="AT500" s="11" t="s">
        <v>201</v>
      </c>
      <c r="AU500" s="14" t="n">
        <f aca="false">IFERROR(P500/AR500,"")</f>
        <v>388672</v>
      </c>
      <c r="AV500" s="12" t="n">
        <v>2231787</v>
      </c>
      <c r="AW500" s="12" t="n">
        <v>1025120</v>
      </c>
      <c r="AX500" s="12" t="n">
        <v>615196</v>
      </c>
      <c r="AY500" s="16" t="n">
        <v>32990</v>
      </c>
      <c r="AZ500" s="13" t="n">
        <f aca="false">IFERROR(AY500/AY499-1,"")</f>
        <v>0.0213622291021671</v>
      </c>
      <c r="BA500" s="17" t="n">
        <v>0.953</v>
      </c>
      <c r="BB500" s="11" t="s">
        <v>81</v>
      </c>
      <c r="BC500" s="11" t="s">
        <v>108</v>
      </c>
      <c r="BD500" s="11" t="s">
        <v>157</v>
      </c>
      <c r="BE500" s="12" t="n">
        <v>1454305</v>
      </c>
      <c r="BF500" s="13" t="n">
        <f aca="false">IFERROR(P500/BE500-1,"")</f>
        <v>-0.198231457637841</v>
      </c>
      <c r="BG500" s="17" t="n">
        <v>-0.028</v>
      </c>
      <c r="BH500" s="17" t="n">
        <v>0.071</v>
      </c>
      <c r="BI500" s="14" t="n">
        <f aca="false">P500*(1+IFERROR(Q500,0))^4</f>
        <v>2413218.10481493</v>
      </c>
      <c r="BJ500" s="12" t="n">
        <v>-1295099</v>
      </c>
      <c r="BK500" s="11" t="s">
        <v>110</v>
      </c>
      <c r="BL500" s="11" t="s">
        <v>128</v>
      </c>
      <c r="BM500" s="14" t="n">
        <f aca="false">O500</f>
        <v>37059641</v>
      </c>
      <c r="BN500" s="11" t="s">
        <v>528</v>
      </c>
      <c r="BO500" s="13" t="n">
        <f aca="false">IFERROR(1-L500/M500,"")</f>
        <v>0.189725221853951</v>
      </c>
      <c r="BP500" s="11" t="s">
        <v>130</v>
      </c>
      <c r="BQ500" s="12" t="n">
        <v>2470132</v>
      </c>
      <c r="BR500" s="11" t="s">
        <v>88</v>
      </c>
      <c r="BS500" s="11" t="s">
        <v>89</v>
      </c>
      <c r="BT500" s="19" t="str">
        <f aca="false">IF(OR(Z500&lt;6,AH500&lt;0.9,S500&lt;0.02,AK500&lt;1),"REVIEW",IF(AND(S500&gt;0.25,AH500&gt;1.2),"ACCELERATING","STABLE"))</f>
        <v>STABLE</v>
      </c>
    </row>
    <row r="501" customFormat="false" ht="15" hidden="false" customHeight="false" outlineLevel="0" collapsed="false">
      <c r="A501" s="11" t="s">
        <v>526</v>
      </c>
      <c r="B501" s="11" t="s">
        <v>93</v>
      </c>
      <c r="C501" s="11" t="s">
        <v>74</v>
      </c>
      <c r="D501" s="11" t="s">
        <v>75</v>
      </c>
      <c r="E501" s="11" t="s">
        <v>105</v>
      </c>
      <c r="F501" s="11" t="s">
        <v>527</v>
      </c>
      <c r="G501" s="11" t="s">
        <v>78</v>
      </c>
      <c r="H501" s="11" t="s">
        <v>79</v>
      </c>
      <c r="I501" s="11" t="s">
        <v>78</v>
      </c>
      <c r="J501" s="12" t="n">
        <v>3549000</v>
      </c>
      <c r="K501" s="13" t="n">
        <f aca="false">IFERROR(J501/M501,"")</f>
        <v>0.189725221853951</v>
      </c>
      <c r="L501" s="12" t="n">
        <v>15157000</v>
      </c>
      <c r="M501" s="14" t="n">
        <f aca="false">L501+J501</f>
        <v>18706000</v>
      </c>
      <c r="N501" s="12" t="n">
        <v>6718000</v>
      </c>
      <c r="O501" s="12" t="n">
        <v>37059641</v>
      </c>
      <c r="P501" s="12" t="n">
        <v>1186892</v>
      </c>
      <c r="Q501" s="13" t="n">
        <f aca="false">IFERROR(P501/P500-1,"")</f>
        <v>0.0179036994346562</v>
      </c>
      <c r="R501" s="12" t="n">
        <v>1432847</v>
      </c>
      <c r="S501" s="13" t="n">
        <f aca="false">IFERROR(R501/R500-1,"")</f>
        <v>0.0920024570773583</v>
      </c>
      <c r="T501" s="12" t="n">
        <v>679368</v>
      </c>
      <c r="U501" s="13" t="n">
        <f aca="false">IFERROR(T501/P501,"")</f>
        <v>0.572392433346926</v>
      </c>
      <c r="V501" s="14" t="n">
        <f aca="false">T501-AV501</f>
        <v>-1643048</v>
      </c>
      <c r="W501" s="14" t="n">
        <f aca="false">V501-AA501*0.1</f>
        <v>-1749848</v>
      </c>
      <c r="X501" s="12" t="n">
        <v>2931000</v>
      </c>
      <c r="Y501" s="12" t="n">
        <v>128000</v>
      </c>
      <c r="Z501" s="15" t="n">
        <f aca="false">IFERROR(X501/Y501,"")</f>
        <v>22.8984375</v>
      </c>
      <c r="AA501" s="12" t="n">
        <v>1068000</v>
      </c>
      <c r="AB501" s="14" t="n">
        <f aca="false">W501-0.02*P501</f>
        <v>-1773585.84</v>
      </c>
      <c r="AC501" s="16" t="n">
        <v>21</v>
      </c>
      <c r="AD501" s="13" t="n">
        <f aca="false">IFERROR(AC501/AC500-1,"")</f>
        <v>-0.0454545454545454</v>
      </c>
      <c r="AE501" s="17" t="n">
        <v>0.054</v>
      </c>
      <c r="AF501" s="17" t="n">
        <v>0.037</v>
      </c>
      <c r="AG501" s="13" t="n">
        <f aca="false">1-AF501</f>
        <v>0.963</v>
      </c>
      <c r="AH501" s="17" t="n">
        <v>1.128</v>
      </c>
      <c r="AI501" s="12" t="n">
        <v>52100</v>
      </c>
      <c r="AJ501" s="14" t="n">
        <f aca="false">IFERROR(AM501*U501*MIN(1/AE501,5),"")</f>
        <v>139549.275249981</v>
      </c>
      <c r="AK501" s="18" t="n">
        <f aca="false">IFERROR(AJ501/AI501,"")</f>
        <v>2.67848896832976</v>
      </c>
      <c r="AL501" s="15" t="n">
        <f aca="false">IFERROR(AI501/(AM501*U501/12),"")</f>
        <v>22.400689608744</v>
      </c>
      <c r="AM501" s="12" t="n">
        <v>48760</v>
      </c>
      <c r="AN501" s="12" t="n">
        <v>1356037</v>
      </c>
      <c r="AO501" s="12" t="n">
        <v>3494062</v>
      </c>
      <c r="AP501" s="17" t="n">
        <v>0.153</v>
      </c>
      <c r="AQ501" s="16" t="n">
        <v>57</v>
      </c>
      <c r="AR501" s="16" t="n">
        <v>3</v>
      </c>
      <c r="AS501" s="13" t="n">
        <f aca="false">IFERROR(AR501/AR500-1,"")</f>
        <v>0</v>
      </c>
      <c r="AT501" s="11" t="s">
        <v>201</v>
      </c>
      <c r="AU501" s="14" t="n">
        <f aca="false">IFERROR(P501/AR501,"")</f>
        <v>395630.666666667</v>
      </c>
      <c r="AV501" s="12" t="n">
        <v>2322416</v>
      </c>
      <c r="AW501" s="12" t="n">
        <v>1120126</v>
      </c>
      <c r="AX501" s="12" t="n">
        <v>703612</v>
      </c>
      <c r="AY501" s="16" t="n">
        <v>36301</v>
      </c>
      <c r="AZ501" s="13" t="n">
        <f aca="false">IFERROR(AY501/AY500-1,"")</f>
        <v>0.100363746589876</v>
      </c>
      <c r="BA501" s="17" t="n">
        <v>0.941</v>
      </c>
      <c r="BB501" s="11" t="s">
        <v>81</v>
      </c>
      <c r="BC501" s="11" t="s">
        <v>108</v>
      </c>
      <c r="BD501" s="11" t="s">
        <v>157</v>
      </c>
      <c r="BE501" s="12" t="n">
        <v>1412504</v>
      </c>
      <c r="BF501" s="13" t="n">
        <f aca="false">IFERROR(P501/BE501-1,"")</f>
        <v>-0.159724857416333</v>
      </c>
      <c r="BG501" s="17" t="n">
        <v>0.084</v>
      </c>
      <c r="BH501" s="17" t="n">
        <v>-0.069</v>
      </c>
      <c r="BI501" s="14" t="n">
        <f aca="false">P501*(1+IFERROR(Q501,0))^4</f>
        <v>1274201.09390745</v>
      </c>
      <c r="BJ501" s="12" t="n">
        <v>-1018330</v>
      </c>
      <c r="BK501" s="11" t="s">
        <v>110</v>
      </c>
      <c r="BL501" s="11" t="s">
        <v>128</v>
      </c>
      <c r="BM501" s="14" t="n">
        <f aca="false">O501</f>
        <v>37059641</v>
      </c>
      <c r="BN501" s="11" t="s">
        <v>528</v>
      </c>
      <c r="BO501" s="13" t="n">
        <f aca="false">IFERROR(1-L501/M501,"")</f>
        <v>0.189725221853951</v>
      </c>
      <c r="BP501" s="11" t="s">
        <v>130</v>
      </c>
      <c r="BQ501" s="12" t="n">
        <v>2120893</v>
      </c>
      <c r="BR501" s="11" t="s">
        <v>88</v>
      </c>
      <c r="BS501" s="11" t="s">
        <v>89</v>
      </c>
      <c r="BT501" s="19" t="str">
        <f aca="false">IF(OR(Z501&lt;6,AH501&lt;0.9,S501&lt;0.02,AK501&lt;1),"REVIEW",IF(AND(S501&gt;0.25,AH501&gt;1.2),"ACCELERATING","STABLE"))</f>
        <v>STABLE</v>
      </c>
    </row>
    <row r="502" customFormat="false" ht="15" hidden="false" customHeight="false" outlineLevel="0" collapsed="false">
      <c r="A502" s="3" t="s">
        <v>529</v>
      </c>
      <c r="B502" s="3" t="s">
        <v>73</v>
      </c>
      <c r="C502" s="3" t="s">
        <v>74</v>
      </c>
      <c r="D502" s="3" t="s">
        <v>151</v>
      </c>
      <c r="E502" s="3" t="s">
        <v>105</v>
      </c>
      <c r="F502" s="3" t="s">
        <v>530</v>
      </c>
      <c r="G502" s="3" t="s">
        <v>78</v>
      </c>
      <c r="H502" s="3" t="s">
        <v>79</v>
      </c>
      <c r="I502" s="3" t="s">
        <v>78</v>
      </c>
      <c r="J502" s="4" t="n">
        <v>3551000</v>
      </c>
      <c r="K502" s="5" t="n">
        <f aca="false">IFERROR(J502/M502,"")</f>
        <v>0.115150139438355</v>
      </c>
      <c r="L502" s="4" t="n">
        <v>27287000</v>
      </c>
      <c r="M502" s="6" t="n">
        <f aca="false">L502+J502</f>
        <v>30838000</v>
      </c>
      <c r="N502" s="4" t="n">
        <v>6569000</v>
      </c>
      <c r="O502" s="4" t="n">
        <v>26105195</v>
      </c>
      <c r="P502" s="4" t="n">
        <v>1165761</v>
      </c>
      <c r="Q502" s="7"/>
      <c r="R502" s="4" t="n">
        <v>1306403</v>
      </c>
      <c r="S502" s="7"/>
      <c r="T502" s="4" t="n">
        <v>692037</v>
      </c>
      <c r="U502" s="5" t="n">
        <f aca="false">IFERROR(T502/P502,"")</f>
        <v>0.593635402110724</v>
      </c>
      <c r="V502" s="6" t="n">
        <f aca="false">T502-AV502</f>
        <v>-958028</v>
      </c>
      <c r="W502" s="6" t="n">
        <f aca="false">V502-AA502*0.1</f>
        <v>-958028</v>
      </c>
      <c r="X502" s="4" t="n">
        <v>1600787</v>
      </c>
      <c r="Y502" s="4" t="n">
        <v>104960</v>
      </c>
      <c r="Z502" s="8" t="n">
        <f aca="false">IFERROR(X502/Y502,"")</f>
        <v>15.2514005335366</v>
      </c>
      <c r="AA502" s="4" t="n">
        <v>0</v>
      </c>
      <c r="AB502" s="6" t="n">
        <f aca="false">W502-0.02*P502</f>
        <v>-981343.22</v>
      </c>
      <c r="AC502" s="9" t="n">
        <v>30</v>
      </c>
      <c r="AD502" s="7"/>
      <c r="AE502" s="7" t="n">
        <v>0.161</v>
      </c>
      <c r="AF502" s="7" t="n">
        <v>0.136</v>
      </c>
      <c r="AG502" s="5" t="n">
        <f aca="false">1-AF502</f>
        <v>0.864</v>
      </c>
      <c r="AH502" s="7" t="n">
        <v>0.965</v>
      </c>
      <c r="AI502" s="4" t="n">
        <v>71820</v>
      </c>
      <c r="AJ502" s="6" t="n">
        <f aca="false">IFERROR(AM502*U502*MIN(1/AE502,5),"")</f>
        <v>103886.195369377</v>
      </c>
      <c r="AK502" s="10" t="n">
        <f aca="false">IFERROR(AJ502/AI502,"")</f>
        <v>1.44648002463627</v>
      </c>
      <c r="AL502" s="8" t="n">
        <f aca="false">IFERROR(AI502/(AM502*U502/12),"")</f>
        <v>41.4800059303188</v>
      </c>
      <c r="AM502" s="4" t="n">
        <v>35000</v>
      </c>
      <c r="AN502" s="4" t="n">
        <v>1544001</v>
      </c>
      <c r="AO502" s="4" t="n">
        <v>4948412</v>
      </c>
      <c r="AP502" s="7" t="n">
        <v>0.364</v>
      </c>
      <c r="AQ502" s="9" t="n">
        <v>22</v>
      </c>
      <c r="AR502" s="9" t="n">
        <v>4</v>
      </c>
      <c r="AS502" s="7"/>
      <c r="AT502" s="3" t="s">
        <v>170</v>
      </c>
      <c r="AU502" s="6" t="n">
        <f aca="false">IFERROR(P502/AR502,"")</f>
        <v>291440.25</v>
      </c>
      <c r="AV502" s="4" t="n">
        <v>1650065</v>
      </c>
      <c r="AW502" s="4" t="n">
        <v>785226</v>
      </c>
      <c r="AX502" s="4" t="n">
        <v>362435</v>
      </c>
      <c r="AY502" s="9" t="n">
        <v>21056</v>
      </c>
      <c r="AZ502" s="7"/>
      <c r="BA502" s="7" t="n">
        <v>0.847</v>
      </c>
      <c r="BB502" s="3" t="s">
        <v>146</v>
      </c>
      <c r="BC502" s="3" t="s">
        <v>120</v>
      </c>
      <c r="BD502" s="3" t="s">
        <v>109</v>
      </c>
      <c r="BE502" s="4" t="n">
        <v>1965770</v>
      </c>
      <c r="BF502" s="5" t="n">
        <f aca="false">IFERROR(P502/BE502-1,"")</f>
        <v>-0.406969787920255</v>
      </c>
      <c r="BG502" s="7" t="n">
        <v>0.26</v>
      </c>
      <c r="BH502" s="7" t="n">
        <v>0.335</v>
      </c>
      <c r="BI502" s="6" t="n">
        <f aca="false">P502</f>
        <v>1165761</v>
      </c>
      <c r="BJ502" s="4" t="n">
        <v>-1049353</v>
      </c>
      <c r="BK502" s="3" t="s">
        <v>147</v>
      </c>
      <c r="BL502" s="3" t="s">
        <v>148</v>
      </c>
      <c r="BM502" s="6" t="n">
        <f aca="false">O502</f>
        <v>26105195</v>
      </c>
      <c r="BN502" s="3" t="s">
        <v>531</v>
      </c>
      <c r="BO502" s="5" t="n">
        <f aca="false">IFERROR(1-L502/M502,"")</f>
        <v>0.115150139438355</v>
      </c>
      <c r="BP502" s="3" t="s">
        <v>142</v>
      </c>
      <c r="BQ502" s="4" t="n">
        <v>1979199</v>
      </c>
      <c r="BR502" s="3" t="s">
        <v>88</v>
      </c>
      <c r="BS502" s="3" t="s">
        <v>89</v>
      </c>
      <c r="BT502" s="3" t="s">
        <v>90</v>
      </c>
    </row>
    <row r="503" customFormat="false" ht="15" hidden="false" customHeight="false" outlineLevel="0" collapsed="false">
      <c r="A503" s="11" t="s">
        <v>529</v>
      </c>
      <c r="B503" s="11" t="s">
        <v>91</v>
      </c>
      <c r="C503" s="11" t="s">
        <v>74</v>
      </c>
      <c r="D503" s="11" t="s">
        <v>151</v>
      </c>
      <c r="E503" s="11" t="s">
        <v>105</v>
      </c>
      <c r="F503" s="11" t="s">
        <v>530</v>
      </c>
      <c r="G503" s="11" t="s">
        <v>78</v>
      </c>
      <c r="H503" s="11" t="s">
        <v>79</v>
      </c>
      <c r="I503" s="11" t="s">
        <v>78</v>
      </c>
      <c r="J503" s="12" t="n">
        <v>3551000</v>
      </c>
      <c r="K503" s="13" t="n">
        <f aca="false">IFERROR(J503/M503,"")</f>
        <v>0.115150139438355</v>
      </c>
      <c r="L503" s="12" t="n">
        <v>27287000</v>
      </c>
      <c r="M503" s="14" t="n">
        <f aca="false">L503+J503</f>
        <v>30838000</v>
      </c>
      <c r="N503" s="12" t="n">
        <v>6569000</v>
      </c>
      <c r="O503" s="12" t="n">
        <v>26105195</v>
      </c>
      <c r="P503" s="12" t="n">
        <v>1065303</v>
      </c>
      <c r="Q503" s="13" t="n">
        <f aca="false">IFERROR(P503/P502-1,"")</f>
        <v>-0.0861737525959437</v>
      </c>
      <c r="R503" s="12" t="n">
        <v>1207609</v>
      </c>
      <c r="S503" s="13" t="n">
        <f aca="false">IFERROR(R503/R502-1,"")</f>
        <v>-0.0756229126846769</v>
      </c>
      <c r="T503" s="12" t="n">
        <v>620469</v>
      </c>
      <c r="U503" s="13" t="n">
        <f aca="false">IFERROR(T503/P503,"")</f>
        <v>0.582434293341894</v>
      </c>
      <c r="V503" s="14" t="n">
        <f aca="false">T503-AV503</f>
        <v>-1182266</v>
      </c>
      <c r="W503" s="14" t="n">
        <f aca="false">V503-AA503*0.1</f>
        <v>-1182266</v>
      </c>
      <c r="X503" s="12" t="n">
        <v>1305107</v>
      </c>
      <c r="Y503" s="12" t="n">
        <v>112640</v>
      </c>
      <c r="Z503" s="15" t="n">
        <f aca="false">IFERROR(X503/Y503,"")</f>
        <v>11.5865323153409</v>
      </c>
      <c r="AA503" s="12" t="n">
        <v>0</v>
      </c>
      <c r="AB503" s="14" t="n">
        <f aca="false">W503-0.02*P503</f>
        <v>-1203572.06</v>
      </c>
      <c r="AC503" s="16" t="n">
        <v>29</v>
      </c>
      <c r="AD503" s="13" t="n">
        <f aca="false">IFERROR(AC503/AC502-1,"")</f>
        <v>-0.0333333333333333</v>
      </c>
      <c r="AE503" s="17" t="n">
        <v>0.191</v>
      </c>
      <c r="AF503" s="17" t="n">
        <v>0.147</v>
      </c>
      <c r="AG503" s="13" t="n">
        <f aca="false">1-AF503</f>
        <v>0.853</v>
      </c>
      <c r="AH503" s="17" t="n">
        <v>0.925</v>
      </c>
      <c r="AI503" s="12" t="n">
        <v>79380</v>
      </c>
      <c r="AJ503" s="14" t="n">
        <f aca="false">IFERROR(AM503*U503*MIN(1/AE503,5),"")</f>
        <v>103964.521361528</v>
      </c>
      <c r="AK503" s="18" t="n">
        <f aca="false">IFERROR(AJ503/AI503,"")</f>
        <v>1.30970674428733</v>
      </c>
      <c r="AL503" s="15" t="n">
        <f aca="false">IFERROR(AI503/(AM503*U503/12),"")</f>
        <v>45.8117821120703</v>
      </c>
      <c r="AM503" s="12" t="n">
        <v>35700</v>
      </c>
      <c r="AN503" s="12" t="n">
        <v>1202454</v>
      </c>
      <c r="AO503" s="12" t="n">
        <v>4561631</v>
      </c>
      <c r="AP503" s="17" t="n">
        <v>0.364</v>
      </c>
      <c r="AQ503" s="16" t="n">
        <v>22</v>
      </c>
      <c r="AR503" s="16" t="n">
        <v>3</v>
      </c>
      <c r="AS503" s="13" t="n">
        <f aca="false">IFERROR(AR503/AR502-1,"")</f>
        <v>-0.25</v>
      </c>
      <c r="AT503" s="11" t="s">
        <v>170</v>
      </c>
      <c r="AU503" s="14" t="n">
        <f aca="false">IFERROR(P503/AR503,"")</f>
        <v>355101</v>
      </c>
      <c r="AV503" s="12" t="n">
        <v>1802735</v>
      </c>
      <c r="AW503" s="12" t="n">
        <v>862515</v>
      </c>
      <c r="AX503" s="12" t="n">
        <v>598777</v>
      </c>
      <c r="AY503" s="16" t="n">
        <v>19382</v>
      </c>
      <c r="AZ503" s="13" t="n">
        <f aca="false">IFERROR(AY503/AY502-1,"")</f>
        <v>-0.0795022796352584</v>
      </c>
      <c r="BA503" s="17" t="n">
        <v>0.805</v>
      </c>
      <c r="BB503" s="11" t="s">
        <v>146</v>
      </c>
      <c r="BC503" s="11" t="s">
        <v>120</v>
      </c>
      <c r="BD503" s="11" t="s">
        <v>109</v>
      </c>
      <c r="BE503" s="12" t="n">
        <v>1657097</v>
      </c>
      <c r="BF503" s="13" t="n">
        <f aca="false">IFERROR(P503/BE503-1,"")</f>
        <v>-0.357126951530297</v>
      </c>
      <c r="BG503" s="17" t="n">
        <v>0.184</v>
      </c>
      <c r="BH503" s="17" t="n">
        <v>0.375</v>
      </c>
      <c r="BI503" s="14" t="n">
        <f aca="false">P503*(1+IFERROR(Q503,0))^4</f>
        <v>742895.38729737</v>
      </c>
      <c r="BJ503" s="12" t="n">
        <v>-929779</v>
      </c>
      <c r="BK503" s="11" t="s">
        <v>147</v>
      </c>
      <c r="BL503" s="11" t="s">
        <v>148</v>
      </c>
      <c r="BM503" s="14" t="n">
        <f aca="false">O503</f>
        <v>26105195</v>
      </c>
      <c r="BN503" s="11" t="s">
        <v>531</v>
      </c>
      <c r="BO503" s="13" t="n">
        <f aca="false">IFERROR(1-L503/M503,"")</f>
        <v>0.115150139438355</v>
      </c>
      <c r="BP503" s="11" t="s">
        <v>142</v>
      </c>
      <c r="BQ503" s="12" t="n">
        <v>2140123</v>
      </c>
      <c r="BR503" s="11" t="s">
        <v>88</v>
      </c>
      <c r="BS503" s="11" t="s">
        <v>89</v>
      </c>
      <c r="BT503" s="19" t="str">
        <f aca="false">IF(OR(Z503&lt;6,AH503&lt;0.9,S503&lt;0.02,AK503&lt;1),"REVIEW",IF(AND(S503&gt;0.25,AH503&gt;1.2),"ACCELERATING","STABLE"))</f>
        <v>REVIEW</v>
      </c>
    </row>
    <row r="504" customFormat="false" ht="15" hidden="false" customHeight="false" outlineLevel="0" collapsed="false">
      <c r="A504" s="11" t="s">
        <v>529</v>
      </c>
      <c r="B504" s="11" t="s">
        <v>92</v>
      </c>
      <c r="C504" s="11" t="s">
        <v>74</v>
      </c>
      <c r="D504" s="11" t="s">
        <v>151</v>
      </c>
      <c r="E504" s="11" t="s">
        <v>105</v>
      </c>
      <c r="F504" s="11" t="s">
        <v>530</v>
      </c>
      <c r="G504" s="11" t="s">
        <v>78</v>
      </c>
      <c r="H504" s="11" t="s">
        <v>79</v>
      </c>
      <c r="I504" s="11" t="s">
        <v>78</v>
      </c>
      <c r="J504" s="12" t="n">
        <v>3551000</v>
      </c>
      <c r="K504" s="13" t="n">
        <f aca="false">IFERROR(J504/M504,"")</f>
        <v>0.115150139438355</v>
      </c>
      <c r="L504" s="12" t="n">
        <v>27287000</v>
      </c>
      <c r="M504" s="14" t="n">
        <f aca="false">L504+J504</f>
        <v>30838000</v>
      </c>
      <c r="N504" s="12" t="n">
        <v>6569000</v>
      </c>
      <c r="O504" s="12" t="n">
        <v>26105195</v>
      </c>
      <c r="P504" s="12" t="n">
        <v>982238</v>
      </c>
      <c r="Q504" s="13" t="n">
        <f aca="false">IFERROR(P504/P503-1,"")</f>
        <v>-0.0779731212622137</v>
      </c>
      <c r="R504" s="12" t="n">
        <v>1102816</v>
      </c>
      <c r="S504" s="13" t="n">
        <f aca="false">IFERROR(R504/R503-1,"")</f>
        <v>-0.0867772598581164</v>
      </c>
      <c r="T504" s="12" t="n">
        <v>561088</v>
      </c>
      <c r="U504" s="13" t="n">
        <f aca="false">IFERROR(T504/P504,"")</f>
        <v>0.571234262979034</v>
      </c>
      <c r="V504" s="14" t="n">
        <f aca="false">T504-AV504</f>
        <v>-1209824</v>
      </c>
      <c r="W504" s="14" t="n">
        <f aca="false">V504-AA504*0.1</f>
        <v>-1209824</v>
      </c>
      <c r="X504" s="12" t="n">
        <v>958739</v>
      </c>
      <c r="Y504" s="12" t="n">
        <v>120320</v>
      </c>
      <c r="Z504" s="15" t="n">
        <f aca="false">IFERROR(X504/Y504,"")</f>
        <v>7.96824301861702</v>
      </c>
      <c r="AA504" s="12" t="n">
        <v>0</v>
      </c>
      <c r="AB504" s="14" t="n">
        <f aca="false">W504-0.02*P504</f>
        <v>-1229468.76</v>
      </c>
      <c r="AC504" s="16" t="n">
        <v>27</v>
      </c>
      <c r="AD504" s="13" t="n">
        <f aca="false">IFERROR(AC504/AC503-1,"")</f>
        <v>-0.0689655172413793</v>
      </c>
      <c r="AE504" s="17" t="n">
        <v>0.221</v>
      </c>
      <c r="AF504" s="17" t="n">
        <v>0.236</v>
      </c>
      <c r="AG504" s="13" t="n">
        <f aca="false">1-AF504</f>
        <v>0.764</v>
      </c>
      <c r="AH504" s="17" t="n">
        <v>0.885</v>
      </c>
      <c r="AI504" s="12" t="n">
        <v>86940</v>
      </c>
      <c r="AJ504" s="14" t="n">
        <f aca="false">IFERROR(AM504*U504*MIN(1/AE504,5),"")</f>
        <v>94085.6433141938</v>
      </c>
      <c r="AK504" s="18" t="n">
        <f aca="false">IFERROR(AJ504/AI504,"")</f>
        <v>1.08219051431095</v>
      </c>
      <c r="AL504" s="15" t="n">
        <f aca="false">IFERROR(AI504/(AM504*U504/12),"")</f>
        <v>50.1747537202446</v>
      </c>
      <c r="AM504" s="12" t="n">
        <v>36400</v>
      </c>
      <c r="AN504" s="12" t="n">
        <v>1506169</v>
      </c>
      <c r="AO504" s="12" t="n">
        <v>4071683</v>
      </c>
      <c r="AP504" s="17" t="n">
        <v>0.364</v>
      </c>
      <c r="AQ504" s="16" t="n">
        <v>22</v>
      </c>
      <c r="AR504" s="16" t="n">
        <v>3</v>
      </c>
      <c r="AS504" s="13" t="n">
        <f aca="false">IFERROR(AR504/AR503-1,"")</f>
        <v>0</v>
      </c>
      <c r="AT504" s="11" t="s">
        <v>170</v>
      </c>
      <c r="AU504" s="14" t="n">
        <f aca="false">IFERROR(P504/AR504,"")</f>
        <v>327412.666666667</v>
      </c>
      <c r="AV504" s="12" t="n">
        <v>1770912</v>
      </c>
      <c r="AW504" s="12" t="n">
        <v>753635</v>
      </c>
      <c r="AX504" s="12" t="n">
        <v>523894</v>
      </c>
      <c r="AY504" s="16" t="n">
        <v>17475</v>
      </c>
      <c r="AZ504" s="13" t="n">
        <f aca="false">IFERROR(AY504/AY503-1,"")</f>
        <v>-0.0983902590031989</v>
      </c>
      <c r="BA504" s="17" t="n">
        <v>0.799</v>
      </c>
      <c r="BB504" s="11" t="s">
        <v>146</v>
      </c>
      <c r="BC504" s="11" t="s">
        <v>120</v>
      </c>
      <c r="BD504" s="11" t="s">
        <v>109</v>
      </c>
      <c r="BE504" s="12" t="n">
        <v>1628727</v>
      </c>
      <c r="BF504" s="13" t="n">
        <f aca="false">IFERROR(P504/BE504-1,"")</f>
        <v>-0.396929012658352</v>
      </c>
      <c r="BG504" s="17" t="n">
        <v>0.293</v>
      </c>
      <c r="BH504" s="17" t="n">
        <v>0.349</v>
      </c>
      <c r="BI504" s="14" t="n">
        <f aca="false">P504*(1+IFERROR(Q504,0))^4</f>
        <v>709890.000166106</v>
      </c>
      <c r="BJ504" s="12" t="n">
        <v>-1438147</v>
      </c>
      <c r="BK504" s="11" t="s">
        <v>147</v>
      </c>
      <c r="BL504" s="11" t="s">
        <v>148</v>
      </c>
      <c r="BM504" s="14" t="n">
        <f aca="false">O504</f>
        <v>26105195</v>
      </c>
      <c r="BN504" s="11" t="s">
        <v>531</v>
      </c>
      <c r="BO504" s="13" t="n">
        <f aca="false">IFERROR(1-L504/M504,"")</f>
        <v>0.115150139438355</v>
      </c>
      <c r="BP504" s="11" t="s">
        <v>142</v>
      </c>
      <c r="BQ504" s="12" t="n">
        <v>2204787</v>
      </c>
      <c r="BR504" s="11" t="s">
        <v>88</v>
      </c>
      <c r="BS504" s="11" t="s">
        <v>89</v>
      </c>
      <c r="BT504" s="19" t="str">
        <f aca="false">IF(OR(Z504&lt;6,AH504&lt;0.9,S504&lt;0.02,AK504&lt;1),"REVIEW",IF(AND(S504&gt;0.25,AH504&gt;1.2),"ACCELERATING","STABLE"))</f>
        <v>REVIEW</v>
      </c>
    </row>
    <row r="505" customFormat="false" ht="15" hidden="false" customHeight="false" outlineLevel="0" collapsed="false">
      <c r="A505" s="11" t="s">
        <v>529</v>
      </c>
      <c r="B505" s="11" t="s">
        <v>93</v>
      </c>
      <c r="C505" s="11" t="s">
        <v>74</v>
      </c>
      <c r="D505" s="11" t="s">
        <v>151</v>
      </c>
      <c r="E505" s="11" t="s">
        <v>105</v>
      </c>
      <c r="F505" s="11" t="s">
        <v>530</v>
      </c>
      <c r="G505" s="11" t="s">
        <v>78</v>
      </c>
      <c r="H505" s="11" t="s">
        <v>79</v>
      </c>
      <c r="I505" s="11" t="s">
        <v>78</v>
      </c>
      <c r="J505" s="12" t="n">
        <v>3551000</v>
      </c>
      <c r="K505" s="13" t="n">
        <f aca="false">IFERROR(J505/M505,"")</f>
        <v>0.115150139438355</v>
      </c>
      <c r="L505" s="12" t="n">
        <v>27287000</v>
      </c>
      <c r="M505" s="14" t="n">
        <f aca="false">L505+J505</f>
        <v>30838000</v>
      </c>
      <c r="N505" s="12" t="n">
        <v>6569000</v>
      </c>
      <c r="O505" s="12" t="n">
        <v>26105195</v>
      </c>
      <c r="P505" s="12" t="n">
        <v>900669</v>
      </c>
      <c r="Q505" s="13" t="n">
        <f aca="false">IFERROR(P505/P504-1,"")</f>
        <v>-0.0830440280257941</v>
      </c>
      <c r="R505" s="12" t="n">
        <v>997260</v>
      </c>
      <c r="S505" s="13" t="n">
        <f aca="false">IFERROR(R505/R504-1,"")</f>
        <v>-0.0957149696776253</v>
      </c>
      <c r="T505" s="12" t="n">
        <v>504404</v>
      </c>
      <c r="U505" s="13" t="n">
        <f aca="false">IFERROR(T505/P505,"")</f>
        <v>0.560032597991049</v>
      </c>
      <c r="V505" s="14" t="n">
        <f aca="false">T505-AV505</f>
        <v>-1501204</v>
      </c>
      <c r="W505" s="14" t="n">
        <f aca="false">V505-AA505*0.1</f>
        <v>-1501204</v>
      </c>
      <c r="X505" s="12" t="n">
        <v>561683</v>
      </c>
      <c r="Y505" s="12" t="n">
        <v>128000</v>
      </c>
      <c r="Z505" s="15" t="n">
        <f aca="false">IFERROR(X505/Y505,"")</f>
        <v>4.3881484375</v>
      </c>
      <c r="AA505" s="12" t="n">
        <v>0</v>
      </c>
      <c r="AB505" s="14" t="n">
        <f aca="false">W505-0.02*P505</f>
        <v>-1519217.38</v>
      </c>
      <c r="AC505" s="16" t="n">
        <v>25</v>
      </c>
      <c r="AD505" s="13" t="n">
        <f aca="false">IFERROR(AC505/AC504-1,"")</f>
        <v>-0.0740740740740741</v>
      </c>
      <c r="AE505" s="17" t="n">
        <v>0.251</v>
      </c>
      <c r="AF505" s="17" t="n">
        <v>0.232</v>
      </c>
      <c r="AG505" s="13" t="n">
        <f aca="false">1-AF505</f>
        <v>0.768</v>
      </c>
      <c r="AH505" s="17" t="n">
        <v>0.845</v>
      </c>
      <c r="AI505" s="12" t="n">
        <v>94500</v>
      </c>
      <c r="AJ505" s="14" t="n">
        <f aca="false">IFERROR(AM505*U505*MIN(1/AE505,5),"")</f>
        <v>82777.7266353303</v>
      </c>
      <c r="AK505" s="18" t="n">
        <f aca="false">IFERROR(AJ505/AI505,"")</f>
        <v>0.875954779209845</v>
      </c>
      <c r="AL505" s="15" t="n">
        <f aca="false">IFERROR(AI505/(AM505*U505/12),"")</f>
        <v>54.5790331589548</v>
      </c>
      <c r="AM505" s="12" t="n">
        <v>37100</v>
      </c>
      <c r="AN505" s="12" t="n">
        <v>1076006</v>
      </c>
      <c r="AO505" s="12" t="n">
        <v>3433786</v>
      </c>
      <c r="AP505" s="17" t="n">
        <v>0.364</v>
      </c>
      <c r="AQ505" s="16" t="n">
        <v>22</v>
      </c>
      <c r="AR505" s="16" t="n">
        <v>3</v>
      </c>
      <c r="AS505" s="13" t="n">
        <f aca="false">IFERROR(AR505/AR504-1,"")</f>
        <v>0</v>
      </c>
      <c r="AT505" s="11" t="s">
        <v>170</v>
      </c>
      <c r="AU505" s="14" t="n">
        <f aca="false">IFERROR(P505/AR505,"")</f>
        <v>300223</v>
      </c>
      <c r="AV505" s="12" t="n">
        <v>2005608</v>
      </c>
      <c r="AW505" s="12" t="n">
        <v>806520</v>
      </c>
      <c r="AX505" s="12" t="n">
        <v>600681</v>
      </c>
      <c r="AY505" s="16" t="n">
        <v>16483</v>
      </c>
      <c r="AZ505" s="13" t="n">
        <f aca="false">IFERROR(AY505/AY504-1,"")</f>
        <v>-0.0567668097281832</v>
      </c>
      <c r="BA505" s="17" t="n">
        <v>0.778</v>
      </c>
      <c r="BB505" s="11" t="s">
        <v>146</v>
      </c>
      <c r="BC505" s="11" t="s">
        <v>120</v>
      </c>
      <c r="BD505" s="11" t="s">
        <v>109</v>
      </c>
      <c r="BE505" s="12" t="n">
        <v>1494794</v>
      </c>
      <c r="BF505" s="13" t="n">
        <f aca="false">IFERROR(P505/BE505-1,"")</f>
        <v>-0.397462794204419</v>
      </c>
      <c r="BG505" s="17" t="n">
        <v>0.181</v>
      </c>
      <c r="BH505" s="17" t="n">
        <v>0.222</v>
      </c>
      <c r="BI505" s="14" t="n">
        <f aca="false">P505*(1+IFERROR(Q505,0))^4</f>
        <v>636735.624061554</v>
      </c>
      <c r="BJ505" s="12" t="n">
        <v>-1473167</v>
      </c>
      <c r="BK505" s="11" t="s">
        <v>147</v>
      </c>
      <c r="BL505" s="11" t="s">
        <v>148</v>
      </c>
      <c r="BM505" s="14" t="n">
        <f aca="false">O505</f>
        <v>26105195</v>
      </c>
      <c r="BN505" s="11" t="s">
        <v>531</v>
      </c>
      <c r="BO505" s="13" t="n">
        <f aca="false">IFERROR(1-L505/M505,"")</f>
        <v>0.115150139438355</v>
      </c>
      <c r="BP505" s="11" t="s">
        <v>142</v>
      </c>
      <c r="BQ505" s="12" t="n">
        <v>2099225</v>
      </c>
      <c r="BR505" s="11" t="s">
        <v>88</v>
      </c>
      <c r="BS505" s="11" t="s">
        <v>89</v>
      </c>
      <c r="BT505" s="19" t="str">
        <f aca="false">IF(OR(Z505&lt;6,AH505&lt;0.9,S505&lt;0.02,AK505&lt;1),"REVIEW",IF(AND(S505&gt;0.25,AH505&gt;1.2),"ACCELERATING","STABLE"))</f>
        <v>REVIEW</v>
      </c>
    </row>
    <row r="506" customFormat="false" ht="15" hidden="false" customHeight="false" outlineLevel="0" collapsed="false">
      <c r="A506" s="3" t="s">
        <v>532</v>
      </c>
      <c r="B506" s="3" t="s">
        <v>73</v>
      </c>
      <c r="C506" s="3" t="s">
        <v>74</v>
      </c>
      <c r="D506" s="3" t="s">
        <v>115</v>
      </c>
      <c r="E506" s="3" t="s">
        <v>105</v>
      </c>
      <c r="F506" s="3" t="s">
        <v>533</v>
      </c>
      <c r="G506" s="3" t="s">
        <v>78</v>
      </c>
      <c r="H506" s="3" t="s">
        <v>79</v>
      </c>
      <c r="I506" s="3" t="s">
        <v>78</v>
      </c>
      <c r="J506" s="4" t="n">
        <v>2180000</v>
      </c>
      <c r="K506" s="5" t="n">
        <f aca="false">IFERROR(J506/M506,"")</f>
        <v>0.15823473905785</v>
      </c>
      <c r="L506" s="4" t="n">
        <v>11597000</v>
      </c>
      <c r="M506" s="6" t="n">
        <f aca="false">L506+J506</f>
        <v>13777000</v>
      </c>
      <c r="N506" s="4" t="n">
        <v>7268000</v>
      </c>
      <c r="O506" s="4" t="n">
        <v>19053884</v>
      </c>
      <c r="P506" s="4" t="n">
        <v>526402</v>
      </c>
      <c r="Q506" s="7"/>
      <c r="R506" s="4" t="n">
        <v>654526</v>
      </c>
      <c r="S506" s="7"/>
      <c r="T506" s="4" t="n">
        <v>327316</v>
      </c>
      <c r="U506" s="5" t="n">
        <f aca="false">IFERROR(T506/P506,"")</f>
        <v>0.621798549397609</v>
      </c>
      <c r="V506" s="6" t="n">
        <f aca="false">T506-AV506</f>
        <v>-957116</v>
      </c>
      <c r="W506" s="6" t="n">
        <f aca="false">V506-AA506*0.1</f>
        <v>-957116</v>
      </c>
      <c r="X506" s="4" t="n">
        <v>3168471</v>
      </c>
      <c r="Y506" s="4" t="n">
        <v>91910</v>
      </c>
      <c r="Z506" s="8" t="n">
        <f aca="false">IFERROR(X506/Y506,"")</f>
        <v>34.4736263736264</v>
      </c>
      <c r="AA506" s="4" t="n">
        <v>0</v>
      </c>
      <c r="AB506" s="6" t="n">
        <f aca="false">W506-0.02*P506</f>
        <v>-967644.04</v>
      </c>
      <c r="AC506" s="9" t="n">
        <v>29</v>
      </c>
      <c r="AD506" s="7"/>
      <c r="AE506" s="7" t="n">
        <v>0.062</v>
      </c>
      <c r="AF506" s="7" t="n">
        <v>0.066</v>
      </c>
      <c r="AG506" s="5" t="n">
        <f aca="false">1-AF506</f>
        <v>0.934</v>
      </c>
      <c r="AH506" s="7" t="n">
        <v>1.14</v>
      </c>
      <c r="AI506" s="4" t="n">
        <v>14734</v>
      </c>
      <c r="AJ506" s="6" t="n">
        <f aca="false">IFERROR(AM506*U506*MIN(1/AE506,5),"")</f>
        <v>40416.9057108446</v>
      </c>
      <c r="AK506" s="10" t="n">
        <f aca="false">IFERROR(AJ506/AI506,"")</f>
        <v>2.74310477201334</v>
      </c>
      <c r="AL506" s="8" t="n">
        <f aca="false">IFERROR(AI506/(AM506*U506/12),"")</f>
        <v>21.873025271274</v>
      </c>
      <c r="AM506" s="4" t="n">
        <v>13000</v>
      </c>
      <c r="AN506" s="4" t="n">
        <v>940183</v>
      </c>
      <c r="AO506" s="4" t="n">
        <v>1885094</v>
      </c>
      <c r="AP506" s="7" t="n">
        <v>0.404</v>
      </c>
      <c r="AQ506" s="9" t="n">
        <v>80</v>
      </c>
      <c r="AR506" s="9" t="n">
        <v>2</v>
      </c>
      <c r="AS506" s="7"/>
      <c r="AT506" s="3" t="s">
        <v>201</v>
      </c>
      <c r="AU506" s="6" t="n">
        <f aca="false">IFERROR(P506/AR506,"")</f>
        <v>263201</v>
      </c>
      <c r="AV506" s="4" t="n">
        <v>1284432</v>
      </c>
      <c r="AW506" s="4" t="n">
        <v>521932</v>
      </c>
      <c r="AX506" s="4" t="n">
        <v>370380</v>
      </c>
      <c r="AY506" s="9" t="n">
        <v>18962</v>
      </c>
      <c r="AZ506" s="7"/>
      <c r="BA506" s="7" t="n">
        <v>0.933</v>
      </c>
      <c r="BB506" s="3" t="s">
        <v>107</v>
      </c>
      <c r="BC506" s="3" t="s">
        <v>108</v>
      </c>
      <c r="BD506" s="3" t="s">
        <v>175</v>
      </c>
      <c r="BE506" s="4" t="n">
        <v>560426</v>
      </c>
      <c r="BF506" s="5" t="n">
        <f aca="false">IFERROR(P506/BE506-1,"")</f>
        <v>-0.060710959163208</v>
      </c>
      <c r="BG506" s="7" t="n">
        <v>0.005</v>
      </c>
      <c r="BH506" s="7" t="n">
        <v>-0.036</v>
      </c>
      <c r="BI506" s="6" t="n">
        <f aca="false">P506</f>
        <v>526402</v>
      </c>
      <c r="BJ506" s="4" t="n">
        <v>-716567</v>
      </c>
      <c r="BK506" s="3" t="s">
        <v>192</v>
      </c>
      <c r="BL506" s="3" t="s">
        <v>162</v>
      </c>
      <c r="BM506" s="6" t="n">
        <f aca="false">O506</f>
        <v>19053884</v>
      </c>
      <c r="BN506" s="3" t="s">
        <v>534</v>
      </c>
      <c r="BO506" s="5" t="n">
        <f aca="false">IFERROR(1-L506/M506,"")</f>
        <v>0.15823473905785</v>
      </c>
      <c r="BP506" s="3" t="s">
        <v>130</v>
      </c>
      <c r="BQ506" s="4" t="n">
        <v>1777995</v>
      </c>
      <c r="BR506" s="3" t="s">
        <v>88</v>
      </c>
      <c r="BS506" s="3" t="s">
        <v>89</v>
      </c>
      <c r="BT506" s="3" t="s">
        <v>90</v>
      </c>
    </row>
    <row r="507" customFormat="false" ht="15" hidden="false" customHeight="false" outlineLevel="0" collapsed="false">
      <c r="A507" s="11" t="s">
        <v>532</v>
      </c>
      <c r="B507" s="11" t="s">
        <v>91</v>
      </c>
      <c r="C507" s="11" t="s">
        <v>74</v>
      </c>
      <c r="D507" s="11" t="s">
        <v>115</v>
      </c>
      <c r="E507" s="11" t="s">
        <v>105</v>
      </c>
      <c r="F507" s="11" t="s">
        <v>533</v>
      </c>
      <c r="G507" s="11" t="s">
        <v>78</v>
      </c>
      <c r="H507" s="11" t="s">
        <v>79</v>
      </c>
      <c r="I507" s="11" t="s">
        <v>78</v>
      </c>
      <c r="J507" s="12" t="n">
        <v>2180000</v>
      </c>
      <c r="K507" s="13" t="n">
        <f aca="false">IFERROR(J507/M507,"")</f>
        <v>0.15823473905785</v>
      </c>
      <c r="L507" s="12" t="n">
        <v>11597000</v>
      </c>
      <c r="M507" s="14" t="n">
        <f aca="false">L507+J507</f>
        <v>13777000</v>
      </c>
      <c r="N507" s="12" t="n">
        <v>7268000</v>
      </c>
      <c r="O507" s="12" t="n">
        <v>19053884</v>
      </c>
      <c r="P507" s="12" t="n">
        <v>577869</v>
      </c>
      <c r="Q507" s="13" t="n">
        <f aca="false">IFERROR(P507/P506-1,"")</f>
        <v>0.0977712850635066</v>
      </c>
      <c r="R507" s="12" t="n">
        <v>668214</v>
      </c>
      <c r="S507" s="13" t="n">
        <f aca="false">IFERROR(R507/R506-1,"")</f>
        <v>0.020912843798413</v>
      </c>
      <c r="T507" s="12" t="n">
        <v>360773</v>
      </c>
      <c r="U507" s="13" t="n">
        <f aca="false">IFERROR(T507/P507,"")</f>
        <v>0.62431623776323</v>
      </c>
      <c r="V507" s="14" t="n">
        <f aca="false">T507-AV507</f>
        <v>-1008255</v>
      </c>
      <c r="W507" s="14" t="n">
        <f aca="false">V507-AA507*0.1</f>
        <v>-1008255</v>
      </c>
      <c r="X507" s="12" t="n">
        <v>2936676</v>
      </c>
      <c r="Y507" s="12" t="n">
        <v>94940</v>
      </c>
      <c r="Z507" s="15" t="n">
        <f aca="false">IFERROR(X507/Y507,"")</f>
        <v>30.931914893617</v>
      </c>
      <c r="AA507" s="12" t="n">
        <v>0</v>
      </c>
      <c r="AB507" s="14" t="n">
        <f aca="false">W507-0.02*P507</f>
        <v>-1019812.38</v>
      </c>
      <c r="AC507" s="16" t="n">
        <v>32</v>
      </c>
      <c r="AD507" s="13" t="n">
        <f aca="false">IFERROR(AC507/AC506-1,"")</f>
        <v>0.103448275862069</v>
      </c>
      <c r="AE507" s="17" t="n">
        <v>0.06</v>
      </c>
      <c r="AF507" s="17" t="n">
        <v>0.048</v>
      </c>
      <c r="AG507" s="13" t="n">
        <f aca="false">1-AF507</f>
        <v>0.952</v>
      </c>
      <c r="AH507" s="17" t="n">
        <v>1.135</v>
      </c>
      <c r="AI507" s="12" t="n">
        <v>14456</v>
      </c>
      <c r="AJ507" s="14" t="n">
        <f aca="false">IFERROR(AM507*U507*MIN(1/AE507,5),"")</f>
        <v>41392.1665637022</v>
      </c>
      <c r="AK507" s="18" t="n">
        <f aca="false">IFERROR(AJ507/AI507,"")</f>
        <v>2.86332087463352</v>
      </c>
      <c r="AL507" s="15" t="n">
        <f aca="false">IFERROR(AI507/(AM507*U507/12),"")</f>
        <v>20.9546895465146</v>
      </c>
      <c r="AM507" s="12" t="n">
        <v>13260</v>
      </c>
      <c r="AN507" s="12" t="n">
        <v>603447</v>
      </c>
      <c r="AO507" s="12" t="n">
        <v>1918004</v>
      </c>
      <c r="AP507" s="17" t="n">
        <v>0.404</v>
      </c>
      <c r="AQ507" s="16" t="n">
        <v>80</v>
      </c>
      <c r="AR507" s="16" t="n">
        <v>2</v>
      </c>
      <c r="AS507" s="13" t="n">
        <f aca="false">IFERROR(AR507/AR506-1,"")</f>
        <v>0</v>
      </c>
      <c r="AT507" s="11" t="s">
        <v>201</v>
      </c>
      <c r="AU507" s="14" t="n">
        <f aca="false">IFERROR(P507/AR507,"")</f>
        <v>288934.5</v>
      </c>
      <c r="AV507" s="12" t="n">
        <v>1369028</v>
      </c>
      <c r="AW507" s="12" t="n">
        <v>543737</v>
      </c>
      <c r="AX507" s="12" t="n">
        <v>274883</v>
      </c>
      <c r="AY507" s="16" t="n">
        <v>20091</v>
      </c>
      <c r="AZ507" s="13" t="n">
        <f aca="false">IFERROR(AY507/AY506-1,"")</f>
        <v>0.0595401328973737</v>
      </c>
      <c r="BA507" s="17" t="n">
        <v>0.935</v>
      </c>
      <c r="BB507" s="11" t="s">
        <v>107</v>
      </c>
      <c r="BC507" s="11" t="s">
        <v>108</v>
      </c>
      <c r="BD507" s="11" t="s">
        <v>175</v>
      </c>
      <c r="BE507" s="12" t="n">
        <v>552436</v>
      </c>
      <c r="BF507" s="13" t="n">
        <f aca="false">IFERROR(P507/BE507-1,"")</f>
        <v>0.0460379120839336</v>
      </c>
      <c r="BG507" s="17" t="n">
        <v>0.071</v>
      </c>
      <c r="BH507" s="17" t="n">
        <v>-0.078</v>
      </c>
      <c r="BI507" s="14" t="n">
        <f aca="false">P507*(1+IFERROR(Q507,0))^4</f>
        <v>839222.006013364</v>
      </c>
      <c r="BJ507" s="12" t="n">
        <v>-714951</v>
      </c>
      <c r="BK507" s="11" t="s">
        <v>192</v>
      </c>
      <c r="BL507" s="11" t="s">
        <v>162</v>
      </c>
      <c r="BM507" s="14" t="n">
        <f aca="false">O507</f>
        <v>19053884</v>
      </c>
      <c r="BN507" s="11" t="s">
        <v>534</v>
      </c>
      <c r="BO507" s="13" t="n">
        <f aca="false">IFERROR(1-L507/M507,"")</f>
        <v>0.15823473905785</v>
      </c>
      <c r="BP507" s="11" t="s">
        <v>130</v>
      </c>
      <c r="BQ507" s="12" t="n">
        <v>1286060</v>
      </c>
      <c r="BR507" s="11" t="s">
        <v>88</v>
      </c>
      <c r="BS507" s="11" t="s">
        <v>89</v>
      </c>
      <c r="BT507" s="19" t="str">
        <f aca="false">IF(OR(Z507&lt;6,AH507&lt;0.9,S507&lt;0.02,AK507&lt;1),"REVIEW",IF(AND(S507&gt;0.25,AH507&gt;1.2),"ACCELERATING","STABLE"))</f>
        <v>STABLE</v>
      </c>
    </row>
    <row r="508" customFormat="false" ht="15" hidden="false" customHeight="false" outlineLevel="0" collapsed="false">
      <c r="A508" s="11" t="s">
        <v>532</v>
      </c>
      <c r="B508" s="11" t="s">
        <v>92</v>
      </c>
      <c r="C508" s="11" t="s">
        <v>74</v>
      </c>
      <c r="D508" s="11" t="s">
        <v>115</v>
      </c>
      <c r="E508" s="11" t="s">
        <v>105</v>
      </c>
      <c r="F508" s="11" t="s">
        <v>533</v>
      </c>
      <c r="G508" s="11" t="s">
        <v>78</v>
      </c>
      <c r="H508" s="11" t="s">
        <v>79</v>
      </c>
      <c r="I508" s="11" t="s">
        <v>78</v>
      </c>
      <c r="J508" s="12" t="n">
        <v>2180000</v>
      </c>
      <c r="K508" s="13" t="n">
        <f aca="false">IFERROR(J508/M508,"")</f>
        <v>0.15823473905785</v>
      </c>
      <c r="L508" s="12" t="n">
        <v>11597000</v>
      </c>
      <c r="M508" s="14" t="n">
        <f aca="false">L508+J508</f>
        <v>13777000</v>
      </c>
      <c r="N508" s="12" t="n">
        <v>7268000</v>
      </c>
      <c r="O508" s="12" t="n">
        <v>19053884</v>
      </c>
      <c r="P508" s="12" t="n">
        <v>580254</v>
      </c>
      <c r="Q508" s="13" t="n">
        <f aca="false">IFERROR(P508/P507-1,"")</f>
        <v>0.00412723298879159</v>
      </c>
      <c r="R508" s="12" t="n">
        <v>719553</v>
      </c>
      <c r="S508" s="13" t="n">
        <f aca="false">IFERROR(R508/R507-1,"")</f>
        <v>0.0768301771588145</v>
      </c>
      <c r="T508" s="12" t="n">
        <v>363723</v>
      </c>
      <c r="U508" s="13" t="n">
        <f aca="false">IFERROR(T508/P508,"")</f>
        <v>0.62683411057916</v>
      </c>
      <c r="V508" s="14" t="n">
        <f aca="false">T508-AV508</f>
        <v>-1265637</v>
      </c>
      <c r="W508" s="14" t="n">
        <f aca="false">V508-AA508*0.1</f>
        <v>-1265637</v>
      </c>
      <c r="X508" s="12" t="n">
        <v>2688519</v>
      </c>
      <c r="Y508" s="12" t="n">
        <v>97970</v>
      </c>
      <c r="Z508" s="15" t="n">
        <f aca="false">IFERROR(X508/Y508,"")</f>
        <v>27.4422680412371</v>
      </c>
      <c r="AA508" s="12" t="n">
        <v>0</v>
      </c>
      <c r="AB508" s="14" t="n">
        <f aca="false">W508-0.02*P508</f>
        <v>-1277242.08</v>
      </c>
      <c r="AC508" s="16" t="n">
        <v>34</v>
      </c>
      <c r="AD508" s="13" t="n">
        <f aca="false">IFERROR(AC508/AC507-1,"")</f>
        <v>0.0625</v>
      </c>
      <c r="AE508" s="17" t="n">
        <v>0.059</v>
      </c>
      <c r="AF508" s="17" t="n">
        <v>0.063</v>
      </c>
      <c r="AG508" s="13" t="n">
        <f aca="false">1-AF508</f>
        <v>0.937</v>
      </c>
      <c r="AH508" s="17" t="n">
        <v>1.13</v>
      </c>
      <c r="AI508" s="12" t="n">
        <v>14178</v>
      </c>
      <c r="AJ508" s="14" t="n">
        <f aca="false">IFERROR(AM508*U508*MIN(1/AE508,5),"")</f>
        <v>42373.9858751512</v>
      </c>
      <c r="AK508" s="18" t="n">
        <f aca="false">IFERROR(AJ508/AI508,"")</f>
        <v>2.98871391417345</v>
      </c>
      <c r="AL508" s="15" t="n">
        <f aca="false">IFERROR(AI508/(AM508*U508/12),"")</f>
        <v>20.0755246982525</v>
      </c>
      <c r="AM508" s="12" t="n">
        <v>13520</v>
      </c>
      <c r="AN508" s="12" t="n">
        <v>892417</v>
      </c>
      <c r="AO508" s="12" t="n">
        <v>2286619</v>
      </c>
      <c r="AP508" s="17" t="n">
        <v>0.404</v>
      </c>
      <c r="AQ508" s="16" t="n">
        <v>80</v>
      </c>
      <c r="AR508" s="16" t="n">
        <v>2</v>
      </c>
      <c r="AS508" s="13" t="n">
        <f aca="false">IFERROR(AR508/AR507-1,"")</f>
        <v>0</v>
      </c>
      <c r="AT508" s="11" t="s">
        <v>201</v>
      </c>
      <c r="AU508" s="14" t="n">
        <f aca="false">IFERROR(P508/AR508,"")</f>
        <v>290127</v>
      </c>
      <c r="AV508" s="12" t="n">
        <v>1629360</v>
      </c>
      <c r="AW508" s="12" t="n">
        <v>813884</v>
      </c>
      <c r="AX508" s="12" t="n">
        <v>426451</v>
      </c>
      <c r="AY508" s="16" t="n">
        <v>22589</v>
      </c>
      <c r="AZ508" s="13" t="n">
        <f aca="false">IFERROR(AY508/AY507-1,"")</f>
        <v>0.124334279030412</v>
      </c>
      <c r="BA508" s="17" t="n">
        <v>0.948</v>
      </c>
      <c r="BB508" s="11" t="s">
        <v>107</v>
      </c>
      <c r="BC508" s="11" t="s">
        <v>108</v>
      </c>
      <c r="BD508" s="11" t="s">
        <v>175</v>
      </c>
      <c r="BE508" s="12" t="n">
        <v>654793</v>
      </c>
      <c r="BF508" s="13" t="n">
        <f aca="false">IFERROR(P508/BE508-1,"")</f>
        <v>-0.113835975644211</v>
      </c>
      <c r="BG508" s="17" t="n">
        <v>0.067</v>
      </c>
      <c r="BH508" s="17" t="n">
        <v>0.088</v>
      </c>
      <c r="BI508" s="14" t="n">
        <f aca="false">P508*(1+IFERROR(Q508,0))^4</f>
        <v>589892.841607988</v>
      </c>
      <c r="BJ508" s="12" t="n">
        <v>-764684</v>
      </c>
      <c r="BK508" s="11" t="s">
        <v>192</v>
      </c>
      <c r="BL508" s="11" t="s">
        <v>162</v>
      </c>
      <c r="BM508" s="14" t="n">
        <f aca="false">O508</f>
        <v>19053884</v>
      </c>
      <c r="BN508" s="11" t="s">
        <v>534</v>
      </c>
      <c r="BO508" s="13" t="n">
        <f aca="false">IFERROR(1-L508/M508,"")</f>
        <v>0.15823473905785</v>
      </c>
      <c r="BP508" s="11" t="s">
        <v>130</v>
      </c>
      <c r="BQ508" s="12" t="n">
        <v>1693048</v>
      </c>
      <c r="BR508" s="11" t="s">
        <v>88</v>
      </c>
      <c r="BS508" s="11" t="s">
        <v>89</v>
      </c>
      <c r="BT508" s="19" t="str">
        <f aca="false">IF(OR(Z508&lt;6,AH508&lt;0.9,S508&lt;0.02,AK508&lt;1),"REVIEW",IF(AND(S508&gt;0.25,AH508&gt;1.2),"ACCELERATING","STABLE"))</f>
        <v>STABLE</v>
      </c>
    </row>
    <row r="509" customFormat="false" ht="15" hidden="false" customHeight="false" outlineLevel="0" collapsed="false">
      <c r="A509" s="11" t="s">
        <v>532</v>
      </c>
      <c r="B509" s="11" t="s">
        <v>93</v>
      </c>
      <c r="C509" s="11" t="s">
        <v>74</v>
      </c>
      <c r="D509" s="11" t="s">
        <v>115</v>
      </c>
      <c r="E509" s="11" t="s">
        <v>105</v>
      </c>
      <c r="F509" s="11" t="s">
        <v>533</v>
      </c>
      <c r="G509" s="11" t="s">
        <v>78</v>
      </c>
      <c r="H509" s="11" t="s">
        <v>79</v>
      </c>
      <c r="I509" s="11" t="s">
        <v>78</v>
      </c>
      <c r="J509" s="12" t="n">
        <v>2180000</v>
      </c>
      <c r="K509" s="13" t="n">
        <f aca="false">IFERROR(J509/M509,"")</f>
        <v>0.15823473905785</v>
      </c>
      <c r="L509" s="12" t="n">
        <v>11597000</v>
      </c>
      <c r="M509" s="14" t="n">
        <f aca="false">L509+J509</f>
        <v>13777000</v>
      </c>
      <c r="N509" s="12" t="n">
        <v>7268000</v>
      </c>
      <c r="O509" s="12" t="n">
        <v>19053884</v>
      </c>
      <c r="P509" s="12" t="n">
        <v>662665</v>
      </c>
      <c r="Q509" s="13" t="n">
        <f aca="false">IFERROR(P509/P508-1,"")</f>
        <v>0.142025733558063</v>
      </c>
      <c r="R509" s="12" t="n">
        <v>839115</v>
      </c>
      <c r="S509" s="13" t="n">
        <f aca="false">IFERROR(R509/R508-1,"")</f>
        <v>0.166161491926238</v>
      </c>
      <c r="T509" s="12" t="n">
        <v>417049</v>
      </c>
      <c r="U509" s="13" t="n">
        <f aca="false">IFERROR(T509/P509,"")</f>
        <v>0.629351180460716</v>
      </c>
      <c r="V509" s="14" t="n">
        <f aca="false">T509-AV509</f>
        <v>-970022</v>
      </c>
      <c r="W509" s="14" t="n">
        <f aca="false">V509-AA509*0.1</f>
        <v>-970022</v>
      </c>
      <c r="X509" s="12" t="n">
        <v>2424000</v>
      </c>
      <c r="Y509" s="12" t="n">
        <v>101000</v>
      </c>
      <c r="Z509" s="15" t="n">
        <f aca="false">IFERROR(X509/Y509,"")</f>
        <v>24</v>
      </c>
      <c r="AA509" s="12" t="n">
        <v>0</v>
      </c>
      <c r="AB509" s="14" t="n">
        <f aca="false">W509-0.02*P509</f>
        <v>-983275.3</v>
      </c>
      <c r="AC509" s="16" t="n">
        <v>38</v>
      </c>
      <c r="AD509" s="13" t="n">
        <f aca="false">IFERROR(AC509/AC508-1,"")</f>
        <v>0.117647058823529</v>
      </c>
      <c r="AE509" s="17" t="n">
        <v>0.057</v>
      </c>
      <c r="AF509" s="17" t="n">
        <v>0.037</v>
      </c>
      <c r="AG509" s="13" t="n">
        <f aca="false">1-AF509</f>
        <v>0.963</v>
      </c>
      <c r="AH509" s="17" t="n">
        <v>1.125</v>
      </c>
      <c r="AI509" s="12" t="n">
        <v>13900</v>
      </c>
      <c r="AJ509" s="14" t="n">
        <f aca="false">IFERROR(AM509*U509*MIN(1/AE509,5),"")</f>
        <v>43362.2963337433</v>
      </c>
      <c r="AK509" s="18" t="n">
        <f aca="false">IFERROR(AJ509/AI509,"")</f>
        <v>3.11958966429808</v>
      </c>
      <c r="AL509" s="15" t="n">
        <f aca="false">IFERROR(AI509/(AM509*U509/12),"")</f>
        <v>19.2332987529308</v>
      </c>
      <c r="AM509" s="12" t="n">
        <v>13780</v>
      </c>
      <c r="AN509" s="12" t="n">
        <v>812559</v>
      </c>
      <c r="AO509" s="12" t="n">
        <v>2896891</v>
      </c>
      <c r="AP509" s="17" t="n">
        <v>0.404</v>
      </c>
      <c r="AQ509" s="16" t="n">
        <v>80</v>
      </c>
      <c r="AR509" s="16" t="n">
        <v>2</v>
      </c>
      <c r="AS509" s="13" t="n">
        <f aca="false">IFERROR(AR509/AR508-1,"")</f>
        <v>0</v>
      </c>
      <c r="AT509" s="11" t="s">
        <v>201</v>
      </c>
      <c r="AU509" s="14" t="n">
        <f aca="false">IFERROR(P509/AR509,"")</f>
        <v>331332.5</v>
      </c>
      <c r="AV509" s="12" t="n">
        <v>1387071</v>
      </c>
      <c r="AW509" s="12" t="n">
        <v>449980</v>
      </c>
      <c r="AX509" s="12" t="n">
        <v>350795</v>
      </c>
      <c r="AY509" s="16" t="n">
        <v>24823</v>
      </c>
      <c r="AZ509" s="13" t="n">
        <f aca="false">IFERROR(AY509/AY508-1,"")</f>
        <v>0.0988976935676658</v>
      </c>
      <c r="BA509" s="17" t="n">
        <v>0.957</v>
      </c>
      <c r="BB509" s="11" t="s">
        <v>107</v>
      </c>
      <c r="BC509" s="11" t="s">
        <v>108</v>
      </c>
      <c r="BD509" s="11" t="s">
        <v>175</v>
      </c>
      <c r="BE509" s="12" t="n">
        <v>794372</v>
      </c>
      <c r="BF509" s="13" t="n">
        <f aca="false">IFERROR(P509/BE509-1,"")</f>
        <v>-0.165800154083981</v>
      </c>
      <c r="BG509" s="17" t="n">
        <v>-0.015</v>
      </c>
      <c r="BH509" s="17" t="n">
        <v>-0.077</v>
      </c>
      <c r="BI509" s="14" t="n">
        <f aca="false">P509*(1+IFERROR(Q509,0))^4</f>
        <v>1127191.20995338</v>
      </c>
      <c r="BJ509" s="12" t="n">
        <v>-1095197</v>
      </c>
      <c r="BK509" s="11" t="s">
        <v>192</v>
      </c>
      <c r="BL509" s="11" t="s">
        <v>162</v>
      </c>
      <c r="BM509" s="14" t="n">
        <f aca="false">O509</f>
        <v>19053884</v>
      </c>
      <c r="BN509" s="11" t="s">
        <v>534</v>
      </c>
      <c r="BO509" s="13" t="n">
        <f aca="false">IFERROR(1-L509/M509,"")</f>
        <v>0.15823473905785</v>
      </c>
      <c r="BP509" s="11" t="s">
        <v>130</v>
      </c>
      <c r="BQ509" s="12" t="n">
        <v>1911884</v>
      </c>
      <c r="BR509" s="11" t="s">
        <v>88</v>
      </c>
      <c r="BS509" s="11" t="s">
        <v>89</v>
      </c>
      <c r="BT509" s="19" t="str">
        <f aca="false">IF(OR(Z509&lt;6,AH509&lt;0.9,S509&lt;0.02,AK509&lt;1),"REVIEW",IF(AND(S509&gt;0.25,AH509&gt;1.2),"ACCELERATING","STABLE"))</f>
        <v>STABLE</v>
      </c>
    </row>
    <row r="510" customFormat="false" ht="15" hidden="false" customHeight="false" outlineLevel="0" collapsed="false">
      <c r="A510" s="3" t="s">
        <v>535</v>
      </c>
      <c r="B510" s="3" t="s">
        <v>73</v>
      </c>
      <c r="C510" s="3" t="s">
        <v>74</v>
      </c>
      <c r="D510" s="3" t="s">
        <v>210</v>
      </c>
      <c r="E510" s="3" t="s">
        <v>105</v>
      </c>
      <c r="F510" s="3" t="s">
        <v>536</v>
      </c>
      <c r="G510" s="3" t="s">
        <v>78</v>
      </c>
      <c r="H510" s="3" t="s">
        <v>79</v>
      </c>
      <c r="I510" s="3" t="s">
        <v>78</v>
      </c>
      <c r="J510" s="4" t="n">
        <v>2881000</v>
      </c>
      <c r="K510" s="5" t="n">
        <f aca="false">IFERROR(J510/M510,"")</f>
        <v>0.185571658615137</v>
      </c>
      <c r="L510" s="4" t="n">
        <v>12644000</v>
      </c>
      <c r="M510" s="6" t="n">
        <f aca="false">L510+J510</f>
        <v>15525000</v>
      </c>
      <c r="N510" s="4" t="n">
        <v>2881000</v>
      </c>
      <c r="O510" s="4" t="n">
        <v>25107010</v>
      </c>
      <c r="P510" s="4" t="n">
        <v>737851</v>
      </c>
      <c r="Q510" s="7"/>
      <c r="R510" s="4" t="n">
        <v>786851</v>
      </c>
      <c r="S510" s="7"/>
      <c r="T510" s="4" t="n">
        <v>409657</v>
      </c>
      <c r="U510" s="5" t="n">
        <f aca="false">IFERROR(T510/P510,"")</f>
        <v>0.555202879714197</v>
      </c>
      <c r="V510" s="6" t="n">
        <f aca="false">T510-AV510</f>
        <v>-903817</v>
      </c>
      <c r="W510" s="6" t="n">
        <f aca="false">V510-AA510*0.1</f>
        <v>-903817</v>
      </c>
      <c r="X510" s="4" t="n">
        <v>3168471</v>
      </c>
      <c r="Y510" s="4" t="n">
        <v>91910</v>
      </c>
      <c r="Z510" s="8" t="n">
        <f aca="false">IFERROR(X510/Y510,"")</f>
        <v>34.4736263736264</v>
      </c>
      <c r="AA510" s="4" t="n">
        <v>0</v>
      </c>
      <c r="AB510" s="6" t="n">
        <f aca="false">W510-0.02*P510</f>
        <v>-918574.02</v>
      </c>
      <c r="AC510" s="9" t="n">
        <v>25</v>
      </c>
      <c r="AD510" s="7"/>
      <c r="AE510" s="7" t="n">
        <v>0.123</v>
      </c>
      <c r="AF510" s="7" t="n">
        <v>0.093</v>
      </c>
      <c r="AG510" s="5" t="n">
        <f aca="false">1-AF510</f>
        <v>0.907</v>
      </c>
      <c r="AH510" s="7" t="n">
        <v>1.179</v>
      </c>
      <c r="AI510" s="4" t="n">
        <v>83952</v>
      </c>
      <c r="AJ510" s="6" t="n">
        <f aca="false">IFERROR(AM510*U510*MIN(1/AE510,5),"")</f>
        <v>141576.73432712</v>
      </c>
      <c r="AK510" s="10" t="n">
        <f aca="false">IFERROR(AJ510/AI510,"")</f>
        <v>1.68640097111588</v>
      </c>
      <c r="AL510" s="8" t="n">
        <f aca="false">IFERROR(AI510/(AM510*U510/12),"")</f>
        <v>35.578727140022</v>
      </c>
      <c r="AM510" s="4" t="n">
        <v>51000</v>
      </c>
      <c r="AN510" s="4" t="n">
        <v>1015579</v>
      </c>
      <c r="AO510" s="4" t="n">
        <v>2991950</v>
      </c>
      <c r="AP510" s="7" t="n">
        <v>0.135</v>
      </c>
      <c r="AQ510" s="9" t="n">
        <v>22</v>
      </c>
      <c r="AR510" s="9" t="n">
        <v>2</v>
      </c>
      <c r="AS510" s="7"/>
      <c r="AT510" s="3" t="s">
        <v>80</v>
      </c>
      <c r="AU510" s="6" t="n">
        <f aca="false">IFERROR(P510/AR510,"")</f>
        <v>368925.5</v>
      </c>
      <c r="AV510" s="4" t="n">
        <v>1313474</v>
      </c>
      <c r="AW510" s="4" t="n">
        <v>616722</v>
      </c>
      <c r="AX510" s="4" t="n">
        <v>319399</v>
      </c>
      <c r="AY510" s="9" t="n">
        <v>11069</v>
      </c>
      <c r="AZ510" s="7"/>
      <c r="BA510" s="7" t="n">
        <v>0.899</v>
      </c>
      <c r="BB510" s="3" t="s">
        <v>81</v>
      </c>
      <c r="BC510" s="3" t="s">
        <v>82</v>
      </c>
      <c r="BD510" s="3" t="s">
        <v>109</v>
      </c>
      <c r="BE510" s="4" t="n">
        <v>735888</v>
      </c>
      <c r="BF510" s="5" t="n">
        <f aca="false">IFERROR(P510/BE510-1,"")</f>
        <v>0.00266752549300975</v>
      </c>
      <c r="BG510" s="7" t="n">
        <v>-0.016</v>
      </c>
      <c r="BH510" s="7" t="n">
        <v>-0.01</v>
      </c>
      <c r="BI510" s="6" t="n">
        <f aca="false">P510</f>
        <v>737851</v>
      </c>
      <c r="BJ510" s="4" t="n">
        <v>-1080957</v>
      </c>
      <c r="BK510" s="3" t="s">
        <v>192</v>
      </c>
      <c r="BL510" s="3" t="s">
        <v>85</v>
      </c>
      <c r="BM510" s="6" t="n">
        <f aca="false">O510</f>
        <v>25107010</v>
      </c>
      <c r="BN510" s="3" t="s">
        <v>537</v>
      </c>
      <c r="BO510" s="5" t="n">
        <f aca="false">IFERROR(1-L510/M510,"")</f>
        <v>0.185571658615137</v>
      </c>
      <c r="BP510" s="3" t="s">
        <v>87</v>
      </c>
      <c r="BQ510" s="4" t="n">
        <v>1696920</v>
      </c>
      <c r="BR510" s="3" t="s">
        <v>88</v>
      </c>
      <c r="BS510" s="3" t="s">
        <v>89</v>
      </c>
      <c r="BT510" s="3" t="s">
        <v>90</v>
      </c>
    </row>
    <row r="511" customFormat="false" ht="15" hidden="false" customHeight="false" outlineLevel="0" collapsed="false">
      <c r="A511" s="11" t="s">
        <v>535</v>
      </c>
      <c r="B511" s="11" t="s">
        <v>91</v>
      </c>
      <c r="C511" s="11" t="s">
        <v>74</v>
      </c>
      <c r="D511" s="11" t="s">
        <v>210</v>
      </c>
      <c r="E511" s="11" t="s">
        <v>105</v>
      </c>
      <c r="F511" s="11" t="s">
        <v>536</v>
      </c>
      <c r="G511" s="11" t="s">
        <v>78</v>
      </c>
      <c r="H511" s="11" t="s">
        <v>79</v>
      </c>
      <c r="I511" s="11" t="s">
        <v>78</v>
      </c>
      <c r="J511" s="12" t="n">
        <v>2881000</v>
      </c>
      <c r="K511" s="13" t="n">
        <f aca="false">IFERROR(J511/M511,"")</f>
        <v>0.185571658615137</v>
      </c>
      <c r="L511" s="12" t="n">
        <v>12644000</v>
      </c>
      <c r="M511" s="14" t="n">
        <f aca="false">L511+J511</f>
        <v>15525000</v>
      </c>
      <c r="N511" s="12" t="n">
        <v>2881000</v>
      </c>
      <c r="O511" s="12" t="n">
        <v>25107010</v>
      </c>
      <c r="P511" s="12" t="n">
        <v>914627</v>
      </c>
      <c r="Q511" s="13" t="n">
        <f aca="false">IFERROR(P511/P510-1,"")</f>
        <v>0.239582246280075</v>
      </c>
      <c r="R511" s="12" t="n">
        <v>902544</v>
      </c>
      <c r="S511" s="13" t="n">
        <f aca="false">IFERROR(R511/R510-1,"")</f>
        <v>0.147032919828532</v>
      </c>
      <c r="T511" s="12" t="n">
        <v>509859</v>
      </c>
      <c r="U511" s="13" t="n">
        <f aca="false">IFERROR(T511/P511,"")</f>
        <v>0.557450195544195</v>
      </c>
      <c r="V511" s="14" t="n">
        <f aca="false">T511-AV511</f>
        <v>-1040032</v>
      </c>
      <c r="W511" s="14" t="n">
        <f aca="false">V511-AA511*0.1</f>
        <v>-1040032</v>
      </c>
      <c r="X511" s="12" t="n">
        <v>2936676</v>
      </c>
      <c r="Y511" s="12" t="n">
        <v>94940</v>
      </c>
      <c r="Z511" s="15" t="n">
        <f aca="false">IFERROR(X511/Y511,"")</f>
        <v>30.931914893617</v>
      </c>
      <c r="AA511" s="12" t="n">
        <v>0</v>
      </c>
      <c r="AB511" s="14" t="n">
        <f aca="false">W511-0.02*P511</f>
        <v>-1058324.54</v>
      </c>
      <c r="AC511" s="16" t="n">
        <v>27</v>
      </c>
      <c r="AD511" s="13" t="n">
        <f aca="false">IFERROR(AC511/AC510-1,"")</f>
        <v>0.0800000000000001</v>
      </c>
      <c r="AE511" s="17" t="n">
        <v>0.12</v>
      </c>
      <c r="AF511" s="17" t="n">
        <v>0.079</v>
      </c>
      <c r="AG511" s="13" t="n">
        <f aca="false">1-AF511</f>
        <v>0.921</v>
      </c>
      <c r="AH511" s="17" t="n">
        <v>1.174</v>
      </c>
      <c r="AI511" s="12" t="n">
        <v>82368</v>
      </c>
      <c r="AJ511" s="14" t="n">
        <f aca="false">IFERROR(AM511*U511*MIN(1/AE511,5),"")</f>
        <v>144992.795861045</v>
      </c>
      <c r="AK511" s="18" t="n">
        <f aca="false">IFERROR(AJ511/AI511,"")</f>
        <v>1.76030492255542</v>
      </c>
      <c r="AL511" s="15" t="n">
        <f aca="false">IFERROR(AI511/(AM511*U511/12),"")</f>
        <v>34.0850038145087</v>
      </c>
      <c r="AM511" s="12" t="n">
        <v>52020</v>
      </c>
      <c r="AN511" s="12" t="n">
        <v>1039375</v>
      </c>
      <c r="AO511" s="12" t="n">
        <v>3445119</v>
      </c>
      <c r="AP511" s="17" t="n">
        <v>0.135</v>
      </c>
      <c r="AQ511" s="16" t="n">
        <v>22</v>
      </c>
      <c r="AR511" s="16" t="n">
        <v>2</v>
      </c>
      <c r="AS511" s="13" t="n">
        <f aca="false">IFERROR(AR511/AR510-1,"")</f>
        <v>0</v>
      </c>
      <c r="AT511" s="11" t="s">
        <v>80</v>
      </c>
      <c r="AU511" s="14" t="n">
        <f aca="false">IFERROR(P511/AR511,"")</f>
        <v>457313.5</v>
      </c>
      <c r="AV511" s="12" t="n">
        <v>1549891</v>
      </c>
      <c r="AW511" s="12" t="n">
        <v>559650</v>
      </c>
      <c r="AX511" s="12" t="n">
        <v>369789</v>
      </c>
      <c r="AY511" s="16" t="n">
        <v>13248</v>
      </c>
      <c r="AZ511" s="13" t="n">
        <f aca="false">IFERROR(AY511/AY510-1,"")</f>
        <v>0.196856084560484</v>
      </c>
      <c r="BA511" s="17" t="n">
        <v>0.912</v>
      </c>
      <c r="BB511" s="11" t="s">
        <v>81</v>
      </c>
      <c r="BC511" s="11" t="s">
        <v>82</v>
      </c>
      <c r="BD511" s="11" t="s">
        <v>109</v>
      </c>
      <c r="BE511" s="12" t="n">
        <v>1110037</v>
      </c>
      <c r="BF511" s="13" t="n">
        <f aca="false">IFERROR(P511/BE511-1,"")</f>
        <v>-0.176039177072476</v>
      </c>
      <c r="BG511" s="17" t="n">
        <v>0.08</v>
      </c>
      <c r="BH511" s="17" t="n">
        <v>0.09</v>
      </c>
      <c r="BI511" s="14" t="n">
        <f aca="false">P511*(1+IFERROR(Q511,0))^4</f>
        <v>2159461.21197235</v>
      </c>
      <c r="BJ511" s="12" t="n">
        <v>-936840</v>
      </c>
      <c r="BK511" s="11" t="s">
        <v>192</v>
      </c>
      <c r="BL511" s="11" t="s">
        <v>85</v>
      </c>
      <c r="BM511" s="14" t="n">
        <f aca="false">O511</f>
        <v>25107010</v>
      </c>
      <c r="BN511" s="11" t="s">
        <v>537</v>
      </c>
      <c r="BO511" s="13" t="n">
        <f aca="false">IFERROR(1-L511/M511,"")</f>
        <v>0.185571658615137</v>
      </c>
      <c r="BP511" s="11" t="s">
        <v>87</v>
      </c>
      <c r="BQ511" s="12" t="n">
        <v>1152404</v>
      </c>
      <c r="BR511" s="11" t="s">
        <v>88</v>
      </c>
      <c r="BS511" s="11" t="s">
        <v>89</v>
      </c>
      <c r="BT511" s="19" t="str">
        <f aca="false">IF(OR(Z511&lt;6,AH511&lt;0.9,S511&lt;0.02,AK511&lt;1),"REVIEW",IF(AND(S511&gt;0.25,AH511&gt;1.2),"ACCELERATING","STABLE"))</f>
        <v>STABLE</v>
      </c>
    </row>
    <row r="512" customFormat="false" ht="15" hidden="false" customHeight="false" outlineLevel="0" collapsed="false">
      <c r="A512" s="11" t="s">
        <v>535</v>
      </c>
      <c r="B512" s="11" t="s">
        <v>92</v>
      </c>
      <c r="C512" s="11" t="s">
        <v>74</v>
      </c>
      <c r="D512" s="11" t="s">
        <v>210</v>
      </c>
      <c r="E512" s="11" t="s">
        <v>105</v>
      </c>
      <c r="F512" s="11" t="s">
        <v>536</v>
      </c>
      <c r="G512" s="11" t="s">
        <v>78</v>
      </c>
      <c r="H512" s="11" t="s">
        <v>79</v>
      </c>
      <c r="I512" s="11" t="s">
        <v>78</v>
      </c>
      <c r="J512" s="12" t="n">
        <v>2881000</v>
      </c>
      <c r="K512" s="13" t="n">
        <f aca="false">IFERROR(J512/M512,"")</f>
        <v>0.185571658615137</v>
      </c>
      <c r="L512" s="12" t="n">
        <v>12644000</v>
      </c>
      <c r="M512" s="14" t="n">
        <f aca="false">L512+J512</f>
        <v>15525000</v>
      </c>
      <c r="N512" s="12" t="n">
        <v>2881000</v>
      </c>
      <c r="O512" s="12" t="n">
        <v>25107010</v>
      </c>
      <c r="P512" s="12" t="n">
        <v>955441</v>
      </c>
      <c r="Q512" s="13" t="n">
        <f aca="false">IFERROR(P512/P511-1,"")</f>
        <v>0.0446236553261603</v>
      </c>
      <c r="R512" s="12" t="n">
        <v>1048480</v>
      </c>
      <c r="S512" s="13" t="n">
        <f aca="false">IFERROR(R512/R511-1,"")</f>
        <v>0.161694055913064</v>
      </c>
      <c r="T512" s="12" t="n">
        <v>534759</v>
      </c>
      <c r="U512" s="13" t="n">
        <f aca="false">IFERROR(T512/P512,"")</f>
        <v>0.559698610379919</v>
      </c>
      <c r="V512" s="14" t="n">
        <f aca="false">T512-AV512</f>
        <v>-1191748</v>
      </c>
      <c r="W512" s="14" t="n">
        <f aca="false">V512-AA512*0.1</f>
        <v>-1191748</v>
      </c>
      <c r="X512" s="12" t="n">
        <v>2688519</v>
      </c>
      <c r="Y512" s="12" t="n">
        <v>97970</v>
      </c>
      <c r="Z512" s="15" t="n">
        <f aca="false">IFERROR(X512/Y512,"")</f>
        <v>27.4422680412371</v>
      </c>
      <c r="AA512" s="12" t="n">
        <v>0</v>
      </c>
      <c r="AB512" s="14" t="n">
        <f aca="false">W512-0.02*P512</f>
        <v>-1210856.82</v>
      </c>
      <c r="AC512" s="16" t="n">
        <v>30</v>
      </c>
      <c r="AD512" s="13" t="n">
        <f aca="false">IFERROR(AC512/AC511-1,"")</f>
        <v>0.111111111111111</v>
      </c>
      <c r="AE512" s="17" t="n">
        <v>0.116</v>
      </c>
      <c r="AF512" s="17" t="n">
        <v>0.094</v>
      </c>
      <c r="AG512" s="13" t="n">
        <f aca="false">1-AF512</f>
        <v>0.906</v>
      </c>
      <c r="AH512" s="17" t="n">
        <v>1.169</v>
      </c>
      <c r="AI512" s="12" t="n">
        <v>80784</v>
      </c>
      <c r="AJ512" s="14" t="n">
        <f aca="false">IFERROR(AM512*U512*MIN(1/AE512,5),"")</f>
        <v>148432.071472754</v>
      </c>
      <c r="AK512" s="18" t="n">
        <f aca="false">IFERROR(AJ512/AI512,"")</f>
        <v>1.83739442801488</v>
      </c>
      <c r="AL512" s="15" t="n">
        <f aca="false">IFERROR(AI512/(AM512*U512/12),"")</f>
        <v>32.654937385885</v>
      </c>
      <c r="AM512" s="12" t="n">
        <v>53040</v>
      </c>
      <c r="AN512" s="12" t="n">
        <v>1090726</v>
      </c>
      <c r="AO512" s="12" t="n">
        <v>2889722</v>
      </c>
      <c r="AP512" s="17" t="n">
        <v>0.135</v>
      </c>
      <c r="AQ512" s="16" t="n">
        <v>22</v>
      </c>
      <c r="AR512" s="16" t="n">
        <v>2</v>
      </c>
      <c r="AS512" s="13" t="n">
        <f aca="false">IFERROR(AR512/AR511-1,"")</f>
        <v>0</v>
      </c>
      <c r="AT512" s="11" t="s">
        <v>80</v>
      </c>
      <c r="AU512" s="14" t="n">
        <f aca="false">IFERROR(P512/AR512,"")</f>
        <v>477720.5</v>
      </c>
      <c r="AV512" s="12" t="n">
        <v>1726507</v>
      </c>
      <c r="AW512" s="12" t="n">
        <v>803913</v>
      </c>
      <c r="AX512" s="12" t="n">
        <v>575127</v>
      </c>
      <c r="AY512" s="16" t="n">
        <v>14936</v>
      </c>
      <c r="AZ512" s="13" t="n">
        <f aca="false">IFERROR(AY512/AY511-1,"")</f>
        <v>0.127415458937198</v>
      </c>
      <c r="BA512" s="17" t="n">
        <v>0.909</v>
      </c>
      <c r="BB512" s="11" t="s">
        <v>81</v>
      </c>
      <c r="BC512" s="11" t="s">
        <v>82</v>
      </c>
      <c r="BD512" s="11" t="s">
        <v>109</v>
      </c>
      <c r="BE512" s="12" t="n">
        <v>1038032</v>
      </c>
      <c r="BF512" s="13" t="n">
        <f aca="false">IFERROR(P512/BE512-1,"")</f>
        <v>-0.0795649845091481</v>
      </c>
      <c r="BG512" s="17" t="n">
        <v>-0.006</v>
      </c>
      <c r="BH512" s="17" t="n">
        <v>0.078</v>
      </c>
      <c r="BI512" s="14" t="n">
        <f aca="false">P512*(1+IFERROR(Q512,0))^4</f>
        <v>1137740.71091333</v>
      </c>
      <c r="BJ512" s="12" t="n">
        <v>-775290</v>
      </c>
      <c r="BK512" s="11" t="s">
        <v>192</v>
      </c>
      <c r="BL512" s="11" t="s">
        <v>85</v>
      </c>
      <c r="BM512" s="14" t="n">
        <f aca="false">O512</f>
        <v>25107010</v>
      </c>
      <c r="BN512" s="11" t="s">
        <v>537</v>
      </c>
      <c r="BO512" s="13" t="n">
        <f aca="false">IFERROR(1-L512/M512,"")</f>
        <v>0.185571658615137</v>
      </c>
      <c r="BP512" s="11" t="s">
        <v>87</v>
      </c>
      <c r="BQ512" s="12" t="n">
        <v>1415315</v>
      </c>
      <c r="BR512" s="11" t="s">
        <v>88</v>
      </c>
      <c r="BS512" s="11" t="s">
        <v>89</v>
      </c>
      <c r="BT512" s="19" t="str">
        <f aca="false">IF(OR(Z512&lt;6,AH512&lt;0.9,S512&lt;0.02,AK512&lt;1),"REVIEW",IF(AND(S512&gt;0.25,AH512&gt;1.2),"ACCELERATING","STABLE"))</f>
        <v>STABLE</v>
      </c>
    </row>
    <row r="513" customFormat="false" ht="15" hidden="false" customHeight="false" outlineLevel="0" collapsed="false">
      <c r="A513" s="11" t="s">
        <v>535</v>
      </c>
      <c r="B513" s="11" t="s">
        <v>93</v>
      </c>
      <c r="C513" s="11" t="s">
        <v>74</v>
      </c>
      <c r="D513" s="11" t="s">
        <v>210</v>
      </c>
      <c r="E513" s="11" t="s">
        <v>105</v>
      </c>
      <c r="F513" s="11" t="s">
        <v>536</v>
      </c>
      <c r="G513" s="11" t="s">
        <v>78</v>
      </c>
      <c r="H513" s="11" t="s">
        <v>79</v>
      </c>
      <c r="I513" s="11" t="s">
        <v>78</v>
      </c>
      <c r="J513" s="12" t="n">
        <v>2881000</v>
      </c>
      <c r="K513" s="13" t="n">
        <f aca="false">IFERROR(J513/M513,"")</f>
        <v>0.185571658615137</v>
      </c>
      <c r="L513" s="12" t="n">
        <v>12644000</v>
      </c>
      <c r="M513" s="14" t="n">
        <f aca="false">L513+J513</f>
        <v>15525000</v>
      </c>
      <c r="N513" s="12" t="n">
        <v>2881000</v>
      </c>
      <c r="O513" s="12" t="n">
        <v>25107010</v>
      </c>
      <c r="P513" s="12" t="n">
        <v>1127922</v>
      </c>
      <c r="Q513" s="13" t="n">
        <f aca="false">IFERROR(P513/P512-1,"")</f>
        <v>0.180525014103435</v>
      </c>
      <c r="R513" s="12" t="n">
        <v>1294980</v>
      </c>
      <c r="S513" s="13" t="n">
        <f aca="false">IFERROR(R513/R512-1,"")</f>
        <v>0.235102243247368</v>
      </c>
      <c r="T513" s="12" t="n">
        <v>633832</v>
      </c>
      <c r="U513" s="13" t="n">
        <f aca="false">IFERROR(T513/P513,"")</f>
        <v>0.561946659432124</v>
      </c>
      <c r="V513" s="14" t="n">
        <f aca="false">T513-AV513</f>
        <v>-1096812</v>
      </c>
      <c r="W513" s="14" t="n">
        <f aca="false">V513-AA513*0.1</f>
        <v>-1096812</v>
      </c>
      <c r="X513" s="12" t="n">
        <v>2424000</v>
      </c>
      <c r="Y513" s="12" t="n">
        <v>101000</v>
      </c>
      <c r="Z513" s="15" t="n">
        <f aca="false">IFERROR(X513/Y513,"")</f>
        <v>24</v>
      </c>
      <c r="AA513" s="12" t="n">
        <v>0</v>
      </c>
      <c r="AB513" s="14" t="n">
        <f aca="false">W513-0.02*P513</f>
        <v>-1119370.44</v>
      </c>
      <c r="AC513" s="16" t="n">
        <v>35</v>
      </c>
      <c r="AD513" s="13" t="n">
        <f aca="false">IFERROR(AC513/AC512-1,"")</f>
        <v>0.166666666666667</v>
      </c>
      <c r="AE513" s="17" t="n">
        <v>0.113</v>
      </c>
      <c r="AF513" s="17" t="n">
        <v>0.079</v>
      </c>
      <c r="AG513" s="13" t="n">
        <f aca="false">1-AF513</f>
        <v>0.921</v>
      </c>
      <c r="AH513" s="17" t="n">
        <v>1.164</v>
      </c>
      <c r="AI513" s="12" t="n">
        <v>79200</v>
      </c>
      <c r="AJ513" s="14" t="n">
        <f aca="false">IFERROR(AM513*U513*MIN(1/AE513,5),"")</f>
        <v>151894.182044503</v>
      </c>
      <c r="AK513" s="18" t="n">
        <f aca="false">IFERROR(AJ513/AI513,"")</f>
        <v>1.91785583389524</v>
      </c>
      <c r="AL513" s="15" t="n">
        <f aca="false">IFERROR(AI513/(AM513*U513/12),"")</f>
        <v>31.2849375534853</v>
      </c>
      <c r="AM513" s="12" t="n">
        <v>54060</v>
      </c>
      <c r="AN513" s="12" t="n">
        <v>1303445</v>
      </c>
      <c r="AO513" s="12" t="n">
        <v>3901487</v>
      </c>
      <c r="AP513" s="17" t="n">
        <v>0.135</v>
      </c>
      <c r="AQ513" s="16" t="n">
        <v>22</v>
      </c>
      <c r="AR513" s="16" t="n">
        <v>2</v>
      </c>
      <c r="AS513" s="13" t="n">
        <f aca="false">IFERROR(AR513/AR512-1,"")</f>
        <v>0</v>
      </c>
      <c r="AT513" s="11" t="s">
        <v>80</v>
      </c>
      <c r="AU513" s="14" t="n">
        <f aca="false">IFERROR(P513/AR513,"")</f>
        <v>563961</v>
      </c>
      <c r="AV513" s="12" t="n">
        <v>1730644</v>
      </c>
      <c r="AW513" s="12" t="n">
        <v>551359</v>
      </c>
      <c r="AX513" s="12" t="n">
        <v>353451</v>
      </c>
      <c r="AY513" s="16" t="n">
        <v>17047</v>
      </c>
      <c r="AZ513" s="13" t="n">
        <f aca="false">IFERROR(AY513/AY512-1,"")</f>
        <v>0.141336368505624</v>
      </c>
      <c r="BA513" s="17" t="n">
        <v>0.915</v>
      </c>
      <c r="BB513" s="11" t="s">
        <v>81</v>
      </c>
      <c r="BC513" s="11" t="s">
        <v>82</v>
      </c>
      <c r="BD513" s="11" t="s">
        <v>109</v>
      </c>
      <c r="BE513" s="12" t="n">
        <v>1238321</v>
      </c>
      <c r="BF513" s="13" t="n">
        <f aca="false">IFERROR(P513/BE513-1,"")</f>
        <v>-0.0891521665222507</v>
      </c>
      <c r="BG513" s="17" t="n">
        <v>-0.052</v>
      </c>
      <c r="BH513" s="17" t="n">
        <v>-0.047</v>
      </c>
      <c r="BI513" s="14" t="n">
        <f aca="false">P513*(1+IFERROR(Q513,0))^4</f>
        <v>2190684.53638948</v>
      </c>
      <c r="BJ513" s="12" t="n">
        <v>-998149</v>
      </c>
      <c r="BK513" s="11" t="s">
        <v>192</v>
      </c>
      <c r="BL513" s="11" t="s">
        <v>85</v>
      </c>
      <c r="BM513" s="14" t="n">
        <f aca="false">O513</f>
        <v>25107010</v>
      </c>
      <c r="BN513" s="11" t="s">
        <v>537</v>
      </c>
      <c r="BO513" s="13" t="n">
        <f aca="false">IFERROR(1-L513/M513,"")</f>
        <v>0.185571658615137</v>
      </c>
      <c r="BP513" s="11" t="s">
        <v>87</v>
      </c>
      <c r="BQ513" s="12" t="n">
        <v>1875491</v>
      </c>
      <c r="BR513" s="11" t="s">
        <v>88</v>
      </c>
      <c r="BS513" s="11" t="s">
        <v>89</v>
      </c>
      <c r="BT513" s="19" t="str">
        <f aca="false">IF(OR(Z513&lt;6,AH513&lt;0.9,S513&lt;0.02,AK513&lt;1),"REVIEW",IF(AND(S513&gt;0.25,AH513&gt;1.2),"ACCELERATING","STABLE"))</f>
        <v>STABLE</v>
      </c>
    </row>
    <row r="514" customFormat="false" ht="15" hidden="false" customHeight="false" outlineLevel="0" collapsed="false">
      <c r="A514" s="3" t="s">
        <v>538</v>
      </c>
      <c r="B514" s="3" t="s">
        <v>73</v>
      </c>
      <c r="C514" s="3" t="s">
        <v>74</v>
      </c>
      <c r="D514" s="3" t="s">
        <v>165</v>
      </c>
      <c r="E514" s="3" t="s">
        <v>105</v>
      </c>
      <c r="F514" s="3" t="s">
        <v>539</v>
      </c>
      <c r="G514" s="3" t="s">
        <v>78</v>
      </c>
      <c r="H514" s="3" t="s">
        <v>79</v>
      </c>
      <c r="I514" s="3" t="s">
        <v>78</v>
      </c>
      <c r="J514" s="4" t="n">
        <v>3037000</v>
      </c>
      <c r="K514" s="5" t="n">
        <f aca="false">IFERROR(J514/M514,"")</f>
        <v>0.159959970504582</v>
      </c>
      <c r="L514" s="4" t="n">
        <v>15949000</v>
      </c>
      <c r="M514" s="6" t="n">
        <f aca="false">L514+J514</f>
        <v>18986000</v>
      </c>
      <c r="N514" s="4" t="n">
        <v>3101000</v>
      </c>
      <c r="O514" s="4" t="n">
        <v>24079626</v>
      </c>
      <c r="P514" s="4" t="n">
        <v>913072</v>
      </c>
      <c r="Q514" s="7"/>
      <c r="R514" s="4" t="n">
        <v>983605</v>
      </c>
      <c r="S514" s="7"/>
      <c r="T514" s="4" t="n">
        <v>667847</v>
      </c>
      <c r="U514" s="5" t="n">
        <f aca="false">IFERROR(T514/P514,"")</f>
        <v>0.731428627753343</v>
      </c>
      <c r="V514" s="6" t="n">
        <f aca="false">T514-AV514</f>
        <v>-1886642</v>
      </c>
      <c r="W514" s="6" t="n">
        <f aca="false">V514-AA514*0.1</f>
        <v>-1886642</v>
      </c>
      <c r="X514" s="4" t="n">
        <v>4572263</v>
      </c>
      <c r="Y514" s="4" t="n">
        <v>207480</v>
      </c>
      <c r="Z514" s="8" t="n">
        <f aca="false">IFERROR(X514/Y514,"")</f>
        <v>22.0371264700212</v>
      </c>
      <c r="AA514" s="4" t="n">
        <v>0</v>
      </c>
      <c r="AB514" s="6" t="n">
        <f aca="false">W514-0.02*P514</f>
        <v>-1904903.44</v>
      </c>
      <c r="AC514" s="9" t="n">
        <v>23</v>
      </c>
      <c r="AD514" s="7"/>
      <c r="AE514" s="7" t="n">
        <v>0.081</v>
      </c>
      <c r="AF514" s="7" t="n">
        <v>0.058</v>
      </c>
      <c r="AG514" s="5" t="n">
        <f aca="false">1-AF514</f>
        <v>0.942</v>
      </c>
      <c r="AH514" s="7" t="n">
        <v>1.186</v>
      </c>
      <c r="AI514" s="4" t="n">
        <v>20564</v>
      </c>
      <c r="AJ514" s="6" t="n">
        <f aca="false">IFERROR(AM514*U514*MIN(1/AE514,5),"")</f>
        <v>65828.5764978008</v>
      </c>
      <c r="AK514" s="10" t="n">
        <f aca="false">IFERROR(AJ514/AI514,"")</f>
        <v>3.20115621950014</v>
      </c>
      <c r="AL514" s="8" t="n">
        <f aca="false">IFERROR(AI514/(AM514*U514/12),"")</f>
        <v>18.7432277233159</v>
      </c>
      <c r="AM514" s="4" t="n">
        <v>18000</v>
      </c>
      <c r="AN514" s="4" t="n">
        <v>1046834</v>
      </c>
      <c r="AO514" s="4" t="n">
        <v>2368436</v>
      </c>
      <c r="AP514" s="7" t="n">
        <v>0.154</v>
      </c>
      <c r="AQ514" s="9" t="n">
        <v>35</v>
      </c>
      <c r="AR514" s="9" t="n">
        <v>1</v>
      </c>
      <c r="AS514" s="7"/>
      <c r="AT514" s="3" t="s">
        <v>153</v>
      </c>
      <c r="AU514" s="6" t="n">
        <f aca="false">IFERROR(P514/AR514,"")</f>
        <v>913072</v>
      </c>
      <c r="AV514" s="4" t="n">
        <v>2554489</v>
      </c>
      <c r="AW514" s="4" t="n">
        <v>846797</v>
      </c>
      <c r="AX514" s="4" t="n">
        <v>747784</v>
      </c>
      <c r="AY514" s="9" t="n">
        <v>15228</v>
      </c>
      <c r="AZ514" s="7"/>
      <c r="BA514" s="7" t="n">
        <v>0.94</v>
      </c>
      <c r="BB514" s="3" t="s">
        <v>81</v>
      </c>
      <c r="BC514" s="3" t="s">
        <v>126</v>
      </c>
      <c r="BD514" s="3" t="s">
        <v>175</v>
      </c>
      <c r="BE514" s="4" t="n">
        <v>899894</v>
      </c>
      <c r="BF514" s="5" t="n">
        <f aca="false">IFERROR(P514/BE514-1,"")</f>
        <v>0.0146439469537523</v>
      </c>
      <c r="BG514" s="7" t="n">
        <v>-0.028</v>
      </c>
      <c r="BH514" s="7" t="n">
        <v>0.057</v>
      </c>
      <c r="BI514" s="6" t="n">
        <f aca="false">P514</f>
        <v>913072</v>
      </c>
      <c r="BJ514" s="4" t="n">
        <v>-1521057</v>
      </c>
      <c r="BK514" s="3" t="s">
        <v>84</v>
      </c>
      <c r="BL514" s="3" t="s">
        <v>162</v>
      </c>
      <c r="BM514" s="6" t="n">
        <f aca="false">O514</f>
        <v>24079626</v>
      </c>
      <c r="BN514" s="3" t="s">
        <v>376</v>
      </c>
      <c r="BO514" s="5" t="n">
        <f aca="false">IFERROR(1-L514/M514,"")</f>
        <v>0.159959970504582</v>
      </c>
      <c r="BP514" s="3" t="s">
        <v>113</v>
      </c>
      <c r="BQ514" s="4" t="n">
        <v>2875148</v>
      </c>
      <c r="BR514" s="3" t="s">
        <v>88</v>
      </c>
      <c r="BS514" s="3" t="s">
        <v>89</v>
      </c>
      <c r="BT514" s="3" t="s">
        <v>90</v>
      </c>
    </row>
    <row r="515" customFormat="false" ht="15" hidden="false" customHeight="false" outlineLevel="0" collapsed="false">
      <c r="A515" s="11" t="s">
        <v>538</v>
      </c>
      <c r="B515" s="11" t="s">
        <v>91</v>
      </c>
      <c r="C515" s="11" t="s">
        <v>74</v>
      </c>
      <c r="D515" s="11" t="s">
        <v>165</v>
      </c>
      <c r="E515" s="11" t="s">
        <v>105</v>
      </c>
      <c r="F515" s="11" t="s">
        <v>539</v>
      </c>
      <c r="G515" s="11" t="s">
        <v>78</v>
      </c>
      <c r="H515" s="11" t="s">
        <v>79</v>
      </c>
      <c r="I515" s="11" t="s">
        <v>78</v>
      </c>
      <c r="J515" s="12" t="n">
        <v>3037000</v>
      </c>
      <c r="K515" s="13" t="n">
        <f aca="false">IFERROR(J515/M515,"")</f>
        <v>0.159959970504582</v>
      </c>
      <c r="L515" s="12" t="n">
        <v>15949000</v>
      </c>
      <c r="M515" s="14" t="n">
        <f aca="false">L515+J515</f>
        <v>18986000</v>
      </c>
      <c r="N515" s="12" t="n">
        <v>3101000</v>
      </c>
      <c r="O515" s="12" t="n">
        <v>24079626</v>
      </c>
      <c r="P515" s="12" t="n">
        <v>1063761</v>
      </c>
      <c r="Q515" s="13" t="n">
        <f aca="false">IFERROR(P515/P514-1,"")</f>
        <v>0.165035177948727</v>
      </c>
      <c r="R515" s="12" t="n">
        <v>1197455</v>
      </c>
      <c r="S515" s="13" t="n">
        <f aca="false">IFERROR(R515/R514-1,"")</f>
        <v>0.217414510906309</v>
      </c>
      <c r="T515" s="12" t="n">
        <v>781215</v>
      </c>
      <c r="U515" s="13" t="n">
        <f aca="false">IFERROR(T515/P515,"")</f>
        <v>0.734389585630607</v>
      </c>
      <c r="V515" s="14" t="n">
        <f aca="false">T515-AV515</f>
        <v>-2276448</v>
      </c>
      <c r="W515" s="14" t="n">
        <f aca="false">V515-AA515*0.1</f>
        <v>-2276448</v>
      </c>
      <c r="X515" s="12" t="n">
        <v>4049003</v>
      </c>
      <c r="Y515" s="12" t="n">
        <v>214320</v>
      </c>
      <c r="Z515" s="15" t="n">
        <f aca="false">IFERROR(X515/Y515,"")</f>
        <v>18.8923245614035</v>
      </c>
      <c r="AA515" s="12" t="n">
        <v>0</v>
      </c>
      <c r="AB515" s="14" t="n">
        <f aca="false">W515-0.02*P515</f>
        <v>-2297723.22</v>
      </c>
      <c r="AC515" s="16" t="n">
        <v>26</v>
      </c>
      <c r="AD515" s="13" t="n">
        <f aca="false">IFERROR(AC515/AC514-1,"")</f>
        <v>0.130434782608696</v>
      </c>
      <c r="AE515" s="17" t="n">
        <v>0.078</v>
      </c>
      <c r="AF515" s="17" t="n">
        <v>0.058</v>
      </c>
      <c r="AG515" s="13" t="n">
        <f aca="false">1-AF515</f>
        <v>0.942</v>
      </c>
      <c r="AH515" s="17" t="n">
        <v>1.181</v>
      </c>
      <c r="AI515" s="12" t="n">
        <v>20176</v>
      </c>
      <c r="AJ515" s="14" t="n">
        <f aca="false">IFERROR(AM515*U515*MIN(1/AE515,5),"")</f>
        <v>67416.9639608897</v>
      </c>
      <c r="AK515" s="18" t="n">
        <f aca="false">IFERROR(AJ515/AI515,"")</f>
        <v>3.34144349528597</v>
      </c>
      <c r="AL515" s="15" t="n">
        <f aca="false">IFERROR(AI515/(AM515*U515/12),"")</f>
        <v>17.956311421889</v>
      </c>
      <c r="AM515" s="12" t="n">
        <v>18360</v>
      </c>
      <c r="AN515" s="12" t="n">
        <v>1646658</v>
      </c>
      <c r="AO515" s="12" t="n">
        <v>3941319</v>
      </c>
      <c r="AP515" s="17" t="n">
        <v>0.154</v>
      </c>
      <c r="AQ515" s="16" t="n">
        <v>35</v>
      </c>
      <c r="AR515" s="16" t="n">
        <v>2</v>
      </c>
      <c r="AS515" s="13" t="n">
        <f aca="false">IFERROR(AR515/AR514-1,"")</f>
        <v>1</v>
      </c>
      <c r="AT515" s="11" t="s">
        <v>153</v>
      </c>
      <c r="AU515" s="14" t="n">
        <f aca="false">IFERROR(P515/AR515,"")</f>
        <v>531880.5</v>
      </c>
      <c r="AV515" s="12" t="n">
        <v>3057663</v>
      </c>
      <c r="AW515" s="12" t="n">
        <v>1313732</v>
      </c>
      <c r="AX515" s="12" t="n">
        <v>838214</v>
      </c>
      <c r="AY515" s="16" t="n">
        <v>17253</v>
      </c>
      <c r="AZ515" s="13" t="n">
        <f aca="false">IFERROR(AY515/AY514-1,"")</f>
        <v>0.132978723404255</v>
      </c>
      <c r="BA515" s="17" t="n">
        <v>0.914</v>
      </c>
      <c r="BB515" s="11" t="s">
        <v>81</v>
      </c>
      <c r="BC515" s="11" t="s">
        <v>126</v>
      </c>
      <c r="BD515" s="11" t="s">
        <v>175</v>
      </c>
      <c r="BE515" s="12" t="n">
        <v>1136745</v>
      </c>
      <c r="BF515" s="13" t="n">
        <f aca="false">IFERROR(P515/BE515-1,"")</f>
        <v>-0.064204373012417</v>
      </c>
      <c r="BG515" s="17" t="n">
        <v>0.021</v>
      </c>
      <c r="BH515" s="17" t="n">
        <v>0.064</v>
      </c>
      <c r="BI515" s="14" t="n">
        <f aca="false">P515*(1+IFERROR(Q515,0))^4</f>
        <v>1959747.95489328</v>
      </c>
      <c r="BJ515" s="12" t="n">
        <v>-1546886</v>
      </c>
      <c r="BK515" s="11" t="s">
        <v>84</v>
      </c>
      <c r="BL515" s="11" t="s">
        <v>162</v>
      </c>
      <c r="BM515" s="14" t="n">
        <f aca="false">O515</f>
        <v>24079626</v>
      </c>
      <c r="BN515" s="11" t="s">
        <v>376</v>
      </c>
      <c r="BO515" s="13" t="n">
        <f aca="false">IFERROR(1-L515/M515,"")</f>
        <v>0.159959970504582</v>
      </c>
      <c r="BP515" s="11" t="s">
        <v>113</v>
      </c>
      <c r="BQ515" s="12" t="n">
        <v>4189980</v>
      </c>
      <c r="BR515" s="11" t="s">
        <v>88</v>
      </c>
      <c r="BS515" s="11" t="s">
        <v>89</v>
      </c>
      <c r="BT515" s="19" t="str">
        <f aca="false">IF(OR(Z515&lt;6,AH515&lt;0.9,S515&lt;0.02,AK515&lt;1),"REVIEW",IF(AND(S515&gt;0.25,AH515&gt;1.2),"ACCELERATING","STABLE"))</f>
        <v>STABLE</v>
      </c>
    </row>
    <row r="516" customFormat="false" ht="15" hidden="false" customHeight="false" outlineLevel="0" collapsed="false">
      <c r="A516" s="11" t="s">
        <v>538</v>
      </c>
      <c r="B516" s="11" t="s">
        <v>92</v>
      </c>
      <c r="C516" s="11" t="s">
        <v>74</v>
      </c>
      <c r="D516" s="11" t="s">
        <v>165</v>
      </c>
      <c r="E516" s="11" t="s">
        <v>105</v>
      </c>
      <c r="F516" s="11" t="s">
        <v>539</v>
      </c>
      <c r="G516" s="11" t="s">
        <v>78</v>
      </c>
      <c r="H516" s="11" t="s">
        <v>79</v>
      </c>
      <c r="I516" s="11" t="s">
        <v>78</v>
      </c>
      <c r="J516" s="12" t="n">
        <v>3037000</v>
      </c>
      <c r="K516" s="13" t="n">
        <f aca="false">IFERROR(J516/M516,"")</f>
        <v>0.159959970504582</v>
      </c>
      <c r="L516" s="12" t="n">
        <v>15949000</v>
      </c>
      <c r="M516" s="14" t="n">
        <f aca="false">L516+J516</f>
        <v>18986000</v>
      </c>
      <c r="N516" s="12" t="n">
        <v>3101000</v>
      </c>
      <c r="O516" s="12" t="n">
        <v>24079626</v>
      </c>
      <c r="P516" s="12" t="n">
        <v>1295197</v>
      </c>
      <c r="Q516" s="13" t="n">
        <f aca="false">IFERROR(P516/P515-1,"")</f>
        <v>0.217563907682271</v>
      </c>
      <c r="R516" s="12" t="n">
        <v>1332731</v>
      </c>
      <c r="S516" s="13" t="n">
        <f aca="false">IFERROR(R516/R515-1,"")</f>
        <v>0.112969589671428</v>
      </c>
      <c r="T516" s="12" t="n">
        <v>955015</v>
      </c>
      <c r="U516" s="13" t="n">
        <f aca="false">IFERROR(T516/P516,"")</f>
        <v>0.737351151986918</v>
      </c>
      <c r="V516" s="14" t="n">
        <f aca="false">T516-AV516</f>
        <v>-2502700</v>
      </c>
      <c r="W516" s="14" t="n">
        <f aca="false">V516-AA516*0.1</f>
        <v>-2502700</v>
      </c>
      <c r="X516" s="12" t="n">
        <v>3488807</v>
      </c>
      <c r="Y516" s="12" t="n">
        <v>221160</v>
      </c>
      <c r="Z516" s="15" t="n">
        <f aca="false">IFERROR(X516/Y516,"")</f>
        <v>15.7750361729065</v>
      </c>
      <c r="AA516" s="12" t="n">
        <v>0</v>
      </c>
      <c r="AB516" s="14" t="n">
        <f aca="false">W516-0.02*P516</f>
        <v>-2528603.94</v>
      </c>
      <c r="AC516" s="16" t="n">
        <v>30</v>
      </c>
      <c r="AD516" s="13" t="n">
        <f aca="false">IFERROR(AC516/AC515-1,"")</f>
        <v>0.153846153846154</v>
      </c>
      <c r="AE516" s="17" t="n">
        <v>0.076</v>
      </c>
      <c r="AF516" s="17" t="n">
        <v>0.047</v>
      </c>
      <c r="AG516" s="13" t="n">
        <f aca="false">1-AF516</f>
        <v>0.953</v>
      </c>
      <c r="AH516" s="17" t="n">
        <v>1.176</v>
      </c>
      <c r="AI516" s="12" t="n">
        <v>19788</v>
      </c>
      <c r="AJ516" s="14" t="n">
        <f aca="false">IFERROR(AM516*U516*MIN(1/AE516,5),"")</f>
        <v>69016.0678259755</v>
      </c>
      <c r="AK516" s="18" t="n">
        <f aca="false">IFERROR(AJ516/AI516,"")</f>
        <v>3.48777379350998</v>
      </c>
      <c r="AL516" s="15" t="n">
        <f aca="false">IFERROR(AI516/(AM516*U516/12),"")</f>
        <v>17.2029505215182</v>
      </c>
      <c r="AM516" s="12" t="n">
        <v>18720</v>
      </c>
      <c r="AN516" s="12" t="n">
        <v>1736255</v>
      </c>
      <c r="AO516" s="12" t="n">
        <v>4186357</v>
      </c>
      <c r="AP516" s="17" t="n">
        <v>0.154</v>
      </c>
      <c r="AQ516" s="16" t="n">
        <v>35</v>
      </c>
      <c r="AR516" s="16" t="n">
        <v>2</v>
      </c>
      <c r="AS516" s="13" t="n">
        <f aca="false">IFERROR(AR516/AR515-1,"")</f>
        <v>0</v>
      </c>
      <c r="AT516" s="11" t="s">
        <v>153</v>
      </c>
      <c r="AU516" s="14" t="n">
        <f aca="false">IFERROR(P516/AR516,"")</f>
        <v>647598.5</v>
      </c>
      <c r="AV516" s="12" t="n">
        <v>3457715</v>
      </c>
      <c r="AW516" s="12" t="n">
        <v>1452289</v>
      </c>
      <c r="AX516" s="12" t="n">
        <v>697482</v>
      </c>
      <c r="AY516" s="16" t="n">
        <v>22637</v>
      </c>
      <c r="AZ516" s="13" t="n">
        <f aca="false">IFERROR(AY516/AY515-1,"")</f>
        <v>0.312061670434127</v>
      </c>
      <c r="BA516" s="17" t="n">
        <v>0.943</v>
      </c>
      <c r="BB516" s="11" t="s">
        <v>81</v>
      </c>
      <c r="BC516" s="11" t="s">
        <v>126</v>
      </c>
      <c r="BD516" s="11" t="s">
        <v>175</v>
      </c>
      <c r="BE516" s="12" t="n">
        <v>1285031</v>
      </c>
      <c r="BF516" s="13" t="n">
        <f aca="false">IFERROR(P516/BE516-1,"")</f>
        <v>0.00791109319541716</v>
      </c>
      <c r="BG516" s="17" t="n">
        <v>-0.014</v>
      </c>
      <c r="BH516" s="17" t="n">
        <v>0.095</v>
      </c>
      <c r="BI516" s="14" t="n">
        <f aca="false">P516*(1+IFERROR(Q516,0))^4</f>
        <v>2846445.63166015</v>
      </c>
      <c r="BJ516" s="12" t="n">
        <v>-1850420</v>
      </c>
      <c r="BK516" s="11" t="s">
        <v>84</v>
      </c>
      <c r="BL516" s="11" t="s">
        <v>162</v>
      </c>
      <c r="BM516" s="14" t="n">
        <f aca="false">O516</f>
        <v>24079626</v>
      </c>
      <c r="BN516" s="11" t="s">
        <v>376</v>
      </c>
      <c r="BO516" s="13" t="n">
        <f aca="false">IFERROR(1-L516/M516,"")</f>
        <v>0.159959970504582</v>
      </c>
      <c r="BP516" s="11" t="s">
        <v>113</v>
      </c>
      <c r="BQ516" s="12" t="n">
        <v>3643439</v>
      </c>
      <c r="BR516" s="11" t="s">
        <v>88</v>
      </c>
      <c r="BS516" s="11" t="s">
        <v>89</v>
      </c>
      <c r="BT516" s="19" t="str">
        <f aca="false">IF(OR(Z516&lt;6,AH516&lt;0.9,S516&lt;0.02,AK516&lt;1),"REVIEW",IF(AND(S516&gt;0.25,AH516&gt;1.2),"ACCELERATING","STABLE"))</f>
        <v>STABLE</v>
      </c>
    </row>
    <row r="517" customFormat="false" ht="15" hidden="false" customHeight="false" outlineLevel="0" collapsed="false">
      <c r="A517" s="11" t="s">
        <v>538</v>
      </c>
      <c r="B517" s="11" t="s">
        <v>93</v>
      </c>
      <c r="C517" s="11" t="s">
        <v>74</v>
      </c>
      <c r="D517" s="11" t="s">
        <v>165</v>
      </c>
      <c r="E517" s="11" t="s">
        <v>105</v>
      </c>
      <c r="F517" s="11" t="s">
        <v>539</v>
      </c>
      <c r="G517" s="11" t="s">
        <v>78</v>
      </c>
      <c r="H517" s="11" t="s">
        <v>79</v>
      </c>
      <c r="I517" s="11" t="s">
        <v>78</v>
      </c>
      <c r="J517" s="12" t="n">
        <v>3037000</v>
      </c>
      <c r="K517" s="13" t="n">
        <f aca="false">IFERROR(J517/M517,"")</f>
        <v>0.159959970504582</v>
      </c>
      <c r="L517" s="12" t="n">
        <v>15949000</v>
      </c>
      <c r="M517" s="14" t="n">
        <f aca="false">L517+J517</f>
        <v>18986000</v>
      </c>
      <c r="N517" s="12" t="n">
        <v>3101000</v>
      </c>
      <c r="O517" s="12" t="n">
        <v>24079626</v>
      </c>
      <c r="P517" s="12" t="n">
        <v>1561824</v>
      </c>
      <c r="Q517" s="13" t="n">
        <f aca="false">IFERROR(P517/P516-1,"")</f>
        <v>0.205858259399921</v>
      </c>
      <c r="R517" s="12" t="n">
        <v>1672494</v>
      </c>
      <c r="S517" s="13" t="n">
        <f aca="false">IFERROR(R517/R516-1,"")</f>
        <v>0.254937417978572</v>
      </c>
      <c r="T517" s="12" t="n">
        <v>1156238</v>
      </c>
      <c r="U517" s="13" t="n">
        <f aca="false">IFERROR(T517/P517,"")</f>
        <v>0.740312608847092</v>
      </c>
      <c r="V517" s="14" t="n">
        <f aca="false">T517-AV517</f>
        <v>-2451573</v>
      </c>
      <c r="W517" s="14" t="n">
        <f aca="false">V517-AA517*0.1</f>
        <v>-2451573</v>
      </c>
      <c r="X517" s="12" t="n">
        <v>2891675</v>
      </c>
      <c r="Y517" s="12" t="n">
        <v>228000</v>
      </c>
      <c r="Z517" s="15" t="n">
        <f aca="false">IFERROR(X517/Y517,"")</f>
        <v>12.6827850877193</v>
      </c>
      <c r="AA517" s="12" t="n">
        <v>0</v>
      </c>
      <c r="AB517" s="14" t="n">
        <f aca="false">W517-0.02*P517</f>
        <v>-2482809.48</v>
      </c>
      <c r="AC517" s="16" t="n">
        <v>38</v>
      </c>
      <c r="AD517" s="13" t="n">
        <f aca="false">IFERROR(AC517/AC516-1,"")</f>
        <v>0.266666666666667</v>
      </c>
      <c r="AE517" s="17" t="n">
        <v>0.074</v>
      </c>
      <c r="AF517" s="17" t="n">
        <v>0.063</v>
      </c>
      <c r="AG517" s="13" t="n">
        <f aca="false">1-AF517</f>
        <v>0.937</v>
      </c>
      <c r="AH517" s="17" t="n">
        <v>1.171</v>
      </c>
      <c r="AI517" s="12" t="n">
        <v>19400</v>
      </c>
      <c r="AJ517" s="14" t="n">
        <f aca="false">IFERROR(AM517*U517*MIN(1/AE517,5),"")</f>
        <v>70625.8228840125</v>
      </c>
      <c r="AK517" s="18" t="n">
        <f aca="false">IFERROR(AJ517/AI517,"")</f>
        <v>3.64050633422745</v>
      </c>
      <c r="AL517" s="15" t="n">
        <f aca="false">IFERROR(AI517/(AM517*U517/12),"")</f>
        <v>16.4812238989642</v>
      </c>
      <c r="AM517" s="12" t="n">
        <v>19080</v>
      </c>
      <c r="AN517" s="12" t="n">
        <v>1975823</v>
      </c>
      <c r="AO517" s="12" t="n">
        <v>3626960</v>
      </c>
      <c r="AP517" s="17" t="n">
        <v>0.154</v>
      </c>
      <c r="AQ517" s="16" t="n">
        <v>35</v>
      </c>
      <c r="AR517" s="16" t="n">
        <v>2</v>
      </c>
      <c r="AS517" s="13" t="n">
        <f aca="false">IFERROR(AR517/AR516-1,"")</f>
        <v>0</v>
      </c>
      <c r="AT517" s="11" t="s">
        <v>153</v>
      </c>
      <c r="AU517" s="14" t="n">
        <f aca="false">IFERROR(P517/AR517,"")</f>
        <v>780912</v>
      </c>
      <c r="AV517" s="12" t="n">
        <v>3607811</v>
      </c>
      <c r="AW517" s="12" t="n">
        <v>1672686</v>
      </c>
      <c r="AX517" s="12" t="n">
        <v>832941</v>
      </c>
      <c r="AY517" s="16" t="n">
        <v>24349</v>
      </c>
      <c r="AZ517" s="13" t="n">
        <f aca="false">IFERROR(AY517/AY516-1,"")</f>
        <v>0.0756283959888677</v>
      </c>
      <c r="BA517" s="17" t="n">
        <v>0.948</v>
      </c>
      <c r="BB517" s="11" t="s">
        <v>81</v>
      </c>
      <c r="BC517" s="11" t="s">
        <v>126</v>
      </c>
      <c r="BD517" s="11" t="s">
        <v>175</v>
      </c>
      <c r="BE517" s="12" t="n">
        <v>1764927</v>
      </c>
      <c r="BF517" s="13" t="n">
        <f aca="false">IFERROR(P517/BE517-1,"")</f>
        <v>-0.115077280816714</v>
      </c>
      <c r="BG517" s="17" t="n">
        <v>-0.051</v>
      </c>
      <c r="BH517" s="17" t="n">
        <v>0.085</v>
      </c>
      <c r="BI517" s="14" t="n">
        <f aca="false">P517*(1+IFERROR(Q517,0))^4</f>
        <v>3302304.69299697</v>
      </c>
      <c r="BJ517" s="12" t="n">
        <v>-1407769</v>
      </c>
      <c r="BK517" s="11" t="s">
        <v>84</v>
      </c>
      <c r="BL517" s="11" t="s">
        <v>162</v>
      </c>
      <c r="BM517" s="14" t="n">
        <f aca="false">O517</f>
        <v>24079626</v>
      </c>
      <c r="BN517" s="11" t="s">
        <v>376</v>
      </c>
      <c r="BO517" s="13" t="n">
        <f aca="false">IFERROR(1-L517/M517,"")</f>
        <v>0.159959970504582</v>
      </c>
      <c r="BP517" s="11" t="s">
        <v>113</v>
      </c>
      <c r="BQ517" s="12" t="n">
        <v>3184589</v>
      </c>
      <c r="BR517" s="11" t="s">
        <v>88</v>
      </c>
      <c r="BS517" s="11" t="s">
        <v>89</v>
      </c>
      <c r="BT517" s="19" t="str">
        <f aca="false">IF(OR(Z517&lt;6,AH517&lt;0.9,S517&lt;0.02,AK517&lt;1),"REVIEW",IF(AND(S517&gt;0.25,AH517&gt;1.2),"ACCELERATING","STABLE"))</f>
        <v>STABLE</v>
      </c>
    </row>
    <row r="518" customFormat="false" ht="15" hidden="false" customHeight="false" outlineLevel="0" collapsed="false">
      <c r="A518" s="3" t="s">
        <v>540</v>
      </c>
      <c r="B518" s="3" t="s">
        <v>73</v>
      </c>
      <c r="C518" s="3" t="s">
        <v>74</v>
      </c>
      <c r="D518" s="3" t="s">
        <v>165</v>
      </c>
      <c r="E518" s="3" t="s">
        <v>105</v>
      </c>
      <c r="F518" s="3" t="s">
        <v>541</v>
      </c>
      <c r="G518" s="3" t="s">
        <v>78</v>
      </c>
      <c r="H518" s="3" t="s">
        <v>79</v>
      </c>
      <c r="I518" s="3" t="s">
        <v>78</v>
      </c>
      <c r="J518" s="4" t="n">
        <v>1327000</v>
      </c>
      <c r="K518" s="5" t="n">
        <f aca="false">IFERROR(J518/M518,"")</f>
        <v>0.0998870907038013</v>
      </c>
      <c r="L518" s="4" t="n">
        <v>11958000</v>
      </c>
      <c r="M518" s="6" t="n">
        <f aca="false">L518+J518</f>
        <v>13285000</v>
      </c>
      <c r="N518" s="4" t="n">
        <v>7077000</v>
      </c>
      <c r="O518" s="4" t="n">
        <v>22395187</v>
      </c>
      <c r="P518" s="4" t="n">
        <v>1184496</v>
      </c>
      <c r="Q518" s="7"/>
      <c r="R518" s="4" t="n">
        <v>1440314</v>
      </c>
      <c r="S518" s="7"/>
      <c r="T518" s="4" t="n">
        <v>719467</v>
      </c>
      <c r="U518" s="5" t="n">
        <f aca="false">IFERROR(T518/P518,"")</f>
        <v>0.607403486377328</v>
      </c>
      <c r="V518" s="6" t="n">
        <f aca="false">T518-AV518</f>
        <v>-2496246</v>
      </c>
      <c r="W518" s="6" t="n">
        <f aca="false">V518-AA518*0.1</f>
        <v>-2496246</v>
      </c>
      <c r="X518" s="4" t="n">
        <v>3954861</v>
      </c>
      <c r="Y518" s="4" t="n">
        <v>196560</v>
      </c>
      <c r="Z518" s="8" t="n">
        <f aca="false">IFERROR(X518/Y518,"")</f>
        <v>20.1203754578755</v>
      </c>
      <c r="AA518" s="4" t="n">
        <v>0</v>
      </c>
      <c r="AB518" s="6" t="n">
        <f aca="false">W518-0.02*P518</f>
        <v>-2519935.92</v>
      </c>
      <c r="AC518" s="9" t="n">
        <v>22</v>
      </c>
      <c r="AD518" s="7"/>
      <c r="AE518" s="7" t="n">
        <v>0.146</v>
      </c>
      <c r="AF518" s="7" t="n">
        <v>0.107</v>
      </c>
      <c r="AG518" s="5" t="n">
        <f aca="false">1-AF518</f>
        <v>0.893</v>
      </c>
      <c r="AH518" s="7" t="n">
        <v>1.126</v>
      </c>
      <c r="AI518" s="4" t="n">
        <v>27348</v>
      </c>
      <c r="AJ518" s="6" t="n">
        <f aca="false">IFERROR(AM518*U518*MIN(1/AE518,5),"")</f>
        <v>81999.4706609393</v>
      </c>
      <c r="AK518" s="10" t="n">
        <f aca="false">IFERROR(AJ518/AI518,"")</f>
        <v>2.99837175153354</v>
      </c>
      <c r="AL518" s="8" t="n">
        <f aca="false">IFERROR(AI518/(AM518*U518/12),"")</f>
        <v>20.0108608845159</v>
      </c>
      <c r="AM518" s="4" t="n">
        <v>27000</v>
      </c>
      <c r="AN518" s="4" t="n">
        <v>1788359</v>
      </c>
      <c r="AO518" s="4" t="n">
        <v>5228540</v>
      </c>
      <c r="AP518" s="7" t="n">
        <v>0.265</v>
      </c>
      <c r="AQ518" s="9" t="n">
        <v>72</v>
      </c>
      <c r="AR518" s="9" t="n">
        <v>8</v>
      </c>
      <c r="AS518" s="7"/>
      <c r="AT518" s="3" t="s">
        <v>153</v>
      </c>
      <c r="AU518" s="6" t="n">
        <f aca="false">IFERROR(P518/AR518,"")</f>
        <v>148062</v>
      </c>
      <c r="AV518" s="4" t="n">
        <v>3215713</v>
      </c>
      <c r="AW518" s="4" t="n">
        <v>1334028</v>
      </c>
      <c r="AX518" s="4" t="n">
        <v>845249</v>
      </c>
      <c r="AY518" s="9" t="n">
        <v>2184</v>
      </c>
      <c r="AZ518" s="7"/>
      <c r="BA518" s="7" t="n">
        <v>0.893</v>
      </c>
      <c r="BB518" s="3" t="s">
        <v>99</v>
      </c>
      <c r="BC518" s="3" t="s">
        <v>82</v>
      </c>
      <c r="BD518" s="3" t="s">
        <v>83</v>
      </c>
      <c r="BE518" s="4" t="n">
        <v>1287302</v>
      </c>
      <c r="BF518" s="5" t="n">
        <f aca="false">IFERROR(P518/BE518-1,"")</f>
        <v>-0.0798616020172422</v>
      </c>
      <c r="BG518" s="7" t="n">
        <v>0.082</v>
      </c>
      <c r="BH518" s="7" t="n">
        <v>-0.028</v>
      </c>
      <c r="BI518" s="6" t="n">
        <f aca="false">P518</f>
        <v>1184496</v>
      </c>
      <c r="BJ518" s="4" t="n">
        <v>-2115293</v>
      </c>
      <c r="BK518" s="3" t="s">
        <v>84</v>
      </c>
      <c r="BL518" s="3" t="s">
        <v>162</v>
      </c>
      <c r="BM518" s="6" t="n">
        <f aca="false">O518</f>
        <v>22395187</v>
      </c>
      <c r="BN518" s="3" t="s">
        <v>542</v>
      </c>
      <c r="BO518" s="5" t="n">
        <f aca="false">IFERROR(1-L518/M518,"")</f>
        <v>0.0998870907038013</v>
      </c>
      <c r="BP518" s="3" t="s">
        <v>130</v>
      </c>
      <c r="BQ518" s="4" t="n">
        <v>3914568</v>
      </c>
      <c r="BR518" s="3" t="s">
        <v>88</v>
      </c>
      <c r="BS518" s="3" t="s">
        <v>89</v>
      </c>
      <c r="BT518" s="3" t="s">
        <v>90</v>
      </c>
    </row>
    <row r="519" customFormat="false" ht="15" hidden="false" customHeight="false" outlineLevel="0" collapsed="false">
      <c r="A519" s="11" t="s">
        <v>540</v>
      </c>
      <c r="B519" s="11" t="s">
        <v>91</v>
      </c>
      <c r="C519" s="11" t="s">
        <v>74</v>
      </c>
      <c r="D519" s="11" t="s">
        <v>165</v>
      </c>
      <c r="E519" s="11" t="s">
        <v>105</v>
      </c>
      <c r="F519" s="11" t="s">
        <v>541</v>
      </c>
      <c r="G519" s="11" t="s">
        <v>78</v>
      </c>
      <c r="H519" s="11" t="s">
        <v>79</v>
      </c>
      <c r="I519" s="11" t="s">
        <v>78</v>
      </c>
      <c r="J519" s="12" t="n">
        <v>1327000</v>
      </c>
      <c r="K519" s="13" t="n">
        <f aca="false">IFERROR(J519/M519,"")</f>
        <v>0.0998870907038013</v>
      </c>
      <c r="L519" s="12" t="n">
        <v>11958000</v>
      </c>
      <c r="M519" s="14" t="n">
        <f aca="false">L519+J519</f>
        <v>13285000</v>
      </c>
      <c r="N519" s="12" t="n">
        <v>7077000</v>
      </c>
      <c r="O519" s="12" t="n">
        <v>22395187</v>
      </c>
      <c r="P519" s="12" t="n">
        <v>1354374</v>
      </c>
      <c r="Q519" s="13" t="n">
        <f aca="false">IFERROR(P519/P518-1,"")</f>
        <v>0.143417960043766</v>
      </c>
      <c r="R519" s="12" t="n">
        <v>1635954</v>
      </c>
      <c r="S519" s="13" t="n">
        <f aca="false">IFERROR(R519/R518-1,"")</f>
        <v>0.135831492299596</v>
      </c>
      <c r="T519" s="12" t="n">
        <v>825983</v>
      </c>
      <c r="U519" s="13" t="n">
        <f aca="false">IFERROR(T519/P519,"")</f>
        <v>0.60986330216026</v>
      </c>
      <c r="V519" s="14" t="n">
        <f aca="false">T519-AV519</f>
        <v>-2045758</v>
      </c>
      <c r="W519" s="14" t="n">
        <f aca="false">V519-AA519*0.1</f>
        <v>-2045758</v>
      </c>
      <c r="X519" s="12" t="n">
        <v>3459141</v>
      </c>
      <c r="Y519" s="12" t="n">
        <v>203040</v>
      </c>
      <c r="Z519" s="15" t="n">
        <f aca="false">IFERROR(X519/Y519,"")</f>
        <v>17.0367464539007</v>
      </c>
      <c r="AA519" s="12" t="n">
        <v>0</v>
      </c>
      <c r="AB519" s="14" t="n">
        <f aca="false">W519-0.02*P519</f>
        <v>-2072845.48</v>
      </c>
      <c r="AC519" s="16" t="n">
        <v>24</v>
      </c>
      <c r="AD519" s="13" t="n">
        <f aca="false">IFERROR(AC519/AC518-1,"")</f>
        <v>0.0909090909090908</v>
      </c>
      <c r="AE519" s="17" t="n">
        <v>0.142</v>
      </c>
      <c r="AF519" s="17" t="n">
        <v>0.109</v>
      </c>
      <c r="AG519" s="13" t="n">
        <f aca="false">1-AF519</f>
        <v>0.891</v>
      </c>
      <c r="AH519" s="17" t="n">
        <v>1.121</v>
      </c>
      <c r="AI519" s="12" t="n">
        <v>26832</v>
      </c>
      <c r="AJ519" s="14" t="n">
        <f aca="false">IFERROR(AM519*U519*MIN(1/AE519,5),"")</f>
        <v>83978.1767074678</v>
      </c>
      <c r="AK519" s="18" t="n">
        <f aca="false">IFERROR(AJ519/AI519,"")</f>
        <v>3.12977700907378</v>
      </c>
      <c r="AL519" s="15" t="n">
        <f aca="false">IFERROR(AI519/(AM519*U519/12),"")</f>
        <v>19.1706948533551</v>
      </c>
      <c r="AM519" s="12" t="n">
        <v>27540</v>
      </c>
      <c r="AN519" s="12" t="n">
        <v>2048675</v>
      </c>
      <c r="AO519" s="12" t="n">
        <v>2662440</v>
      </c>
      <c r="AP519" s="17" t="n">
        <v>0.265</v>
      </c>
      <c r="AQ519" s="16" t="n">
        <v>72</v>
      </c>
      <c r="AR519" s="16" t="n">
        <v>8</v>
      </c>
      <c r="AS519" s="13" t="n">
        <f aca="false">IFERROR(AR519/AR518-1,"")</f>
        <v>0</v>
      </c>
      <c r="AT519" s="11" t="s">
        <v>153</v>
      </c>
      <c r="AU519" s="14" t="n">
        <f aca="false">IFERROR(P519/AR519,"")</f>
        <v>169296.75</v>
      </c>
      <c r="AV519" s="12" t="n">
        <v>2871741</v>
      </c>
      <c r="AW519" s="12" t="n">
        <v>1030477</v>
      </c>
      <c r="AX519" s="12" t="n">
        <v>784543</v>
      </c>
      <c r="AY519" s="16" t="n">
        <v>2573</v>
      </c>
      <c r="AZ519" s="13" t="n">
        <f aca="false">IFERROR(AY519/AY518-1,"")</f>
        <v>0.178113553113553</v>
      </c>
      <c r="BA519" s="17" t="n">
        <v>0.862</v>
      </c>
      <c r="BB519" s="11" t="s">
        <v>99</v>
      </c>
      <c r="BC519" s="11" t="s">
        <v>82</v>
      </c>
      <c r="BD519" s="11" t="s">
        <v>83</v>
      </c>
      <c r="BE519" s="12" t="n">
        <v>1606271</v>
      </c>
      <c r="BF519" s="13" t="n">
        <f aca="false">IFERROR(P519/BE519-1,"")</f>
        <v>-0.156820984752884</v>
      </c>
      <c r="BG519" s="17" t="n">
        <v>0.015</v>
      </c>
      <c r="BH519" s="17" t="n">
        <v>0.098</v>
      </c>
      <c r="BI519" s="14" t="n">
        <f aca="false">P519*(1+IFERROR(Q519,0))^4</f>
        <v>2315040.78285383</v>
      </c>
      <c r="BJ519" s="12" t="n">
        <v>-1243908</v>
      </c>
      <c r="BK519" s="11" t="s">
        <v>84</v>
      </c>
      <c r="BL519" s="11" t="s">
        <v>162</v>
      </c>
      <c r="BM519" s="14" t="n">
        <f aca="false">O519</f>
        <v>22395187</v>
      </c>
      <c r="BN519" s="11" t="s">
        <v>542</v>
      </c>
      <c r="BO519" s="13" t="n">
        <f aca="false">IFERROR(1-L519/M519,"")</f>
        <v>0.0998870907038013</v>
      </c>
      <c r="BP519" s="11" t="s">
        <v>130</v>
      </c>
      <c r="BQ519" s="12" t="n">
        <v>3894245</v>
      </c>
      <c r="BR519" s="11" t="s">
        <v>88</v>
      </c>
      <c r="BS519" s="11" t="s">
        <v>89</v>
      </c>
      <c r="BT519" s="19" t="str">
        <f aca="false">IF(OR(Z519&lt;6,AH519&lt;0.9,S519&lt;0.02,AK519&lt;1),"REVIEW",IF(AND(S519&gt;0.25,AH519&gt;1.2),"ACCELERATING","STABLE"))</f>
        <v>STABLE</v>
      </c>
    </row>
    <row r="520" customFormat="false" ht="15" hidden="false" customHeight="false" outlineLevel="0" collapsed="false">
      <c r="A520" s="11" t="s">
        <v>540</v>
      </c>
      <c r="B520" s="11" t="s">
        <v>92</v>
      </c>
      <c r="C520" s="11" t="s">
        <v>74</v>
      </c>
      <c r="D520" s="11" t="s">
        <v>165</v>
      </c>
      <c r="E520" s="11" t="s">
        <v>105</v>
      </c>
      <c r="F520" s="11" t="s">
        <v>541</v>
      </c>
      <c r="G520" s="11" t="s">
        <v>78</v>
      </c>
      <c r="H520" s="11" t="s">
        <v>79</v>
      </c>
      <c r="I520" s="11" t="s">
        <v>78</v>
      </c>
      <c r="J520" s="12" t="n">
        <v>1327000</v>
      </c>
      <c r="K520" s="13" t="n">
        <f aca="false">IFERROR(J520/M520,"")</f>
        <v>0.0998870907038013</v>
      </c>
      <c r="L520" s="12" t="n">
        <v>11958000</v>
      </c>
      <c r="M520" s="14" t="n">
        <f aca="false">L520+J520</f>
        <v>13285000</v>
      </c>
      <c r="N520" s="12" t="n">
        <v>7077000</v>
      </c>
      <c r="O520" s="12" t="n">
        <v>22395187</v>
      </c>
      <c r="P520" s="12" t="n">
        <v>1575182</v>
      </c>
      <c r="Q520" s="13" t="n">
        <f aca="false">IFERROR(P520/P519-1,"")</f>
        <v>0.163033253739366</v>
      </c>
      <c r="R520" s="12" t="n">
        <v>1854774</v>
      </c>
      <c r="S520" s="13" t="n">
        <f aca="false">IFERROR(R520/R519-1,"")</f>
        <v>0.13375681712322</v>
      </c>
      <c r="T520" s="12" t="n">
        <v>964519</v>
      </c>
      <c r="U520" s="13" t="n">
        <f aca="false">IFERROR(T520/P520,"")</f>
        <v>0.61232225863424</v>
      </c>
      <c r="V520" s="14" t="n">
        <f aca="false">T520-AV520</f>
        <v>-2296875</v>
      </c>
      <c r="W520" s="14" t="n">
        <f aca="false">V520-AA520*0.1</f>
        <v>-2296875</v>
      </c>
      <c r="X520" s="12" t="n">
        <v>2928429</v>
      </c>
      <c r="Y520" s="12" t="n">
        <v>209520</v>
      </c>
      <c r="Z520" s="15" t="n">
        <f aca="false">IFERROR(X520/Y520,"")</f>
        <v>13.9768470790378</v>
      </c>
      <c r="AA520" s="12" t="n">
        <v>0</v>
      </c>
      <c r="AB520" s="14" t="n">
        <f aca="false">W520-0.02*P520</f>
        <v>-2328378.64</v>
      </c>
      <c r="AC520" s="16" t="n">
        <v>27</v>
      </c>
      <c r="AD520" s="13" t="n">
        <f aca="false">IFERROR(AC520/AC519-1,"")</f>
        <v>0.125</v>
      </c>
      <c r="AE520" s="17" t="n">
        <v>0.138</v>
      </c>
      <c r="AF520" s="17" t="n">
        <v>0.113</v>
      </c>
      <c r="AG520" s="13" t="n">
        <f aca="false">1-AF520</f>
        <v>0.887</v>
      </c>
      <c r="AH520" s="17" t="n">
        <v>1.116</v>
      </c>
      <c r="AI520" s="12" t="n">
        <v>26316</v>
      </c>
      <c r="AJ520" s="14" t="n">
        <f aca="false">IFERROR(AM520*U520*MIN(1/AE520,5),"")</f>
        <v>85970.0451122474</v>
      </c>
      <c r="AK520" s="18" t="n">
        <f aca="false">IFERROR(AJ520/AI520,"")</f>
        <v>3.26683557958076</v>
      </c>
      <c r="AL520" s="15" t="n">
        <f aca="false">IFERROR(AI520/(AM520*U520/12),"")</f>
        <v>18.3663972484651</v>
      </c>
      <c r="AM520" s="12" t="n">
        <v>28080</v>
      </c>
      <c r="AN520" s="12" t="n">
        <v>2301381</v>
      </c>
      <c r="AO520" s="12" t="n">
        <v>4632691</v>
      </c>
      <c r="AP520" s="17" t="n">
        <v>0.265</v>
      </c>
      <c r="AQ520" s="16" t="n">
        <v>72</v>
      </c>
      <c r="AR520" s="16" t="n">
        <v>9</v>
      </c>
      <c r="AS520" s="13" t="n">
        <f aca="false">IFERROR(AR520/AR519-1,"")</f>
        <v>0.125</v>
      </c>
      <c r="AT520" s="11" t="s">
        <v>153</v>
      </c>
      <c r="AU520" s="14" t="n">
        <f aca="false">IFERROR(P520/AR520,"")</f>
        <v>175020.222222222</v>
      </c>
      <c r="AV520" s="12" t="n">
        <v>3261394</v>
      </c>
      <c r="AW520" s="12" t="n">
        <v>1160400</v>
      </c>
      <c r="AX520" s="12" t="n">
        <v>847909</v>
      </c>
      <c r="AY520" s="16" t="n">
        <v>2708</v>
      </c>
      <c r="AZ520" s="13" t="n">
        <f aca="false">IFERROR(AY520/AY519-1,"")</f>
        <v>0.0524679362611737</v>
      </c>
      <c r="BA520" s="17" t="n">
        <v>0.89</v>
      </c>
      <c r="BB520" s="11" t="s">
        <v>99</v>
      </c>
      <c r="BC520" s="11" t="s">
        <v>82</v>
      </c>
      <c r="BD520" s="11" t="s">
        <v>83</v>
      </c>
      <c r="BE520" s="12" t="n">
        <v>1534866</v>
      </c>
      <c r="BF520" s="13" t="n">
        <f aca="false">IFERROR(P520/BE520-1,"")</f>
        <v>0.026266788110493</v>
      </c>
      <c r="BG520" s="17" t="n">
        <v>0.032</v>
      </c>
      <c r="BH520" s="17" t="n">
        <v>-0.073</v>
      </c>
      <c r="BI520" s="14" t="n">
        <f aca="false">P520*(1+IFERROR(Q520,0))^4</f>
        <v>2882035.12708838</v>
      </c>
      <c r="BJ520" s="12" t="n">
        <v>-1567402</v>
      </c>
      <c r="BK520" s="11" t="s">
        <v>84</v>
      </c>
      <c r="BL520" s="11" t="s">
        <v>162</v>
      </c>
      <c r="BM520" s="14" t="n">
        <f aca="false">O520</f>
        <v>22395187</v>
      </c>
      <c r="BN520" s="11" t="s">
        <v>542</v>
      </c>
      <c r="BO520" s="13" t="n">
        <f aca="false">IFERROR(1-L520/M520,"")</f>
        <v>0.0998870907038013</v>
      </c>
      <c r="BP520" s="11" t="s">
        <v>130</v>
      </c>
      <c r="BQ520" s="12" t="n">
        <v>2836025</v>
      </c>
      <c r="BR520" s="11" t="s">
        <v>88</v>
      </c>
      <c r="BS520" s="11" t="s">
        <v>89</v>
      </c>
      <c r="BT520" s="19" t="str">
        <f aca="false">IF(OR(Z520&lt;6,AH520&lt;0.9,S520&lt;0.02,AK520&lt;1),"REVIEW",IF(AND(S520&gt;0.25,AH520&gt;1.2),"ACCELERATING","STABLE"))</f>
        <v>STABLE</v>
      </c>
    </row>
    <row r="521" customFormat="false" ht="15" hidden="false" customHeight="false" outlineLevel="0" collapsed="false">
      <c r="A521" s="11" t="s">
        <v>540</v>
      </c>
      <c r="B521" s="11" t="s">
        <v>93</v>
      </c>
      <c r="C521" s="11" t="s">
        <v>74</v>
      </c>
      <c r="D521" s="11" t="s">
        <v>165</v>
      </c>
      <c r="E521" s="11" t="s">
        <v>105</v>
      </c>
      <c r="F521" s="11" t="s">
        <v>541</v>
      </c>
      <c r="G521" s="11" t="s">
        <v>78</v>
      </c>
      <c r="H521" s="11" t="s">
        <v>79</v>
      </c>
      <c r="I521" s="11" t="s">
        <v>78</v>
      </c>
      <c r="J521" s="12" t="n">
        <v>1327000</v>
      </c>
      <c r="K521" s="13" t="n">
        <f aca="false">IFERROR(J521/M521,"")</f>
        <v>0.0998870907038013</v>
      </c>
      <c r="L521" s="12" t="n">
        <v>11958000</v>
      </c>
      <c r="M521" s="14" t="n">
        <f aca="false">L521+J521</f>
        <v>13285000</v>
      </c>
      <c r="N521" s="12" t="n">
        <v>7077000</v>
      </c>
      <c r="O521" s="12" t="n">
        <v>22395187</v>
      </c>
      <c r="P521" s="12" t="n">
        <v>1763511</v>
      </c>
      <c r="Q521" s="13" t="n">
        <f aca="false">IFERROR(P521/P520-1,"")</f>
        <v>0.119560152414134</v>
      </c>
      <c r="R521" s="12" t="n">
        <v>2160456</v>
      </c>
      <c r="S521" s="13" t="n">
        <f aca="false">IFERROR(R521/R520-1,"")</f>
        <v>0.164808219222396</v>
      </c>
      <c r="T521" s="12" t="n">
        <v>1084173</v>
      </c>
      <c r="U521" s="13" t="n">
        <f aca="false">IFERROR(T521/P521,"")</f>
        <v>0.614780968193564</v>
      </c>
      <c r="V521" s="14" t="n">
        <f aca="false">T521-AV521</f>
        <v>-2696814</v>
      </c>
      <c r="W521" s="14" t="n">
        <f aca="false">V521-AA521*0.1</f>
        <v>-2696814</v>
      </c>
      <c r="X521" s="12" t="n">
        <v>2362725</v>
      </c>
      <c r="Y521" s="12" t="n">
        <v>216000</v>
      </c>
      <c r="Z521" s="15" t="n">
        <f aca="false">IFERROR(X521/Y521,"")</f>
        <v>10.9385416666667</v>
      </c>
      <c r="AA521" s="12" t="n">
        <v>0</v>
      </c>
      <c r="AB521" s="14" t="n">
        <f aca="false">W521-0.02*P521</f>
        <v>-2732084.22</v>
      </c>
      <c r="AC521" s="16" t="n">
        <v>31</v>
      </c>
      <c r="AD521" s="13" t="n">
        <f aca="false">IFERROR(AC521/AC520-1,"")</f>
        <v>0.148148148148148</v>
      </c>
      <c r="AE521" s="17" t="n">
        <v>0.134</v>
      </c>
      <c r="AF521" s="17" t="n">
        <v>0.109</v>
      </c>
      <c r="AG521" s="13" t="n">
        <f aca="false">1-AF521</f>
        <v>0.891</v>
      </c>
      <c r="AH521" s="17" t="n">
        <v>1.111</v>
      </c>
      <c r="AI521" s="12" t="n">
        <v>25800</v>
      </c>
      <c r="AJ521" s="14" t="n">
        <f aca="false">IFERROR(AM521*U521*MIN(1/AE521,5),"")</f>
        <v>87975.156548499</v>
      </c>
      <c r="AK521" s="18" t="n">
        <f aca="false">IFERROR(AJ521/AI521,"")</f>
        <v>3.40988978870151</v>
      </c>
      <c r="AL521" s="15" t="n">
        <f aca="false">IFERROR(AI521/(AM521*U521/12),"")</f>
        <v>17.595876617129</v>
      </c>
      <c r="AM521" s="12" t="n">
        <v>28620</v>
      </c>
      <c r="AN521" s="12" t="n">
        <v>3099700</v>
      </c>
      <c r="AO521" s="12" t="n">
        <v>7860149</v>
      </c>
      <c r="AP521" s="17" t="n">
        <v>0.265</v>
      </c>
      <c r="AQ521" s="16" t="n">
        <v>72</v>
      </c>
      <c r="AR521" s="16" t="n">
        <v>10</v>
      </c>
      <c r="AS521" s="13" t="n">
        <f aca="false">IFERROR(AR521/AR520-1,"")</f>
        <v>0.111111111111111</v>
      </c>
      <c r="AT521" s="11" t="s">
        <v>153</v>
      </c>
      <c r="AU521" s="14" t="n">
        <f aca="false">IFERROR(P521/AR521,"")</f>
        <v>176351.1</v>
      </c>
      <c r="AV521" s="12" t="n">
        <v>3780987</v>
      </c>
      <c r="AW521" s="12" t="n">
        <v>1417290</v>
      </c>
      <c r="AX521" s="12" t="n">
        <v>831806</v>
      </c>
      <c r="AY521" s="16" t="n">
        <v>3124</v>
      </c>
      <c r="AZ521" s="13" t="n">
        <f aca="false">IFERROR(AY521/AY520-1,"")</f>
        <v>0.153618906942393</v>
      </c>
      <c r="BA521" s="17" t="n">
        <v>0.885</v>
      </c>
      <c r="BB521" s="11" t="s">
        <v>99</v>
      </c>
      <c r="BC521" s="11" t="s">
        <v>82</v>
      </c>
      <c r="BD521" s="11" t="s">
        <v>83</v>
      </c>
      <c r="BE521" s="12" t="n">
        <v>1624008</v>
      </c>
      <c r="BF521" s="13" t="n">
        <f aca="false">IFERROR(P521/BE521-1,"")</f>
        <v>0.0859004389140941</v>
      </c>
      <c r="BG521" s="17" t="n">
        <v>-0.054</v>
      </c>
      <c r="BH521" s="17" t="n">
        <v>-0.045</v>
      </c>
      <c r="BI521" s="14" t="n">
        <f aca="false">P521*(1+IFERROR(Q521,0))^4</f>
        <v>2770562.19121215</v>
      </c>
      <c r="BJ521" s="12" t="n">
        <v>-2118918</v>
      </c>
      <c r="BK521" s="11" t="s">
        <v>84</v>
      </c>
      <c r="BL521" s="11" t="s">
        <v>162</v>
      </c>
      <c r="BM521" s="14" t="n">
        <f aca="false">O521</f>
        <v>22395187</v>
      </c>
      <c r="BN521" s="11" t="s">
        <v>542</v>
      </c>
      <c r="BO521" s="13" t="n">
        <f aca="false">IFERROR(1-L521/M521,"")</f>
        <v>0.0998870907038013</v>
      </c>
      <c r="BP521" s="11" t="s">
        <v>130</v>
      </c>
      <c r="BQ521" s="12" t="n">
        <v>3273263</v>
      </c>
      <c r="BR521" s="11" t="s">
        <v>88</v>
      </c>
      <c r="BS521" s="11" t="s">
        <v>89</v>
      </c>
      <c r="BT521" s="19" t="str">
        <f aca="false">IF(OR(Z521&lt;6,AH521&lt;0.9,S521&lt;0.02,AK521&lt;1),"REVIEW",IF(AND(S521&gt;0.25,AH521&gt;1.2),"ACCELERATING","STABLE"))</f>
        <v>STABLE</v>
      </c>
    </row>
    <row r="522" customFormat="false" ht="15" hidden="false" customHeight="false" outlineLevel="0" collapsed="false">
      <c r="A522" s="3" t="s">
        <v>543</v>
      </c>
      <c r="B522" s="3" t="s">
        <v>73</v>
      </c>
      <c r="C522" s="3" t="s">
        <v>74</v>
      </c>
      <c r="D522" s="3" t="s">
        <v>151</v>
      </c>
      <c r="E522" s="3" t="s">
        <v>105</v>
      </c>
      <c r="F522" s="3" t="s">
        <v>544</v>
      </c>
      <c r="G522" s="3" t="s">
        <v>78</v>
      </c>
      <c r="H522" s="3" t="s">
        <v>79</v>
      </c>
      <c r="I522" s="3" t="s">
        <v>78</v>
      </c>
      <c r="J522" s="4" t="n">
        <v>1768000</v>
      </c>
      <c r="K522" s="5" t="n">
        <f aca="false">IFERROR(J522/M522,"")</f>
        <v>0.122302158273381</v>
      </c>
      <c r="L522" s="4" t="n">
        <v>12688000</v>
      </c>
      <c r="M522" s="6" t="n">
        <f aca="false">L522+J522</f>
        <v>14456000</v>
      </c>
      <c r="N522" s="4" t="n">
        <v>7455000</v>
      </c>
      <c r="O522" s="4" t="n">
        <v>16461898</v>
      </c>
      <c r="P522" s="4" t="n">
        <v>123198</v>
      </c>
      <c r="Q522" s="7"/>
      <c r="R522" s="4" t="n">
        <v>136945</v>
      </c>
      <c r="S522" s="7"/>
      <c r="T522" s="4" t="n">
        <v>94493</v>
      </c>
      <c r="U522" s="5" t="n">
        <f aca="false">IFERROR(T522/P522,"")</f>
        <v>0.767001087679995</v>
      </c>
      <c r="V522" s="6" t="n">
        <f aca="false">T522-AV522</f>
        <v>-805443</v>
      </c>
      <c r="W522" s="6" t="n">
        <f aca="false">V522-AA522*0.1</f>
        <v>-805443</v>
      </c>
      <c r="X522" s="4" t="n">
        <v>2823390</v>
      </c>
      <c r="Y522" s="4" t="n">
        <v>81900</v>
      </c>
      <c r="Z522" s="8" t="n">
        <f aca="false">IFERROR(X522/Y522,"")</f>
        <v>34.4736263736264</v>
      </c>
      <c r="AA522" s="4" t="n">
        <v>0</v>
      </c>
      <c r="AB522" s="6" t="n">
        <f aca="false">W522-0.02*P522</f>
        <v>-807906.96</v>
      </c>
      <c r="AC522" s="9" t="n">
        <v>12</v>
      </c>
      <c r="AD522" s="7"/>
      <c r="AE522" s="7" t="n">
        <v>0.12</v>
      </c>
      <c r="AF522" s="7" t="n">
        <v>0.114</v>
      </c>
      <c r="AG522" s="5" t="n">
        <f aca="false">1-AF522</f>
        <v>0.886</v>
      </c>
      <c r="AH522" s="7" t="n">
        <v>1.101</v>
      </c>
      <c r="AI522" s="4" t="n">
        <v>21836</v>
      </c>
      <c r="AJ522" s="6" t="n">
        <f aca="false">IFERROR(AM522*U522*MIN(1/AE522,5),"")</f>
        <v>57525.0815759996</v>
      </c>
      <c r="AK522" s="10" t="n">
        <f aca="false">IFERROR(AJ522/AI522,"")</f>
        <v>2.63441480014653</v>
      </c>
      <c r="AL522" s="8" t="n">
        <f aca="false">IFERROR(AI522/(AM522*U522/12),"")</f>
        <v>22.7754566200671</v>
      </c>
      <c r="AM522" s="4" t="n">
        <v>15000</v>
      </c>
      <c r="AN522" s="4" t="n">
        <v>190176</v>
      </c>
      <c r="AO522" s="4" t="n">
        <v>433225</v>
      </c>
      <c r="AP522" s="7" t="n">
        <v>0.412</v>
      </c>
      <c r="AQ522" s="9" t="n">
        <v>31</v>
      </c>
      <c r="AR522" s="9" t="n">
        <v>2</v>
      </c>
      <c r="AS522" s="7"/>
      <c r="AT522" s="3" t="s">
        <v>134</v>
      </c>
      <c r="AU522" s="6" t="n">
        <f aca="false">IFERROR(P522/AR522,"")</f>
        <v>61599</v>
      </c>
      <c r="AV522" s="4" t="n">
        <v>899936</v>
      </c>
      <c r="AW522" s="4" t="n">
        <v>384344</v>
      </c>
      <c r="AX522" s="4" t="n">
        <v>301590</v>
      </c>
      <c r="AY522" s="9" t="n">
        <v>11102</v>
      </c>
      <c r="AZ522" s="7"/>
      <c r="BA522" s="7" t="n">
        <v>0.9</v>
      </c>
      <c r="BB522" s="3" t="s">
        <v>99</v>
      </c>
      <c r="BC522" s="3" t="s">
        <v>100</v>
      </c>
      <c r="BD522" s="3" t="s">
        <v>101</v>
      </c>
      <c r="BE522" s="4" t="n">
        <v>117751</v>
      </c>
      <c r="BF522" s="5" t="n">
        <f aca="false">IFERROR(P522/BE522-1,"")</f>
        <v>0.0462586304999533</v>
      </c>
      <c r="BG522" s="7" t="n">
        <v>-0.051</v>
      </c>
      <c r="BH522" s="7" t="n">
        <v>-0.056</v>
      </c>
      <c r="BI522" s="6" t="n">
        <f aca="false">P522</f>
        <v>123198</v>
      </c>
      <c r="BJ522" s="4" t="n">
        <v>-829721</v>
      </c>
      <c r="BK522" s="3" t="s">
        <v>127</v>
      </c>
      <c r="BL522" s="3" t="s">
        <v>128</v>
      </c>
      <c r="BM522" s="6" t="n">
        <f aca="false">O522</f>
        <v>16461898</v>
      </c>
      <c r="BN522" s="3" t="s">
        <v>545</v>
      </c>
      <c r="BO522" s="5" t="n">
        <f aca="false">IFERROR(1-L522/M522,"")</f>
        <v>0.122302158273381</v>
      </c>
      <c r="BP522" s="3" t="s">
        <v>113</v>
      </c>
      <c r="BQ522" s="4" t="n">
        <v>1226296</v>
      </c>
      <c r="BR522" s="3" t="s">
        <v>88</v>
      </c>
      <c r="BS522" s="3" t="s">
        <v>89</v>
      </c>
      <c r="BT522" s="3" t="s">
        <v>90</v>
      </c>
    </row>
    <row r="523" customFormat="false" ht="15" hidden="false" customHeight="false" outlineLevel="0" collapsed="false">
      <c r="A523" s="11" t="s">
        <v>543</v>
      </c>
      <c r="B523" s="11" t="s">
        <v>91</v>
      </c>
      <c r="C523" s="11" t="s">
        <v>74</v>
      </c>
      <c r="D523" s="11" t="s">
        <v>151</v>
      </c>
      <c r="E523" s="11" t="s">
        <v>105</v>
      </c>
      <c r="F523" s="11" t="s">
        <v>544</v>
      </c>
      <c r="G523" s="11" t="s">
        <v>78</v>
      </c>
      <c r="H523" s="11" t="s">
        <v>79</v>
      </c>
      <c r="I523" s="11" t="s">
        <v>78</v>
      </c>
      <c r="J523" s="12" t="n">
        <v>1768000</v>
      </c>
      <c r="K523" s="13" t="n">
        <f aca="false">IFERROR(J523/M523,"")</f>
        <v>0.122302158273381</v>
      </c>
      <c r="L523" s="12" t="n">
        <v>12688000</v>
      </c>
      <c r="M523" s="14" t="n">
        <f aca="false">L523+J523</f>
        <v>14456000</v>
      </c>
      <c r="N523" s="12" t="n">
        <v>7455000</v>
      </c>
      <c r="O523" s="12" t="n">
        <v>16461898</v>
      </c>
      <c r="P523" s="12" t="n">
        <v>136591</v>
      </c>
      <c r="Q523" s="13" t="n">
        <f aca="false">IFERROR(P523/P522-1,"")</f>
        <v>0.108711180376305</v>
      </c>
      <c r="R523" s="12" t="n">
        <v>163782</v>
      </c>
      <c r="S523" s="13" t="n">
        <f aca="false">IFERROR(R523/R522-1,"")</f>
        <v>0.19596918470919</v>
      </c>
      <c r="T523" s="12" t="n">
        <v>105190</v>
      </c>
      <c r="U523" s="13" t="n">
        <f aca="false">IFERROR(T523/P523,"")</f>
        <v>0.770109304419764</v>
      </c>
      <c r="V523" s="14" t="n">
        <f aca="false">T523-AV523</f>
        <v>-932118</v>
      </c>
      <c r="W523" s="14" t="n">
        <f aca="false">V523-AA523*0.1</f>
        <v>-932118</v>
      </c>
      <c r="X523" s="12" t="n">
        <v>2616840</v>
      </c>
      <c r="Y523" s="12" t="n">
        <v>84600</v>
      </c>
      <c r="Z523" s="15" t="n">
        <f aca="false">IFERROR(X523/Y523,"")</f>
        <v>30.931914893617</v>
      </c>
      <c r="AA523" s="12" t="n">
        <v>0</v>
      </c>
      <c r="AB523" s="14" t="n">
        <f aca="false">W523-0.02*P523</f>
        <v>-934849.82</v>
      </c>
      <c r="AC523" s="16" t="n">
        <v>14</v>
      </c>
      <c r="AD523" s="13" t="n">
        <f aca="false">IFERROR(AC523/AC522-1,"")</f>
        <v>0.166666666666667</v>
      </c>
      <c r="AE523" s="17" t="n">
        <v>0.117</v>
      </c>
      <c r="AF523" s="17" t="n">
        <v>0.127</v>
      </c>
      <c r="AG523" s="13" t="n">
        <f aca="false">1-AF523</f>
        <v>0.873</v>
      </c>
      <c r="AH523" s="17" t="n">
        <v>1.096</v>
      </c>
      <c r="AI523" s="12" t="n">
        <v>21424</v>
      </c>
      <c r="AJ523" s="14" t="n">
        <f aca="false">IFERROR(AM523*U523*MIN(1/AE523,5),"")</f>
        <v>58913.361788112</v>
      </c>
      <c r="AK523" s="18" t="n">
        <f aca="false">IFERROR(AJ523/AI523,"")</f>
        <v>2.74987685717476</v>
      </c>
      <c r="AL523" s="15" t="n">
        <f aca="false">IFERROR(AI523/(AM523*U523/12),"")</f>
        <v>21.8191588628607</v>
      </c>
      <c r="AM523" s="12" t="n">
        <v>15300</v>
      </c>
      <c r="AN523" s="12" t="n">
        <v>215458</v>
      </c>
      <c r="AO523" s="12" t="n">
        <v>289539</v>
      </c>
      <c r="AP523" s="17" t="n">
        <v>0.412</v>
      </c>
      <c r="AQ523" s="16" t="n">
        <v>31</v>
      </c>
      <c r="AR523" s="16" t="n">
        <v>2</v>
      </c>
      <c r="AS523" s="13" t="n">
        <f aca="false">IFERROR(AR523/AR522-1,"")</f>
        <v>0</v>
      </c>
      <c r="AT523" s="11" t="s">
        <v>134</v>
      </c>
      <c r="AU523" s="14" t="n">
        <f aca="false">IFERROR(P523/AR523,"")</f>
        <v>68295.5</v>
      </c>
      <c r="AV523" s="12" t="n">
        <v>1037308</v>
      </c>
      <c r="AW523" s="12" t="n">
        <v>399775</v>
      </c>
      <c r="AX523" s="12" t="n">
        <v>191046</v>
      </c>
      <c r="AY523" s="16" t="n">
        <v>12773</v>
      </c>
      <c r="AZ523" s="13" t="n">
        <f aca="false">IFERROR(AY523/AY522-1,"")</f>
        <v>0.150513421005224</v>
      </c>
      <c r="BA523" s="17" t="n">
        <v>0.874</v>
      </c>
      <c r="BB523" s="11" t="s">
        <v>99</v>
      </c>
      <c r="BC523" s="11" t="s">
        <v>100</v>
      </c>
      <c r="BD523" s="11" t="s">
        <v>101</v>
      </c>
      <c r="BE523" s="12" t="n">
        <v>160840</v>
      </c>
      <c r="BF523" s="13" t="n">
        <f aca="false">IFERROR(P523/BE523-1,"")</f>
        <v>-0.150764735140512</v>
      </c>
      <c r="BG523" s="17" t="n">
        <v>-0.032</v>
      </c>
      <c r="BH523" s="17" t="n">
        <v>0.047</v>
      </c>
      <c r="BI523" s="14" t="n">
        <f aca="false">P523*(1+IFERROR(Q523,0))^4</f>
        <v>206393.393949217</v>
      </c>
      <c r="BJ523" s="12" t="n">
        <v>-640807</v>
      </c>
      <c r="BK523" s="11" t="s">
        <v>127</v>
      </c>
      <c r="BL523" s="11" t="s">
        <v>128</v>
      </c>
      <c r="BM523" s="14" t="n">
        <f aca="false">O523</f>
        <v>16461898</v>
      </c>
      <c r="BN523" s="11" t="s">
        <v>545</v>
      </c>
      <c r="BO523" s="13" t="n">
        <f aca="false">IFERROR(1-L523/M523,"")</f>
        <v>0.122302158273381</v>
      </c>
      <c r="BP523" s="11" t="s">
        <v>113</v>
      </c>
      <c r="BQ523" s="12" t="n">
        <v>1393801</v>
      </c>
      <c r="BR523" s="11" t="s">
        <v>88</v>
      </c>
      <c r="BS523" s="11" t="s">
        <v>89</v>
      </c>
      <c r="BT523" s="19" t="str">
        <f aca="false">IF(OR(Z523&lt;6,AH523&lt;0.9,S523&lt;0.02,AK523&lt;1),"REVIEW",IF(AND(S523&gt;0.25,AH523&gt;1.2),"ACCELERATING","STABLE"))</f>
        <v>STABLE</v>
      </c>
    </row>
    <row r="524" customFormat="false" ht="15" hidden="false" customHeight="false" outlineLevel="0" collapsed="false">
      <c r="A524" s="11" t="s">
        <v>543</v>
      </c>
      <c r="B524" s="11" t="s">
        <v>92</v>
      </c>
      <c r="C524" s="11" t="s">
        <v>74</v>
      </c>
      <c r="D524" s="11" t="s">
        <v>151</v>
      </c>
      <c r="E524" s="11" t="s">
        <v>105</v>
      </c>
      <c r="F524" s="11" t="s">
        <v>544</v>
      </c>
      <c r="G524" s="11" t="s">
        <v>78</v>
      </c>
      <c r="H524" s="11" t="s">
        <v>79</v>
      </c>
      <c r="I524" s="11" t="s">
        <v>78</v>
      </c>
      <c r="J524" s="12" t="n">
        <v>1768000</v>
      </c>
      <c r="K524" s="13" t="n">
        <f aca="false">IFERROR(J524/M524,"")</f>
        <v>0.122302158273381</v>
      </c>
      <c r="L524" s="12" t="n">
        <v>12688000</v>
      </c>
      <c r="M524" s="14" t="n">
        <f aca="false">L524+J524</f>
        <v>14456000</v>
      </c>
      <c r="N524" s="12" t="n">
        <v>7455000</v>
      </c>
      <c r="O524" s="12" t="n">
        <v>16461898</v>
      </c>
      <c r="P524" s="12" t="n">
        <v>174959</v>
      </c>
      <c r="Q524" s="13" t="n">
        <f aca="false">IFERROR(P524/P523-1,"")</f>
        <v>0.280896984427964</v>
      </c>
      <c r="R524" s="12" t="n">
        <v>197216</v>
      </c>
      <c r="S524" s="13" t="n">
        <f aca="false">IFERROR(R524/R523-1,"")</f>
        <v>0.204137206774859</v>
      </c>
      <c r="T524" s="12" t="n">
        <v>135280</v>
      </c>
      <c r="U524" s="13" t="n">
        <f aca="false">IFERROR(T524/P524,"")</f>
        <v>0.773209723420916</v>
      </c>
      <c r="V524" s="14" t="n">
        <f aca="false">T524-AV524</f>
        <v>-1016941</v>
      </c>
      <c r="W524" s="14" t="n">
        <f aca="false">V524-AA524*0.1</f>
        <v>-1016941</v>
      </c>
      <c r="X524" s="12" t="n">
        <v>2395710</v>
      </c>
      <c r="Y524" s="12" t="n">
        <v>87300</v>
      </c>
      <c r="Z524" s="15" t="n">
        <f aca="false">IFERROR(X524/Y524,"")</f>
        <v>27.4422680412371</v>
      </c>
      <c r="AA524" s="12" t="n">
        <v>0</v>
      </c>
      <c r="AB524" s="14" t="n">
        <f aca="false">W524-0.02*P524</f>
        <v>-1020440.18</v>
      </c>
      <c r="AC524" s="16" t="n">
        <v>17</v>
      </c>
      <c r="AD524" s="13" t="n">
        <f aca="false">IFERROR(AC524/AC523-1,"")</f>
        <v>0.214285714285714</v>
      </c>
      <c r="AE524" s="17" t="n">
        <v>0.113</v>
      </c>
      <c r="AF524" s="17" t="n">
        <v>0.122</v>
      </c>
      <c r="AG524" s="13" t="n">
        <f aca="false">1-AF524</f>
        <v>0.878</v>
      </c>
      <c r="AH524" s="17" t="n">
        <v>1.091</v>
      </c>
      <c r="AI524" s="12" t="n">
        <v>21012</v>
      </c>
      <c r="AJ524" s="14" t="n">
        <f aca="false">IFERROR(AM524*U524*MIN(1/AE524,5),"")</f>
        <v>60310.3584268314</v>
      </c>
      <c r="AK524" s="18" t="n">
        <f aca="false">IFERROR(AJ524/AI524,"")</f>
        <v>2.87028166889546</v>
      </c>
      <c r="AL524" s="15" t="n">
        <f aca="false">IFERROR(AI524/(AM524*U524/12),"")</f>
        <v>20.9038717872902</v>
      </c>
      <c r="AM524" s="12" t="n">
        <v>15600</v>
      </c>
      <c r="AN524" s="12" t="n">
        <v>269303</v>
      </c>
      <c r="AO524" s="12" t="n">
        <v>537341</v>
      </c>
      <c r="AP524" s="17" t="n">
        <v>0.412</v>
      </c>
      <c r="AQ524" s="16" t="n">
        <v>31</v>
      </c>
      <c r="AR524" s="16" t="n">
        <v>2</v>
      </c>
      <c r="AS524" s="13" t="n">
        <f aca="false">IFERROR(AR524/AR523-1,"")</f>
        <v>0</v>
      </c>
      <c r="AT524" s="11" t="s">
        <v>134</v>
      </c>
      <c r="AU524" s="14" t="n">
        <f aca="false">IFERROR(P524/AR524,"")</f>
        <v>87479.5</v>
      </c>
      <c r="AV524" s="12" t="n">
        <v>1152221</v>
      </c>
      <c r="AW524" s="12" t="n">
        <v>572096</v>
      </c>
      <c r="AX524" s="12" t="n">
        <v>257754</v>
      </c>
      <c r="AY524" s="16" t="n">
        <v>14908</v>
      </c>
      <c r="AZ524" s="13" t="n">
        <f aca="false">IFERROR(AY524/AY523-1,"")</f>
        <v>0.167149455883504</v>
      </c>
      <c r="BA524" s="17" t="n">
        <v>0.918</v>
      </c>
      <c r="BB524" s="11" t="s">
        <v>99</v>
      </c>
      <c r="BC524" s="11" t="s">
        <v>100</v>
      </c>
      <c r="BD524" s="11" t="s">
        <v>101</v>
      </c>
      <c r="BE524" s="12" t="n">
        <v>180563</v>
      </c>
      <c r="BF524" s="13" t="n">
        <f aca="false">IFERROR(P524/BE524-1,"")</f>
        <v>-0.0310362588127135</v>
      </c>
      <c r="BG524" s="17" t="n">
        <v>0.002</v>
      </c>
      <c r="BH524" s="17" t="n">
        <v>0.022</v>
      </c>
      <c r="BI524" s="14" t="n">
        <f aca="false">P524*(1+IFERROR(Q524,0))^4</f>
        <v>470969.844300725</v>
      </c>
      <c r="BJ524" s="12" t="n">
        <v>-795939</v>
      </c>
      <c r="BK524" s="11" t="s">
        <v>127</v>
      </c>
      <c r="BL524" s="11" t="s">
        <v>128</v>
      </c>
      <c r="BM524" s="14" t="n">
        <f aca="false">O524</f>
        <v>16461898</v>
      </c>
      <c r="BN524" s="11" t="s">
        <v>545</v>
      </c>
      <c r="BO524" s="13" t="n">
        <f aca="false">IFERROR(1-L524/M524,"")</f>
        <v>0.122302158273381</v>
      </c>
      <c r="BP524" s="11" t="s">
        <v>113</v>
      </c>
      <c r="BQ524" s="12" t="n">
        <v>1601214</v>
      </c>
      <c r="BR524" s="11" t="s">
        <v>88</v>
      </c>
      <c r="BS524" s="11" t="s">
        <v>89</v>
      </c>
      <c r="BT524" s="19" t="str">
        <f aca="false">IF(OR(Z524&lt;6,AH524&lt;0.9,S524&lt;0.02,AK524&lt;1),"REVIEW",IF(AND(S524&gt;0.25,AH524&gt;1.2),"ACCELERATING","STABLE"))</f>
        <v>STABLE</v>
      </c>
    </row>
    <row r="525" customFormat="false" ht="15" hidden="false" customHeight="false" outlineLevel="0" collapsed="false">
      <c r="A525" s="11" t="s">
        <v>543</v>
      </c>
      <c r="B525" s="11" t="s">
        <v>93</v>
      </c>
      <c r="C525" s="11" t="s">
        <v>74</v>
      </c>
      <c r="D525" s="11" t="s">
        <v>151</v>
      </c>
      <c r="E525" s="11" t="s">
        <v>105</v>
      </c>
      <c r="F525" s="11" t="s">
        <v>544</v>
      </c>
      <c r="G525" s="11" t="s">
        <v>78</v>
      </c>
      <c r="H525" s="11" t="s">
        <v>79</v>
      </c>
      <c r="I525" s="11" t="s">
        <v>78</v>
      </c>
      <c r="J525" s="12" t="n">
        <v>1768000</v>
      </c>
      <c r="K525" s="13" t="n">
        <f aca="false">IFERROR(J525/M525,"")</f>
        <v>0.122302158273381</v>
      </c>
      <c r="L525" s="12" t="n">
        <v>12688000</v>
      </c>
      <c r="M525" s="14" t="n">
        <f aca="false">L525+J525</f>
        <v>14456000</v>
      </c>
      <c r="N525" s="12" t="n">
        <v>7455000</v>
      </c>
      <c r="O525" s="12" t="n">
        <v>16461898</v>
      </c>
      <c r="P525" s="12" t="n">
        <v>206621</v>
      </c>
      <c r="Q525" s="13" t="n">
        <f aca="false">IFERROR(P525/P524-1,"")</f>
        <v>0.180968112529221</v>
      </c>
      <c r="R525" s="12" t="n">
        <v>253182</v>
      </c>
      <c r="S525" s="13" t="n">
        <f aca="false">IFERROR(R525/R524-1,"")</f>
        <v>0.283780220671751</v>
      </c>
      <c r="T525" s="12" t="n">
        <v>160403</v>
      </c>
      <c r="U525" s="13" t="n">
        <f aca="false">IFERROR(T525/P525,"")</f>
        <v>0.776315088979339</v>
      </c>
      <c r="V525" s="14" t="n">
        <f aca="false">T525-AV525</f>
        <v>-1047228</v>
      </c>
      <c r="W525" s="14" t="n">
        <f aca="false">V525-AA525*0.1</f>
        <v>-1047228</v>
      </c>
      <c r="X525" s="12" t="n">
        <v>2160000</v>
      </c>
      <c r="Y525" s="12" t="n">
        <v>90000</v>
      </c>
      <c r="Z525" s="15" t="n">
        <f aca="false">IFERROR(X525/Y525,"")</f>
        <v>24</v>
      </c>
      <c r="AA525" s="12" t="n">
        <v>0</v>
      </c>
      <c r="AB525" s="14" t="n">
        <f aca="false">W525-0.02*P525</f>
        <v>-1051360.42</v>
      </c>
      <c r="AC525" s="16" t="n">
        <v>19</v>
      </c>
      <c r="AD525" s="13" t="n">
        <f aca="false">IFERROR(AC525/AC524-1,"")</f>
        <v>0.117647058823529</v>
      </c>
      <c r="AE525" s="17" t="n">
        <v>0.11</v>
      </c>
      <c r="AF525" s="17" t="n">
        <v>0.086</v>
      </c>
      <c r="AG525" s="13" t="n">
        <f aca="false">1-AF525</f>
        <v>0.914</v>
      </c>
      <c r="AH525" s="17" t="n">
        <v>1.086</v>
      </c>
      <c r="AI525" s="12" t="n">
        <v>20600</v>
      </c>
      <c r="AJ525" s="14" t="n">
        <f aca="false">IFERROR(AM525*U525*MIN(1/AE525,5),"")</f>
        <v>61717.0495738575</v>
      </c>
      <c r="AK525" s="18" t="n">
        <f aca="false">IFERROR(AJ525/AI525,"")</f>
        <v>2.99597328028434</v>
      </c>
      <c r="AL525" s="15" t="n">
        <f aca="false">IFERROR(AI525/(AM525*U525/12),"")</f>
        <v>20.0268808786925</v>
      </c>
      <c r="AM525" s="12" t="n">
        <v>15900</v>
      </c>
      <c r="AN525" s="12" t="n">
        <v>254291</v>
      </c>
      <c r="AO525" s="12" t="n">
        <v>541518</v>
      </c>
      <c r="AP525" s="17" t="n">
        <v>0.412</v>
      </c>
      <c r="AQ525" s="16" t="n">
        <v>31</v>
      </c>
      <c r="AR525" s="16" t="n">
        <v>2</v>
      </c>
      <c r="AS525" s="13" t="n">
        <f aca="false">IFERROR(AR525/AR524-1,"")</f>
        <v>0</v>
      </c>
      <c r="AT525" s="11" t="s">
        <v>134</v>
      </c>
      <c r="AU525" s="14" t="n">
        <f aca="false">IFERROR(P525/AR525,"")</f>
        <v>103310.5</v>
      </c>
      <c r="AV525" s="12" t="n">
        <v>1207631</v>
      </c>
      <c r="AW525" s="12" t="n">
        <v>363169</v>
      </c>
      <c r="AX525" s="12" t="n">
        <v>218799</v>
      </c>
      <c r="AY525" s="16" t="n">
        <v>18478</v>
      </c>
      <c r="AZ525" s="13" t="n">
        <f aca="false">IFERROR(AY525/AY524-1,"")</f>
        <v>0.23946874161524</v>
      </c>
      <c r="BA525" s="17" t="n">
        <v>0.893</v>
      </c>
      <c r="BB525" s="11" t="s">
        <v>99</v>
      </c>
      <c r="BC525" s="11" t="s">
        <v>100</v>
      </c>
      <c r="BD525" s="11" t="s">
        <v>101</v>
      </c>
      <c r="BE525" s="12" t="n">
        <v>207581</v>
      </c>
      <c r="BF525" s="13" t="n">
        <f aca="false">IFERROR(P525/BE525-1,"")</f>
        <v>-0.00462470071923726</v>
      </c>
      <c r="BG525" s="17" t="n">
        <v>-0.02</v>
      </c>
      <c r="BH525" s="17" t="n">
        <v>0.034</v>
      </c>
      <c r="BI525" s="14" t="n">
        <f aca="false">P525*(1+IFERROR(Q525,0))^4</f>
        <v>401908.456694061</v>
      </c>
      <c r="BJ525" s="12" t="n">
        <v>-896230</v>
      </c>
      <c r="BK525" s="11" t="s">
        <v>127</v>
      </c>
      <c r="BL525" s="11" t="s">
        <v>128</v>
      </c>
      <c r="BM525" s="14" t="n">
        <f aca="false">O525</f>
        <v>16461898</v>
      </c>
      <c r="BN525" s="11" t="s">
        <v>545</v>
      </c>
      <c r="BO525" s="13" t="n">
        <f aca="false">IFERROR(1-L525/M525,"")</f>
        <v>0.122302158273381</v>
      </c>
      <c r="BP525" s="11" t="s">
        <v>113</v>
      </c>
      <c r="BQ525" s="12" t="n">
        <v>1160826</v>
      </c>
      <c r="BR525" s="11" t="s">
        <v>88</v>
      </c>
      <c r="BS525" s="11" t="s">
        <v>89</v>
      </c>
      <c r="BT525" s="19" t="str">
        <f aca="false">IF(OR(Z525&lt;6,AH525&lt;0.9,S525&lt;0.02,AK525&lt;1),"REVIEW",IF(AND(S525&gt;0.25,AH525&gt;1.2),"ACCELERATING","STABLE"))</f>
        <v>STABLE</v>
      </c>
    </row>
    <row r="526" customFormat="false" ht="15" hidden="false" customHeight="false" outlineLevel="0" collapsed="false">
      <c r="A526" s="3" t="s">
        <v>546</v>
      </c>
      <c r="B526" s="3" t="s">
        <v>73</v>
      </c>
      <c r="C526" s="3" t="s">
        <v>74</v>
      </c>
      <c r="D526" s="3" t="s">
        <v>75</v>
      </c>
      <c r="E526" s="3" t="s">
        <v>105</v>
      </c>
      <c r="F526" s="3" t="s">
        <v>547</v>
      </c>
      <c r="G526" s="3" t="s">
        <v>78</v>
      </c>
      <c r="H526" s="3" t="s">
        <v>79</v>
      </c>
      <c r="I526" s="3" t="s">
        <v>78</v>
      </c>
      <c r="J526" s="4" t="n">
        <v>5815000</v>
      </c>
      <c r="K526" s="5" t="n">
        <f aca="false">IFERROR(J526/M526,"")</f>
        <v>0.169731465265616</v>
      </c>
      <c r="L526" s="4" t="n">
        <v>28445000</v>
      </c>
      <c r="M526" s="6" t="n">
        <f aca="false">L526+J526</f>
        <v>34260000</v>
      </c>
      <c r="N526" s="4" t="n">
        <v>5815000</v>
      </c>
      <c r="O526" s="4" t="n">
        <v>46715172</v>
      </c>
      <c r="P526" s="4" t="n">
        <v>319679</v>
      </c>
      <c r="Q526" s="7"/>
      <c r="R526" s="4" t="n">
        <v>356820</v>
      </c>
      <c r="S526" s="7"/>
      <c r="T526" s="4" t="n">
        <v>192943</v>
      </c>
      <c r="U526" s="5" t="n">
        <f aca="false">IFERROR(T526/P526,"")</f>
        <v>0.603552313414394</v>
      </c>
      <c r="V526" s="6" t="n">
        <f aca="false">T526-AV526</f>
        <v>-998015</v>
      </c>
      <c r="W526" s="6" t="n">
        <f aca="false">V526-AA526*0.1</f>
        <v>-998015</v>
      </c>
      <c r="X526" s="4" t="n">
        <v>3701778</v>
      </c>
      <c r="Y526" s="4" t="n">
        <v>107380</v>
      </c>
      <c r="Z526" s="8" t="n">
        <f aca="false">IFERROR(X526/Y526,"")</f>
        <v>34.4736263736264</v>
      </c>
      <c r="AA526" s="4" t="n">
        <v>0</v>
      </c>
      <c r="AB526" s="6" t="n">
        <f aca="false">W526-0.02*P526</f>
        <v>-1004408.58</v>
      </c>
      <c r="AC526" s="9" t="n">
        <v>10</v>
      </c>
      <c r="AD526" s="7"/>
      <c r="AE526" s="7" t="n">
        <v>0.053</v>
      </c>
      <c r="AF526" s="7" t="n">
        <v>0.041</v>
      </c>
      <c r="AG526" s="5" t="n">
        <f aca="false">1-AF526</f>
        <v>0.959</v>
      </c>
      <c r="AH526" s="7" t="n">
        <v>1.157</v>
      </c>
      <c r="AI526" s="4" t="n">
        <v>15688</v>
      </c>
      <c r="AJ526" s="6" t="n">
        <f aca="false">IFERROR(AM526*U526*MIN(1/AE526,5),"")</f>
        <v>36213.1388048636</v>
      </c>
      <c r="AK526" s="10" t="n">
        <f aca="false">IFERROR(AJ526/AI526,"")</f>
        <v>2.30833368210503</v>
      </c>
      <c r="AL526" s="8" t="n">
        <f aca="false">IFERROR(AI526/(AM526*U526/12),"")</f>
        <v>25.9927758560818</v>
      </c>
      <c r="AM526" s="4" t="n">
        <v>12000</v>
      </c>
      <c r="AN526" s="4" t="n">
        <v>494090</v>
      </c>
      <c r="AO526" s="4" t="n">
        <v>1042296</v>
      </c>
      <c r="AP526" s="7" t="n">
        <v>0.242</v>
      </c>
      <c r="AQ526" s="9" t="n">
        <v>28</v>
      </c>
      <c r="AR526" s="9" t="n">
        <v>2</v>
      </c>
      <c r="AS526" s="7"/>
      <c r="AT526" s="3" t="s">
        <v>80</v>
      </c>
      <c r="AU526" s="6" t="n">
        <f aca="false">IFERROR(P526/AR526,"")</f>
        <v>159839.5</v>
      </c>
      <c r="AV526" s="4" t="n">
        <v>1190958</v>
      </c>
      <c r="AW526" s="4" t="n">
        <v>515531</v>
      </c>
      <c r="AX526" s="4" t="n">
        <v>329079</v>
      </c>
      <c r="AY526" s="9" t="n">
        <v>12419</v>
      </c>
      <c r="AZ526" s="7"/>
      <c r="BA526" s="7" t="n">
        <v>0.95</v>
      </c>
      <c r="BB526" s="3" t="s">
        <v>99</v>
      </c>
      <c r="BC526" s="3" t="s">
        <v>108</v>
      </c>
      <c r="BD526" s="3" t="s">
        <v>157</v>
      </c>
      <c r="BE526" s="4" t="n">
        <v>338947</v>
      </c>
      <c r="BF526" s="5" t="n">
        <f aca="false">IFERROR(P526/BE526-1,"")</f>
        <v>-0.0568466456407639</v>
      </c>
      <c r="BG526" s="7" t="n">
        <v>-0.001</v>
      </c>
      <c r="BH526" s="7" t="n">
        <v>0.072</v>
      </c>
      <c r="BI526" s="6" t="n">
        <f aca="false">P526</f>
        <v>319679</v>
      </c>
      <c r="BJ526" s="4" t="n">
        <v>-894415</v>
      </c>
      <c r="BK526" s="3" t="s">
        <v>127</v>
      </c>
      <c r="BL526" s="3" t="s">
        <v>111</v>
      </c>
      <c r="BM526" s="6" t="n">
        <f aca="false">O526</f>
        <v>46715172</v>
      </c>
      <c r="BN526" s="3" t="s">
        <v>548</v>
      </c>
      <c r="BO526" s="5" t="n">
        <f aca="false">IFERROR(1-L526/M526,"")</f>
        <v>0.169731465265616</v>
      </c>
      <c r="BP526" s="3" t="s">
        <v>113</v>
      </c>
      <c r="BQ526" s="4" t="n">
        <v>1331731</v>
      </c>
      <c r="BR526" s="3" t="s">
        <v>88</v>
      </c>
      <c r="BS526" s="3" t="s">
        <v>89</v>
      </c>
      <c r="BT526" s="3" t="s">
        <v>90</v>
      </c>
    </row>
    <row r="527" customFormat="false" ht="15" hidden="false" customHeight="false" outlineLevel="0" collapsed="false">
      <c r="A527" s="11" t="s">
        <v>546</v>
      </c>
      <c r="B527" s="11" t="s">
        <v>91</v>
      </c>
      <c r="C527" s="11" t="s">
        <v>74</v>
      </c>
      <c r="D527" s="11" t="s">
        <v>75</v>
      </c>
      <c r="E527" s="11" t="s">
        <v>105</v>
      </c>
      <c r="F527" s="11" t="s">
        <v>547</v>
      </c>
      <c r="G527" s="11" t="s">
        <v>78</v>
      </c>
      <c r="H527" s="11" t="s">
        <v>79</v>
      </c>
      <c r="I527" s="11" t="s">
        <v>78</v>
      </c>
      <c r="J527" s="12" t="n">
        <v>5815000</v>
      </c>
      <c r="K527" s="13" t="n">
        <f aca="false">IFERROR(J527/M527,"")</f>
        <v>0.169731465265616</v>
      </c>
      <c r="L527" s="12" t="n">
        <v>28445000</v>
      </c>
      <c r="M527" s="14" t="n">
        <f aca="false">L527+J527</f>
        <v>34260000</v>
      </c>
      <c r="N527" s="12" t="n">
        <v>5815000</v>
      </c>
      <c r="O527" s="12" t="n">
        <v>46715172</v>
      </c>
      <c r="P527" s="12" t="n">
        <v>372569</v>
      </c>
      <c r="Q527" s="13" t="n">
        <f aca="false">IFERROR(P527/P526-1,"")</f>
        <v>0.165447214236781</v>
      </c>
      <c r="R527" s="12" t="n">
        <v>428743</v>
      </c>
      <c r="S527" s="13" t="n">
        <f aca="false">IFERROR(R527/R526-1,"")</f>
        <v>0.201566616221064</v>
      </c>
      <c r="T527" s="12" t="n">
        <v>225775</v>
      </c>
      <c r="U527" s="13" t="n">
        <f aca="false">IFERROR(T527/P527,"")</f>
        <v>0.605995131103232</v>
      </c>
      <c r="V527" s="14" t="n">
        <f aca="false">T527-AV527</f>
        <v>-1034438</v>
      </c>
      <c r="W527" s="14" t="n">
        <f aca="false">V527-AA527*0.1</f>
        <v>-1034438</v>
      </c>
      <c r="X527" s="12" t="n">
        <v>3430968</v>
      </c>
      <c r="Y527" s="12" t="n">
        <v>110920</v>
      </c>
      <c r="Z527" s="15" t="n">
        <f aca="false">IFERROR(X527/Y527,"")</f>
        <v>30.931914893617</v>
      </c>
      <c r="AA527" s="12" t="n">
        <v>0</v>
      </c>
      <c r="AB527" s="14" t="n">
        <f aca="false">W527-0.02*P527</f>
        <v>-1041889.38</v>
      </c>
      <c r="AC527" s="16" t="n">
        <v>11</v>
      </c>
      <c r="AD527" s="13" t="n">
        <f aca="false">IFERROR(AC527/AC526-1,"")</f>
        <v>0.1</v>
      </c>
      <c r="AE527" s="17" t="n">
        <v>0.052</v>
      </c>
      <c r="AF527" s="17" t="n">
        <v>0.034</v>
      </c>
      <c r="AG527" s="13" t="n">
        <f aca="false">1-AF527</f>
        <v>0.966</v>
      </c>
      <c r="AH527" s="17" t="n">
        <v>1.152</v>
      </c>
      <c r="AI527" s="12" t="n">
        <v>15392</v>
      </c>
      <c r="AJ527" s="14" t="n">
        <f aca="false">IFERROR(AM527*U527*MIN(1/AE527,5),"")</f>
        <v>37086.9020235178</v>
      </c>
      <c r="AK527" s="18" t="n">
        <f aca="false">IFERROR(AJ527/AI527,"")</f>
        <v>2.4094920753325</v>
      </c>
      <c r="AL527" s="15" t="n">
        <f aca="false">IFERROR(AI527/(AM527*U527/12),"")</f>
        <v>24.9015137315695</v>
      </c>
      <c r="AM527" s="12" t="n">
        <v>12240</v>
      </c>
      <c r="AN527" s="12" t="n">
        <v>505050</v>
      </c>
      <c r="AO527" s="12" t="n">
        <v>759518</v>
      </c>
      <c r="AP527" s="17" t="n">
        <v>0.242</v>
      </c>
      <c r="AQ527" s="16" t="n">
        <v>28</v>
      </c>
      <c r="AR527" s="16" t="n">
        <v>2</v>
      </c>
      <c r="AS527" s="13" t="n">
        <f aca="false">IFERROR(AR527/AR526-1,"")</f>
        <v>0</v>
      </c>
      <c r="AT527" s="11" t="s">
        <v>80</v>
      </c>
      <c r="AU527" s="14" t="n">
        <f aca="false">IFERROR(P527/AR527,"")</f>
        <v>186284.5</v>
      </c>
      <c r="AV527" s="12" t="n">
        <v>1260213</v>
      </c>
      <c r="AW527" s="12" t="n">
        <v>519681</v>
      </c>
      <c r="AX527" s="12" t="n">
        <v>281225</v>
      </c>
      <c r="AY527" s="16" t="n">
        <v>14246</v>
      </c>
      <c r="AZ527" s="13" t="n">
        <f aca="false">IFERROR(AY527/AY526-1,"")</f>
        <v>0.147113294146066</v>
      </c>
      <c r="BA527" s="17" t="n">
        <v>0.943</v>
      </c>
      <c r="BB527" s="11" t="s">
        <v>99</v>
      </c>
      <c r="BC527" s="11" t="s">
        <v>108</v>
      </c>
      <c r="BD527" s="11" t="s">
        <v>157</v>
      </c>
      <c r="BE527" s="12" t="n">
        <v>400367</v>
      </c>
      <c r="BF527" s="13" t="n">
        <f aca="false">IFERROR(P527/BE527-1,"")</f>
        <v>-0.0694312967851996</v>
      </c>
      <c r="BG527" s="17" t="n">
        <v>-0.058</v>
      </c>
      <c r="BH527" s="17" t="n">
        <v>-0.031</v>
      </c>
      <c r="BI527" s="14" t="n">
        <f aca="false">P527*(1+IFERROR(Q527,0))^4</f>
        <v>687348.752185452</v>
      </c>
      <c r="BJ527" s="12" t="n">
        <v>-1073568</v>
      </c>
      <c r="BK527" s="11" t="s">
        <v>127</v>
      </c>
      <c r="BL527" s="11" t="s">
        <v>111</v>
      </c>
      <c r="BM527" s="14" t="n">
        <f aca="false">O527</f>
        <v>46715172</v>
      </c>
      <c r="BN527" s="11" t="s">
        <v>548</v>
      </c>
      <c r="BO527" s="13" t="n">
        <f aca="false">IFERROR(1-L527/M527,"")</f>
        <v>0.169731465265616</v>
      </c>
      <c r="BP527" s="11" t="s">
        <v>113</v>
      </c>
      <c r="BQ527" s="12" t="n">
        <v>2051746</v>
      </c>
      <c r="BR527" s="11" t="s">
        <v>88</v>
      </c>
      <c r="BS527" s="11" t="s">
        <v>89</v>
      </c>
      <c r="BT527" s="19" t="str">
        <f aca="false">IF(OR(Z527&lt;6,AH527&lt;0.9,S527&lt;0.02,AK527&lt;1),"REVIEW",IF(AND(S527&gt;0.25,AH527&gt;1.2),"ACCELERATING","STABLE"))</f>
        <v>STABLE</v>
      </c>
    </row>
    <row r="528" customFormat="false" ht="15" hidden="false" customHeight="false" outlineLevel="0" collapsed="false">
      <c r="A528" s="11" t="s">
        <v>546</v>
      </c>
      <c r="B528" s="11" t="s">
        <v>92</v>
      </c>
      <c r="C528" s="11" t="s">
        <v>74</v>
      </c>
      <c r="D528" s="11" t="s">
        <v>75</v>
      </c>
      <c r="E528" s="11" t="s">
        <v>105</v>
      </c>
      <c r="F528" s="11" t="s">
        <v>547</v>
      </c>
      <c r="G528" s="11" t="s">
        <v>78</v>
      </c>
      <c r="H528" s="11" t="s">
        <v>79</v>
      </c>
      <c r="I528" s="11" t="s">
        <v>78</v>
      </c>
      <c r="J528" s="12" t="n">
        <v>5815000</v>
      </c>
      <c r="K528" s="13" t="n">
        <f aca="false">IFERROR(J528/M528,"")</f>
        <v>0.169731465265616</v>
      </c>
      <c r="L528" s="12" t="n">
        <v>28445000</v>
      </c>
      <c r="M528" s="14" t="n">
        <f aca="false">L528+J528</f>
        <v>34260000</v>
      </c>
      <c r="N528" s="12" t="n">
        <v>5815000</v>
      </c>
      <c r="O528" s="12" t="n">
        <v>46715172</v>
      </c>
      <c r="P528" s="12" t="n">
        <v>497685</v>
      </c>
      <c r="Q528" s="13" t="n">
        <f aca="false">IFERROR(P528/P527-1,"")</f>
        <v>0.335819673671186</v>
      </c>
      <c r="R528" s="12" t="n">
        <v>508357</v>
      </c>
      <c r="S528" s="13" t="n">
        <f aca="false">IFERROR(R528/R527-1,"")</f>
        <v>0.185691661438204</v>
      </c>
      <c r="T528" s="12" t="n">
        <v>302811</v>
      </c>
      <c r="U528" s="13" t="n">
        <f aca="false">IFERROR(T528/P528,"")</f>
        <v>0.608439072907562</v>
      </c>
      <c r="V528" s="14" t="n">
        <f aca="false">T528-AV528</f>
        <v>-1303558</v>
      </c>
      <c r="W528" s="14" t="n">
        <f aca="false">V528-AA528*0.1</f>
        <v>-1303558</v>
      </c>
      <c r="X528" s="12" t="n">
        <v>3141042</v>
      </c>
      <c r="Y528" s="12" t="n">
        <v>114460</v>
      </c>
      <c r="Z528" s="15" t="n">
        <f aca="false">IFERROR(X528/Y528,"")</f>
        <v>27.4422680412371</v>
      </c>
      <c r="AA528" s="12" t="n">
        <v>0</v>
      </c>
      <c r="AB528" s="14" t="n">
        <f aca="false">W528-0.02*P528</f>
        <v>-1313511.7</v>
      </c>
      <c r="AC528" s="16" t="n">
        <v>13</v>
      </c>
      <c r="AD528" s="13" t="n">
        <f aca="false">IFERROR(AC528/AC527-1,"")</f>
        <v>0.181818181818182</v>
      </c>
      <c r="AE528" s="17" t="n">
        <v>0.05</v>
      </c>
      <c r="AF528" s="17" t="n">
        <v>0.031</v>
      </c>
      <c r="AG528" s="13" t="n">
        <f aca="false">1-AF528</f>
        <v>0.969</v>
      </c>
      <c r="AH528" s="17" t="n">
        <v>1.147</v>
      </c>
      <c r="AI528" s="12" t="n">
        <v>15096</v>
      </c>
      <c r="AJ528" s="14" t="n">
        <f aca="false">IFERROR(AM528*U528*MIN(1/AE528,5),"")</f>
        <v>37966.5981494319</v>
      </c>
      <c r="AK528" s="18" t="n">
        <f aca="false">IFERROR(AJ528/AI528,"")</f>
        <v>2.51501047624747</v>
      </c>
      <c r="AL528" s="15" t="n">
        <f aca="false">IFERROR(AI528/(AM528*U528/12),"")</f>
        <v>23.8567594714449</v>
      </c>
      <c r="AM528" s="12" t="n">
        <v>12480</v>
      </c>
      <c r="AN528" s="12" t="n">
        <v>757721</v>
      </c>
      <c r="AO528" s="12" t="n">
        <v>1924568</v>
      </c>
      <c r="AP528" s="17" t="n">
        <v>0.242</v>
      </c>
      <c r="AQ528" s="16" t="n">
        <v>28</v>
      </c>
      <c r="AR528" s="16" t="n">
        <v>2</v>
      </c>
      <c r="AS528" s="13" t="n">
        <f aca="false">IFERROR(AR528/AR527-1,"")</f>
        <v>0</v>
      </c>
      <c r="AT528" s="11" t="s">
        <v>80</v>
      </c>
      <c r="AU528" s="14" t="n">
        <f aca="false">IFERROR(P528/AR528,"")</f>
        <v>248842.5</v>
      </c>
      <c r="AV528" s="12" t="n">
        <v>1606369</v>
      </c>
      <c r="AW528" s="12" t="n">
        <v>685525</v>
      </c>
      <c r="AX528" s="12" t="n">
        <v>525245</v>
      </c>
      <c r="AY528" s="16" t="n">
        <v>17610</v>
      </c>
      <c r="AZ528" s="13" t="n">
        <f aca="false">IFERROR(AY528/AY527-1,"")</f>
        <v>0.236136459357013</v>
      </c>
      <c r="BA528" s="17" t="n">
        <v>0.957</v>
      </c>
      <c r="BB528" s="11" t="s">
        <v>99</v>
      </c>
      <c r="BC528" s="11" t="s">
        <v>108</v>
      </c>
      <c r="BD528" s="11" t="s">
        <v>157</v>
      </c>
      <c r="BE528" s="12" t="n">
        <v>526852</v>
      </c>
      <c r="BF528" s="13" t="n">
        <f aca="false">IFERROR(P528/BE528-1,"")</f>
        <v>-0.0553608983167948</v>
      </c>
      <c r="BG528" s="17" t="n">
        <v>0.064</v>
      </c>
      <c r="BH528" s="17" t="n">
        <v>-0.041</v>
      </c>
      <c r="BI528" s="14" t="n">
        <f aca="false">P528*(1+IFERROR(Q528,0))^4</f>
        <v>1584695.74929186</v>
      </c>
      <c r="BJ528" s="12" t="n">
        <v>-777697</v>
      </c>
      <c r="BK528" s="11" t="s">
        <v>127</v>
      </c>
      <c r="BL528" s="11" t="s">
        <v>111</v>
      </c>
      <c r="BM528" s="14" t="n">
        <f aca="false">O528</f>
        <v>46715172</v>
      </c>
      <c r="BN528" s="11" t="s">
        <v>548</v>
      </c>
      <c r="BO528" s="13" t="n">
        <f aca="false">IFERROR(1-L528/M528,"")</f>
        <v>0.169731465265616</v>
      </c>
      <c r="BP528" s="11" t="s">
        <v>113</v>
      </c>
      <c r="BQ528" s="12" t="n">
        <v>1771869</v>
      </c>
      <c r="BR528" s="11" t="s">
        <v>88</v>
      </c>
      <c r="BS528" s="11" t="s">
        <v>89</v>
      </c>
      <c r="BT528" s="19" t="str">
        <f aca="false">IF(OR(Z528&lt;6,AH528&lt;0.9,S528&lt;0.02,AK528&lt;1),"REVIEW",IF(AND(S528&gt;0.25,AH528&gt;1.2),"ACCELERATING","STABLE"))</f>
        <v>STABLE</v>
      </c>
    </row>
    <row r="529" customFormat="false" ht="15" hidden="false" customHeight="false" outlineLevel="0" collapsed="false">
      <c r="A529" s="11" t="s">
        <v>546</v>
      </c>
      <c r="B529" s="11" t="s">
        <v>93</v>
      </c>
      <c r="C529" s="11" t="s">
        <v>74</v>
      </c>
      <c r="D529" s="11" t="s">
        <v>75</v>
      </c>
      <c r="E529" s="11" t="s">
        <v>105</v>
      </c>
      <c r="F529" s="11" t="s">
        <v>547</v>
      </c>
      <c r="G529" s="11" t="s">
        <v>78</v>
      </c>
      <c r="H529" s="11" t="s">
        <v>79</v>
      </c>
      <c r="I529" s="11" t="s">
        <v>78</v>
      </c>
      <c r="J529" s="12" t="n">
        <v>5815000</v>
      </c>
      <c r="K529" s="13" t="n">
        <f aca="false">IFERROR(J529/M529,"")</f>
        <v>0.169731465265616</v>
      </c>
      <c r="L529" s="12" t="n">
        <v>28445000</v>
      </c>
      <c r="M529" s="14" t="n">
        <f aca="false">L529+J529</f>
        <v>34260000</v>
      </c>
      <c r="N529" s="12" t="n">
        <v>5815000</v>
      </c>
      <c r="O529" s="12" t="n">
        <v>46715172</v>
      </c>
      <c r="P529" s="12" t="n">
        <v>587060</v>
      </c>
      <c r="Q529" s="13" t="n">
        <f aca="false">IFERROR(P529/P528-1,"")</f>
        <v>0.179581462169846</v>
      </c>
      <c r="R529" s="12" t="n">
        <v>671479</v>
      </c>
      <c r="S529" s="13" t="n">
        <f aca="false">IFERROR(R529/R528-1,"")</f>
        <v>0.320880798336602</v>
      </c>
      <c r="T529" s="12" t="n">
        <v>358625</v>
      </c>
      <c r="U529" s="13" t="n">
        <f aca="false">IFERROR(T529/P529,"")</f>
        <v>0.610883044322557</v>
      </c>
      <c r="V529" s="14" t="n">
        <f aca="false">T529-AV529</f>
        <v>-1208438</v>
      </c>
      <c r="W529" s="14" t="n">
        <f aca="false">V529-AA529*0.1</f>
        <v>-1208438</v>
      </c>
      <c r="X529" s="12" t="n">
        <v>2832000</v>
      </c>
      <c r="Y529" s="12" t="n">
        <v>118000</v>
      </c>
      <c r="Z529" s="15" t="n">
        <f aca="false">IFERROR(X529/Y529,"")</f>
        <v>24</v>
      </c>
      <c r="AA529" s="12" t="n">
        <v>0</v>
      </c>
      <c r="AB529" s="14" t="n">
        <f aca="false">W529-0.02*P529</f>
        <v>-1220179.2</v>
      </c>
      <c r="AC529" s="16" t="n">
        <v>15</v>
      </c>
      <c r="AD529" s="13" t="n">
        <f aca="false">IFERROR(AC529/AC528-1,"")</f>
        <v>0.153846153846154</v>
      </c>
      <c r="AE529" s="17" t="n">
        <v>0.049</v>
      </c>
      <c r="AF529" s="17" t="n">
        <v>0.035</v>
      </c>
      <c r="AG529" s="13" t="n">
        <f aca="false">1-AF529</f>
        <v>0.965</v>
      </c>
      <c r="AH529" s="17" t="n">
        <v>1.142</v>
      </c>
      <c r="AI529" s="12" t="n">
        <v>14800</v>
      </c>
      <c r="AJ529" s="14" t="n">
        <f aca="false">IFERROR(AM529*U529*MIN(1/AE529,5),"")</f>
        <v>38852.1616189146</v>
      </c>
      <c r="AK529" s="18" t="n">
        <f aca="false">IFERROR(AJ529/AI529,"")</f>
        <v>2.62514605533207</v>
      </c>
      <c r="AL529" s="15" t="n">
        <f aca="false">IFERROR(AI529/(AM529*U529/12),"")</f>
        <v>22.8558711535806</v>
      </c>
      <c r="AM529" s="12" t="n">
        <v>12720</v>
      </c>
      <c r="AN529" s="12" t="n">
        <v>901972</v>
      </c>
      <c r="AO529" s="12" t="n">
        <v>1854261</v>
      </c>
      <c r="AP529" s="17" t="n">
        <v>0.242</v>
      </c>
      <c r="AQ529" s="16" t="n">
        <v>28</v>
      </c>
      <c r="AR529" s="16" t="n">
        <v>2</v>
      </c>
      <c r="AS529" s="13" t="n">
        <f aca="false">IFERROR(AR529/AR528-1,"")</f>
        <v>0</v>
      </c>
      <c r="AT529" s="11" t="s">
        <v>80</v>
      </c>
      <c r="AU529" s="14" t="n">
        <f aca="false">IFERROR(P529/AR529,"")</f>
        <v>293530</v>
      </c>
      <c r="AV529" s="12" t="n">
        <v>1567063</v>
      </c>
      <c r="AW529" s="12" t="n">
        <v>672061</v>
      </c>
      <c r="AX529" s="12" t="n">
        <v>287668</v>
      </c>
      <c r="AY529" s="16" t="n">
        <v>19948</v>
      </c>
      <c r="AZ529" s="13" t="n">
        <f aca="false">IFERROR(AY529/AY528-1,"")</f>
        <v>0.132765474162408</v>
      </c>
      <c r="BA529" s="17" t="n">
        <v>0.958</v>
      </c>
      <c r="BB529" s="11" t="s">
        <v>99</v>
      </c>
      <c r="BC529" s="11" t="s">
        <v>108</v>
      </c>
      <c r="BD529" s="11" t="s">
        <v>157</v>
      </c>
      <c r="BE529" s="12" t="n">
        <v>729729</v>
      </c>
      <c r="BF529" s="13" t="n">
        <f aca="false">IFERROR(P529/BE529-1,"")</f>
        <v>-0.195509565879936</v>
      </c>
      <c r="BG529" s="17" t="n">
        <v>0.087</v>
      </c>
      <c r="BH529" s="17" t="n">
        <v>0.022</v>
      </c>
      <c r="BI529" s="14" t="n">
        <f aca="false">P529*(1+IFERROR(Q529,0))^4</f>
        <v>1136564.91406678</v>
      </c>
      <c r="BJ529" s="12" t="n">
        <v>-883489</v>
      </c>
      <c r="BK529" s="11" t="s">
        <v>127</v>
      </c>
      <c r="BL529" s="11" t="s">
        <v>111</v>
      </c>
      <c r="BM529" s="14" t="n">
        <f aca="false">O529</f>
        <v>46715172</v>
      </c>
      <c r="BN529" s="11" t="s">
        <v>548</v>
      </c>
      <c r="BO529" s="13" t="n">
        <f aca="false">IFERROR(1-L529/M529,"")</f>
        <v>0.169731465265616</v>
      </c>
      <c r="BP529" s="11" t="s">
        <v>113</v>
      </c>
      <c r="BQ529" s="12" t="n">
        <v>2306711</v>
      </c>
      <c r="BR529" s="11" t="s">
        <v>88</v>
      </c>
      <c r="BS529" s="11" t="s">
        <v>89</v>
      </c>
      <c r="BT529" s="19" t="str">
        <f aca="false">IF(OR(Z529&lt;6,AH529&lt;0.9,S529&lt;0.02,AK529&lt;1),"REVIEW",IF(AND(S529&gt;0.25,AH529&gt;1.2),"ACCELERATING","STABLE"))</f>
        <v>STABLE</v>
      </c>
    </row>
    <row r="530" customFormat="false" ht="15" hidden="false" customHeight="false" outlineLevel="0" collapsed="false">
      <c r="A530" s="3" t="s">
        <v>549</v>
      </c>
      <c r="B530" s="3" t="s">
        <v>73</v>
      </c>
      <c r="C530" s="3" t="s">
        <v>74</v>
      </c>
      <c r="D530" s="3" t="s">
        <v>75</v>
      </c>
      <c r="E530" s="3" t="s">
        <v>105</v>
      </c>
      <c r="F530" s="3" t="s">
        <v>550</v>
      </c>
      <c r="G530" s="3" t="s">
        <v>78</v>
      </c>
      <c r="H530" s="3" t="s">
        <v>79</v>
      </c>
      <c r="I530" s="3" t="s">
        <v>78</v>
      </c>
      <c r="J530" s="4" t="n">
        <v>1339000</v>
      </c>
      <c r="K530" s="5" t="n">
        <f aca="false">IFERROR(J530/M530,"")</f>
        <v>0.104781281790437</v>
      </c>
      <c r="L530" s="4" t="n">
        <v>11440000</v>
      </c>
      <c r="M530" s="6" t="n">
        <f aca="false">L530+J530</f>
        <v>12779000</v>
      </c>
      <c r="N530" s="4" t="n">
        <v>5863000</v>
      </c>
      <c r="O530" s="4" t="n">
        <v>7910646</v>
      </c>
      <c r="P530" s="4" t="n">
        <v>587969</v>
      </c>
      <c r="Q530" s="7"/>
      <c r="R530" s="4" t="n">
        <v>617607</v>
      </c>
      <c r="S530" s="7"/>
      <c r="T530" s="4" t="n">
        <v>353883</v>
      </c>
      <c r="U530" s="5" t="n">
        <f aca="false">IFERROR(T530/P530,"")</f>
        <v>0.601873568164308</v>
      </c>
      <c r="V530" s="6" t="n">
        <f aca="false">T530-AV530</f>
        <v>-2148704</v>
      </c>
      <c r="W530" s="6" t="n">
        <f aca="false">V530-AA530*0.1</f>
        <v>-2148704</v>
      </c>
      <c r="X530" s="4" t="n">
        <v>3066049</v>
      </c>
      <c r="Y530" s="4" t="n">
        <v>197620</v>
      </c>
      <c r="Z530" s="8" t="n">
        <f aca="false">IFERROR(X530/Y530,"")</f>
        <v>15.5148719765206</v>
      </c>
      <c r="AA530" s="4" t="n">
        <v>0</v>
      </c>
      <c r="AB530" s="6" t="n">
        <f aca="false">W530-0.02*P530</f>
        <v>-2160463.38</v>
      </c>
      <c r="AC530" s="9" t="n">
        <v>42</v>
      </c>
      <c r="AD530" s="7"/>
      <c r="AE530" s="7" t="n">
        <v>0.151</v>
      </c>
      <c r="AF530" s="7" t="n">
        <v>0.141</v>
      </c>
      <c r="AG530" s="5" t="n">
        <f aca="false">1-AF530</f>
        <v>0.859</v>
      </c>
      <c r="AH530" s="7" t="n">
        <v>0.923</v>
      </c>
      <c r="AI530" s="4" t="n">
        <v>26600</v>
      </c>
      <c r="AJ530" s="6" t="n">
        <f aca="false">IFERROR(AM530*U530*MIN(1/AE530,5),"")</f>
        <v>27084.3105673939</v>
      </c>
      <c r="AK530" s="10" t="n">
        <f aca="false">IFERROR(AJ530/AI530,"")</f>
        <v>1.01820716418774</v>
      </c>
      <c r="AL530" s="8" t="n">
        <f aca="false">IFERROR(AI530/(AM530*U530/12),"")</f>
        <v>58.9271045326657</v>
      </c>
      <c r="AM530" s="4" t="n">
        <v>9000</v>
      </c>
      <c r="AN530" s="4" t="n">
        <v>826107</v>
      </c>
      <c r="AO530" s="4" t="n">
        <v>1178327</v>
      </c>
      <c r="AP530" s="7" t="n">
        <v>0.383</v>
      </c>
      <c r="AQ530" s="9" t="n">
        <v>84</v>
      </c>
      <c r="AR530" s="9" t="n">
        <v>4</v>
      </c>
      <c r="AS530" s="7"/>
      <c r="AT530" s="3" t="s">
        <v>145</v>
      </c>
      <c r="AU530" s="6" t="n">
        <f aca="false">IFERROR(P530/AR530,"")</f>
        <v>146992.25</v>
      </c>
      <c r="AV530" s="4" t="n">
        <v>2502587</v>
      </c>
      <c r="AW530" s="4" t="n">
        <v>799515</v>
      </c>
      <c r="AX530" s="4" t="n">
        <v>579481</v>
      </c>
      <c r="AY530" s="9" t="n">
        <v>38926</v>
      </c>
      <c r="AZ530" s="7"/>
      <c r="BA530" s="7" t="n">
        <v>0.882</v>
      </c>
      <c r="BB530" s="3" t="s">
        <v>171</v>
      </c>
      <c r="BC530" s="3" t="s">
        <v>120</v>
      </c>
      <c r="BD530" s="3" t="s">
        <v>175</v>
      </c>
      <c r="BE530" s="4" t="n">
        <v>799252</v>
      </c>
      <c r="BF530" s="5" t="n">
        <f aca="false">IFERROR(P530/BE530-1,"")</f>
        <v>-0.264350918108431</v>
      </c>
      <c r="BG530" s="7" t="n">
        <v>0.185</v>
      </c>
      <c r="BH530" s="7" t="n">
        <v>0.169</v>
      </c>
      <c r="BI530" s="6" t="n">
        <f aca="false">P530</f>
        <v>587969</v>
      </c>
      <c r="BJ530" s="4" t="n">
        <v>-1733513</v>
      </c>
      <c r="BK530" s="3" t="s">
        <v>121</v>
      </c>
      <c r="BL530" s="3" t="s">
        <v>148</v>
      </c>
      <c r="BM530" s="6" t="n">
        <f aca="false">O530</f>
        <v>7910646</v>
      </c>
      <c r="BN530" s="3" t="s">
        <v>551</v>
      </c>
      <c r="BO530" s="5" t="n">
        <f aca="false">IFERROR(1-L530/M530,"")</f>
        <v>0.104781281790437</v>
      </c>
      <c r="BP530" s="3" t="s">
        <v>87</v>
      </c>
      <c r="BQ530" s="4" t="n">
        <v>3118628</v>
      </c>
      <c r="BR530" s="3" t="s">
        <v>88</v>
      </c>
      <c r="BS530" s="3" t="s">
        <v>89</v>
      </c>
      <c r="BT530" s="3" t="s">
        <v>90</v>
      </c>
    </row>
    <row r="531" customFormat="false" ht="15" hidden="false" customHeight="false" outlineLevel="0" collapsed="false">
      <c r="A531" s="11" t="s">
        <v>549</v>
      </c>
      <c r="B531" s="11" t="s">
        <v>91</v>
      </c>
      <c r="C531" s="11" t="s">
        <v>74</v>
      </c>
      <c r="D531" s="11" t="s">
        <v>75</v>
      </c>
      <c r="E531" s="11" t="s">
        <v>105</v>
      </c>
      <c r="F531" s="11" t="s">
        <v>550</v>
      </c>
      <c r="G531" s="11" t="s">
        <v>78</v>
      </c>
      <c r="H531" s="11" t="s">
        <v>79</v>
      </c>
      <c r="I531" s="11" t="s">
        <v>78</v>
      </c>
      <c r="J531" s="12" t="n">
        <v>1339000</v>
      </c>
      <c r="K531" s="13" t="n">
        <f aca="false">IFERROR(J531/M531,"")</f>
        <v>0.104781281790437</v>
      </c>
      <c r="L531" s="12" t="n">
        <v>11440000</v>
      </c>
      <c r="M531" s="14" t="n">
        <f aca="false">L531+J531</f>
        <v>12779000</v>
      </c>
      <c r="N531" s="12" t="n">
        <v>5863000</v>
      </c>
      <c r="O531" s="12" t="n">
        <v>7910646</v>
      </c>
      <c r="P531" s="12" t="n">
        <v>575358</v>
      </c>
      <c r="Q531" s="13" t="n">
        <f aca="false">IFERROR(P531/P530-1,"")</f>
        <v>-0.021448409695069</v>
      </c>
      <c r="R531" s="12" t="n">
        <v>595770</v>
      </c>
      <c r="S531" s="13" t="n">
        <f aca="false">IFERROR(R531/R530-1,"")</f>
        <v>-0.0353574360394231</v>
      </c>
      <c r="T531" s="12" t="n">
        <v>339759</v>
      </c>
      <c r="U531" s="13" t="n">
        <f aca="false">IFERROR(T531/P531,"")</f>
        <v>0.590517556025987</v>
      </c>
      <c r="V531" s="14" t="n">
        <f aca="false">T531-AV531</f>
        <v>-2464371</v>
      </c>
      <c r="W531" s="14" t="n">
        <f aca="false">V531-AA531*0.1</f>
        <v>-2464371</v>
      </c>
      <c r="X531" s="12" t="n">
        <v>2509339</v>
      </c>
      <c r="Y531" s="12" t="n">
        <v>212080</v>
      </c>
      <c r="Z531" s="15" t="n">
        <f aca="false">IFERROR(X531/Y531,"")</f>
        <v>11.8320397963033</v>
      </c>
      <c r="AA531" s="12" t="n">
        <v>0</v>
      </c>
      <c r="AB531" s="14" t="n">
        <f aca="false">W531-0.02*P531</f>
        <v>-2475878.16</v>
      </c>
      <c r="AC531" s="16" t="n">
        <v>41</v>
      </c>
      <c r="AD531" s="13" t="n">
        <f aca="false">IFERROR(AC531/AC530-1,"")</f>
        <v>-0.0238095238095238</v>
      </c>
      <c r="AE531" s="17" t="n">
        <v>0.179</v>
      </c>
      <c r="AF531" s="17" t="n">
        <v>0.197</v>
      </c>
      <c r="AG531" s="13" t="n">
        <f aca="false">1-AF531</f>
        <v>0.803</v>
      </c>
      <c r="AH531" s="17" t="n">
        <v>0.883</v>
      </c>
      <c r="AI531" s="12" t="n">
        <v>29400</v>
      </c>
      <c r="AJ531" s="14" t="n">
        <f aca="false">IFERROR(AM531*U531*MIN(1/AE531,5),"")</f>
        <v>27104.7558215928</v>
      </c>
      <c r="AK531" s="18" t="n">
        <f aca="false">IFERROR(AJ531/AI531,"")</f>
        <v>0.921930470122205</v>
      </c>
      <c r="AL531" s="15" t="n">
        <f aca="false">IFERROR(AI531/(AM531*U531/12),"")</f>
        <v>65.0808297854033</v>
      </c>
      <c r="AM531" s="12" t="n">
        <v>9180</v>
      </c>
      <c r="AN531" s="12" t="n">
        <v>801580</v>
      </c>
      <c r="AO531" s="12" t="n">
        <v>2044715</v>
      </c>
      <c r="AP531" s="17" t="n">
        <v>0.383</v>
      </c>
      <c r="AQ531" s="16" t="n">
        <v>84</v>
      </c>
      <c r="AR531" s="16" t="n">
        <v>4</v>
      </c>
      <c r="AS531" s="13" t="n">
        <f aca="false">IFERROR(AR531/AR530-1,"")</f>
        <v>0</v>
      </c>
      <c r="AT531" s="11" t="s">
        <v>145</v>
      </c>
      <c r="AU531" s="14" t="n">
        <f aca="false">IFERROR(P531/AR531,"")</f>
        <v>143839.5</v>
      </c>
      <c r="AV531" s="12" t="n">
        <v>2804130</v>
      </c>
      <c r="AW531" s="12" t="n">
        <v>1337271</v>
      </c>
      <c r="AX531" s="12" t="n">
        <v>609446</v>
      </c>
      <c r="AY531" s="16" t="n">
        <v>37324</v>
      </c>
      <c r="AZ531" s="13" t="n">
        <f aca="false">IFERROR(AY531/AY530-1,"")</f>
        <v>-0.041155012074192</v>
      </c>
      <c r="BA531" s="17" t="n">
        <v>0.849</v>
      </c>
      <c r="BB531" s="11" t="s">
        <v>171</v>
      </c>
      <c r="BC531" s="11" t="s">
        <v>120</v>
      </c>
      <c r="BD531" s="11" t="s">
        <v>175</v>
      </c>
      <c r="BE531" s="12" t="n">
        <v>863693</v>
      </c>
      <c r="BF531" s="13" t="n">
        <f aca="false">IFERROR(P531/BE531-1,"")</f>
        <v>-0.333839686092165</v>
      </c>
      <c r="BG531" s="17" t="n">
        <v>0.2</v>
      </c>
      <c r="BH531" s="17" t="n">
        <v>0.207</v>
      </c>
      <c r="BI531" s="14" t="n">
        <f aca="false">P531*(1+IFERROR(Q531,0))^4</f>
        <v>527561.463518822</v>
      </c>
      <c r="BJ531" s="12" t="n">
        <v>-1543475</v>
      </c>
      <c r="BK531" s="11" t="s">
        <v>121</v>
      </c>
      <c r="BL531" s="11" t="s">
        <v>148</v>
      </c>
      <c r="BM531" s="14" t="n">
        <f aca="false">O531</f>
        <v>7910646</v>
      </c>
      <c r="BN531" s="11" t="s">
        <v>551</v>
      </c>
      <c r="BO531" s="13" t="n">
        <f aca="false">IFERROR(1-L531/M531,"")</f>
        <v>0.104781281790437</v>
      </c>
      <c r="BP531" s="11" t="s">
        <v>87</v>
      </c>
      <c r="BQ531" s="12" t="n">
        <v>3309880</v>
      </c>
      <c r="BR531" s="11" t="s">
        <v>88</v>
      </c>
      <c r="BS531" s="11" t="s">
        <v>89</v>
      </c>
      <c r="BT531" s="19" t="str">
        <f aca="false">IF(OR(Z531&lt;6,AH531&lt;0.9,S531&lt;0.02,AK531&lt;1),"REVIEW",IF(AND(S531&gt;0.25,AH531&gt;1.2),"ACCELERATING","STABLE"))</f>
        <v>REVIEW</v>
      </c>
    </row>
    <row r="532" customFormat="false" ht="15" hidden="false" customHeight="false" outlineLevel="0" collapsed="false">
      <c r="A532" s="11" t="s">
        <v>549</v>
      </c>
      <c r="B532" s="11" t="s">
        <v>92</v>
      </c>
      <c r="C532" s="11" t="s">
        <v>74</v>
      </c>
      <c r="D532" s="11" t="s">
        <v>75</v>
      </c>
      <c r="E532" s="11" t="s">
        <v>105</v>
      </c>
      <c r="F532" s="11" t="s">
        <v>550</v>
      </c>
      <c r="G532" s="11" t="s">
        <v>78</v>
      </c>
      <c r="H532" s="11" t="s">
        <v>79</v>
      </c>
      <c r="I532" s="11" t="s">
        <v>78</v>
      </c>
      <c r="J532" s="12" t="n">
        <v>1339000</v>
      </c>
      <c r="K532" s="13" t="n">
        <f aca="false">IFERROR(J532/M532,"")</f>
        <v>0.104781281790437</v>
      </c>
      <c r="L532" s="12" t="n">
        <v>11440000</v>
      </c>
      <c r="M532" s="14" t="n">
        <f aca="false">L532+J532</f>
        <v>12779000</v>
      </c>
      <c r="N532" s="12" t="n">
        <v>5863000</v>
      </c>
      <c r="O532" s="12" t="n">
        <v>7910646</v>
      </c>
      <c r="P532" s="12" t="n">
        <v>541794</v>
      </c>
      <c r="Q532" s="13" t="n">
        <f aca="false">IFERROR(P532/P531-1,"")</f>
        <v>-0.058335853503384</v>
      </c>
      <c r="R532" s="12" t="n">
        <v>570682</v>
      </c>
      <c r="S532" s="13" t="n">
        <f aca="false">IFERROR(R532/R531-1,"")</f>
        <v>-0.0421102103160616</v>
      </c>
      <c r="T532" s="12" t="n">
        <v>313786</v>
      </c>
      <c r="U532" s="13" t="n">
        <f aca="false">IFERROR(T532/P532,"")</f>
        <v>0.579161083363788</v>
      </c>
      <c r="V532" s="14" t="n">
        <f aca="false">T532-AV532</f>
        <v>-2397133</v>
      </c>
      <c r="W532" s="14" t="n">
        <f aca="false">V532-AA532*0.1</f>
        <v>-2397133</v>
      </c>
      <c r="X532" s="12" t="n">
        <v>1857193</v>
      </c>
      <c r="Y532" s="12" t="n">
        <v>226540</v>
      </c>
      <c r="Z532" s="15" t="n">
        <f aca="false">IFERROR(X532/Y532,"")</f>
        <v>8.1980798093052</v>
      </c>
      <c r="AA532" s="12" t="n">
        <v>0</v>
      </c>
      <c r="AB532" s="14" t="n">
        <f aca="false">W532-0.02*P532</f>
        <v>-2407968.88</v>
      </c>
      <c r="AC532" s="16" t="n">
        <v>39</v>
      </c>
      <c r="AD532" s="13" t="n">
        <f aca="false">IFERROR(AC532/AC531-1,"")</f>
        <v>-0.0487804878048781</v>
      </c>
      <c r="AE532" s="17" t="n">
        <v>0.208</v>
      </c>
      <c r="AF532" s="17" t="n">
        <v>0.128</v>
      </c>
      <c r="AG532" s="13" t="n">
        <f aca="false">1-AF532</f>
        <v>0.872</v>
      </c>
      <c r="AH532" s="17" t="n">
        <v>0.843</v>
      </c>
      <c r="AI532" s="12" t="n">
        <v>32200</v>
      </c>
      <c r="AJ532" s="14" t="n">
        <f aca="false">IFERROR(AM532*U532*MIN(1/AE532,5),"")</f>
        <v>26062.2487513704</v>
      </c>
      <c r="AK532" s="18" t="n">
        <f aca="false">IFERROR(AJ532/AI532,"")</f>
        <v>0.809386607185418</v>
      </c>
      <c r="AL532" s="15" t="n">
        <f aca="false">IFERROR(AI532/(AM532*U532/12),"")</f>
        <v>71.2790490726409</v>
      </c>
      <c r="AM532" s="12" t="n">
        <v>9360</v>
      </c>
      <c r="AN532" s="12" t="n">
        <v>571008</v>
      </c>
      <c r="AO532" s="12" t="n">
        <v>1651836</v>
      </c>
      <c r="AP532" s="17" t="n">
        <v>0.383</v>
      </c>
      <c r="AQ532" s="16" t="n">
        <v>84</v>
      </c>
      <c r="AR532" s="16" t="n">
        <v>4</v>
      </c>
      <c r="AS532" s="13" t="n">
        <f aca="false">IFERROR(AR532/AR531-1,"")</f>
        <v>0</v>
      </c>
      <c r="AT532" s="11" t="s">
        <v>145</v>
      </c>
      <c r="AU532" s="14" t="n">
        <f aca="false">IFERROR(P532/AR532,"")</f>
        <v>135448.5</v>
      </c>
      <c r="AV532" s="12" t="n">
        <v>2710919</v>
      </c>
      <c r="AW532" s="12" t="n">
        <v>937095</v>
      </c>
      <c r="AX532" s="12" t="n">
        <v>568202</v>
      </c>
      <c r="AY532" s="16" t="n">
        <v>35767</v>
      </c>
      <c r="AZ532" s="13" t="n">
        <f aca="false">IFERROR(AY532/AY531-1,"")</f>
        <v>-0.0417157860893795</v>
      </c>
      <c r="BA532" s="17" t="n">
        <v>0.792</v>
      </c>
      <c r="BB532" s="11" t="s">
        <v>171</v>
      </c>
      <c r="BC532" s="11" t="s">
        <v>120</v>
      </c>
      <c r="BD532" s="11" t="s">
        <v>175</v>
      </c>
      <c r="BE532" s="12" t="n">
        <v>913393</v>
      </c>
      <c r="BF532" s="13" t="n">
        <f aca="false">IFERROR(P532/BE532-1,"")</f>
        <v>-0.406833641159939</v>
      </c>
      <c r="BG532" s="17" t="n">
        <v>0.206</v>
      </c>
      <c r="BH532" s="17" t="n">
        <v>0.157</v>
      </c>
      <c r="BI532" s="14" t="n">
        <f aca="false">P532*(1+IFERROR(Q532,0))^4</f>
        <v>426008.565959044</v>
      </c>
      <c r="BJ532" s="12" t="n">
        <v>-2004884</v>
      </c>
      <c r="BK532" s="11" t="s">
        <v>121</v>
      </c>
      <c r="BL532" s="11" t="s">
        <v>148</v>
      </c>
      <c r="BM532" s="14" t="n">
        <f aca="false">O532</f>
        <v>7910646</v>
      </c>
      <c r="BN532" s="11" t="s">
        <v>551</v>
      </c>
      <c r="BO532" s="13" t="n">
        <f aca="false">IFERROR(1-L532/M532,"")</f>
        <v>0.104781281790437</v>
      </c>
      <c r="BP532" s="11" t="s">
        <v>87</v>
      </c>
      <c r="BQ532" s="12" t="n">
        <v>4530563</v>
      </c>
      <c r="BR532" s="11" t="s">
        <v>88</v>
      </c>
      <c r="BS532" s="11" t="s">
        <v>89</v>
      </c>
      <c r="BT532" s="19" t="str">
        <f aca="false">IF(OR(Z532&lt;6,AH532&lt;0.9,S532&lt;0.02,AK532&lt;1),"REVIEW",IF(AND(S532&gt;0.25,AH532&gt;1.2),"ACCELERATING","STABLE"))</f>
        <v>REVIEW</v>
      </c>
    </row>
    <row r="533" customFormat="false" ht="15" hidden="false" customHeight="false" outlineLevel="0" collapsed="false">
      <c r="A533" s="11" t="s">
        <v>549</v>
      </c>
      <c r="B533" s="11" t="s">
        <v>93</v>
      </c>
      <c r="C533" s="11" t="s">
        <v>74</v>
      </c>
      <c r="D533" s="11" t="s">
        <v>75</v>
      </c>
      <c r="E533" s="11" t="s">
        <v>105</v>
      </c>
      <c r="F533" s="11" t="s">
        <v>550</v>
      </c>
      <c r="G533" s="11" t="s">
        <v>78</v>
      </c>
      <c r="H533" s="11" t="s">
        <v>79</v>
      </c>
      <c r="I533" s="11" t="s">
        <v>78</v>
      </c>
      <c r="J533" s="12" t="n">
        <v>1339000</v>
      </c>
      <c r="K533" s="13" t="n">
        <f aca="false">IFERROR(J533/M533,"")</f>
        <v>0.104781281790437</v>
      </c>
      <c r="L533" s="12" t="n">
        <v>11440000</v>
      </c>
      <c r="M533" s="14" t="n">
        <f aca="false">L533+J533</f>
        <v>12779000</v>
      </c>
      <c r="N533" s="12" t="n">
        <v>5863000</v>
      </c>
      <c r="O533" s="12" t="n">
        <v>7910646</v>
      </c>
      <c r="P533" s="12" t="n">
        <v>531856</v>
      </c>
      <c r="Q533" s="13" t="n">
        <f aca="false">IFERROR(P533/P532-1,"")</f>
        <v>-0.0183427649623289</v>
      </c>
      <c r="R533" s="12" t="n">
        <v>552295</v>
      </c>
      <c r="S533" s="13" t="n">
        <f aca="false">IFERROR(R533/R532-1,"")</f>
        <v>-0.0322193445736855</v>
      </c>
      <c r="T533" s="12" t="n">
        <v>301990</v>
      </c>
      <c r="U533" s="13" t="n">
        <f aca="false">IFERROR(T533/P533,"")</f>
        <v>0.567804067266328</v>
      </c>
      <c r="V533" s="14" t="n">
        <f aca="false">T533-AV533</f>
        <v>-3117374</v>
      </c>
      <c r="W533" s="14" t="n">
        <f aca="false">V533-AA533*0.1</f>
        <v>-3117374</v>
      </c>
      <c r="X533" s="12" t="n">
        <v>1109611</v>
      </c>
      <c r="Y533" s="12" t="n">
        <v>241000</v>
      </c>
      <c r="Z533" s="15" t="n">
        <f aca="false">IFERROR(X533/Y533,"")</f>
        <v>4.60419502074689</v>
      </c>
      <c r="AA533" s="12" t="n">
        <v>0</v>
      </c>
      <c r="AB533" s="14" t="n">
        <f aca="false">W533-0.02*P533</f>
        <v>-3128011.12</v>
      </c>
      <c r="AC533" s="16" t="n">
        <v>38</v>
      </c>
      <c r="AD533" s="13" t="n">
        <f aca="false">IFERROR(AC533/AC532-1,"")</f>
        <v>-0.0256410256410257</v>
      </c>
      <c r="AE533" s="17" t="n">
        <v>0.236</v>
      </c>
      <c r="AF533" s="17" t="n">
        <v>0.196</v>
      </c>
      <c r="AG533" s="13" t="n">
        <f aca="false">1-AF533</f>
        <v>0.804</v>
      </c>
      <c r="AH533" s="17" t="n">
        <v>0.803</v>
      </c>
      <c r="AI533" s="12" t="n">
        <v>35000</v>
      </c>
      <c r="AJ533" s="14" t="n">
        <f aca="false">IFERROR(AM533*U533*MIN(1/AE533,5),"")</f>
        <v>22952.75763441</v>
      </c>
      <c r="AK533" s="18" t="n">
        <f aca="false">IFERROR(AJ533/AI533,"")</f>
        <v>0.655793075268858</v>
      </c>
      <c r="AL533" s="15" t="n">
        <f aca="false">IFERROR(AI533/(AM533*U533/12),"")</f>
        <v>77.5358257728972</v>
      </c>
      <c r="AM533" s="12" t="n">
        <v>9540</v>
      </c>
      <c r="AN533" s="12" t="n">
        <v>525907</v>
      </c>
      <c r="AO533" s="12" t="n">
        <v>2189884</v>
      </c>
      <c r="AP533" s="17" t="n">
        <v>0.383</v>
      </c>
      <c r="AQ533" s="16" t="n">
        <v>84</v>
      </c>
      <c r="AR533" s="16" t="n">
        <v>4</v>
      </c>
      <c r="AS533" s="13" t="n">
        <f aca="false">IFERROR(AR533/AR532-1,"")</f>
        <v>0</v>
      </c>
      <c r="AT533" s="11" t="s">
        <v>145</v>
      </c>
      <c r="AU533" s="14" t="n">
        <f aca="false">IFERROR(P533/AR533,"")</f>
        <v>132964</v>
      </c>
      <c r="AV533" s="12" t="n">
        <v>3419364</v>
      </c>
      <c r="AW533" s="12" t="n">
        <v>1528303</v>
      </c>
      <c r="AX533" s="12" t="n">
        <v>686367</v>
      </c>
      <c r="AY533" s="16" t="n">
        <v>34142</v>
      </c>
      <c r="AZ533" s="13" t="n">
        <f aca="false">IFERROR(AY533/AY532-1,"")</f>
        <v>-0.0454329409791149</v>
      </c>
      <c r="BA533" s="17" t="n">
        <v>0.758</v>
      </c>
      <c r="BB533" s="11" t="s">
        <v>171</v>
      </c>
      <c r="BC533" s="11" t="s">
        <v>120</v>
      </c>
      <c r="BD533" s="11" t="s">
        <v>175</v>
      </c>
      <c r="BE533" s="12" t="n">
        <v>852162</v>
      </c>
      <c r="BF533" s="13" t="n">
        <f aca="false">IFERROR(P533/BE533-1,"")</f>
        <v>-0.375874540286941</v>
      </c>
      <c r="BG533" s="17" t="n">
        <v>0.175</v>
      </c>
      <c r="BH533" s="17" t="n">
        <v>0.281</v>
      </c>
      <c r="BI533" s="14" t="n">
        <f aca="false">P533*(1+IFERROR(Q533,0))^4</f>
        <v>493893.772422078</v>
      </c>
      <c r="BJ533" s="12" t="n">
        <v>-2109672</v>
      </c>
      <c r="BK533" s="11" t="s">
        <v>121</v>
      </c>
      <c r="BL533" s="11" t="s">
        <v>148</v>
      </c>
      <c r="BM533" s="14" t="n">
        <f aca="false">O533</f>
        <v>7910646</v>
      </c>
      <c r="BN533" s="11" t="s">
        <v>551</v>
      </c>
      <c r="BO533" s="13" t="n">
        <f aca="false">IFERROR(1-L533/M533,"")</f>
        <v>0.104781281790437</v>
      </c>
      <c r="BP533" s="11" t="s">
        <v>87</v>
      </c>
      <c r="BQ533" s="12" t="n">
        <v>4476202</v>
      </c>
      <c r="BR533" s="11" t="s">
        <v>88</v>
      </c>
      <c r="BS533" s="11" t="s">
        <v>89</v>
      </c>
      <c r="BT533" s="19" t="str">
        <f aca="false">IF(OR(Z533&lt;6,AH533&lt;0.9,S533&lt;0.02,AK533&lt;1),"REVIEW",IF(AND(S533&gt;0.25,AH533&gt;1.2),"ACCELERATING","STABLE"))</f>
        <v>REVIEW</v>
      </c>
    </row>
    <row r="534" customFormat="false" ht="15" hidden="false" customHeight="false" outlineLevel="0" collapsed="false">
      <c r="A534" s="3" t="s">
        <v>552</v>
      </c>
      <c r="B534" s="3" t="s">
        <v>73</v>
      </c>
      <c r="C534" s="3" t="s">
        <v>74</v>
      </c>
      <c r="D534" s="3" t="s">
        <v>210</v>
      </c>
      <c r="E534" s="3" t="s">
        <v>105</v>
      </c>
      <c r="F534" s="3" t="s">
        <v>553</v>
      </c>
      <c r="G534" s="3" t="s">
        <v>78</v>
      </c>
      <c r="H534" s="3" t="s">
        <v>79</v>
      </c>
      <c r="I534" s="3" t="s">
        <v>78</v>
      </c>
      <c r="J534" s="4" t="n">
        <v>3960000</v>
      </c>
      <c r="K534" s="5" t="n">
        <f aca="false">IFERROR(J534/M534,"")</f>
        <v>0.136049747483423</v>
      </c>
      <c r="L534" s="4" t="n">
        <v>25147000</v>
      </c>
      <c r="M534" s="6" t="n">
        <f aca="false">L534+J534</f>
        <v>29107000</v>
      </c>
      <c r="N534" s="4" t="n">
        <v>6223000</v>
      </c>
      <c r="O534" s="4" t="n">
        <v>44230875</v>
      </c>
      <c r="P534" s="4" t="n">
        <v>1068291</v>
      </c>
      <c r="Q534" s="7"/>
      <c r="R534" s="4" t="n">
        <v>1162533</v>
      </c>
      <c r="S534" s="7"/>
      <c r="T534" s="4" t="n">
        <v>869291</v>
      </c>
      <c r="U534" s="5" t="n">
        <f aca="false">IFERROR(T534/P534,"")</f>
        <v>0.81372116773426</v>
      </c>
      <c r="V534" s="6" t="n">
        <f aca="false">T534-AV534</f>
        <v>-1950176</v>
      </c>
      <c r="W534" s="6" t="n">
        <f aca="false">V534-AA534*0.1</f>
        <v>-2025676</v>
      </c>
      <c r="X534" s="4" t="n">
        <v>5149846</v>
      </c>
      <c r="Y534" s="4" t="n">
        <v>205660</v>
      </c>
      <c r="Z534" s="8" t="n">
        <f aca="false">IFERROR(X534/Y534,"")</f>
        <v>25.0405815423515</v>
      </c>
      <c r="AA534" s="4" t="n">
        <v>755000</v>
      </c>
      <c r="AB534" s="6" t="n">
        <f aca="false">W534-0.02*P534</f>
        <v>-2047041.82</v>
      </c>
      <c r="AC534" s="9" t="n">
        <v>31</v>
      </c>
      <c r="AD534" s="7"/>
      <c r="AE534" s="7" t="n">
        <v>0.098</v>
      </c>
      <c r="AF534" s="7" t="n">
        <v>0.072</v>
      </c>
      <c r="AG534" s="5" t="n">
        <f aca="false">1-AF534</f>
        <v>0.928</v>
      </c>
      <c r="AH534" s="7" t="n">
        <v>1.103</v>
      </c>
      <c r="AI534" s="4" t="n">
        <v>87556</v>
      </c>
      <c r="AJ534" s="6" t="n">
        <f aca="false">IFERROR(AM534*U534*MIN(1/AE534,5),"")</f>
        <v>199361.686094894</v>
      </c>
      <c r="AK534" s="10" t="n">
        <f aca="false">IFERROR(AJ534/AI534,"")</f>
        <v>2.27696201396699</v>
      </c>
      <c r="AL534" s="8" t="n">
        <f aca="false">IFERROR(AI534/(AM534*U534/12),"")</f>
        <v>26.3509007317458</v>
      </c>
      <c r="AM534" s="4" t="n">
        <v>49000</v>
      </c>
      <c r="AN534" s="4" t="n">
        <v>1418447</v>
      </c>
      <c r="AO534" s="4" t="n">
        <v>3579479</v>
      </c>
      <c r="AP534" s="7" t="n">
        <v>0.174</v>
      </c>
      <c r="AQ534" s="9" t="n">
        <v>39</v>
      </c>
      <c r="AR534" s="9" t="n">
        <v>2</v>
      </c>
      <c r="AS534" s="7"/>
      <c r="AT534" s="3" t="s">
        <v>218</v>
      </c>
      <c r="AU534" s="6" t="n">
        <f aca="false">IFERROR(P534/AR534,"")</f>
        <v>534145.5</v>
      </c>
      <c r="AV534" s="4" t="n">
        <v>2819467</v>
      </c>
      <c r="AW534" s="4" t="n">
        <v>1124382</v>
      </c>
      <c r="AX534" s="4" t="n">
        <v>660906</v>
      </c>
      <c r="AY534" s="9" t="n">
        <v>8030</v>
      </c>
      <c r="AZ534" s="7"/>
      <c r="BA534" s="7" t="n">
        <v>0.909</v>
      </c>
      <c r="BB534" s="3" t="s">
        <v>81</v>
      </c>
      <c r="BC534" s="3" t="s">
        <v>100</v>
      </c>
      <c r="BD534" s="3" t="s">
        <v>157</v>
      </c>
      <c r="BE534" s="4" t="n">
        <v>1152711</v>
      </c>
      <c r="BF534" s="5" t="n">
        <f aca="false">IFERROR(P534/BE534-1,"")</f>
        <v>-0.0732360496256217</v>
      </c>
      <c r="BG534" s="7" t="n">
        <v>-0.05</v>
      </c>
      <c r="BH534" s="7" t="n">
        <v>-0.021</v>
      </c>
      <c r="BI534" s="6" t="n">
        <f aca="false">P534</f>
        <v>1068291</v>
      </c>
      <c r="BJ534" s="4" t="n">
        <v>-1745043</v>
      </c>
      <c r="BK534" s="3" t="s">
        <v>84</v>
      </c>
      <c r="BL534" s="3" t="s">
        <v>111</v>
      </c>
      <c r="BM534" s="6" t="n">
        <f aca="false">O534</f>
        <v>44230875</v>
      </c>
      <c r="BN534" s="3" t="s">
        <v>554</v>
      </c>
      <c r="BO534" s="5" t="n">
        <f aca="false">IFERROR(1-L534/M534,"")</f>
        <v>0.136049747483423</v>
      </c>
      <c r="BP534" s="3" t="s">
        <v>142</v>
      </c>
      <c r="BQ534" s="4" t="n">
        <v>2675624</v>
      </c>
      <c r="BR534" s="3" t="s">
        <v>88</v>
      </c>
      <c r="BS534" s="3" t="s">
        <v>89</v>
      </c>
      <c r="BT534" s="3" t="s">
        <v>90</v>
      </c>
    </row>
    <row r="535" customFormat="false" ht="15" hidden="false" customHeight="false" outlineLevel="0" collapsed="false">
      <c r="A535" s="11" t="s">
        <v>552</v>
      </c>
      <c r="B535" s="11" t="s">
        <v>91</v>
      </c>
      <c r="C535" s="11" t="s">
        <v>74</v>
      </c>
      <c r="D535" s="11" t="s">
        <v>210</v>
      </c>
      <c r="E535" s="11" t="s">
        <v>105</v>
      </c>
      <c r="F535" s="11" t="s">
        <v>553</v>
      </c>
      <c r="G535" s="11" t="s">
        <v>78</v>
      </c>
      <c r="H535" s="11" t="s">
        <v>79</v>
      </c>
      <c r="I535" s="11" t="s">
        <v>78</v>
      </c>
      <c r="J535" s="12" t="n">
        <v>3960000</v>
      </c>
      <c r="K535" s="13" t="n">
        <f aca="false">IFERROR(J535/M535,"")</f>
        <v>0.136049747483423</v>
      </c>
      <c r="L535" s="12" t="n">
        <v>25147000</v>
      </c>
      <c r="M535" s="14" t="n">
        <f aca="false">L535+J535</f>
        <v>29107000</v>
      </c>
      <c r="N535" s="12" t="n">
        <v>6223000</v>
      </c>
      <c r="O535" s="12" t="n">
        <v>44230875</v>
      </c>
      <c r="P535" s="12" t="n">
        <v>1243550</v>
      </c>
      <c r="Q535" s="13" t="n">
        <f aca="false">IFERROR(P535/P534-1,"")</f>
        <v>0.164055486754077</v>
      </c>
      <c r="R535" s="12" t="n">
        <v>1453711</v>
      </c>
      <c r="S535" s="13" t="n">
        <f aca="false">IFERROR(R535/R534-1,"")</f>
        <v>0.250468588848661</v>
      </c>
      <c r="T535" s="12" t="n">
        <v>1015999</v>
      </c>
      <c r="U535" s="13" t="n">
        <f aca="false">IFERROR(T535/P535,"")</f>
        <v>0.817014997386514</v>
      </c>
      <c r="V535" s="14" t="n">
        <f aca="false">T535-AV535</f>
        <v>-2283995</v>
      </c>
      <c r="W535" s="14" t="n">
        <f aca="false">V535-AA535*0.1</f>
        <v>-2359495</v>
      </c>
      <c r="X535" s="12" t="n">
        <v>4631176</v>
      </c>
      <c r="Y535" s="12" t="n">
        <v>212440</v>
      </c>
      <c r="Z535" s="15" t="n">
        <f aca="false">IFERROR(X535/Y535,"")</f>
        <v>21.7999246846168</v>
      </c>
      <c r="AA535" s="12" t="n">
        <v>755000</v>
      </c>
      <c r="AB535" s="14" t="n">
        <f aca="false">W535-0.02*P535</f>
        <v>-2384366</v>
      </c>
      <c r="AC535" s="16" t="n">
        <v>36</v>
      </c>
      <c r="AD535" s="13" t="n">
        <f aca="false">IFERROR(AC535/AC534-1,"")</f>
        <v>0.161290322580645</v>
      </c>
      <c r="AE535" s="17" t="n">
        <v>0.095</v>
      </c>
      <c r="AF535" s="17" t="n">
        <v>0.1</v>
      </c>
      <c r="AG535" s="13" t="n">
        <f aca="false">1-AF535</f>
        <v>0.9</v>
      </c>
      <c r="AH535" s="17" t="n">
        <v>1.098</v>
      </c>
      <c r="AI535" s="12" t="n">
        <v>85904</v>
      </c>
      <c r="AJ535" s="14" t="n">
        <f aca="false">IFERROR(AM535*U535*MIN(1/AE535,5),"")</f>
        <v>204172.04784689</v>
      </c>
      <c r="AK535" s="18" t="n">
        <f aca="false">IFERROR(AJ535/AI535,"")</f>
        <v>2.37674669220164</v>
      </c>
      <c r="AL535" s="15" t="n">
        <f aca="false">IFERROR(AI535/(AM535*U535/12),"")</f>
        <v>25.244591776173</v>
      </c>
      <c r="AM535" s="12" t="n">
        <v>49980</v>
      </c>
      <c r="AN535" s="12" t="n">
        <v>1540669</v>
      </c>
      <c r="AO535" s="12" t="n">
        <v>2738621</v>
      </c>
      <c r="AP535" s="17" t="n">
        <v>0.174</v>
      </c>
      <c r="AQ535" s="16" t="n">
        <v>39</v>
      </c>
      <c r="AR535" s="16" t="n">
        <v>2</v>
      </c>
      <c r="AS535" s="13" t="n">
        <f aca="false">IFERROR(AR535/AR534-1,"")</f>
        <v>0</v>
      </c>
      <c r="AT535" s="11" t="s">
        <v>218</v>
      </c>
      <c r="AU535" s="14" t="n">
        <f aca="false">IFERROR(P535/AR535,"")</f>
        <v>621775</v>
      </c>
      <c r="AV535" s="12" t="n">
        <v>3299994</v>
      </c>
      <c r="AW535" s="12" t="n">
        <v>1283091</v>
      </c>
      <c r="AX535" s="12" t="n">
        <v>1057036</v>
      </c>
      <c r="AY535" s="16" t="n">
        <v>9410</v>
      </c>
      <c r="AZ535" s="13" t="n">
        <f aca="false">IFERROR(AY535/AY534-1,"")</f>
        <v>0.171855541718555</v>
      </c>
      <c r="BA535" s="17" t="n">
        <v>0.918</v>
      </c>
      <c r="BB535" s="11" t="s">
        <v>81</v>
      </c>
      <c r="BC535" s="11" t="s">
        <v>100</v>
      </c>
      <c r="BD535" s="11" t="s">
        <v>157</v>
      </c>
      <c r="BE535" s="12" t="n">
        <v>1423547</v>
      </c>
      <c r="BF535" s="13" t="n">
        <f aca="false">IFERROR(P535/BE535-1,"")</f>
        <v>-0.126442611308232</v>
      </c>
      <c r="BG535" s="17" t="n">
        <v>0.033</v>
      </c>
      <c r="BH535" s="17" t="n">
        <v>0.06</v>
      </c>
      <c r="BI535" s="14" t="n">
        <f aca="false">P535*(1+IFERROR(Q535,0))^4</f>
        <v>2283273.73399079</v>
      </c>
      <c r="BJ535" s="12" t="n">
        <v>-1547014</v>
      </c>
      <c r="BK535" s="11" t="s">
        <v>84</v>
      </c>
      <c r="BL535" s="11" t="s">
        <v>111</v>
      </c>
      <c r="BM535" s="14" t="n">
        <f aca="false">O535</f>
        <v>44230875</v>
      </c>
      <c r="BN535" s="11" t="s">
        <v>554</v>
      </c>
      <c r="BO535" s="13" t="n">
        <f aca="false">IFERROR(1-L535/M535,"")</f>
        <v>0.136049747483423</v>
      </c>
      <c r="BP535" s="11" t="s">
        <v>142</v>
      </c>
      <c r="BQ535" s="12" t="n">
        <v>2839523</v>
      </c>
      <c r="BR535" s="11" t="s">
        <v>88</v>
      </c>
      <c r="BS535" s="11" t="s">
        <v>89</v>
      </c>
      <c r="BT535" s="19" t="str">
        <f aca="false">IF(OR(Z535&lt;6,AH535&lt;0.9,S535&lt;0.02,AK535&lt;1),"REVIEW",IF(AND(S535&gt;0.25,AH535&gt;1.2),"ACCELERATING","STABLE"))</f>
        <v>STABLE</v>
      </c>
    </row>
    <row r="536" customFormat="false" ht="15" hidden="false" customHeight="false" outlineLevel="0" collapsed="false">
      <c r="A536" s="11" t="s">
        <v>552</v>
      </c>
      <c r="B536" s="11" t="s">
        <v>92</v>
      </c>
      <c r="C536" s="11" t="s">
        <v>74</v>
      </c>
      <c r="D536" s="11" t="s">
        <v>210</v>
      </c>
      <c r="E536" s="11" t="s">
        <v>105</v>
      </c>
      <c r="F536" s="11" t="s">
        <v>553</v>
      </c>
      <c r="G536" s="11" t="s">
        <v>78</v>
      </c>
      <c r="H536" s="11" t="s">
        <v>79</v>
      </c>
      <c r="I536" s="11" t="s">
        <v>78</v>
      </c>
      <c r="J536" s="12" t="n">
        <v>3960000</v>
      </c>
      <c r="K536" s="13" t="n">
        <f aca="false">IFERROR(J536/M536,"")</f>
        <v>0.136049747483423</v>
      </c>
      <c r="L536" s="12" t="n">
        <v>25147000</v>
      </c>
      <c r="M536" s="14" t="n">
        <f aca="false">L536+J536</f>
        <v>29107000</v>
      </c>
      <c r="N536" s="12" t="n">
        <v>6223000</v>
      </c>
      <c r="O536" s="12" t="n">
        <v>44230875</v>
      </c>
      <c r="P536" s="12" t="n">
        <v>1563952</v>
      </c>
      <c r="Q536" s="13" t="n">
        <f aca="false">IFERROR(P536/P535-1,"")</f>
        <v>0.257651079570584</v>
      </c>
      <c r="R536" s="12" t="n">
        <v>1569018</v>
      </c>
      <c r="S536" s="13" t="n">
        <f aca="false">IFERROR(R536/R535-1,"")</f>
        <v>0.0793190668571677</v>
      </c>
      <c r="T536" s="12" t="n">
        <v>1282925</v>
      </c>
      <c r="U536" s="13" t="n">
        <f aca="false">IFERROR(T536/P536,"")</f>
        <v>0.820309702599568</v>
      </c>
      <c r="V536" s="14" t="n">
        <f aca="false">T536-AV536</f>
        <v>-2572691</v>
      </c>
      <c r="W536" s="14" t="n">
        <f aca="false">V536-AA536*0.1</f>
        <v>-2648191</v>
      </c>
      <c r="X536" s="12" t="n">
        <v>4075894</v>
      </c>
      <c r="Y536" s="12" t="n">
        <v>219220</v>
      </c>
      <c r="Z536" s="15" t="n">
        <f aca="false">IFERROR(X536/Y536,"")</f>
        <v>18.5927105191132</v>
      </c>
      <c r="AA536" s="12" t="n">
        <v>755000</v>
      </c>
      <c r="AB536" s="14" t="n">
        <f aca="false">W536-0.02*P536</f>
        <v>-2679470.04</v>
      </c>
      <c r="AC536" s="16" t="n">
        <v>44</v>
      </c>
      <c r="AD536" s="13" t="n">
        <f aca="false">IFERROR(AC536/AC535-1,"")</f>
        <v>0.222222222222222</v>
      </c>
      <c r="AE536" s="17" t="n">
        <v>0.093</v>
      </c>
      <c r="AF536" s="17" t="n">
        <v>0.068</v>
      </c>
      <c r="AG536" s="13" t="n">
        <f aca="false">1-AF536</f>
        <v>0.932</v>
      </c>
      <c r="AH536" s="17" t="n">
        <v>1.093</v>
      </c>
      <c r="AI536" s="12" t="n">
        <v>84252</v>
      </c>
      <c r="AJ536" s="14" t="n">
        <f aca="false">IFERROR(AM536*U536*MIN(1/AE536,5),"")</f>
        <v>209014.91222237</v>
      </c>
      <c r="AK536" s="18" t="n">
        <f aca="false">IFERROR(AJ536/AI536,"")</f>
        <v>2.48083027373083</v>
      </c>
      <c r="AL536" s="15" t="n">
        <f aca="false">IFERROR(AI536/(AM536*U536/12),"")</f>
        <v>24.1854513931613</v>
      </c>
      <c r="AM536" s="12" t="n">
        <v>50960</v>
      </c>
      <c r="AN536" s="12" t="n">
        <v>1989258</v>
      </c>
      <c r="AO536" s="12" t="n">
        <v>2718807</v>
      </c>
      <c r="AP536" s="17" t="n">
        <v>0.174</v>
      </c>
      <c r="AQ536" s="16" t="n">
        <v>39</v>
      </c>
      <c r="AR536" s="16" t="n">
        <v>2</v>
      </c>
      <c r="AS536" s="13" t="n">
        <f aca="false">IFERROR(AR536/AR535-1,"")</f>
        <v>0</v>
      </c>
      <c r="AT536" s="11" t="s">
        <v>218</v>
      </c>
      <c r="AU536" s="14" t="n">
        <f aca="false">IFERROR(P536/AR536,"")</f>
        <v>781976</v>
      </c>
      <c r="AV536" s="12" t="n">
        <v>3855616</v>
      </c>
      <c r="AW536" s="12" t="n">
        <v>1913339</v>
      </c>
      <c r="AX536" s="12" t="n">
        <v>974856</v>
      </c>
      <c r="AY536" s="16" t="n">
        <v>10943</v>
      </c>
      <c r="AZ536" s="13" t="n">
        <f aca="false">IFERROR(AY536/AY535-1,"")</f>
        <v>0.162911795961743</v>
      </c>
      <c r="BA536" s="17" t="n">
        <v>0.921</v>
      </c>
      <c r="BB536" s="11" t="s">
        <v>81</v>
      </c>
      <c r="BC536" s="11" t="s">
        <v>100</v>
      </c>
      <c r="BD536" s="11" t="s">
        <v>157</v>
      </c>
      <c r="BE536" s="12" t="n">
        <v>1767945</v>
      </c>
      <c r="BF536" s="13" t="n">
        <f aca="false">IFERROR(P536/BE536-1,"")</f>
        <v>-0.115384245550625</v>
      </c>
      <c r="BG536" s="17" t="n">
        <v>0.084</v>
      </c>
      <c r="BH536" s="17" t="n">
        <v>-0.069</v>
      </c>
      <c r="BI536" s="14" t="n">
        <f aca="false">P536*(1+IFERROR(Q536,0))^4</f>
        <v>3912587.75659163</v>
      </c>
      <c r="BJ536" s="12" t="n">
        <v>-2196286</v>
      </c>
      <c r="BK536" s="11" t="s">
        <v>84</v>
      </c>
      <c r="BL536" s="11" t="s">
        <v>111</v>
      </c>
      <c r="BM536" s="14" t="n">
        <f aca="false">O536</f>
        <v>44230875</v>
      </c>
      <c r="BN536" s="11" t="s">
        <v>554</v>
      </c>
      <c r="BO536" s="13" t="n">
        <f aca="false">IFERROR(1-L536/M536,"")</f>
        <v>0.136049747483423</v>
      </c>
      <c r="BP536" s="11" t="s">
        <v>142</v>
      </c>
      <c r="BQ536" s="12" t="n">
        <v>3387597</v>
      </c>
      <c r="BR536" s="11" t="s">
        <v>88</v>
      </c>
      <c r="BS536" s="11" t="s">
        <v>89</v>
      </c>
      <c r="BT536" s="19" t="str">
        <f aca="false">IF(OR(Z536&lt;6,AH536&lt;0.9,S536&lt;0.02,AK536&lt;1),"REVIEW",IF(AND(S536&gt;0.25,AH536&gt;1.2),"ACCELERATING","STABLE"))</f>
        <v>STABLE</v>
      </c>
    </row>
    <row r="537" customFormat="false" ht="15" hidden="false" customHeight="false" outlineLevel="0" collapsed="false">
      <c r="A537" s="11" t="s">
        <v>552</v>
      </c>
      <c r="B537" s="11" t="s">
        <v>93</v>
      </c>
      <c r="C537" s="11" t="s">
        <v>74</v>
      </c>
      <c r="D537" s="11" t="s">
        <v>210</v>
      </c>
      <c r="E537" s="11" t="s">
        <v>105</v>
      </c>
      <c r="F537" s="11" t="s">
        <v>553</v>
      </c>
      <c r="G537" s="11" t="s">
        <v>78</v>
      </c>
      <c r="H537" s="11" t="s">
        <v>79</v>
      </c>
      <c r="I537" s="11" t="s">
        <v>78</v>
      </c>
      <c r="J537" s="12" t="n">
        <v>3960000</v>
      </c>
      <c r="K537" s="13" t="n">
        <f aca="false">IFERROR(J537/M537,"")</f>
        <v>0.136049747483423</v>
      </c>
      <c r="L537" s="12" t="n">
        <v>25147000</v>
      </c>
      <c r="M537" s="14" t="n">
        <f aca="false">L537+J537</f>
        <v>29107000</v>
      </c>
      <c r="N537" s="12" t="n">
        <v>6223000</v>
      </c>
      <c r="O537" s="12" t="n">
        <v>44230875</v>
      </c>
      <c r="P537" s="12" t="n">
        <v>1718706</v>
      </c>
      <c r="Q537" s="13" t="n">
        <f aca="false">IFERROR(P537/P536-1,"")</f>
        <v>0.0989506071797599</v>
      </c>
      <c r="R537" s="12" t="n">
        <v>1950772</v>
      </c>
      <c r="S537" s="13" t="n">
        <f aca="false">IFERROR(R537/R536-1,"")</f>
        <v>0.243307597490915</v>
      </c>
      <c r="T537" s="12" t="n">
        <v>1415533</v>
      </c>
      <c r="U537" s="13" t="n">
        <f aca="false">IFERROR(T537/P537,"")</f>
        <v>0.823603920624004</v>
      </c>
      <c r="V537" s="14" t="n">
        <f aca="false">T537-AV537</f>
        <v>-2788234</v>
      </c>
      <c r="W537" s="14" t="n">
        <f aca="false">V537-AA537*0.1</f>
        <v>-2863734</v>
      </c>
      <c r="X537" s="12" t="n">
        <v>3484000</v>
      </c>
      <c r="Y537" s="12" t="n">
        <v>226000</v>
      </c>
      <c r="Z537" s="15" t="n">
        <f aca="false">IFERROR(X537/Y537,"")</f>
        <v>15.4159292035398</v>
      </c>
      <c r="AA537" s="12" t="n">
        <v>755000</v>
      </c>
      <c r="AB537" s="14" t="n">
        <f aca="false">W537-0.02*P537</f>
        <v>-2898108.12</v>
      </c>
      <c r="AC537" s="16" t="n">
        <v>47</v>
      </c>
      <c r="AD537" s="13" t="n">
        <f aca="false">IFERROR(AC537/AC536-1,"")</f>
        <v>0.0681818181818181</v>
      </c>
      <c r="AE537" s="17" t="n">
        <v>0.09</v>
      </c>
      <c r="AF537" s="17" t="n">
        <v>0.073</v>
      </c>
      <c r="AG537" s="13" t="n">
        <f aca="false">1-AF537</f>
        <v>0.927</v>
      </c>
      <c r="AH537" s="17" t="n">
        <v>1.088</v>
      </c>
      <c r="AI537" s="12" t="n">
        <v>82600</v>
      </c>
      <c r="AJ537" s="14" t="n">
        <f aca="false">IFERROR(AM537*U537*MIN(1/AE537,5),"")</f>
        <v>213889.938186054</v>
      </c>
      <c r="AK537" s="18" t="n">
        <f aca="false">IFERROR(AJ537/AI537,"")</f>
        <v>2.58946656399581</v>
      </c>
      <c r="AL537" s="15" t="n">
        <f aca="false">IFERROR(AI537/(AM537*U537/12),"")</f>
        <v>23.1707954195068</v>
      </c>
      <c r="AM537" s="12" t="n">
        <v>51940</v>
      </c>
      <c r="AN537" s="12" t="n">
        <v>2722817</v>
      </c>
      <c r="AO537" s="12" t="n">
        <v>6117377</v>
      </c>
      <c r="AP537" s="17" t="n">
        <v>0.174</v>
      </c>
      <c r="AQ537" s="16" t="n">
        <v>39</v>
      </c>
      <c r="AR537" s="16" t="n">
        <v>2</v>
      </c>
      <c r="AS537" s="13" t="n">
        <f aca="false">IFERROR(AR537/AR536-1,"")</f>
        <v>0</v>
      </c>
      <c r="AT537" s="11" t="s">
        <v>218</v>
      </c>
      <c r="AU537" s="14" t="n">
        <f aca="false">IFERROR(P537/AR537,"")</f>
        <v>859353</v>
      </c>
      <c r="AV537" s="12" t="n">
        <v>4203767</v>
      </c>
      <c r="AW537" s="12" t="n">
        <v>1840239</v>
      </c>
      <c r="AX537" s="12" t="n">
        <v>1415883</v>
      </c>
      <c r="AY537" s="16" t="n">
        <v>12242</v>
      </c>
      <c r="AZ537" s="13" t="n">
        <f aca="false">IFERROR(AY537/AY536-1,"")</f>
        <v>0.118706022114594</v>
      </c>
      <c r="BA537" s="17" t="n">
        <v>0.936</v>
      </c>
      <c r="BB537" s="11" t="s">
        <v>81</v>
      </c>
      <c r="BC537" s="11" t="s">
        <v>100</v>
      </c>
      <c r="BD537" s="11" t="s">
        <v>157</v>
      </c>
      <c r="BE537" s="12" t="n">
        <v>1967524</v>
      </c>
      <c r="BF537" s="13" t="n">
        <f aca="false">IFERROR(P537/BE537-1,"")</f>
        <v>-0.126462498043226</v>
      </c>
      <c r="BG537" s="17" t="n">
        <v>0.072</v>
      </c>
      <c r="BH537" s="17" t="n">
        <v>-0.045</v>
      </c>
      <c r="BI537" s="14" t="n">
        <f aca="false">P537*(1+IFERROR(Q537,0))^4</f>
        <v>2506768.83238886</v>
      </c>
      <c r="BJ537" s="12" t="n">
        <v>-1383603</v>
      </c>
      <c r="BK537" s="11" t="s">
        <v>84</v>
      </c>
      <c r="BL537" s="11" t="s">
        <v>111</v>
      </c>
      <c r="BM537" s="14" t="n">
        <f aca="false">O537</f>
        <v>44230875</v>
      </c>
      <c r="BN537" s="11" t="s">
        <v>554</v>
      </c>
      <c r="BO537" s="13" t="n">
        <f aca="false">IFERROR(1-L537/M537,"")</f>
        <v>0.136049747483423</v>
      </c>
      <c r="BP537" s="11" t="s">
        <v>142</v>
      </c>
      <c r="BQ537" s="12" t="n">
        <v>4162799</v>
      </c>
      <c r="BR537" s="11" t="s">
        <v>88</v>
      </c>
      <c r="BS537" s="11" t="s">
        <v>89</v>
      </c>
      <c r="BT537" s="19" t="str">
        <f aca="false">IF(OR(Z537&lt;6,AH537&lt;0.9,S537&lt;0.02,AK537&lt;1),"REVIEW",IF(AND(S537&gt;0.25,AH537&gt;1.2),"ACCELERATING","STABLE"))</f>
        <v>STABLE</v>
      </c>
    </row>
    <row r="538" customFormat="false" ht="15" hidden="false" customHeight="false" outlineLevel="0" collapsed="false">
      <c r="A538" s="3" t="s">
        <v>555</v>
      </c>
      <c r="B538" s="3" t="s">
        <v>73</v>
      </c>
      <c r="C538" s="3" t="s">
        <v>74</v>
      </c>
      <c r="D538" s="3" t="s">
        <v>75</v>
      </c>
      <c r="E538" s="3" t="s">
        <v>105</v>
      </c>
      <c r="F538" s="3" t="s">
        <v>556</v>
      </c>
      <c r="G538" s="3" t="s">
        <v>78</v>
      </c>
      <c r="H538" s="3" t="s">
        <v>79</v>
      </c>
      <c r="I538" s="3" t="s">
        <v>78</v>
      </c>
      <c r="J538" s="4" t="n">
        <v>2975000</v>
      </c>
      <c r="K538" s="5" t="n">
        <f aca="false">IFERROR(J538/M538,"")</f>
        <v>0.15496405875612</v>
      </c>
      <c r="L538" s="4" t="n">
        <v>16223000</v>
      </c>
      <c r="M538" s="6" t="n">
        <f aca="false">L538+J538</f>
        <v>19198000</v>
      </c>
      <c r="N538" s="4" t="n">
        <v>7517000</v>
      </c>
      <c r="O538" s="4" t="n">
        <v>36366349</v>
      </c>
      <c r="P538" s="4" t="n">
        <v>344765</v>
      </c>
      <c r="Q538" s="7"/>
      <c r="R538" s="4" t="n">
        <v>386823</v>
      </c>
      <c r="S538" s="7"/>
      <c r="T538" s="4" t="n">
        <v>240708</v>
      </c>
      <c r="U538" s="5" t="n">
        <f aca="false">IFERROR(T538/P538,"")</f>
        <v>0.698179919655418</v>
      </c>
      <c r="V538" s="6" t="n">
        <f aca="false">T538-AV538</f>
        <v>-2493453</v>
      </c>
      <c r="W538" s="6" t="n">
        <f aca="false">V538-AA538*0.1</f>
        <v>-2493453</v>
      </c>
      <c r="X538" s="4" t="n">
        <v>1761550</v>
      </c>
      <c r="Y538" s="4" t="n">
        <v>219310</v>
      </c>
      <c r="Z538" s="8" t="n">
        <f aca="false">IFERROR(X538/Y538,"")</f>
        <v>8.0322374720715</v>
      </c>
      <c r="AA538" s="4" t="n">
        <v>0</v>
      </c>
      <c r="AB538" s="6" t="n">
        <f aca="false">W538-0.02*P538</f>
        <v>-2500348.3</v>
      </c>
      <c r="AC538" s="9" t="n">
        <v>14</v>
      </c>
      <c r="AD538" s="7"/>
      <c r="AE538" s="7" t="n">
        <v>0.036</v>
      </c>
      <c r="AF538" s="7" t="n">
        <v>0.037</v>
      </c>
      <c r="AG538" s="5" t="n">
        <f aca="false">1-AF538</f>
        <v>0.963</v>
      </c>
      <c r="AH538" s="7" t="n">
        <v>1.249</v>
      </c>
      <c r="AI538" s="4" t="n">
        <v>38054</v>
      </c>
      <c r="AJ538" s="6" t="n">
        <f aca="false">IFERROR(AM538*U538*MIN(1/AE538,5),"")</f>
        <v>146617.783127638</v>
      </c>
      <c r="AK538" s="10" t="n">
        <f aca="false">IFERROR(AJ538/AI538,"")</f>
        <v>3.8528875578819</v>
      </c>
      <c r="AL538" s="8" t="n">
        <f aca="false">IFERROR(AI538/(AM538*U538/12),"")</f>
        <v>15.5727357984422</v>
      </c>
      <c r="AM538" s="4" t="n">
        <v>42000</v>
      </c>
      <c r="AN538" s="4" t="n">
        <v>363236</v>
      </c>
      <c r="AO538" s="4" t="n">
        <v>1137598</v>
      </c>
      <c r="AP538" s="7" t="n">
        <v>0.275</v>
      </c>
      <c r="AQ538" s="9" t="n">
        <v>44</v>
      </c>
      <c r="AR538" s="9" t="n">
        <v>1</v>
      </c>
      <c r="AS538" s="7"/>
      <c r="AT538" s="3" t="s">
        <v>80</v>
      </c>
      <c r="AU538" s="6" t="n">
        <f aca="false">IFERROR(P538/AR538,"")</f>
        <v>344765</v>
      </c>
      <c r="AV538" s="4" t="n">
        <v>2734161</v>
      </c>
      <c r="AW538" s="4" t="n">
        <v>1151265</v>
      </c>
      <c r="AX538" s="4" t="n">
        <v>788976</v>
      </c>
      <c r="AY538" s="9" t="n">
        <v>17540</v>
      </c>
      <c r="AZ538" s="7"/>
      <c r="BA538" s="7" t="n">
        <v>0.965</v>
      </c>
      <c r="BB538" s="3" t="s">
        <v>107</v>
      </c>
      <c r="BC538" s="3" t="s">
        <v>100</v>
      </c>
      <c r="BD538" s="3" t="s">
        <v>83</v>
      </c>
      <c r="BE538" s="4" t="n">
        <v>346035</v>
      </c>
      <c r="BF538" s="5" t="n">
        <f aca="false">IFERROR(P538/BE538-1,"")</f>
        <v>-0.0036701489733697</v>
      </c>
      <c r="BG538" s="7" t="n">
        <v>-0.05</v>
      </c>
      <c r="BH538" s="7" t="n">
        <v>-0.073</v>
      </c>
      <c r="BI538" s="6" t="n">
        <f aca="false">P538</f>
        <v>344765</v>
      </c>
      <c r="BJ538" s="4" t="n">
        <v>-2508790</v>
      </c>
      <c r="BK538" s="3" t="s">
        <v>110</v>
      </c>
      <c r="BL538" s="3" t="s">
        <v>85</v>
      </c>
      <c r="BM538" s="6" t="n">
        <f aca="false">O538</f>
        <v>36366349</v>
      </c>
      <c r="BN538" s="3" t="s">
        <v>557</v>
      </c>
      <c r="BO538" s="5" t="n">
        <f aca="false">IFERROR(1-L538/M538,"")</f>
        <v>0.15496405875612</v>
      </c>
      <c r="BP538" s="3" t="s">
        <v>142</v>
      </c>
      <c r="BQ538" s="4" t="n">
        <v>4027644</v>
      </c>
      <c r="BR538" s="3" t="s">
        <v>88</v>
      </c>
      <c r="BS538" s="3" t="s">
        <v>89</v>
      </c>
      <c r="BT538" s="3" t="s">
        <v>90</v>
      </c>
    </row>
    <row r="539" customFormat="false" ht="15" hidden="false" customHeight="false" outlineLevel="0" collapsed="false">
      <c r="A539" s="11" t="s">
        <v>555</v>
      </c>
      <c r="B539" s="11" t="s">
        <v>91</v>
      </c>
      <c r="C539" s="11" t="s">
        <v>74</v>
      </c>
      <c r="D539" s="11" t="s">
        <v>75</v>
      </c>
      <c r="E539" s="11" t="s">
        <v>105</v>
      </c>
      <c r="F539" s="11" t="s">
        <v>556</v>
      </c>
      <c r="G539" s="11" t="s">
        <v>78</v>
      </c>
      <c r="H539" s="11" t="s">
        <v>79</v>
      </c>
      <c r="I539" s="11" t="s">
        <v>78</v>
      </c>
      <c r="J539" s="12" t="n">
        <v>2975000</v>
      </c>
      <c r="K539" s="13" t="n">
        <f aca="false">IFERROR(J539/M539,"")</f>
        <v>0.15496405875612</v>
      </c>
      <c r="L539" s="12" t="n">
        <v>16223000</v>
      </c>
      <c r="M539" s="14" t="n">
        <f aca="false">L539+J539</f>
        <v>19198000</v>
      </c>
      <c r="N539" s="12" t="n">
        <v>7517000</v>
      </c>
      <c r="O539" s="12" t="n">
        <v>36366349</v>
      </c>
      <c r="P539" s="12" t="n">
        <v>468345</v>
      </c>
      <c r="Q539" s="13" t="n">
        <f aca="false">IFERROR(P539/P538-1,"")</f>
        <v>0.358447058141053</v>
      </c>
      <c r="R539" s="12" t="n">
        <v>520370</v>
      </c>
      <c r="S539" s="13" t="n">
        <f aca="false">IFERROR(R539/R538-1,"")</f>
        <v>0.345240588072581</v>
      </c>
      <c r="T539" s="12" t="n">
        <v>328313</v>
      </c>
      <c r="U539" s="13" t="n">
        <f aca="false">IFERROR(T539/P539,"")</f>
        <v>0.701006736486991</v>
      </c>
      <c r="V539" s="14" t="n">
        <f aca="false">T539-AV539</f>
        <v>-2282076</v>
      </c>
      <c r="W539" s="14" t="n">
        <f aca="false">V539-AA539*0.1</f>
        <v>-2282076</v>
      </c>
      <c r="X539" s="12" t="n">
        <v>2264850</v>
      </c>
      <c r="Y539" s="12" t="n">
        <v>226540</v>
      </c>
      <c r="Z539" s="15" t="n">
        <f aca="false">IFERROR(X539/Y539,"")</f>
        <v>9.99757217268474</v>
      </c>
      <c r="AA539" s="12" t="n">
        <v>0</v>
      </c>
      <c r="AB539" s="14" t="n">
        <f aca="false">W539-0.02*P539</f>
        <v>-2291442.9</v>
      </c>
      <c r="AC539" s="16" t="n">
        <v>18</v>
      </c>
      <c r="AD539" s="13" t="n">
        <f aca="false">IFERROR(AC539/AC538-1,"")</f>
        <v>0.285714285714286</v>
      </c>
      <c r="AE539" s="17" t="n">
        <v>0.035</v>
      </c>
      <c r="AF539" s="17" t="n">
        <v>0.031</v>
      </c>
      <c r="AG539" s="13" t="n">
        <f aca="false">1-AF539</f>
        <v>0.969</v>
      </c>
      <c r="AH539" s="17" t="n">
        <v>1.279</v>
      </c>
      <c r="AI539" s="12" t="n">
        <v>37336</v>
      </c>
      <c r="AJ539" s="14" t="n">
        <f aca="false">IFERROR(AM539*U539*MIN(1/AE539,5),"")</f>
        <v>150155.642955514</v>
      </c>
      <c r="AK539" s="18" t="n">
        <f aca="false">IFERROR(AJ539/AI539,"")</f>
        <v>4.021738883531</v>
      </c>
      <c r="AL539" s="15" t="n">
        <f aca="false">IFERROR(AI539/(AM539*U539/12),"")</f>
        <v>14.9189198348256</v>
      </c>
      <c r="AM539" s="12" t="n">
        <v>42840</v>
      </c>
      <c r="AN539" s="12" t="n">
        <v>636289</v>
      </c>
      <c r="AO539" s="12" t="n">
        <v>1287939</v>
      </c>
      <c r="AP539" s="17" t="n">
        <v>0.275</v>
      </c>
      <c r="AQ539" s="16" t="n">
        <v>44</v>
      </c>
      <c r="AR539" s="16" t="n">
        <v>1</v>
      </c>
      <c r="AS539" s="13" t="n">
        <f aca="false">IFERROR(AR539/AR538-1,"")</f>
        <v>0</v>
      </c>
      <c r="AT539" s="11" t="s">
        <v>80</v>
      </c>
      <c r="AU539" s="14" t="n">
        <f aca="false">IFERROR(P539/AR539,"")</f>
        <v>468345</v>
      </c>
      <c r="AV539" s="12" t="n">
        <v>2610389</v>
      </c>
      <c r="AW539" s="12" t="n">
        <v>1205427</v>
      </c>
      <c r="AX539" s="12" t="n">
        <v>689603</v>
      </c>
      <c r="AY539" s="16" t="n">
        <v>21264</v>
      </c>
      <c r="AZ539" s="13" t="n">
        <f aca="false">IFERROR(AY539/AY538-1,"")</f>
        <v>0.212314709236032</v>
      </c>
      <c r="BA539" s="17" t="n">
        <v>0.965</v>
      </c>
      <c r="BB539" s="11" t="s">
        <v>107</v>
      </c>
      <c r="BC539" s="11" t="s">
        <v>100</v>
      </c>
      <c r="BD539" s="11" t="s">
        <v>83</v>
      </c>
      <c r="BE539" s="12" t="n">
        <v>518491</v>
      </c>
      <c r="BF539" s="13" t="n">
        <f aca="false">IFERROR(P539/BE539-1,"")</f>
        <v>-0.0967152756749876</v>
      </c>
      <c r="BG539" s="17" t="n">
        <v>0.065</v>
      </c>
      <c r="BH539" s="17" t="n">
        <v>-0.02</v>
      </c>
      <c r="BI539" s="14" t="n">
        <f aca="false">P539*(1+IFERROR(Q539,0))^4</f>
        <v>1594912.12082733</v>
      </c>
      <c r="BJ539" s="12" t="n">
        <v>-2651996</v>
      </c>
      <c r="BK539" s="11" t="s">
        <v>110</v>
      </c>
      <c r="BL539" s="11" t="s">
        <v>85</v>
      </c>
      <c r="BM539" s="14" t="n">
        <f aca="false">O539</f>
        <v>36366349</v>
      </c>
      <c r="BN539" s="11" t="s">
        <v>557</v>
      </c>
      <c r="BO539" s="13" t="n">
        <f aca="false">IFERROR(1-L539/M539,"")</f>
        <v>0.15496405875612</v>
      </c>
      <c r="BP539" s="11" t="s">
        <v>142</v>
      </c>
      <c r="BQ539" s="12" t="n">
        <v>4124735</v>
      </c>
      <c r="BR539" s="11" t="s">
        <v>88</v>
      </c>
      <c r="BS539" s="11" t="s">
        <v>89</v>
      </c>
      <c r="BT539" s="19" t="str">
        <f aca="false">IF(OR(Z539&lt;6,AH539&lt;0.9,S539&lt;0.02,AK539&lt;1),"REVIEW",IF(AND(S539&gt;0.25,AH539&gt;1.2),"ACCELERATING","STABLE"))</f>
        <v>ACCELERATING</v>
      </c>
    </row>
    <row r="540" customFormat="false" ht="15" hidden="false" customHeight="false" outlineLevel="0" collapsed="false">
      <c r="A540" s="11" t="s">
        <v>555</v>
      </c>
      <c r="B540" s="11" t="s">
        <v>92</v>
      </c>
      <c r="C540" s="11" t="s">
        <v>74</v>
      </c>
      <c r="D540" s="11" t="s">
        <v>75</v>
      </c>
      <c r="E540" s="11" t="s">
        <v>105</v>
      </c>
      <c r="F540" s="11" t="s">
        <v>556</v>
      </c>
      <c r="G540" s="11" t="s">
        <v>78</v>
      </c>
      <c r="H540" s="11" t="s">
        <v>79</v>
      </c>
      <c r="I540" s="11" t="s">
        <v>78</v>
      </c>
      <c r="J540" s="12" t="n">
        <v>2975000</v>
      </c>
      <c r="K540" s="13" t="n">
        <f aca="false">IFERROR(J540/M540,"")</f>
        <v>0.15496405875612</v>
      </c>
      <c r="L540" s="12" t="n">
        <v>16223000</v>
      </c>
      <c r="M540" s="14" t="n">
        <f aca="false">L540+J540</f>
        <v>19198000</v>
      </c>
      <c r="N540" s="12" t="n">
        <v>7517000</v>
      </c>
      <c r="O540" s="12" t="n">
        <v>36366349</v>
      </c>
      <c r="P540" s="12" t="n">
        <v>681329</v>
      </c>
      <c r="Q540" s="13" t="n">
        <f aca="false">IFERROR(P540/P539-1,"")</f>
        <v>0.454758778251076</v>
      </c>
      <c r="R540" s="12" t="n">
        <v>751862</v>
      </c>
      <c r="S540" s="13" t="n">
        <f aca="false">IFERROR(R540/R539-1,"")</f>
        <v>0.444860387800988</v>
      </c>
      <c r="T540" s="12" t="n">
        <v>479543</v>
      </c>
      <c r="U540" s="13" t="n">
        <f aca="false">IFERROR(T540/P540,"")</f>
        <v>0.703834711277518</v>
      </c>
      <c r="V540" s="14" t="n">
        <f aca="false">T540-AV540</f>
        <v>-2892591</v>
      </c>
      <c r="W540" s="14" t="n">
        <f aca="false">V540-AA540*0.1</f>
        <v>-2892591</v>
      </c>
      <c r="X540" s="12" t="n">
        <v>2768150</v>
      </c>
      <c r="Y540" s="12" t="n">
        <v>233770</v>
      </c>
      <c r="Z540" s="15" t="n">
        <f aca="false">IFERROR(X540/Y540,"")</f>
        <v>11.8413397784147</v>
      </c>
      <c r="AA540" s="12" t="n">
        <v>0</v>
      </c>
      <c r="AB540" s="14" t="n">
        <f aca="false">W540-0.02*P540</f>
        <v>-2906217.58</v>
      </c>
      <c r="AC540" s="16" t="n">
        <v>22</v>
      </c>
      <c r="AD540" s="13" t="n">
        <f aca="false">IFERROR(AC540/AC539-1,"")</f>
        <v>0.222222222222222</v>
      </c>
      <c r="AE540" s="17" t="n">
        <v>0.034</v>
      </c>
      <c r="AF540" s="17" t="n">
        <v>0.037</v>
      </c>
      <c r="AG540" s="13" t="n">
        <f aca="false">1-AF540</f>
        <v>0.963</v>
      </c>
      <c r="AH540" s="17" t="n">
        <v>1.309</v>
      </c>
      <c r="AI540" s="12" t="n">
        <v>36618</v>
      </c>
      <c r="AJ540" s="14" t="n">
        <f aca="false">IFERROR(AM540*U540*MIN(1/AE540,5),"")</f>
        <v>153717.50094301</v>
      </c>
      <c r="AK540" s="18" t="n">
        <f aca="false">IFERROR(AJ540/AI540,"")</f>
        <v>4.19786719490442</v>
      </c>
      <c r="AL540" s="15" t="n">
        <f aca="false">IFERROR(AI540/(AM540*U540/12),"")</f>
        <v>14.2929724105686</v>
      </c>
      <c r="AM540" s="12" t="n">
        <v>43680</v>
      </c>
      <c r="AN540" s="12" t="n">
        <v>864096</v>
      </c>
      <c r="AO540" s="12" t="n">
        <v>2978316</v>
      </c>
      <c r="AP540" s="17" t="n">
        <v>0.275</v>
      </c>
      <c r="AQ540" s="16" t="n">
        <v>44</v>
      </c>
      <c r="AR540" s="16" t="n">
        <v>1</v>
      </c>
      <c r="AS540" s="13" t="n">
        <f aca="false">IFERROR(AR540/AR539-1,"")</f>
        <v>0</v>
      </c>
      <c r="AT540" s="11" t="s">
        <v>80</v>
      </c>
      <c r="AU540" s="14" t="n">
        <f aca="false">IFERROR(P540/AR540,"")</f>
        <v>681329</v>
      </c>
      <c r="AV540" s="12" t="n">
        <v>3372134</v>
      </c>
      <c r="AW540" s="12" t="n">
        <v>1591673</v>
      </c>
      <c r="AX540" s="12" t="n">
        <v>652167</v>
      </c>
      <c r="AY540" s="16" t="n">
        <v>27862</v>
      </c>
      <c r="AZ540" s="13" t="n">
        <f aca="false">IFERROR(AY540/AY539-1,"")</f>
        <v>0.310289691497367</v>
      </c>
      <c r="BA540" s="17" t="n">
        <v>0.967</v>
      </c>
      <c r="BB540" s="11" t="s">
        <v>107</v>
      </c>
      <c r="BC540" s="11" t="s">
        <v>100</v>
      </c>
      <c r="BD540" s="11" t="s">
        <v>83</v>
      </c>
      <c r="BE540" s="12" t="n">
        <v>689492</v>
      </c>
      <c r="BF540" s="13" t="n">
        <f aca="false">IFERROR(P540/BE540-1,"")</f>
        <v>-0.0118391511431605</v>
      </c>
      <c r="BG540" s="17" t="n">
        <v>-0.047</v>
      </c>
      <c r="BH540" s="17" t="n">
        <v>0.055</v>
      </c>
      <c r="BI540" s="14" t="n">
        <f aca="false">P540*(1+IFERROR(Q540,0))^4</f>
        <v>3051552.31998572</v>
      </c>
      <c r="BJ540" s="12" t="n">
        <v>-2220932</v>
      </c>
      <c r="BK540" s="11" t="s">
        <v>110</v>
      </c>
      <c r="BL540" s="11" t="s">
        <v>85</v>
      </c>
      <c r="BM540" s="14" t="n">
        <f aca="false">O540</f>
        <v>36366349</v>
      </c>
      <c r="BN540" s="11" t="s">
        <v>557</v>
      </c>
      <c r="BO540" s="13" t="n">
        <f aca="false">IFERROR(1-L540/M540,"")</f>
        <v>0.15496405875612</v>
      </c>
      <c r="BP540" s="11" t="s">
        <v>142</v>
      </c>
      <c r="BQ540" s="12" t="n">
        <v>3455245</v>
      </c>
      <c r="BR540" s="11" t="s">
        <v>88</v>
      </c>
      <c r="BS540" s="11" t="s">
        <v>89</v>
      </c>
      <c r="BT540" s="19" t="str">
        <f aca="false">IF(OR(Z540&lt;6,AH540&lt;0.9,S540&lt;0.02,AK540&lt;1),"REVIEW",IF(AND(S540&gt;0.25,AH540&gt;1.2),"ACCELERATING","STABLE"))</f>
        <v>ACCELERATING</v>
      </c>
    </row>
    <row r="541" customFormat="false" ht="15" hidden="false" customHeight="false" outlineLevel="0" collapsed="false">
      <c r="A541" s="11" t="s">
        <v>555</v>
      </c>
      <c r="B541" s="11" t="s">
        <v>93</v>
      </c>
      <c r="C541" s="11" t="s">
        <v>74</v>
      </c>
      <c r="D541" s="11" t="s">
        <v>75</v>
      </c>
      <c r="E541" s="11" t="s">
        <v>105</v>
      </c>
      <c r="F541" s="11" t="s">
        <v>556</v>
      </c>
      <c r="G541" s="11" t="s">
        <v>78</v>
      </c>
      <c r="H541" s="11" t="s">
        <v>79</v>
      </c>
      <c r="I541" s="11" t="s">
        <v>78</v>
      </c>
      <c r="J541" s="12" t="n">
        <v>2975000</v>
      </c>
      <c r="K541" s="13" t="n">
        <f aca="false">IFERROR(J541/M541,"")</f>
        <v>0.15496405875612</v>
      </c>
      <c r="L541" s="12" t="n">
        <v>16223000</v>
      </c>
      <c r="M541" s="14" t="n">
        <f aca="false">L541+J541</f>
        <v>19198000</v>
      </c>
      <c r="N541" s="12" t="n">
        <v>7517000</v>
      </c>
      <c r="O541" s="12" t="n">
        <v>36366349</v>
      </c>
      <c r="P541" s="12" t="n">
        <v>887096</v>
      </c>
      <c r="Q541" s="13" t="n">
        <f aca="false">IFERROR(P541/P540-1,"")</f>
        <v>0.302008280874585</v>
      </c>
      <c r="R541" s="12" t="n">
        <v>1018668</v>
      </c>
      <c r="S541" s="13" t="n">
        <f aca="false">IFERROR(R541/R540-1,"")</f>
        <v>0.354860333412248</v>
      </c>
      <c r="T541" s="12" t="n">
        <v>626876</v>
      </c>
      <c r="U541" s="13" t="n">
        <f aca="false">IFERROR(T541/P541,"")</f>
        <v>0.706660834904001</v>
      </c>
      <c r="V541" s="14" t="n">
        <f aca="false">T541-AV541</f>
        <v>-2970389</v>
      </c>
      <c r="W541" s="14" t="n">
        <f aca="false">V541-AA541*0.1</f>
        <v>-2970389</v>
      </c>
      <c r="X541" s="12" t="n">
        <v>5033000</v>
      </c>
      <c r="Y541" s="12" t="n">
        <v>241000</v>
      </c>
      <c r="Z541" s="15" t="n">
        <f aca="false">IFERROR(X541/Y541,"")</f>
        <v>20.8838174273859</v>
      </c>
      <c r="AA541" s="12" t="n">
        <v>0</v>
      </c>
      <c r="AB541" s="14" t="n">
        <f aca="false">W541-0.02*P541</f>
        <v>-2988130.92</v>
      </c>
      <c r="AC541" s="16" t="n">
        <v>28</v>
      </c>
      <c r="AD541" s="13" t="n">
        <f aca="false">IFERROR(AC541/AC540-1,"")</f>
        <v>0.272727272727273</v>
      </c>
      <c r="AE541" s="17" t="n">
        <v>0.033</v>
      </c>
      <c r="AF541" s="17" t="n">
        <v>0.036</v>
      </c>
      <c r="AG541" s="13" t="n">
        <f aca="false">1-AF541</f>
        <v>0.964</v>
      </c>
      <c r="AH541" s="17" t="n">
        <v>1.339</v>
      </c>
      <c r="AI541" s="12" t="n">
        <v>35900</v>
      </c>
      <c r="AJ541" s="14" t="n">
        <f aca="false">IFERROR(AM541*U541*MIN(1/AE541,5),"")</f>
        <v>157302.701849631</v>
      </c>
      <c r="AK541" s="18" t="n">
        <f aca="false">IFERROR(AJ541/AI541,"")</f>
        <v>4.38169085932119</v>
      </c>
      <c r="AL541" s="15" t="n">
        <f aca="false">IFERROR(AI541/(AM541*U541/12),"")</f>
        <v>13.6933439456053</v>
      </c>
      <c r="AM541" s="12" t="n">
        <v>44520</v>
      </c>
      <c r="AN541" s="12" t="n">
        <v>1180827</v>
      </c>
      <c r="AO541" s="12" t="n">
        <v>1805395</v>
      </c>
      <c r="AP541" s="17" t="n">
        <v>0.275</v>
      </c>
      <c r="AQ541" s="16" t="n">
        <v>44</v>
      </c>
      <c r="AR541" s="16" t="n">
        <v>1</v>
      </c>
      <c r="AS541" s="13" t="n">
        <f aca="false">IFERROR(AR541/AR540-1,"")</f>
        <v>0</v>
      </c>
      <c r="AT541" s="11" t="s">
        <v>80</v>
      </c>
      <c r="AU541" s="14" t="n">
        <f aca="false">IFERROR(P541/AR541,"")</f>
        <v>887096</v>
      </c>
      <c r="AV541" s="12" t="n">
        <v>3597265</v>
      </c>
      <c r="AW541" s="12" t="n">
        <v>1296523</v>
      </c>
      <c r="AX541" s="12" t="n">
        <v>870855</v>
      </c>
      <c r="AY541" s="16" t="n">
        <v>38787</v>
      </c>
      <c r="AZ541" s="13" t="n">
        <f aca="false">IFERROR(AY541/AY540-1,"")</f>
        <v>0.392111119086928</v>
      </c>
      <c r="BA541" s="17" t="n">
        <v>0.97</v>
      </c>
      <c r="BB541" s="11" t="s">
        <v>107</v>
      </c>
      <c r="BC541" s="11" t="s">
        <v>100</v>
      </c>
      <c r="BD541" s="11" t="s">
        <v>83</v>
      </c>
      <c r="BE541" s="12" t="n">
        <v>863981</v>
      </c>
      <c r="BF541" s="13" t="n">
        <f aca="false">IFERROR(P541/BE541-1,"")</f>
        <v>0.0267540605638319</v>
      </c>
      <c r="BG541" s="17" t="n">
        <v>-0.001</v>
      </c>
      <c r="BH541" s="17" t="n">
        <v>-0.079</v>
      </c>
      <c r="BI541" s="14" t="n">
        <f aca="false">P541*(1+IFERROR(Q541,0))^4</f>
        <v>2549327.35749462</v>
      </c>
      <c r="BJ541" s="12" t="n">
        <v>-1785957</v>
      </c>
      <c r="BK541" s="11" t="s">
        <v>110</v>
      </c>
      <c r="BL541" s="11" t="s">
        <v>85</v>
      </c>
      <c r="BM541" s="14" t="n">
        <f aca="false">O541</f>
        <v>36366349</v>
      </c>
      <c r="BN541" s="11" t="s">
        <v>557</v>
      </c>
      <c r="BO541" s="13" t="n">
        <f aca="false">IFERROR(1-L541/M541,"")</f>
        <v>0.15496405875612</v>
      </c>
      <c r="BP541" s="11" t="s">
        <v>142</v>
      </c>
      <c r="BQ541" s="12" t="n">
        <v>4619892</v>
      </c>
      <c r="BR541" s="11" t="s">
        <v>88</v>
      </c>
      <c r="BS541" s="11" t="s">
        <v>89</v>
      </c>
      <c r="BT541" s="19" t="str">
        <f aca="false">IF(OR(Z541&lt;6,AH541&lt;0.9,S541&lt;0.02,AK541&lt;1),"REVIEW",IF(AND(S541&gt;0.25,AH541&gt;1.2),"ACCELERATING","STABLE"))</f>
        <v>ACCELERATING</v>
      </c>
    </row>
    <row r="542" customFormat="false" ht="15" hidden="false" customHeight="false" outlineLevel="0" collapsed="false">
      <c r="A542" s="3" t="s">
        <v>558</v>
      </c>
      <c r="B542" s="3" t="s">
        <v>73</v>
      </c>
      <c r="C542" s="3" t="s">
        <v>74</v>
      </c>
      <c r="D542" s="3" t="s">
        <v>132</v>
      </c>
      <c r="E542" s="3" t="s">
        <v>187</v>
      </c>
      <c r="F542" s="3" t="s">
        <v>559</v>
      </c>
      <c r="G542" s="3" t="s">
        <v>78</v>
      </c>
      <c r="H542" s="3" t="s">
        <v>79</v>
      </c>
      <c r="I542" s="3" t="s">
        <v>78</v>
      </c>
      <c r="J542" s="4" t="n">
        <v>1385000</v>
      </c>
      <c r="K542" s="5" t="n">
        <f aca="false">IFERROR(J542/M542,"")</f>
        <v>0.125350710471536</v>
      </c>
      <c r="L542" s="4" t="n">
        <v>9664000</v>
      </c>
      <c r="M542" s="6" t="n">
        <f aca="false">L542+J542</f>
        <v>11049000</v>
      </c>
      <c r="N542" s="4" t="n">
        <v>2939000</v>
      </c>
      <c r="O542" s="4" t="n">
        <v>10700808</v>
      </c>
      <c r="P542" s="4" t="n">
        <v>643526</v>
      </c>
      <c r="Q542" s="7"/>
      <c r="R542" s="4" t="n">
        <v>800489</v>
      </c>
      <c r="S542" s="7"/>
      <c r="T542" s="4" t="n">
        <v>500115</v>
      </c>
      <c r="U542" s="5" t="n">
        <f aca="false">IFERROR(T542/P542,"")</f>
        <v>0.77714808725677</v>
      </c>
      <c r="V542" s="6" t="n">
        <f aca="false">T542-AV542</f>
        <v>-2255236</v>
      </c>
      <c r="W542" s="6" t="n">
        <f aca="false">V542-AA542*0.1</f>
        <v>-2255236</v>
      </c>
      <c r="X542" s="4" t="n">
        <v>1713600</v>
      </c>
      <c r="Y542" s="4" t="n">
        <v>185640</v>
      </c>
      <c r="Z542" s="8" t="n">
        <f aca="false">IFERROR(X542/Y542,"")</f>
        <v>9.23076923076923</v>
      </c>
      <c r="AA542" s="4" t="n">
        <v>0</v>
      </c>
      <c r="AB542" s="6" t="n">
        <f aca="false">W542-0.02*P542</f>
        <v>-2268106.52</v>
      </c>
      <c r="AC542" s="9" t="n">
        <v>38</v>
      </c>
      <c r="AD542" s="7"/>
      <c r="AE542" s="7" t="n">
        <v>0.057</v>
      </c>
      <c r="AF542" s="7" t="n">
        <v>0.06</v>
      </c>
      <c r="AG542" s="5" t="n">
        <f aca="false">1-AF542</f>
        <v>0.94</v>
      </c>
      <c r="AH542" s="7" t="n">
        <v>1.223</v>
      </c>
      <c r="AI542" s="4" t="n">
        <v>31376</v>
      </c>
      <c r="AJ542" s="6" t="n">
        <f aca="false">IFERROR(AM542*U542*MIN(1/AE542,5),"")</f>
        <v>108800.732215948</v>
      </c>
      <c r="AK542" s="10" t="n">
        <f aca="false">IFERROR(AJ542/AI542,"")</f>
        <v>3.46764189877447</v>
      </c>
      <c r="AL542" s="8" t="n">
        <f aca="false">IFERROR(AI542/(AM542*U542/12),"")</f>
        <v>17.3028247297407</v>
      </c>
      <c r="AM542" s="4" t="n">
        <v>28000</v>
      </c>
      <c r="AN542" s="4" t="n">
        <v>1200114</v>
      </c>
      <c r="AO542" s="4" t="n">
        <v>2335116</v>
      </c>
      <c r="AP542" s="7" t="n">
        <v>0.324</v>
      </c>
      <c r="AQ542" s="9" t="n">
        <v>23</v>
      </c>
      <c r="AR542" s="9" t="n">
        <v>2</v>
      </c>
      <c r="AS542" s="7"/>
      <c r="AT542" s="3" t="s">
        <v>153</v>
      </c>
      <c r="AU542" s="6" t="n">
        <f aca="false">IFERROR(P542/AR542,"")</f>
        <v>321763</v>
      </c>
      <c r="AV542" s="4" t="n">
        <v>2755351</v>
      </c>
      <c r="AW542" s="4" t="n">
        <v>1183489</v>
      </c>
      <c r="AX542" s="4" t="n">
        <v>518655</v>
      </c>
      <c r="AY542" s="9" t="n">
        <v>4554</v>
      </c>
      <c r="AZ542" s="7"/>
      <c r="BA542" s="7" t="n">
        <v>0.947</v>
      </c>
      <c r="BB542" s="3" t="s">
        <v>107</v>
      </c>
      <c r="BC542" s="3" t="s">
        <v>126</v>
      </c>
      <c r="BD542" s="3" t="s">
        <v>175</v>
      </c>
      <c r="BE542" s="4" t="n">
        <v>711912</v>
      </c>
      <c r="BF542" s="5" t="n">
        <f aca="false">IFERROR(P542/BE542-1,"")</f>
        <v>-0.096059625346953</v>
      </c>
      <c r="BG542" s="7" t="n">
        <v>0.074</v>
      </c>
      <c r="BH542" s="7" t="n">
        <v>0.008</v>
      </c>
      <c r="BI542" s="6" t="n">
        <f aca="false">P542</f>
        <v>643526</v>
      </c>
      <c r="BJ542" s="4" t="n">
        <v>-2213215</v>
      </c>
      <c r="BK542" s="3" t="s">
        <v>84</v>
      </c>
      <c r="BL542" s="3" t="s">
        <v>111</v>
      </c>
      <c r="BM542" s="6" t="n">
        <f aca="false">O542</f>
        <v>10700808</v>
      </c>
      <c r="BN542" s="3" t="s">
        <v>560</v>
      </c>
      <c r="BO542" s="5" t="n">
        <f aca="false">IFERROR(1-L542/M542,"")</f>
        <v>0.125350710471536</v>
      </c>
      <c r="BP542" s="3" t="s">
        <v>87</v>
      </c>
      <c r="BQ542" s="4" t="n">
        <v>3575330</v>
      </c>
      <c r="BR542" s="3" t="s">
        <v>88</v>
      </c>
      <c r="BS542" s="3" t="s">
        <v>89</v>
      </c>
      <c r="BT542" s="3" t="s">
        <v>90</v>
      </c>
    </row>
    <row r="543" customFormat="false" ht="15" hidden="false" customHeight="false" outlineLevel="0" collapsed="false">
      <c r="A543" s="11" t="s">
        <v>558</v>
      </c>
      <c r="B543" s="11" t="s">
        <v>91</v>
      </c>
      <c r="C543" s="11" t="s">
        <v>74</v>
      </c>
      <c r="D543" s="11" t="s">
        <v>132</v>
      </c>
      <c r="E543" s="11" t="s">
        <v>187</v>
      </c>
      <c r="F543" s="11" t="s">
        <v>559</v>
      </c>
      <c r="G543" s="11" t="s">
        <v>78</v>
      </c>
      <c r="H543" s="11" t="s">
        <v>79</v>
      </c>
      <c r="I543" s="11" t="s">
        <v>78</v>
      </c>
      <c r="J543" s="12" t="n">
        <v>1385000</v>
      </c>
      <c r="K543" s="13" t="n">
        <f aca="false">IFERROR(J543/M543,"")</f>
        <v>0.125350710471536</v>
      </c>
      <c r="L543" s="12" t="n">
        <v>9664000</v>
      </c>
      <c r="M543" s="14" t="n">
        <f aca="false">L543+J543</f>
        <v>11049000</v>
      </c>
      <c r="N543" s="12" t="n">
        <v>2939000</v>
      </c>
      <c r="O543" s="12" t="n">
        <v>10700808</v>
      </c>
      <c r="P543" s="12" t="n">
        <v>862859</v>
      </c>
      <c r="Q543" s="13" t="n">
        <f aca="false">IFERROR(P543/P542-1,"")</f>
        <v>0.340830051932634</v>
      </c>
      <c r="R543" s="12" t="n">
        <v>965089</v>
      </c>
      <c r="S543" s="13" t="n">
        <f aca="false">IFERROR(R543/R542-1,"")</f>
        <v>0.205624312139205</v>
      </c>
      <c r="T543" s="12" t="n">
        <v>673284</v>
      </c>
      <c r="U543" s="13" t="n">
        <f aca="false">IFERROR(T543/P543,"")</f>
        <v>0.780294347048591</v>
      </c>
      <c r="V543" s="14" t="n">
        <f aca="false">T543-AV543</f>
        <v>-2198311</v>
      </c>
      <c r="W543" s="14" t="n">
        <f aca="false">V543-AA543*0.1</f>
        <v>-2198311</v>
      </c>
      <c r="X543" s="12" t="n">
        <v>2203200</v>
      </c>
      <c r="Y543" s="12" t="n">
        <v>191760</v>
      </c>
      <c r="Z543" s="15" t="n">
        <f aca="false">IFERROR(X543/Y543,"")</f>
        <v>11.4893617021277</v>
      </c>
      <c r="AA543" s="12" t="n">
        <v>0</v>
      </c>
      <c r="AB543" s="14" t="n">
        <f aca="false">W543-0.02*P543</f>
        <v>-2215568.18</v>
      </c>
      <c r="AC543" s="16" t="n">
        <v>45</v>
      </c>
      <c r="AD543" s="13" t="n">
        <f aca="false">IFERROR(AC543/AC542-1,"")</f>
        <v>0.184210526315789</v>
      </c>
      <c r="AE543" s="17" t="n">
        <v>0.055</v>
      </c>
      <c r="AF543" s="17" t="n">
        <v>0.059</v>
      </c>
      <c r="AG543" s="13" t="n">
        <f aca="false">1-AF543</f>
        <v>0.941</v>
      </c>
      <c r="AH543" s="17" t="n">
        <v>1.253</v>
      </c>
      <c r="AI543" s="12" t="n">
        <v>30784</v>
      </c>
      <c r="AJ543" s="14" t="n">
        <f aca="false">IFERROR(AM543*U543*MIN(1/AE543,5),"")</f>
        <v>111426.032758539</v>
      </c>
      <c r="AK543" s="18" t="n">
        <f aca="false">IFERROR(AJ543/AI543,"")</f>
        <v>3.61960865249931</v>
      </c>
      <c r="AL543" s="15" t="n">
        <f aca="false">IFERROR(AI543/(AM543*U543/12),"")</f>
        <v>16.5763776585545</v>
      </c>
      <c r="AM543" s="12" t="n">
        <v>28560</v>
      </c>
      <c r="AN543" s="12" t="n">
        <v>1366972</v>
      </c>
      <c r="AO543" s="12" t="n">
        <v>3523705</v>
      </c>
      <c r="AP543" s="17" t="n">
        <v>0.324</v>
      </c>
      <c r="AQ543" s="16" t="n">
        <v>23</v>
      </c>
      <c r="AR543" s="16" t="n">
        <v>2</v>
      </c>
      <c r="AS543" s="13" t="n">
        <f aca="false">IFERROR(AR543/AR542-1,"")</f>
        <v>0</v>
      </c>
      <c r="AT543" s="11" t="s">
        <v>153</v>
      </c>
      <c r="AU543" s="14" t="n">
        <f aca="false">IFERROR(P543/AR543,"")</f>
        <v>431429.5</v>
      </c>
      <c r="AV543" s="12" t="n">
        <v>2871595</v>
      </c>
      <c r="AW543" s="12" t="n">
        <v>1333462</v>
      </c>
      <c r="AX543" s="12" t="n">
        <v>664455</v>
      </c>
      <c r="AY543" s="16" t="n">
        <v>6106</v>
      </c>
      <c r="AZ543" s="13" t="n">
        <f aca="false">IFERROR(AY543/AY542-1,"")</f>
        <v>0.340799297321037</v>
      </c>
      <c r="BA543" s="17" t="n">
        <v>0.955</v>
      </c>
      <c r="BB543" s="11" t="s">
        <v>107</v>
      </c>
      <c r="BC543" s="11" t="s">
        <v>126</v>
      </c>
      <c r="BD543" s="11" t="s">
        <v>175</v>
      </c>
      <c r="BE543" s="12" t="n">
        <v>871585</v>
      </c>
      <c r="BF543" s="13" t="n">
        <f aca="false">IFERROR(P543/BE543-1,"")</f>
        <v>-0.0100116454505298</v>
      </c>
      <c r="BG543" s="17" t="n">
        <v>0.024</v>
      </c>
      <c r="BH543" s="17" t="n">
        <v>-0.027</v>
      </c>
      <c r="BI543" s="14" t="n">
        <f aca="false">P543*(1+IFERROR(Q543,0))^4</f>
        <v>2788911.76378528</v>
      </c>
      <c r="BJ543" s="12" t="n">
        <v>-1376233</v>
      </c>
      <c r="BK543" s="11" t="s">
        <v>84</v>
      </c>
      <c r="BL543" s="11" t="s">
        <v>111</v>
      </c>
      <c r="BM543" s="14" t="n">
        <f aca="false">O543</f>
        <v>10700808</v>
      </c>
      <c r="BN543" s="11" t="s">
        <v>560</v>
      </c>
      <c r="BO543" s="13" t="n">
        <f aca="false">IFERROR(1-L543/M543,"")</f>
        <v>0.125350710471536</v>
      </c>
      <c r="BP543" s="11" t="s">
        <v>87</v>
      </c>
      <c r="BQ543" s="12" t="n">
        <v>2878459</v>
      </c>
      <c r="BR543" s="11" t="s">
        <v>88</v>
      </c>
      <c r="BS543" s="11" t="s">
        <v>89</v>
      </c>
      <c r="BT543" s="19" t="str">
        <f aca="false">IF(OR(Z543&lt;6,AH543&lt;0.9,S543&lt;0.02,AK543&lt;1),"REVIEW",IF(AND(S543&gt;0.25,AH543&gt;1.2),"ACCELERATING","STABLE"))</f>
        <v>STABLE</v>
      </c>
    </row>
    <row r="544" customFormat="false" ht="15" hidden="false" customHeight="false" outlineLevel="0" collapsed="false">
      <c r="A544" s="11" t="s">
        <v>558</v>
      </c>
      <c r="B544" s="11" t="s">
        <v>92</v>
      </c>
      <c r="C544" s="11" t="s">
        <v>74</v>
      </c>
      <c r="D544" s="11" t="s">
        <v>132</v>
      </c>
      <c r="E544" s="11" t="s">
        <v>187</v>
      </c>
      <c r="F544" s="11" t="s">
        <v>559</v>
      </c>
      <c r="G544" s="11" t="s">
        <v>78</v>
      </c>
      <c r="H544" s="11" t="s">
        <v>79</v>
      </c>
      <c r="I544" s="11" t="s">
        <v>78</v>
      </c>
      <c r="J544" s="12" t="n">
        <v>1385000</v>
      </c>
      <c r="K544" s="13" t="n">
        <f aca="false">IFERROR(J544/M544,"")</f>
        <v>0.125350710471536</v>
      </c>
      <c r="L544" s="12" t="n">
        <v>9664000</v>
      </c>
      <c r="M544" s="14" t="n">
        <f aca="false">L544+J544</f>
        <v>11049000</v>
      </c>
      <c r="N544" s="12" t="n">
        <v>2939000</v>
      </c>
      <c r="O544" s="12" t="n">
        <v>10700808</v>
      </c>
      <c r="P544" s="12" t="n">
        <v>1092211</v>
      </c>
      <c r="Q544" s="13" t="n">
        <f aca="false">IFERROR(P544/P543-1,"")</f>
        <v>0.265804725916981</v>
      </c>
      <c r="R544" s="12" t="n">
        <v>1273303</v>
      </c>
      <c r="S544" s="13" t="n">
        <f aca="false">IFERROR(R544/R543-1,"")</f>
        <v>0.319363291882925</v>
      </c>
      <c r="T544" s="12" t="n">
        <v>855683</v>
      </c>
      <c r="U544" s="13" t="n">
        <f aca="false">IFERROR(T544/P544,"")</f>
        <v>0.783441111653334</v>
      </c>
      <c r="V544" s="14" t="n">
        <f aca="false">T544-AV544</f>
        <v>-2544853</v>
      </c>
      <c r="W544" s="14" t="n">
        <f aca="false">V544-AA544*0.1</f>
        <v>-2544853</v>
      </c>
      <c r="X544" s="12" t="n">
        <v>2692800</v>
      </c>
      <c r="Y544" s="12" t="n">
        <v>197880</v>
      </c>
      <c r="Z544" s="15" t="n">
        <f aca="false">IFERROR(X544/Y544,"")</f>
        <v>13.6082474226804</v>
      </c>
      <c r="AA544" s="12" t="n">
        <v>0</v>
      </c>
      <c r="AB544" s="14" t="n">
        <f aca="false">W544-0.02*P544</f>
        <v>-2566697.22</v>
      </c>
      <c r="AC544" s="16" t="n">
        <v>57</v>
      </c>
      <c r="AD544" s="13" t="n">
        <f aca="false">IFERROR(AC544/AC543-1,"")</f>
        <v>0.266666666666667</v>
      </c>
      <c r="AE544" s="17" t="n">
        <v>0.054</v>
      </c>
      <c r="AF544" s="17" t="n">
        <v>0.044</v>
      </c>
      <c r="AG544" s="13" t="n">
        <f aca="false">1-AF544</f>
        <v>0.956</v>
      </c>
      <c r="AH544" s="17" t="n">
        <v>1.283</v>
      </c>
      <c r="AI544" s="12" t="n">
        <v>30192</v>
      </c>
      <c r="AJ544" s="14" t="n">
        <f aca="false">IFERROR(AM544*U544*MIN(1/AE544,5),"")</f>
        <v>114069.025856726</v>
      </c>
      <c r="AK544" s="18" t="n">
        <f aca="false">IFERROR(AJ544/AI544,"")</f>
        <v>3.77812088820633</v>
      </c>
      <c r="AL544" s="15" t="n">
        <f aca="false">IFERROR(AI544/(AM544*U544/12),"")</f>
        <v>15.8809105836963</v>
      </c>
      <c r="AM544" s="12" t="n">
        <v>29120</v>
      </c>
      <c r="AN544" s="12" t="n">
        <v>1416665</v>
      </c>
      <c r="AO544" s="12" t="n">
        <v>2560098</v>
      </c>
      <c r="AP544" s="17" t="n">
        <v>0.324</v>
      </c>
      <c r="AQ544" s="16" t="n">
        <v>23</v>
      </c>
      <c r="AR544" s="16" t="n">
        <v>3</v>
      </c>
      <c r="AS544" s="13" t="n">
        <f aca="false">IFERROR(AR544/AR543-1,"")</f>
        <v>0.5</v>
      </c>
      <c r="AT544" s="11" t="s">
        <v>153</v>
      </c>
      <c r="AU544" s="14" t="n">
        <f aca="false">IFERROR(P544/AR544,"")</f>
        <v>364070.333333333</v>
      </c>
      <c r="AV544" s="12" t="n">
        <v>3400536</v>
      </c>
      <c r="AW544" s="12" t="n">
        <v>1061991</v>
      </c>
      <c r="AX544" s="12" t="n">
        <v>966600</v>
      </c>
      <c r="AY544" s="16" t="n">
        <v>7671</v>
      </c>
      <c r="AZ544" s="13" t="n">
        <f aca="false">IFERROR(AY544/AY543-1,"")</f>
        <v>0.256305273501474</v>
      </c>
      <c r="BA544" s="17" t="n">
        <v>0.962</v>
      </c>
      <c r="BB544" s="11" t="s">
        <v>107</v>
      </c>
      <c r="BC544" s="11" t="s">
        <v>126</v>
      </c>
      <c r="BD544" s="11" t="s">
        <v>175</v>
      </c>
      <c r="BE544" s="12" t="n">
        <v>1315235</v>
      </c>
      <c r="BF544" s="13" t="n">
        <f aca="false">IFERROR(P544/BE544-1,"")</f>
        <v>-0.169569696670177</v>
      </c>
      <c r="BG544" s="17" t="n">
        <v>0.01</v>
      </c>
      <c r="BH544" s="17" t="n">
        <v>0.085</v>
      </c>
      <c r="BI544" s="14" t="n">
        <f aca="false">P544*(1+IFERROR(Q544,0))^4</f>
        <v>2803970.22308912</v>
      </c>
      <c r="BJ544" s="12" t="n">
        <v>-1571808</v>
      </c>
      <c r="BK544" s="11" t="s">
        <v>84</v>
      </c>
      <c r="BL544" s="11" t="s">
        <v>111</v>
      </c>
      <c r="BM544" s="14" t="n">
        <f aca="false">O544</f>
        <v>10700808</v>
      </c>
      <c r="BN544" s="11" t="s">
        <v>560</v>
      </c>
      <c r="BO544" s="13" t="n">
        <f aca="false">IFERROR(1-L544/M544,"")</f>
        <v>0.125350710471536</v>
      </c>
      <c r="BP544" s="11" t="s">
        <v>87</v>
      </c>
      <c r="BQ544" s="12" t="n">
        <v>3087364</v>
      </c>
      <c r="BR544" s="11" t="s">
        <v>88</v>
      </c>
      <c r="BS544" s="11" t="s">
        <v>89</v>
      </c>
      <c r="BT544" s="19" t="str">
        <f aca="false">IF(OR(Z544&lt;6,AH544&lt;0.9,S544&lt;0.02,AK544&lt;1),"REVIEW",IF(AND(S544&gt;0.25,AH544&gt;1.2),"ACCELERATING","STABLE"))</f>
        <v>ACCELERATING</v>
      </c>
    </row>
    <row r="545" customFormat="false" ht="15" hidden="false" customHeight="false" outlineLevel="0" collapsed="false">
      <c r="A545" s="11" t="s">
        <v>558</v>
      </c>
      <c r="B545" s="11" t="s">
        <v>93</v>
      </c>
      <c r="C545" s="11" t="s">
        <v>74</v>
      </c>
      <c r="D545" s="11" t="s">
        <v>132</v>
      </c>
      <c r="E545" s="11" t="s">
        <v>187</v>
      </c>
      <c r="F545" s="11" t="s">
        <v>559</v>
      </c>
      <c r="G545" s="11" t="s">
        <v>78</v>
      </c>
      <c r="H545" s="11" t="s">
        <v>79</v>
      </c>
      <c r="I545" s="11" t="s">
        <v>78</v>
      </c>
      <c r="J545" s="12" t="n">
        <v>1385000</v>
      </c>
      <c r="K545" s="13" t="n">
        <f aca="false">IFERROR(J545/M545,"")</f>
        <v>0.125350710471536</v>
      </c>
      <c r="L545" s="12" t="n">
        <v>9664000</v>
      </c>
      <c r="M545" s="14" t="n">
        <f aca="false">L545+J545</f>
        <v>11049000</v>
      </c>
      <c r="N545" s="12" t="n">
        <v>2939000</v>
      </c>
      <c r="O545" s="12" t="n">
        <v>10700808</v>
      </c>
      <c r="P545" s="12" t="n">
        <v>1449115</v>
      </c>
      <c r="Q545" s="13" t="n">
        <f aca="false">IFERROR(P545/P544-1,"")</f>
        <v>0.32677202481938</v>
      </c>
      <c r="R545" s="12" t="n">
        <v>1696660</v>
      </c>
      <c r="S545" s="13" t="n">
        <f aca="false">IFERROR(R545/R544-1,"")</f>
        <v>0.332487239879275</v>
      </c>
      <c r="T545" s="12" t="n">
        <v>1139855</v>
      </c>
      <c r="U545" s="13" t="n">
        <f aca="false">IFERROR(T545/P545,"")</f>
        <v>0.786586985849984</v>
      </c>
      <c r="V545" s="14" t="n">
        <f aca="false">T545-AV545</f>
        <v>-2155050</v>
      </c>
      <c r="W545" s="14" t="n">
        <f aca="false">V545-AA545*0.1</f>
        <v>-2155050</v>
      </c>
      <c r="X545" s="12" t="n">
        <v>4896000</v>
      </c>
      <c r="Y545" s="12" t="n">
        <v>204000</v>
      </c>
      <c r="Z545" s="15" t="n">
        <f aca="false">IFERROR(X545/Y545,"")</f>
        <v>24</v>
      </c>
      <c r="AA545" s="12" t="n">
        <v>0</v>
      </c>
      <c r="AB545" s="14" t="n">
        <f aca="false">W545-0.02*P545</f>
        <v>-2184032.3</v>
      </c>
      <c r="AC545" s="16" t="n">
        <v>66</v>
      </c>
      <c r="AD545" s="13" t="n">
        <f aca="false">IFERROR(AC545/AC544-1,"")</f>
        <v>0.157894736842105</v>
      </c>
      <c r="AE545" s="17" t="n">
        <v>0.052</v>
      </c>
      <c r="AF545" s="17" t="n">
        <v>0.031</v>
      </c>
      <c r="AG545" s="13" t="n">
        <f aca="false">1-AF545</f>
        <v>0.969</v>
      </c>
      <c r="AH545" s="17" t="n">
        <v>1.313</v>
      </c>
      <c r="AI545" s="12" t="n">
        <v>29600</v>
      </c>
      <c r="AJ545" s="14" t="n">
        <f aca="false">IFERROR(AM545*U545*MIN(1/AE545,5),"")</f>
        <v>116729.508700138</v>
      </c>
      <c r="AK545" s="18" t="n">
        <f aca="false">IFERROR(AJ545/AI545,"")</f>
        <v>3.94356448311276</v>
      </c>
      <c r="AL545" s="15" t="n">
        <f aca="false">IFERROR(AI545/(AM545*U545/12),"")</f>
        <v>15.2146618261052</v>
      </c>
      <c r="AM545" s="12" t="n">
        <v>29680</v>
      </c>
      <c r="AN545" s="12" t="n">
        <v>2019650</v>
      </c>
      <c r="AO545" s="12" t="n">
        <v>3439261</v>
      </c>
      <c r="AP545" s="17" t="n">
        <v>0.324</v>
      </c>
      <c r="AQ545" s="16" t="n">
        <v>23</v>
      </c>
      <c r="AR545" s="16" t="n">
        <v>3</v>
      </c>
      <c r="AS545" s="13" t="n">
        <f aca="false">IFERROR(AR545/AR544-1,"")</f>
        <v>0</v>
      </c>
      <c r="AT545" s="11" t="s">
        <v>153</v>
      </c>
      <c r="AU545" s="14" t="n">
        <f aca="false">IFERROR(P545/AR545,"")</f>
        <v>483038.333333333</v>
      </c>
      <c r="AV545" s="12" t="n">
        <v>3294905</v>
      </c>
      <c r="AW545" s="12" t="n">
        <v>1144325</v>
      </c>
      <c r="AX545" s="12" t="n">
        <v>1098870</v>
      </c>
      <c r="AY545" s="16" t="n">
        <v>8931</v>
      </c>
      <c r="AZ545" s="13" t="n">
        <f aca="false">IFERROR(AY545/AY544-1,"")</f>
        <v>0.164254986312085</v>
      </c>
      <c r="BA545" s="17" t="n">
        <v>0.951</v>
      </c>
      <c r="BB545" s="11" t="s">
        <v>107</v>
      </c>
      <c r="BC545" s="11" t="s">
        <v>126</v>
      </c>
      <c r="BD545" s="11" t="s">
        <v>175</v>
      </c>
      <c r="BE545" s="12" t="n">
        <v>1397651</v>
      </c>
      <c r="BF545" s="13" t="n">
        <f aca="false">IFERROR(P545/BE545-1,"")</f>
        <v>0.0368217816894203</v>
      </c>
      <c r="BG545" s="17" t="n">
        <v>0.083</v>
      </c>
      <c r="BH545" s="17" t="n">
        <v>0.098</v>
      </c>
      <c r="BI545" s="14" t="n">
        <f aca="false">P545*(1+IFERROR(Q545,0))^4</f>
        <v>4490431.49260908</v>
      </c>
      <c r="BJ545" s="12" t="n">
        <v>-1700342</v>
      </c>
      <c r="BK545" s="11" t="s">
        <v>84</v>
      </c>
      <c r="BL545" s="11" t="s">
        <v>111</v>
      </c>
      <c r="BM545" s="14" t="n">
        <f aca="false">O545</f>
        <v>10700808</v>
      </c>
      <c r="BN545" s="11" t="s">
        <v>560</v>
      </c>
      <c r="BO545" s="13" t="n">
        <f aca="false">IFERROR(1-L545/M545,"")</f>
        <v>0.125350710471536</v>
      </c>
      <c r="BP545" s="11" t="s">
        <v>87</v>
      </c>
      <c r="BQ545" s="12" t="n">
        <v>3516798</v>
      </c>
      <c r="BR545" s="11" t="s">
        <v>88</v>
      </c>
      <c r="BS545" s="11" t="s">
        <v>89</v>
      </c>
      <c r="BT545" s="19" t="str">
        <f aca="false">IF(OR(Z545&lt;6,AH545&lt;0.9,S545&lt;0.02,AK545&lt;1),"REVIEW",IF(AND(S545&gt;0.25,AH545&gt;1.2),"ACCELERATING","STABLE"))</f>
        <v>ACCELERATING</v>
      </c>
    </row>
    <row r="546" customFormat="false" ht="15" hidden="false" customHeight="false" outlineLevel="0" collapsed="false">
      <c r="A546" s="3" t="s">
        <v>561</v>
      </c>
      <c r="B546" s="3" t="s">
        <v>73</v>
      </c>
      <c r="C546" s="3" t="s">
        <v>74</v>
      </c>
      <c r="D546" s="3" t="s">
        <v>132</v>
      </c>
      <c r="E546" s="3" t="s">
        <v>105</v>
      </c>
      <c r="F546" s="3" t="s">
        <v>562</v>
      </c>
      <c r="G546" s="3" t="s">
        <v>78</v>
      </c>
      <c r="H546" s="3" t="s">
        <v>79</v>
      </c>
      <c r="I546" s="3" t="s">
        <v>78</v>
      </c>
      <c r="J546" s="4" t="n">
        <v>4251000</v>
      </c>
      <c r="K546" s="5" t="n">
        <f aca="false">IFERROR(J546/M546,"")</f>
        <v>0.19127969762419</v>
      </c>
      <c r="L546" s="4" t="n">
        <v>17973000</v>
      </c>
      <c r="M546" s="6" t="n">
        <f aca="false">L546+J546</f>
        <v>22224000</v>
      </c>
      <c r="N546" s="4" t="n">
        <v>4251000</v>
      </c>
      <c r="O546" s="4" t="n">
        <v>43801168</v>
      </c>
      <c r="P546" s="4" t="n">
        <v>424821</v>
      </c>
      <c r="Q546" s="7"/>
      <c r="R546" s="4" t="n">
        <v>439584</v>
      </c>
      <c r="S546" s="7"/>
      <c r="T546" s="4" t="n">
        <v>279551</v>
      </c>
      <c r="U546" s="5" t="n">
        <f aca="false">IFERROR(T546/P546,"")</f>
        <v>0.658044211562046</v>
      </c>
      <c r="V546" s="6" t="n">
        <f aca="false">T546-AV546</f>
        <v>-832359</v>
      </c>
      <c r="W546" s="6" t="n">
        <f aca="false">V546-AA546*0.1</f>
        <v>-832359</v>
      </c>
      <c r="X546" s="4" t="n">
        <v>3168471</v>
      </c>
      <c r="Y546" s="4" t="n">
        <v>91910</v>
      </c>
      <c r="Z546" s="8" t="n">
        <f aca="false">IFERROR(X546/Y546,"")</f>
        <v>34.4736263736264</v>
      </c>
      <c r="AA546" s="4" t="n">
        <v>0</v>
      </c>
      <c r="AB546" s="6" t="n">
        <f aca="false">W546-0.02*P546</f>
        <v>-840855.42</v>
      </c>
      <c r="AC546" s="9" t="n">
        <v>14</v>
      </c>
      <c r="AD546" s="7"/>
      <c r="AE546" s="7" t="n">
        <v>0.117</v>
      </c>
      <c r="AF546" s="7" t="n">
        <v>0.095</v>
      </c>
      <c r="AG546" s="5" t="n">
        <f aca="false">1-AF546</f>
        <v>0.905</v>
      </c>
      <c r="AH546" s="7" t="n">
        <v>1.038</v>
      </c>
      <c r="AI546" s="4" t="n">
        <v>109816</v>
      </c>
      <c r="AJ546" s="6" t="n">
        <f aca="false">IFERROR(AM546*U546*MIN(1/AE546,5),"")</f>
        <v>197413.263468614</v>
      </c>
      <c r="AK546" s="10" t="n">
        <f aca="false">IFERROR(AJ546/AI546,"")</f>
        <v>1.79767304826814</v>
      </c>
      <c r="AL546" s="8" t="n">
        <f aca="false">IFERROR(AI546/(AM546*U546/12),"")</f>
        <v>33.3764808110148</v>
      </c>
      <c r="AM546" s="4" t="n">
        <v>60000</v>
      </c>
      <c r="AN546" s="4" t="n">
        <v>656126</v>
      </c>
      <c r="AO546" s="4" t="n">
        <v>1070617</v>
      </c>
      <c r="AP546" s="7" t="n">
        <v>0.259</v>
      </c>
      <c r="AQ546" s="9" t="n">
        <v>30</v>
      </c>
      <c r="AR546" s="9" t="n">
        <v>3</v>
      </c>
      <c r="AS546" s="7"/>
      <c r="AT546" s="3" t="s">
        <v>134</v>
      </c>
      <c r="AU546" s="6" t="n">
        <f aca="false">IFERROR(P546/AR546,"")</f>
        <v>141607</v>
      </c>
      <c r="AV546" s="4" t="n">
        <v>1111910</v>
      </c>
      <c r="AW546" s="4" t="n">
        <v>476472</v>
      </c>
      <c r="AX546" s="4" t="n">
        <v>334002</v>
      </c>
      <c r="AY546" s="9" t="n">
        <v>24752</v>
      </c>
      <c r="AZ546" s="7"/>
      <c r="BA546" s="7" t="n">
        <v>0.916</v>
      </c>
      <c r="BB546" s="3" t="s">
        <v>161</v>
      </c>
      <c r="BC546" s="3" t="s">
        <v>100</v>
      </c>
      <c r="BD546" s="3" t="s">
        <v>109</v>
      </c>
      <c r="BE546" s="4" t="n">
        <v>432032</v>
      </c>
      <c r="BF546" s="5" t="n">
        <f aca="false">IFERROR(P546/BE546-1,"")</f>
        <v>-0.0166908932671654</v>
      </c>
      <c r="BG546" s="7" t="n">
        <v>-0.005</v>
      </c>
      <c r="BH546" s="7" t="n">
        <v>0.099</v>
      </c>
      <c r="BI546" s="6" t="n">
        <f aca="false">P546</f>
        <v>424821</v>
      </c>
      <c r="BJ546" s="4" t="n">
        <v>-582839</v>
      </c>
      <c r="BK546" s="3" t="s">
        <v>127</v>
      </c>
      <c r="BL546" s="3" t="s">
        <v>162</v>
      </c>
      <c r="BM546" s="6" t="n">
        <f aca="false">O546</f>
        <v>43801168</v>
      </c>
      <c r="BN546" s="3" t="s">
        <v>563</v>
      </c>
      <c r="BO546" s="5" t="n">
        <f aca="false">IFERROR(1-L546/M546,"")</f>
        <v>0.19127969762419</v>
      </c>
      <c r="BP546" s="3" t="s">
        <v>87</v>
      </c>
      <c r="BQ546" s="4" t="n">
        <v>1598282</v>
      </c>
      <c r="BR546" s="3" t="s">
        <v>88</v>
      </c>
      <c r="BS546" s="3" t="s">
        <v>89</v>
      </c>
      <c r="BT546" s="3" t="s">
        <v>90</v>
      </c>
    </row>
    <row r="547" customFormat="false" ht="15" hidden="false" customHeight="false" outlineLevel="0" collapsed="false">
      <c r="A547" s="11" t="s">
        <v>561</v>
      </c>
      <c r="B547" s="11" t="s">
        <v>91</v>
      </c>
      <c r="C547" s="11" t="s">
        <v>74</v>
      </c>
      <c r="D547" s="11" t="s">
        <v>132</v>
      </c>
      <c r="E547" s="11" t="s">
        <v>105</v>
      </c>
      <c r="F547" s="11" t="s">
        <v>562</v>
      </c>
      <c r="G547" s="11" t="s">
        <v>78</v>
      </c>
      <c r="H547" s="11" t="s">
        <v>79</v>
      </c>
      <c r="I547" s="11" t="s">
        <v>78</v>
      </c>
      <c r="J547" s="12" t="n">
        <v>4251000</v>
      </c>
      <c r="K547" s="13" t="n">
        <f aca="false">IFERROR(J547/M547,"")</f>
        <v>0.19127969762419</v>
      </c>
      <c r="L547" s="12" t="n">
        <v>17973000</v>
      </c>
      <c r="M547" s="14" t="n">
        <f aca="false">L547+J547</f>
        <v>22224000</v>
      </c>
      <c r="N547" s="12" t="n">
        <v>4251000</v>
      </c>
      <c r="O547" s="12" t="n">
        <v>43801168</v>
      </c>
      <c r="P547" s="12" t="n">
        <v>474783</v>
      </c>
      <c r="Q547" s="13" t="n">
        <f aca="false">IFERROR(P547/P546-1,"")</f>
        <v>0.117607180435996</v>
      </c>
      <c r="R547" s="12" t="n">
        <v>477205</v>
      </c>
      <c r="S547" s="13" t="n">
        <f aca="false">IFERROR(R547/R546-1,"")</f>
        <v>0.0855831877411371</v>
      </c>
      <c r="T547" s="12" t="n">
        <v>313693</v>
      </c>
      <c r="U547" s="13" t="n">
        <f aca="false">IFERROR(T547/P547,"")</f>
        <v>0.660708155094011</v>
      </c>
      <c r="V547" s="14" t="n">
        <f aca="false">T547-AV547</f>
        <v>-1133844</v>
      </c>
      <c r="W547" s="14" t="n">
        <f aca="false">V547-AA547*0.1</f>
        <v>-1133844</v>
      </c>
      <c r="X547" s="12" t="n">
        <v>2936676</v>
      </c>
      <c r="Y547" s="12" t="n">
        <v>94940</v>
      </c>
      <c r="Z547" s="15" t="n">
        <f aca="false">IFERROR(X547/Y547,"")</f>
        <v>30.931914893617</v>
      </c>
      <c r="AA547" s="12" t="n">
        <v>0</v>
      </c>
      <c r="AB547" s="14" t="n">
        <f aca="false">W547-0.02*P547</f>
        <v>-1143339.66</v>
      </c>
      <c r="AC547" s="16" t="n">
        <v>15</v>
      </c>
      <c r="AD547" s="13" t="n">
        <f aca="false">IFERROR(AC547/AC546-1,"")</f>
        <v>0.0714285714285714</v>
      </c>
      <c r="AE547" s="17" t="n">
        <v>0.113</v>
      </c>
      <c r="AF547" s="17" t="n">
        <v>0.096</v>
      </c>
      <c r="AG547" s="13" t="n">
        <f aca="false">1-AF547</f>
        <v>0.904</v>
      </c>
      <c r="AH547" s="17" t="n">
        <v>1.033</v>
      </c>
      <c r="AI547" s="12" t="n">
        <v>107744</v>
      </c>
      <c r="AJ547" s="14" t="n">
        <f aca="false">IFERROR(AM547*U547*MIN(1/AE547,5),"")</f>
        <v>202176.695458767</v>
      </c>
      <c r="AK547" s="18" t="n">
        <f aca="false">IFERROR(AJ547/AI547,"")</f>
        <v>1.87645433118102</v>
      </c>
      <c r="AL547" s="15" t="n">
        <f aca="false">IFERROR(AI547/(AM547*U547/12),"")</f>
        <v>31.9751986515104</v>
      </c>
      <c r="AM547" s="12" t="n">
        <v>61200</v>
      </c>
      <c r="AN547" s="12" t="n">
        <v>588662</v>
      </c>
      <c r="AO547" s="12" t="n">
        <v>1857299</v>
      </c>
      <c r="AP547" s="17" t="n">
        <v>0.259</v>
      </c>
      <c r="AQ547" s="16" t="n">
        <v>30</v>
      </c>
      <c r="AR547" s="16" t="n">
        <v>3</v>
      </c>
      <c r="AS547" s="13" t="n">
        <f aca="false">IFERROR(AR547/AR546-1,"")</f>
        <v>0</v>
      </c>
      <c r="AT547" s="11" t="s">
        <v>134</v>
      </c>
      <c r="AU547" s="14" t="n">
        <f aca="false">IFERROR(P547/AR547,"")</f>
        <v>158261</v>
      </c>
      <c r="AV547" s="12" t="n">
        <v>1447537</v>
      </c>
      <c r="AW547" s="12" t="n">
        <v>517894</v>
      </c>
      <c r="AX547" s="12" t="n">
        <v>437867</v>
      </c>
      <c r="AY547" s="16" t="n">
        <v>26779</v>
      </c>
      <c r="AZ547" s="13" t="n">
        <f aca="false">IFERROR(AY547/AY546-1,"")</f>
        <v>0.0818923723335487</v>
      </c>
      <c r="BA547" s="17" t="n">
        <v>0.887</v>
      </c>
      <c r="BB547" s="11" t="s">
        <v>161</v>
      </c>
      <c r="BC547" s="11" t="s">
        <v>100</v>
      </c>
      <c r="BD547" s="11" t="s">
        <v>109</v>
      </c>
      <c r="BE547" s="12" t="n">
        <v>581513</v>
      </c>
      <c r="BF547" s="13" t="n">
        <f aca="false">IFERROR(P547/BE547-1,"")</f>
        <v>-0.183538459157405</v>
      </c>
      <c r="BG547" s="17" t="n">
        <v>0.07</v>
      </c>
      <c r="BH547" s="17" t="n">
        <v>0.044</v>
      </c>
      <c r="BI547" s="14" t="n">
        <f aca="false">P547*(1+IFERROR(Q547,0))^4</f>
        <v>740716.286520649</v>
      </c>
      <c r="BJ547" s="12" t="n">
        <v>-886147</v>
      </c>
      <c r="BK547" s="11" t="s">
        <v>127</v>
      </c>
      <c r="BL547" s="11" t="s">
        <v>162</v>
      </c>
      <c r="BM547" s="14" t="n">
        <f aca="false">O547</f>
        <v>43801168</v>
      </c>
      <c r="BN547" s="11" t="s">
        <v>563</v>
      </c>
      <c r="BO547" s="13" t="n">
        <f aca="false">IFERROR(1-L547/M547,"")</f>
        <v>0.19127969762419</v>
      </c>
      <c r="BP547" s="11" t="s">
        <v>87</v>
      </c>
      <c r="BQ547" s="12" t="n">
        <v>1675400</v>
      </c>
      <c r="BR547" s="11" t="s">
        <v>88</v>
      </c>
      <c r="BS547" s="11" t="s">
        <v>89</v>
      </c>
      <c r="BT547" s="19" t="str">
        <f aca="false">IF(OR(Z547&lt;6,AH547&lt;0.9,S547&lt;0.02,AK547&lt;1),"REVIEW",IF(AND(S547&gt;0.25,AH547&gt;1.2),"ACCELERATING","STABLE"))</f>
        <v>STABLE</v>
      </c>
    </row>
    <row r="548" customFormat="false" ht="15" hidden="false" customHeight="false" outlineLevel="0" collapsed="false">
      <c r="A548" s="11" t="s">
        <v>561</v>
      </c>
      <c r="B548" s="11" t="s">
        <v>92</v>
      </c>
      <c r="C548" s="11" t="s">
        <v>74</v>
      </c>
      <c r="D548" s="11" t="s">
        <v>132</v>
      </c>
      <c r="E548" s="11" t="s">
        <v>105</v>
      </c>
      <c r="F548" s="11" t="s">
        <v>562</v>
      </c>
      <c r="G548" s="11" t="s">
        <v>78</v>
      </c>
      <c r="H548" s="11" t="s">
        <v>79</v>
      </c>
      <c r="I548" s="11" t="s">
        <v>78</v>
      </c>
      <c r="J548" s="12" t="n">
        <v>4251000</v>
      </c>
      <c r="K548" s="13" t="n">
        <f aca="false">IFERROR(J548/M548,"")</f>
        <v>0.19127969762419</v>
      </c>
      <c r="L548" s="12" t="n">
        <v>17973000</v>
      </c>
      <c r="M548" s="14" t="n">
        <f aca="false">L548+J548</f>
        <v>22224000</v>
      </c>
      <c r="N548" s="12" t="n">
        <v>4251000</v>
      </c>
      <c r="O548" s="12" t="n">
        <v>43801168</v>
      </c>
      <c r="P548" s="12" t="n">
        <v>524384</v>
      </c>
      <c r="Q548" s="13" t="n">
        <f aca="false">IFERROR(P548/P547-1,"")</f>
        <v>0.104470884593593</v>
      </c>
      <c r="R548" s="12" t="n">
        <v>563924</v>
      </c>
      <c r="S548" s="13" t="n">
        <f aca="false">IFERROR(R548/R547-1,"")</f>
        <v>0.181722739703063</v>
      </c>
      <c r="T548" s="12" t="n">
        <v>347861</v>
      </c>
      <c r="U548" s="13" t="n">
        <f aca="false">IFERROR(T548/P548,"")</f>
        <v>0.663370735949228</v>
      </c>
      <c r="V548" s="14" t="n">
        <f aca="false">T548-AV548</f>
        <v>-1108137</v>
      </c>
      <c r="W548" s="14" t="n">
        <f aca="false">V548-AA548*0.1</f>
        <v>-1108137</v>
      </c>
      <c r="X548" s="12" t="n">
        <v>2688519</v>
      </c>
      <c r="Y548" s="12" t="n">
        <v>97970</v>
      </c>
      <c r="Z548" s="15" t="n">
        <f aca="false">IFERROR(X548/Y548,"")</f>
        <v>27.4422680412371</v>
      </c>
      <c r="AA548" s="12" t="n">
        <v>0</v>
      </c>
      <c r="AB548" s="14" t="n">
        <f aca="false">W548-0.02*P548</f>
        <v>-1118624.68</v>
      </c>
      <c r="AC548" s="16" t="n">
        <v>17</v>
      </c>
      <c r="AD548" s="13" t="n">
        <f aca="false">IFERROR(AC548/AC547-1,"")</f>
        <v>0.133333333333333</v>
      </c>
      <c r="AE548" s="17" t="n">
        <v>0.11</v>
      </c>
      <c r="AF548" s="17" t="n">
        <v>0.105</v>
      </c>
      <c r="AG548" s="13" t="n">
        <f aca="false">1-AF548</f>
        <v>0.895</v>
      </c>
      <c r="AH548" s="17" t="n">
        <v>1.028</v>
      </c>
      <c r="AI548" s="12" t="n">
        <v>105672</v>
      </c>
      <c r="AJ548" s="14" t="n">
        <f aca="false">IFERROR(AM548*U548*MIN(1/AE548,5),"")</f>
        <v>206971.669616159</v>
      </c>
      <c r="AK548" s="18" t="n">
        <f aca="false">IFERROR(AJ548/AI548,"")</f>
        <v>1.95862356741766</v>
      </c>
      <c r="AL548" s="15" t="n">
        <f aca="false">IFERROR(AI548/(AM548*U548/12),"")</f>
        <v>30.6337578073293</v>
      </c>
      <c r="AM548" s="12" t="n">
        <v>62400</v>
      </c>
      <c r="AN548" s="12" t="n">
        <v>812569</v>
      </c>
      <c r="AO548" s="12" t="n">
        <v>2174248</v>
      </c>
      <c r="AP548" s="17" t="n">
        <v>0.259</v>
      </c>
      <c r="AQ548" s="16" t="n">
        <v>30</v>
      </c>
      <c r="AR548" s="16" t="n">
        <v>3</v>
      </c>
      <c r="AS548" s="13" t="n">
        <f aca="false">IFERROR(AR548/AR547-1,"")</f>
        <v>0</v>
      </c>
      <c r="AT548" s="11" t="s">
        <v>134</v>
      </c>
      <c r="AU548" s="14" t="n">
        <f aca="false">IFERROR(P548/AR548,"")</f>
        <v>174794.666666667</v>
      </c>
      <c r="AV548" s="12" t="n">
        <v>1455998</v>
      </c>
      <c r="AW548" s="12" t="n">
        <v>700573</v>
      </c>
      <c r="AX548" s="12" t="n">
        <v>362979</v>
      </c>
      <c r="AY548" s="16" t="n">
        <v>31164</v>
      </c>
      <c r="AZ548" s="13" t="n">
        <f aca="false">IFERROR(AY548/AY547-1,"")</f>
        <v>0.163747712759998</v>
      </c>
      <c r="BA548" s="17" t="n">
        <v>0.909</v>
      </c>
      <c r="BB548" s="11" t="s">
        <v>161</v>
      </c>
      <c r="BC548" s="11" t="s">
        <v>100</v>
      </c>
      <c r="BD548" s="11" t="s">
        <v>109</v>
      </c>
      <c r="BE548" s="12" t="n">
        <v>484581</v>
      </c>
      <c r="BF548" s="13" t="n">
        <f aca="false">IFERROR(P548/BE548-1,"")</f>
        <v>0.0821390025609754</v>
      </c>
      <c r="BG548" s="17" t="n">
        <v>0.057</v>
      </c>
      <c r="BH548" s="17" t="n">
        <v>0.052</v>
      </c>
      <c r="BI548" s="14" t="n">
        <f aca="false">P548*(1+IFERROR(Q548,0))^4</f>
        <v>780308.8256451</v>
      </c>
      <c r="BJ548" s="12" t="n">
        <v>-993548</v>
      </c>
      <c r="BK548" s="11" t="s">
        <v>127</v>
      </c>
      <c r="BL548" s="11" t="s">
        <v>162</v>
      </c>
      <c r="BM548" s="14" t="n">
        <f aca="false">O548</f>
        <v>43801168</v>
      </c>
      <c r="BN548" s="11" t="s">
        <v>563</v>
      </c>
      <c r="BO548" s="13" t="n">
        <f aca="false">IFERROR(1-L548/M548,"")</f>
        <v>0.19127969762419</v>
      </c>
      <c r="BP548" s="11" t="s">
        <v>87</v>
      </c>
      <c r="BQ548" s="12" t="n">
        <v>1226531</v>
      </c>
      <c r="BR548" s="11" t="s">
        <v>88</v>
      </c>
      <c r="BS548" s="11" t="s">
        <v>89</v>
      </c>
      <c r="BT548" s="19" t="str">
        <f aca="false">IF(OR(Z548&lt;6,AH548&lt;0.9,S548&lt;0.02,AK548&lt;1),"REVIEW",IF(AND(S548&gt;0.25,AH548&gt;1.2),"ACCELERATING","STABLE"))</f>
        <v>STABLE</v>
      </c>
    </row>
    <row r="549" customFormat="false" ht="15" hidden="false" customHeight="false" outlineLevel="0" collapsed="false">
      <c r="A549" s="11" t="s">
        <v>561</v>
      </c>
      <c r="B549" s="11" t="s">
        <v>93</v>
      </c>
      <c r="C549" s="11" t="s">
        <v>74</v>
      </c>
      <c r="D549" s="11" t="s">
        <v>132</v>
      </c>
      <c r="E549" s="11" t="s">
        <v>105</v>
      </c>
      <c r="F549" s="11" t="s">
        <v>562</v>
      </c>
      <c r="G549" s="11" t="s">
        <v>78</v>
      </c>
      <c r="H549" s="11" t="s">
        <v>79</v>
      </c>
      <c r="I549" s="11" t="s">
        <v>78</v>
      </c>
      <c r="J549" s="12" t="n">
        <v>4251000</v>
      </c>
      <c r="K549" s="13" t="n">
        <f aca="false">IFERROR(J549/M549,"")</f>
        <v>0.19127969762419</v>
      </c>
      <c r="L549" s="12" t="n">
        <v>17973000</v>
      </c>
      <c r="M549" s="14" t="n">
        <f aca="false">L549+J549</f>
        <v>22224000</v>
      </c>
      <c r="N549" s="12" t="n">
        <v>4251000</v>
      </c>
      <c r="O549" s="12" t="n">
        <v>43801168</v>
      </c>
      <c r="P549" s="12" t="n">
        <v>582230</v>
      </c>
      <c r="Q549" s="13" t="n">
        <f aca="false">IFERROR(P549/P548-1,"")</f>
        <v>0.11031229023006</v>
      </c>
      <c r="R549" s="12" t="n">
        <v>570426</v>
      </c>
      <c r="S549" s="13" t="n">
        <f aca="false">IFERROR(R549/R548-1,"")</f>
        <v>0.0115299224718224</v>
      </c>
      <c r="T549" s="12" t="n">
        <v>387786</v>
      </c>
      <c r="U549" s="13" t="n">
        <f aca="false">IFERROR(T549/P549,"")</f>
        <v>0.666035759064287</v>
      </c>
      <c r="V549" s="14" t="n">
        <f aca="false">T549-AV549</f>
        <v>-1218970</v>
      </c>
      <c r="W549" s="14" t="n">
        <f aca="false">V549-AA549*0.1</f>
        <v>-1218970</v>
      </c>
      <c r="X549" s="12" t="n">
        <v>2424000</v>
      </c>
      <c r="Y549" s="12" t="n">
        <v>101000</v>
      </c>
      <c r="Z549" s="15" t="n">
        <f aca="false">IFERROR(X549/Y549,"")</f>
        <v>24</v>
      </c>
      <c r="AA549" s="12" t="n">
        <v>0</v>
      </c>
      <c r="AB549" s="14" t="n">
        <f aca="false">W549-0.02*P549</f>
        <v>-1230614.6</v>
      </c>
      <c r="AC549" s="16" t="n">
        <v>18</v>
      </c>
      <c r="AD549" s="13" t="n">
        <f aca="false">IFERROR(AC549/AC548-1,"")</f>
        <v>0.0588235294117647</v>
      </c>
      <c r="AE549" s="17" t="n">
        <v>0.107</v>
      </c>
      <c r="AF549" s="17" t="n">
        <v>0.113</v>
      </c>
      <c r="AG549" s="13" t="n">
        <f aca="false">1-AF549</f>
        <v>0.887</v>
      </c>
      <c r="AH549" s="17" t="n">
        <v>1.023</v>
      </c>
      <c r="AI549" s="12" t="n">
        <v>103600</v>
      </c>
      <c r="AJ549" s="14" t="n">
        <f aca="false">IFERROR(AM549*U549*MIN(1/AE549,5),"")</f>
        <v>211799.371382443</v>
      </c>
      <c r="AK549" s="18" t="n">
        <f aca="false">IFERROR(AJ549/AI549,"")</f>
        <v>2.04439547666451</v>
      </c>
      <c r="AL549" s="15" t="n">
        <f aca="false">IFERROR(AI549/(AM549*U549/12),"")</f>
        <v>29.3485290321086</v>
      </c>
      <c r="AM549" s="12" t="n">
        <v>63600</v>
      </c>
      <c r="AN549" s="12" t="n">
        <v>529145</v>
      </c>
      <c r="AO549" s="12" t="n">
        <v>2217258</v>
      </c>
      <c r="AP549" s="17" t="n">
        <v>0.259</v>
      </c>
      <c r="AQ549" s="16" t="n">
        <v>30</v>
      </c>
      <c r="AR549" s="16" t="n">
        <v>3</v>
      </c>
      <c r="AS549" s="13" t="n">
        <f aca="false">IFERROR(AR549/AR548-1,"")</f>
        <v>0</v>
      </c>
      <c r="AT549" s="11" t="s">
        <v>134</v>
      </c>
      <c r="AU549" s="14" t="n">
        <f aca="false">IFERROR(P549/AR549,"")</f>
        <v>194076.666666667</v>
      </c>
      <c r="AV549" s="12" t="n">
        <v>1606756</v>
      </c>
      <c r="AW549" s="12" t="n">
        <v>600592</v>
      </c>
      <c r="AX549" s="12" t="n">
        <v>536881</v>
      </c>
      <c r="AY549" s="16" t="n">
        <v>30611</v>
      </c>
      <c r="AZ549" s="13" t="n">
        <f aca="false">IFERROR(AY549/AY548-1,"")</f>
        <v>-0.0177448337825696</v>
      </c>
      <c r="BA549" s="17" t="n">
        <v>0.917</v>
      </c>
      <c r="BB549" s="11" t="s">
        <v>161</v>
      </c>
      <c r="BC549" s="11" t="s">
        <v>100</v>
      </c>
      <c r="BD549" s="11" t="s">
        <v>109</v>
      </c>
      <c r="BE549" s="12" t="n">
        <v>663160</v>
      </c>
      <c r="BF549" s="13" t="n">
        <f aca="false">IFERROR(P549/BE549-1,"")</f>
        <v>-0.122036914168526</v>
      </c>
      <c r="BG549" s="17" t="n">
        <v>0.035</v>
      </c>
      <c r="BH549" s="17" t="n">
        <v>0.065</v>
      </c>
      <c r="BI549" s="14" t="n">
        <f aca="false">P549*(1+IFERROR(Q549,0))^4</f>
        <v>884861.231267826</v>
      </c>
      <c r="BJ549" s="12" t="n">
        <v>-971867</v>
      </c>
      <c r="BK549" s="11" t="s">
        <v>127</v>
      </c>
      <c r="BL549" s="11" t="s">
        <v>162</v>
      </c>
      <c r="BM549" s="14" t="n">
        <f aca="false">O549</f>
        <v>43801168</v>
      </c>
      <c r="BN549" s="11" t="s">
        <v>563</v>
      </c>
      <c r="BO549" s="13" t="n">
        <f aca="false">IFERROR(1-L549/M549,"")</f>
        <v>0.19127969762419</v>
      </c>
      <c r="BP549" s="11" t="s">
        <v>87</v>
      </c>
      <c r="BQ549" s="12" t="n">
        <v>1935753</v>
      </c>
      <c r="BR549" s="11" t="s">
        <v>88</v>
      </c>
      <c r="BS549" s="11" t="s">
        <v>89</v>
      </c>
      <c r="BT549" s="19" t="str">
        <f aca="false">IF(OR(Z549&lt;6,AH549&lt;0.9,S549&lt;0.02,AK549&lt;1),"REVIEW",IF(AND(S549&gt;0.25,AH549&gt;1.2),"ACCELERATING","STABLE"))</f>
        <v>REVIEW</v>
      </c>
    </row>
    <row r="550" customFormat="false" ht="15" hidden="false" customHeight="false" outlineLevel="0" collapsed="false">
      <c r="A550" s="3" t="s">
        <v>564</v>
      </c>
      <c r="B550" s="3" t="s">
        <v>73</v>
      </c>
      <c r="C550" s="3" t="s">
        <v>74</v>
      </c>
      <c r="D550" s="3" t="s">
        <v>165</v>
      </c>
      <c r="E550" s="3" t="s">
        <v>105</v>
      </c>
      <c r="F550" s="3" t="s">
        <v>565</v>
      </c>
      <c r="G550" s="3" t="s">
        <v>78</v>
      </c>
      <c r="H550" s="3" t="s">
        <v>79</v>
      </c>
      <c r="I550" s="3" t="s">
        <v>78</v>
      </c>
      <c r="J550" s="4" t="n">
        <v>6052000</v>
      </c>
      <c r="K550" s="5" t="n">
        <f aca="false">IFERROR(J550/M550,"")</f>
        <v>0.189551490854422</v>
      </c>
      <c r="L550" s="4" t="n">
        <v>25876000</v>
      </c>
      <c r="M550" s="6" t="n">
        <f aca="false">L550+J550</f>
        <v>31928000</v>
      </c>
      <c r="N550" s="4" t="n">
        <v>6052000</v>
      </c>
      <c r="O550" s="4" t="n">
        <v>58216898</v>
      </c>
      <c r="P550" s="4" t="n">
        <v>1302260</v>
      </c>
      <c r="Q550" s="7"/>
      <c r="R550" s="4" t="n">
        <v>1458530</v>
      </c>
      <c r="S550" s="7"/>
      <c r="T550" s="4" t="n">
        <v>1072198</v>
      </c>
      <c r="U550" s="5" t="n">
        <f aca="false">IFERROR(T550/P550,"")</f>
        <v>0.823336353723527</v>
      </c>
      <c r="V550" s="6" t="n">
        <f aca="false">T550-AV550</f>
        <v>-1337909</v>
      </c>
      <c r="W550" s="6" t="n">
        <f aca="false">V550-AA550*0.1</f>
        <v>-1468309</v>
      </c>
      <c r="X550" s="4" t="n">
        <v>4486053</v>
      </c>
      <c r="Y550" s="4" t="n">
        <v>130130</v>
      </c>
      <c r="Z550" s="8" t="n">
        <f aca="false">IFERROR(X550/Y550,"")</f>
        <v>34.4736263736264</v>
      </c>
      <c r="AA550" s="4" t="n">
        <v>1304000</v>
      </c>
      <c r="AB550" s="6" t="n">
        <f aca="false">W550-0.02*P550</f>
        <v>-1494354.2</v>
      </c>
      <c r="AC550" s="9" t="n">
        <v>36</v>
      </c>
      <c r="AD550" s="7"/>
      <c r="AE550" s="7" t="n">
        <v>0.15</v>
      </c>
      <c r="AF550" s="7" t="n">
        <v>0.164</v>
      </c>
      <c r="AG550" s="5" t="n">
        <f aca="false">1-AF550</f>
        <v>0.836</v>
      </c>
      <c r="AH550" s="7" t="n">
        <v>1.105</v>
      </c>
      <c r="AI550" s="4" t="n">
        <v>48866</v>
      </c>
      <c r="AJ550" s="6" t="n">
        <f aca="false">IFERROR(AM550*U550*MIN(1/AE550,5),"")</f>
        <v>152317.225438852</v>
      </c>
      <c r="AK550" s="10" t="n">
        <f aca="false">IFERROR(AJ550/AI550,"")</f>
        <v>3.11703895221325</v>
      </c>
      <c r="AL550" s="8" t="n">
        <f aca="false">IFERROR(AI550/(AM550*U550/12),"")</f>
        <v>19.2490376026251</v>
      </c>
      <c r="AM550" s="4" t="n">
        <v>37000</v>
      </c>
      <c r="AN550" s="4" t="n">
        <v>1766177</v>
      </c>
      <c r="AO550" s="4" t="n">
        <v>5792755</v>
      </c>
      <c r="AP550" s="7" t="n">
        <v>0.329</v>
      </c>
      <c r="AQ550" s="9" t="n">
        <v>68</v>
      </c>
      <c r="AR550" s="9" t="n">
        <v>2</v>
      </c>
      <c r="AS550" s="7"/>
      <c r="AT550" s="3" t="s">
        <v>134</v>
      </c>
      <c r="AU550" s="6" t="n">
        <f aca="false">IFERROR(P550/AR550,"")</f>
        <v>651130</v>
      </c>
      <c r="AV550" s="4" t="n">
        <v>2410107</v>
      </c>
      <c r="AW550" s="4" t="n">
        <v>951963</v>
      </c>
      <c r="AX550" s="4" t="n">
        <v>639424</v>
      </c>
      <c r="AY550" s="9" t="n">
        <v>14687</v>
      </c>
      <c r="AZ550" s="7"/>
      <c r="BA550" s="7" t="n">
        <v>0.886</v>
      </c>
      <c r="BB550" s="3" t="s">
        <v>107</v>
      </c>
      <c r="BC550" s="3" t="s">
        <v>100</v>
      </c>
      <c r="BD550" s="3" t="s">
        <v>101</v>
      </c>
      <c r="BE550" s="4" t="n">
        <v>1428306</v>
      </c>
      <c r="BF550" s="5" t="n">
        <f aca="false">IFERROR(P550/BE550-1,"")</f>
        <v>-0.0882485965892463</v>
      </c>
      <c r="BG550" s="7" t="n">
        <v>0.059</v>
      </c>
      <c r="BH550" s="7" t="n">
        <v>0.096</v>
      </c>
      <c r="BI550" s="6" t="n">
        <f aca="false">P550</f>
        <v>1302260</v>
      </c>
      <c r="BJ550" s="4" t="n">
        <v>-937764</v>
      </c>
      <c r="BK550" s="3" t="s">
        <v>192</v>
      </c>
      <c r="BL550" s="3" t="s">
        <v>128</v>
      </c>
      <c r="BM550" s="6" t="n">
        <f aca="false">O550</f>
        <v>58216898</v>
      </c>
      <c r="BN550" s="3" t="s">
        <v>566</v>
      </c>
      <c r="BO550" s="5" t="n">
        <f aca="false">IFERROR(1-L550/M550,"")</f>
        <v>0.189551490854422</v>
      </c>
      <c r="BP550" s="3" t="s">
        <v>142</v>
      </c>
      <c r="BQ550" s="4" t="n">
        <v>2538876</v>
      </c>
      <c r="BR550" s="3" t="s">
        <v>88</v>
      </c>
      <c r="BS550" s="3" t="s">
        <v>89</v>
      </c>
      <c r="BT550" s="3" t="s">
        <v>90</v>
      </c>
    </row>
    <row r="551" customFormat="false" ht="15" hidden="false" customHeight="false" outlineLevel="0" collapsed="false">
      <c r="A551" s="11" t="s">
        <v>564</v>
      </c>
      <c r="B551" s="11" t="s">
        <v>91</v>
      </c>
      <c r="C551" s="11" t="s">
        <v>74</v>
      </c>
      <c r="D551" s="11" t="s">
        <v>165</v>
      </c>
      <c r="E551" s="11" t="s">
        <v>105</v>
      </c>
      <c r="F551" s="11" t="s">
        <v>565</v>
      </c>
      <c r="G551" s="11" t="s">
        <v>78</v>
      </c>
      <c r="H551" s="11" t="s">
        <v>79</v>
      </c>
      <c r="I551" s="11" t="s">
        <v>78</v>
      </c>
      <c r="J551" s="12" t="n">
        <v>6052000</v>
      </c>
      <c r="K551" s="13" t="n">
        <f aca="false">IFERROR(J551/M551,"")</f>
        <v>0.189551490854422</v>
      </c>
      <c r="L551" s="12" t="n">
        <v>25876000</v>
      </c>
      <c r="M551" s="14" t="n">
        <f aca="false">L551+J551</f>
        <v>31928000</v>
      </c>
      <c r="N551" s="12" t="n">
        <v>6052000</v>
      </c>
      <c r="O551" s="12" t="n">
        <v>58216898</v>
      </c>
      <c r="P551" s="12" t="n">
        <v>1349122</v>
      </c>
      <c r="Q551" s="13" t="n">
        <f aca="false">IFERROR(P551/P550-1,"")</f>
        <v>0.0359851335370818</v>
      </c>
      <c r="R551" s="12" t="n">
        <v>1634788</v>
      </c>
      <c r="S551" s="13" t="n">
        <f aca="false">IFERROR(R551/R550-1,"")</f>
        <v>0.120846331580427</v>
      </c>
      <c r="T551" s="12" t="n">
        <v>1115278</v>
      </c>
      <c r="U551" s="13" t="n">
        <f aca="false">IFERROR(T551/P551,"")</f>
        <v>0.826669493196316</v>
      </c>
      <c r="V551" s="14" t="n">
        <f aca="false">T551-AV551</f>
        <v>-1512448</v>
      </c>
      <c r="W551" s="14" t="n">
        <f aca="false">V551-AA551*0.1</f>
        <v>-1642848</v>
      </c>
      <c r="X551" s="12" t="n">
        <v>4157868</v>
      </c>
      <c r="Y551" s="12" t="n">
        <v>134420</v>
      </c>
      <c r="Z551" s="15" t="n">
        <f aca="false">IFERROR(X551/Y551,"")</f>
        <v>30.931914893617</v>
      </c>
      <c r="AA551" s="12" t="n">
        <v>1304000</v>
      </c>
      <c r="AB551" s="14" t="n">
        <f aca="false">W551-0.02*P551</f>
        <v>-1669830.44</v>
      </c>
      <c r="AC551" s="16" t="n">
        <v>40</v>
      </c>
      <c r="AD551" s="13" t="n">
        <f aca="false">IFERROR(AC551/AC550-1,"")</f>
        <v>0.111111111111111</v>
      </c>
      <c r="AE551" s="17" t="n">
        <v>0.146</v>
      </c>
      <c r="AF551" s="17" t="n">
        <v>0.09</v>
      </c>
      <c r="AG551" s="13" t="n">
        <f aca="false">1-AF551</f>
        <v>0.91</v>
      </c>
      <c r="AH551" s="17" t="n">
        <v>1.1</v>
      </c>
      <c r="AI551" s="12" t="n">
        <v>47944</v>
      </c>
      <c r="AJ551" s="14" t="n">
        <f aca="false">IFERROR(AM551*U551*MIN(1/AE551,5),"")</f>
        <v>155992.533366145</v>
      </c>
      <c r="AK551" s="18" t="n">
        <f aca="false">IFERROR(AJ551/AI551,"")</f>
        <v>3.25364035888004</v>
      </c>
      <c r="AL551" s="15" t="n">
        <f aca="false">IFERROR(AI551/(AM551*U551/12),"")</f>
        <v>18.4408826366578</v>
      </c>
      <c r="AM551" s="12" t="n">
        <v>37740</v>
      </c>
      <c r="AN551" s="12" t="n">
        <v>2040604</v>
      </c>
      <c r="AO551" s="12" t="n">
        <v>3934205</v>
      </c>
      <c r="AP551" s="17" t="n">
        <v>0.329</v>
      </c>
      <c r="AQ551" s="16" t="n">
        <v>68</v>
      </c>
      <c r="AR551" s="16" t="n">
        <v>2</v>
      </c>
      <c r="AS551" s="13" t="n">
        <f aca="false">IFERROR(AR551/AR550-1,"")</f>
        <v>0</v>
      </c>
      <c r="AT551" s="11" t="s">
        <v>134</v>
      </c>
      <c r="AU551" s="14" t="n">
        <f aca="false">IFERROR(P551/AR551,"")</f>
        <v>674561</v>
      </c>
      <c r="AV551" s="12" t="n">
        <v>2627726</v>
      </c>
      <c r="AW551" s="12" t="n">
        <v>912988</v>
      </c>
      <c r="AX551" s="12" t="n">
        <v>805002</v>
      </c>
      <c r="AY551" s="16" t="n">
        <v>16721</v>
      </c>
      <c r="AZ551" s="13" t="n">
        <f aca="false">IFERROR(AY551/AY550-1,"")</f>
        <v>0.138489820930074</v>
      </c>
      <c r="BA551" s="17" t="n">
        <v>0.867</v>
      </c>
      <c r="BB551" s="11" t="s">
        <v>107</v>
      </c>
      <c r="BC551" s="11" t="s">
        <v>100</v>
      </c>
      <c r="BD551" s="11" t="s">
        <v>101</v>
      </c>
      <c r="BE551" s="12" t="n">
        <v>1655990</v>
      </c>
      <c r="BF551" s="13" t="n">
        <f aca="false">IFERROR(P551/BE551-1,"")</f>
        <v>-0.185307882293975</v>
      </c>
      <c r="BG551" s="17" t="n">
        <v>0.039</v>
      </c>
      <c r="BH551" s="17" t="n">
        <v>-0.022</v>
      </c>
      <c r="BI551" s="14" t="n">
        <f aca="false">P551*(1+IFERROR(Q551,0))^4</f>
        <v>1554051.18030762</v>
      </c>
      <c r="BJ551" s="12" t="n">
        <v>-1455163</v>
      </c>
      <c r="BK551" s="11" t="s">
        <v>192</v>
      </c>
      <c r="BL551" s="11" t="s">
        <v>128</v>
      </c>
      <c r="BM551" s="14" t="n">
        <f aca="false">O551</f>
        <v>58216898</v>
      </c>
      <c r="BN551" s="11" t="s">
        <v>566</v>
      </c>
      <c r="BO551" s="13" t="n">
        <f aca="false">IFERROR(1-L551/M551,"")</f>
        <v>0.189551490854422</v>
      </c>
      <c r="BP551" s="11" t="s">
        <v>142</v>
      </c>
      <c r="BQ551" s="12" t="n">
        <v>2059929</v>
      </c>
      <c r="BR551" s="11" t="s">
        <v>88</v>
      </c>
      <c r="BS551" s="11" t="s">
        <v>89</v>
      </c>
      <c r="BT551" s="19" t="str">
        <f aca="false">IF(OR(Z551&lt;6,AH551&lt;0.9,S551&lt;0.02,AK551&lt;1),"REVIEW",IF(AND(S551&gt;0.25,AH551&gt;1.2),"ACCELERATING","STABLE"))</f>
        <v>STABLE</v>
      </c>
    </row>
    <row r="552" customFormat="false" ht="15" hidden="false" customHeight="false" outlineLevel="0" collapsed="false">
      <c r="A552" s="11" t="s">
        <v>564</v>
      </c>
      <c r="B552" s="11" t="s">
        <v>92</v>
      </c>
      <c r="C552" s="11" t="s">
        <v>74</v>
      </c>
      <c r="D552" s="11" t="s">
        <v>165</v>
      </c>
      <c r="E552" s="11" t="s">
        <v>105</v>
      </c>
      <c r="F552" s="11" t="s">
        <v>565</v>
      </c>
      <c r="G552" s="11" t="s">
        <v>78</v>
      </c>
      <c r="H552" s="11" t="s">
        <v>79</v>
      </c>
      <c r="I552" s="11" t="s">
        <v>78</v>
      </c>
      <c r="J552" s="12" t="n">
        <v>6052000</v>
      </c>
      <c r="K552" s="13" t="n">
        <f aca="false">IFERROR(J552/M552,"")</f>
        <v>0.189551490854422</v>
      </c>
      <c r="L552" s="12" t="n">
        <v>25876000</v>
      </c>
      <c r="M552" s="14" t="n">
        <f aca="false">L552+J552</f>
        <v>31928000</v>
      </c>
      <c r="N552" s="12" t="n">
        <v>6052000</v>
      </c>
      <c r="O552" s="12" t="n">
        <v>58216898</v>
      </c>
      <c r="P552" s="12" t="n">
        <v>1586346</v>
      </c>
      <c r="Q552" s="13" t="n">
        <f aca="false">IFERROR(P552/P551-1,"")</f>
        <v>0.175835839901803</v>
      </c>
      <c r="R552" s="12" t="n">
        <v>1969917</v>
      </c>
      <c r="S552" s="13" t="n">
        <f aca="false">IFERROR(R552/R551-1,"")</f>
        <v>0.20499844628172</v>
      </c>
      <c r="T552" s="12" t="n">
        <v>1316671</v>
      </c>
      <c r="U552" s="13" t="n">
        <f aca="false">IFERROR(T552/P552,"")</f>
        <v>0.830002408049694</v>
      </c>
      <c r="V552" s="14" t="n">
        <f aca="false">T552-AV552</f>
        <v>-1790893</v>
      </c>
      <c r="W552" s="14" t="n">
        <f aca="false">V552-AA552*0.1</f>
        <v>-1921293</v>
      </c>
      <c r="X552" s="12" t="n">
        <v>3806517</v>
      </c>
      <c r="Y552" s="12" t="n">
        <v>138710</v>
      </c>
      <c r="Z552" s="15" t="n">
        <f aca="false">IFERROR(X552/Y552,"")</f>
        <v>27.4422680412371</v>
      </c>
      <c r="AA552" s="12" t="n">
        <v>1304000</v>
      </c>
      <c r="AB552" s="14" t="n">
        <f aca="false">W552-0.02*P552</f>
        <v>-1953019.92</v>
      </c>
      <c r="AC552" s="16" t="n">
        <v>44</v>
      </c>
      <c r="AD552" s="13" t="n">
        <f aca="false">IFERROR(AC552/AC551-1,"")</f>
        <v>0.1</v>
      </c>
      <c r="AE552" s="17" t="n">
        <v>0.142</v>
      </c>
      <c r="AF552" s="17" t="n">
        <v>0.122</v>
      </c>
      <c r="AG552" s="13" t="n">
        <f aca="false">1-AF552</f>
        <v>0.878</v>
      </c>
      <c r="AH552" s="17" t="n">
        <v>1.095</v>
      </c>
      <c r="AI552" s="12" t="n">
        <v>47022</v>
      </c>
      <c r="AJ552" s="14" t="n">
        <f aca="false">IFERROR(AM552*U552*MIN(1/AE552,5),"")</f>
        <v>159692.463308761</v>
      </c>
      <c r="AK552" s="18" t="n">
        <f aca="false">IFERROR(AJ552/AI552,"")</f>
        <v>3.39612231101955</v>
      </c>
      <c r="AL552" s="15" t="n">
        <f aca="false">IFERROR(AI552/(AM552*U552/12),"")</f>
        <v>17.667208217241</v>
      </c>
      <c r="AM552" s="12" t="n">
        <v>38480</v>
      </c>
      <c r="AN552" s="12" t="n">
        <v>2154676</v>
      </c>
      <c r="AO552" s="12" t="n">
        <v>6269131</v>
      </c>
      <c r="AP552" s="17" t="n">
        <v>0.329</v>
      </c>
      <c r="AQ552" s="16" t="n">
        <v>68</v>
      </c>
      <c r="AR552" s="16" t="n">
        <v>2</v>
      </c>
      <c r="AS552" s="13" t="n">
        <f aca="false">IFERROR(AR552/AR551-1,"")</f>
        <v>0</v>
      </c>
      <c r="AT552" s="11" t="s">
        <v>134</v>
      </c>
      <c r="AU552" s="14" t="n">
        <f aca="false">IFERROR(P552/AR552,"")</f>
        <v>793173</v>
      </c>
      <c r="AV552" s="12" t="n">
        <v>3107564</v>
      </c>
      <c r="AW552" s="12" t="n">
        <v>1199987</v>
      </c>
      <c r="AX552" s="12" t="n">
        <v>914192</v>
      </c>
      <c r="AY552" s="16" t="n">
        <v>17865</v>
      </c>
      <c r="AZ552" s="13" t="n">
        <f aca="false">IFERROR(AY552/AY551-1,"")</f>
        <v>0.0684169607080916</v>
      </c>
      <c r="BA552" s="17" t="n">
        <v>0.869</v>
      </c>
      <c r="BB552" s="11" t="s">
        <v>107</v>
      </c>
      <c r="BC552" s="11" t="s">
        <v>100</v>
      </c>
      <c r="BD552" s="11" t="s">
        <v>101</v>
      </c>
      <c r="BE552" s="12" t="n">
        <v>1869827</v>
      </c>
      <c r="BF552" s="13" t="n">
        <f aca="false">IFERROR(P552/BE552-1,"")</f>
        <v>-0.151608143427173</v>
      </c>
      <c r="BG552" s="17" t="n">
        <v>0.07</v>
      </c>
      <c r="BH552" s="17" t="n">
        <v>0.046</v>
      </c>
      <c r="BI552" s="14" t="n">
        <f aca="false">P552*(1+IFERROR(Q552,0))^4</f>
        <v>3032387.45910849</v>
      </c>
      <c r="BJ552" s="12" t="n">
        <v>-984398</v>
      </c>
      <c r="BK552" s="11" t="s">
        <v>192</v>
      </c>
      <c r="BL552" s="11" t="s">
        <v>128</v>
      </c>
      <c r="BM552" s="14" t="n">
        <f aca="false">O552</f>
        <v>58216898</v>
      </c>
      <c r="BN552" s="11" t="s">
        <v>566</v>
      </c>
      <c r="BO552" s="13" t="n">
        <f aca="false">IFERROR(1-L552/M552,"")</f>
        <v>0.189551490854422</v>
      </c>
      <c r="BP552" s="11" t="s">
        <v>142</v>
      </c>
      <c r="BQ552" s="12" t="n">
        <v>2188765</v>
      </c>
      <c r="BR552" s="11" t="s">
        <v>88</v>
      </c>
      <c r="BS552" s="11" t="s">
        <v>89</v>
      </c>
      <c r="BT552" s="19" t="str">
        <f aca="false">IF(OR(Z552&lt;6,AH552&lt;0.9,S552&lt;0.02,AK552&lt;1),"REVIEW",IF(AND(S552&gt;0.25,AH552&gt;1.2),"ACCELERATING","STABLE"))</f>
        <v>STABLE</v>
      </c>
    </row>
    <row r="553" customFormat="false" ht="15" hidden="false" customHeight="false" outlineLevel="0" collapsed="false">
      <c r="A553" s="11" t="s">
        <v>564</v>
      </c>
      <c r="B553" s="11" t="s">
        <v>93</v>
      </c>
      <c r="C553" s="11" t="s">
        <v>74</v>
      </c>
      <c r="D553" s="11" t="s">
        <v>165</v>
      </c>
      <c r="E553" s="11" t="s">
        <v>105</v>
      </c>
      <c r="F553" s="11" t="s">
        <v>565</v>
      </c>
      <c r="G553" s="11" t="s">
        <v>78</v>
      </c>
      <c r="H553" s="11" t="s">
        <v>79</v>
      </c>
      <c r="I553" s="11" t="s">
        <v>78</v>
      </c>
      <c r="J553" s="12" t="n">
        <v>6052000</v>
      </c>
      <c r="K553" s="13" t="n">
        <f aca="false">IFERROR(J553/M553,"")</f>
        <v>0.189551490854422</v>
      </c>
      <c r="L553" s="12" t="n">
        <v>25876000</v>
      </c>
      <c r="M553" s="14" t="n">
        <f aca="false">L553+J553</f>
        <v>31928000</v>
      </c>
      <c r="N553" s="12" t="n">
        <v>6052000</v>
      </c>
      <c r="O553" s="12" t="n">
        <v>58216898</v>
      </c>
      <c r="P553" s="12" t="n">
        <v>1880867</v>
      </c>
      <c r="Q553" s="13" t="n">
        <f aca="false">IFERROR(P553/P552-1,"")</f>
        <v>0.185660001033822</v>
      </c>
      <c r="R553" s="12" t="n">
        <v>2061417</v>
      </c>
      <c r="S553" s="13" t="n">
        <f aca="false">IFERROR(R553/R552-1,"")</f>
        <v>0.0464486574815082</v>
      </c>
      <c r="T553" s="12" t="n">
        <v>1567394</v>
      </c>
      <c r="U553" s="13" t="n">
        <f aca="false">IFERROR(T553/P553,"")</f>
        <v>0.833335903070233</v>
      </c>
      <c r="V553" s="14" t="n">
        <f aca="false">T553-AV553</f>
        <v>-1620889</v>
      </c>
      <c r="W553" s="14" t="n">
        <f aca="false">V553-AA553*0.1</f>
        <v>-1751289</v>
      </c>
      <c r="X553" s="12" t="n">
        <v>3432000</v>
      </c>
      <c r="Y553" s="12" t="n">
        <v>143000</v>
      </c>
      <c r="Z553" s="15" t="n">
        <f aca="false">IFERROR(X553/Y553,"")</f>
        <v>24</v>
      </c>
      <c r="AA553" s="12" t="n">
        <v>1304000</v>
      </c>
      <c r="AB553" s="14" t="n">
        <f aca="false">W553-0.02*P553</f>
        <v>-1788906.34</v>
      </c>
      <c r="AC553" s="16" t="n">
        <v>53</v>
      </c>
      <c r="AD553" s="13" t="n">
        <f aca="false">IFERROR(AC553/AC552-1,"")</f>
        <v>0.204545454545455</v>
      </c>
      <c r="AE553" s="17" t="n">
        <v>0.138</v>
      </c>
      <c r="AF553" s="17" t="n">
        <v>0.101</v>
      </c>
      <c r="AG553" s="13" t="n">
        <f aca="false">1-AF553</f>
        <v>0.899</v>
      </c>
      <c r="AH553" s="17" t="n">
        <v>1.09</v>
      </c>
      <c r="AI553" s="12" t="n">
        <v>46100</v>
      </c>
      <c r="AJ553" s="14" t="n">
        <f aca="false">IFERROR(AM553*U553*MIN(1/AE553,5),"")</f>
        <v>163417.170592073</v>
      </c>
      <c r="AK553" s="18" t="n">
        <f aca="false">IFERROR(AJ553/AI553,"")</f>
        <v>3.54484101067403</v>
      </c>
      <c r="AL553" s="15" t="n">
        <f aca="false">IFERROR(AI553/(AM553*U553/12),"")</f>
        <v>16.9260059391469</v>
      </c>
      <c r="AM553" s="12" t="n">
        <v>39220</v>
      </c>
      <c r="AN553" s="12" t="n">
        <v>2383240</v>
      </c>
      <c r="AO553" s="12" t="n">
        <v>7809508</v>
      </c>
      <c r="AP553" s="17" t="n">
        <v>0.329</v>
      </c>
      <c r="AQ553" s="16" t="n">
        <v>68</v>
      </c>
      <c r="AR553" s="16" t="n">
        <v>2</v>
      </c>
      <c r="AS553" s="13" t="n">
        <f aca="false">IFERROR(AR553/AR552-1,"")</f>
        <v>0</v>
      </c>
      <c r="AT553" s="11" t="s">
        <v>134</v>
      </c>
      <c r="AU553" s="14" t="n">
        <f aca="false">IFERROR(P553/AR553,"")</f>
        <v>940433.5</v>
      </c>
      <c r="AV553" s="12" t="n">
        <v>3188283</v>
      </c>
      <c r="AW553" s="12" t="n">
        <v>1264281</v>
      </c>
      <c r="AX553" s="12" t="n">
        <v>581273</v>
      </c>
      <c r="AY553" s="16" t="n">
        <v>21283</v>
      </c>
      <c r="AZ553" s="13" t="n">
        <f aca="false">IFERROR(AY553/AY552-1,"")</f>
        <v>0.191323817520291</v>
      </c>
      <c r="BA553" s="17" t="n">
        <v>0.883</v>
      </c>
      <c r="BB553" s="11" t="s">
        <v>107</v>
      </c>
      <c r="BC553" s="11" t="s">
        <v>100</v>
      </c>
      <c r="BD553" s="11" t="s">
        <v>101</v>
      </c>
      <c r="BE553" s="12" t="n">
        <v>2078401</v>
      </c>
      <c r="BF553" s="13" t="n">
        <f aca="false">IFERROR(P553/BE553-1,"")</f>
        <v>-0.0950413322549403</v>
      </c>
      <c r="BG553" s="17" t="n">
        <v>0.021</v>
      </c>
      <c r="BH553" s="17" t="n">
        <v>0.01</v>
      </c>
      <c r="BI553" s="14" t="n">
        <f aca="false">P553*(1+IFERROR(Q553,0))^4</f>
        <v>3717053.0761188</v>
      </c>
      <c r="BJ553" s="12" t="n">
        <v>-1347462</v>
      </c>
      <c r="BK553" s="11" t="s">
        <v>192</v>
      </c>
      <c r="BL553" s="11" t="s">
        <v>128</v>
      </c>
      <c r="BM553" s="14" t="n">
        <f aca="false">O553</f>
        <v>58216898</v>
      </c>
      <c r="BN553" s="11" t="s">
        <v>566</v>
      </c>
      <c r="BO553" s="13" t="n">
        <f aca="false">IFERROR(1-L553/M553,"")</f>
        <v>0.189551490854422</v>
      </c>
      <c r="BP553" s="11" t="s">
        <v>142</v>
      </c>
      <c r="BQ553" s="12" t="n">
        <v>1975714</v>
      </c>
      <c r="BR553" s="11" t="s">
        <v>88</v>
      </c>
      <c r="BS553" s="11" t="s">
        <v>89</v>
      </c>
      <c r="BT553" s="19" t="str">
        <f aca="false">IF(OR(Z553&lt;6,AH553&lt;0.9,S553&lt;0.02,AK553&lt;1),"REVIEW",IF(AND(S553&gt;0.25,AH553&gt;1.2),"ACCELERATING","STABLE"))</f>
        <v>STABLE</v>
      </c>
    </row>
    <row r="554" customFormat="false" ht="15" hidden="false" customHeight="false" outlineLevel="0" collapsed="false">
      <c r="A554" s="3" t="s">
        <v>567</v>
      </c>
      <c r="B554" s="3" t="s">
        <v>73</v>
      </c>
      <c r="C554" s="3" t="s">
        <v>74</v>
      </c>
      <c r="D554" s="3" t="s">
        <v>165</v>
      </c>
      <c r="E554" s="3" t="s">
        <v>187</v>
      </c>
      <c r="F554" s="3" t="s">
        <v>568</v>
      </c>
      <c r="G554" s="3" t="s">
        <v>78</v>
      </c>
      <c r="H554" s="3" t="s">
        <v>79</v>
      </c>
      <c r="I554" s="3" t="s">
        <v>78</v>
      </c>
      <c r="J554" s="4" t="n">
        <v>5248000</v>
      </c>
      <c r="K554" s="5" t="n">
        <f aca="false">IFERROR(J554/M554,"")</f>
        <v>0.175015007003268</v>
      </c>
      <c r="L554" s="4" t="n">
        <v>24738000</v>
      </c>
      <c r="M554" s="6" t="n">
        <f aca="false">L554+J554</f>
        <v>29986000</v>
      </c>
      <c r="N554" s="4" t="n">
        <v>5248000</v>
      </c>
      <c r="O554" s="4" t="n">
        <v>63739033</v>
      </c>
      <c r="P554" s="4" t="n">
        <v>593864</v>
      </c>
      <c r="Q554" s="7"/>
      <c r="R554" s="4" t="n">
        <v>630666</v>
      </c>
      <c r="S554" s="7"/>
      <c r="T554" s="4" t="n">
        <v>325763</v>
      </c>
      <c r="U554" s="5" t="n">
        <f aca="false">IFERROR(T554/P554,"")</f>
        <v>0.548548152438942</v>
      </c>
      <c r="V554" s="6" t="n">
        <f aca="false">T554-AV554</f>
        <v>-1063106</v>
      </c>
      <c r="W554" s="6" t="n">
        <f aca="false">V554-AA554*0.1</f>
        <v>-1063106</v>
      </c>
      <c r="X554" s="4" t="n">
        <v>991199</v>
      </c>
      <c r="Y554" s="4" t="n">
        <v>107380</v>
      </c>
      <c r="Z554" s="8" t="n">
        <f aca="false">IFERROR(X554/Y554,"")</f>
        <v>9.23075991804805</v>
      </c>
      <c r="AA554" s="4" t="n">
        <v>0</v>
      </c>
      <c r="AB554" s="6" t="n">
        <f aca="false">W554-0.02*P554</f>
        <v>-1074983.28</v>
      </c>
      <c r="AC554" s="9" t="n">
        <v>16</v>
      </c>
      <c r="AD554" s="7"/>
      <c r="AE554" s="7" t="n">
        <v>0.073</v>
      </c>
      <c r="AF554" s="7" t="n">
        <v>0.073</v>
      </c>
      <c r="AG554" s="5" t="n">
        <f aca="false">1-AF554</f>
        <v>0.927</v>
      </c>
      <c r="AH554" s="7" t="n">
        <v>1.241</v>
      </c>
      <c r="AI554" s="4" t="n">
        <v>16112</v>
      </c>
      <c r="AJ554" s="6" t="n">
        <f aca="false">IFERROR(AM554*U554*MIN(1/AE554,5),"")</f>
        <v>65825.7782926731</v>
      </c>
      <c r="AK554" s="10" t="n">
        <f aca="false">IFERROR(AJ554/AI554,"")</f>
        <v>4.08551255540424</v>
      </c>
      <c r="AL554" s="8" t="n">
        <f aca="false">IFERROR(AI554/(AM554*U554/12),"")</f>
        <v>14.6860398019419</v>
      </c>
      <c r="AM554" s="4" t="n">
        <v>24000</v>
      </c>
      <c r="AN554" s="4" t="n">
        <v>756636</v>
      </c>
      <c r="AO554" s="4" t="n">
        <v>2081997</v>
      </c>
      <c r="AP554" s="7" t="n">
        <v>0.298</v>
      </c>
      <c r="AQ554" s="9" t="n">
        <v>38</v>
      </c>
      <c r="AR554" s="9" t="n">
        <v>1</v>
      </c>
      <c r="AS554" s="7"/>
      <c r="AT554" s="3" t="s">
        <v>218</v>
      </c>
      <c r="AU554" s="6" t="n">
        <f aca="false">IFERROR(P554/AR554,"")</f>
        <v>593864</v>
      </c>
      <c r="AV554" s="4" t="n">
        <v>1388869</v>
      </c>
      <c r="AW554" s="4" t="n">
        <v>448480</v>
      </c>
      <c r="AX554" s="4" t="n">
        <v>425301</v>
      </c>
      <c r="AY554" s="9" t="n">
        <v>8967</v>
      </c>
      <c r="AZ554" s="7"/>
      <c r="BA554" s="7" t="n">
        <v>0.944</v>
      </c>
      <c r="BB554" s="3" t="s">
        <v>107</v>
      </c>
      <c r="BC554" s="3" t="s">
        <v>82</v>
      </c>
      <c r="BD554" s="3" t="s">
        <v>83</v>
      </c>
      <c r="BE554" s="4" t="n">
        <v>705863</v>
      </c>
      <c r="BF554" s="5" t="n">
        <f aca="false">IFERROR(P554/BE554-1,"")</f>
        <v>-0.158669600191539</v>
      </c>
      <c r="BG554" s="7" t="n">
        <v>-0.059</v>
      </c>
      <c r="BH554" s="7" t="n">
        <v>0.076</v>
      </c>
      <c r="BI554" s="6" t="n">
        <f aca="false">P554</f>
        <v>593864</v>
      </c>
      <c r="BJ554" s="4" t="n">
        <v>-951881</v>
      </c>
      <c r="BK554" s="3" t="s">
        <v>102</v>
      </c>
      <c r="BL554" s="3" t="s">
        <v>162</v>
      </c>
      <c r="BM554" s="6" t="n">
        <f aca="false">O554</f>
        <v>63739033</v>
      </c>
      <c r="BN554" s="3" t="s">
        <v>569</v>
      </c>
      <c r="BO554" s="5" t="n">
        <f aca="false">IFERROR(1-L554/M554,"")</f>
        <v>0.175015007003268</v>
      </c>
      <c r="BP554" s="3" t="s">
        <v>142</v>
      </c>
      <c r="BQ554" s="4" t="n">
        <v>1637161</v>
      </c>
      <c r="BR554" s="3" t="s">
        <v>88</v>
      </c>
      <c r="BS554" s="3" t="s">
        <v>89</v>
      </c>
      <c r="BT554" s="3" t="s">
        <v>90</v>
      </c>
    </row>
    <row r="555" customFormat="false" ht="15" hidden="false" customHeight="false" outlineLevel="0" collapsed="false">
      <c r="A555" s="11" t="s">
        <v>567</v>
      </c>
      <c r="B555" s="11" t="s">
        <v>91</v>
      </c>
      <c r="C555" s="11" t="s">
        <v>74</v>
      </c>
      <c r="D555" s="11" t="s">
        <v>165</v>
      </c>
      <c r="E555" s="11" t="s">
        <v>187</v>
      </c>
      <c r="F555" s="11" t="s">
        <v>568</v>
      </c>
      <c r="G555" s="11" t="s">
        <v>78</v>
      </c>
      <c r="H555" s="11" t="s">
        <v>79</v>
      </c>
      <c r="I555" s="11" t="s">
        <v>78</v>
      </c>
      <c r="J555" s="12" t="n">
        <v>5248000</v>
      </c>
      <c r="K555" s="13" t="n">
        <f aca="false">IFERROR(J555/M555,"")</f>
        <v>0.175015007003268</v>
      </c>
      <c r="L555" s="12" t="n">
        <v>24738000</v>
      </c>
      <c r="M555" s="14" t="n">
        <f aca="false">L555+J555</f>
        <v>29986000</v>
      </c>
      <c r="N555" s="12" t="n">
        <v>5248000</v>
      </c>
      <c r="O555" s="12" t="n">
        <v>63739033</v>
      </c>
      <c r="P555" s="12" t="n">
        <v>832308</v>
      </c>
      <c r="Q555" s="13" t="n">
        <f aca="false">IFERROR(P555/P554-1,"")</f>
        <v>0.401512804278421</v>
      </c>
      <c r="R555" s="12" t="n">
        <v>869024</v>
      </c>
      <c r="S555" s="13" t="n">
        <f aca="false">IFERROR(R555/R554-1,"")</f>
        <v>0.377946488315527</v>
      </c>
      <c r="T555" s="12" t="n">
        <v>458409</v>
      </c>
      <c r="U555" s="13" t="n">
        <f aca="false">IFERROR(T555/P555,"")</f>
        <v>0.550768465519976</v>
      </c>
      <c r="V555" s="14" t="n">
        <f aca="false">T555-AV555</f>
        <v>-1426206</v>
      </c>
      <c r="W555" s="14" t="n">
        <f aca="false">V555-AA555*0.1</f>
        <v>-1426206</v>
      </c>
      <c r="X555" s="12" t="n">
        <v>1274400</v>
      </c>
      <c r="Y555" s="12" t="n">
        <v>110920</v>
      </c>
      <c r="Z555" s="15" t="n">
        <f aca="false">IFERROR(X555/Y555,"")</f>
        <v>11.4893617021277</v>
      </c>
      <c r="AA555" s="12" t="n">
        <v>0</v>
      </c>
      <c r="AB555" s="14" t="n">
        <f aca="false">W555-0.02*P555</f>
        <v>-1442852.16</v>
      </c>
      <c r="AC555" s="16" t="n">
        <v>19</v>
      </c>
      <c r="AD555" s="13" t="n">
        <f aca="false">IFERROR(AC555/AC554-1,"")</f>
        <v>0.1875</v>
      </c>
      <c r="AE555" s="17" t="n">
        <v>0.071</v>
      </c>
      <c r="AF555" s="17" t="n">
        <v>0.053</v>
      </c>
      <c r="AG555" s="13" t="n">
        <f aca="false">1-AF555</f>
        <v>0.947</v>
      </c>
      <c r="AH555" s="17" t="n">
        <v>1.271</v>
      </c>
      <c r="AI555" s="12" t="n">
        <v>15808</v>
      </c>
      <c r="AJ555" s="14" t="n">
        <f aca="false">IFERROR(AM555*U555*MIN(1/AE555,5),"")</f>
        <v>67414.060179645</v>
      </c>
      <c r="AK555" s="18" t="n">
        <f aca="false">IFERROR(AJ555/AI555,"")</f>
        <v>4.26455340205244</v>
      </c>
      <c r="AL555" s="15" t="n">
        <f aca="false">IFERROR(AI555/(AM555*U555/12),"")</f>
        <v>14.0694685570412</v>
      </c>
      <c r="AM555" s="12" t="n">
        <v>24480</v>
      </c>
      <c r="AN555" s="12" t="n">
        <v>1227639</v>
      </c>
      <c r="AO555" s="12" t="n">
        <v>3299118</v>
      </c>
      <c r="AP555" s="17" t="n">
        <v>0.298</v>
      </c>
      <c r="AQ555" s="16" t="n">
        <v>38</v>
      </c>
      <c r="AR555" s="16" t="n">
        <v>1</v>
      </c>
      <c r="AS555" s="13" t="n">
        <f aca="false">IFERROR(AR555/AR554-1,"")</f>
        <v>0</v>
      </c>
      <c r="AT555" s="11" t="s">
        <v>218</v>
      </c>
      <c r="AU555" s="14" t="n">
        <f aca="false">IFERROR(P555/AR555,"")</f>
        <v>832308</v>
      </c>
      <c r="AV555" s="12" t="n">
        <v>1884615</v>
      </c>
      <c r="AW555" s="12" t="n">
        <v>641067</v>
      </c>
      <c r="AX555" s="12" t="n">
        <v>568365</v>
      </c>
      <c r="AY555" s="16" t="n">
        <v>12642</v>
      </c>
      <c r="AZ555" s="13" t="n">
        <f aca="false">IFERROR(AY555/AY554-1,"")</f>
        <v>0.409836065573771</v>
      </c>
      <c r="BA555" s="17" t="n">
        <v>0.94</v>
      </c>
      <c r="BB555" s="11" t="s">
        <v>107</v>
      </c>
      <c r="BC555" s="11" t="s">
        <v>82</v>
      </c>
      <c r="BD555" s="11" t="s">
        <v>83</v>
      </c>
      <c r="BE555" s="12" t="n">
        <v>1037277</v>
      </c>
      <c r="BF555" s="13" t="n">
        <f aca="false">IFERROR(P555/BE555-1,"")</f>
        <v>-0.19760295465917</v>
      </c>
      <c r="BG555" s="17" t="n">
        <v>-0.057</v>
      </c>
      <c r="BH555" s="17" t="n">
        <v>0.088</v>
      </c>
      <c r="BI555" s="14" t="n">
        <f aca="false">P555*(1+IFERROR(Q555,0))^4</f>
        <v>3211236.9206768</v>
      </c>
      <c r="BJ555" s="12" t="n">
        <v>-861803</v>
      </c>
      <c r="BK555" s="11" t="s">
        <v>102</v>
      </c>
      <c r="BL555" s="11" t="s">
        <v>162</v>
      </c>
      <c r="BM555" s="14" t="n">
        <f aca="false">O555</f>
        <v>63739033</v>
      </c>
      <c r="BN555" s="11" t="s">
        <v>569</v>
      </c>
      <c r="BO555" s="13" t="n">
        <f aca="false">IFERROR(1-L555/M555,"")</f>
        <v>0.175015007003268</v>
      </c>
      <c r="BP555" s="11" t="s">
        <v>142</v>
      </c>
      <c r="BQ555" s="12" t="n">
        <v>1757813</v>
      </c>
      <c r="BR555" s="11" t="s">
        <v>88</v>
      </c>
      <c r="BS555" s="11" t="s">
        <v>89</v>
      </c>
      <c r="BT555" s="19" t="str">
        <f aca="false">IF(OR(Z555&lt;6,AH555&lt;0.9,S555&lt;0.02,AK555&lt;1),"REVIEW",IF(AND(S555&gt;0.25,AH555&gt;1.2),"ACCELERATING","STABLE"))</f>
        <v>ACCELERATING</v>
      </c>
    </row>
    <row r="556" customFormat="false" ht="15" hidden="false" customHeight="false" outlineLevel="0" collapsed="false">
      <c r="A556" s="11" t="s">
        <v>567</v>
      </c>
      <c r="B556" s="11" t="s">
        <v>92</v>
      </c>
      <c r="C556" s="11" t="s">
        <v>74</v>
      </c>
      <c r="D556" s="11" t="s">
        <v>165</v>
      </c>
      <c r="E556" s="11" t="s">
        <v>187</v>
      </c>
      <c r="F556" s="11" t="s">
        <v>568</v>
      </c>
      <c r="G556" s="11" t="s">
        <v>78</v>
      </c>
      <c r="H556" s="11" t="s">
        <v>79</v>
      </c>
      <c r="I556" s="11" t="s">
        <v>78</v>
      </c>
      <c r="J556" s="12" t="n">
        <v>5248000</v>
      </c>
      <c r="K556" s="13" t="n">
        <f aca="false">IFERROR(J556/M556,"")</f>
        <v>0.175015007003268</v>
      </c>
      <c r="L556" s="12" t="n">
        <v>24738000</v>
      </c>
      <c r="M556" s="14" t="n">
        <f aca="false">L556+J556</f>
        <v>29986000</v>
      </c>
      <c r="N556" s="12" t="n">
        <v>5248000</v>
      </c>
      <c r="O556" s="12" t="n">
        <v>63739033</v>
      </c>
      <c r="P556" s="12" t="n">
        <v>1127821</v>
      </c>
      <c r="Q556" s="13" t="n">
        <f aca="false">IFERROR(P556/P555-1,"")</f>
        <v>0.35505245654253</v>
      </c>
      <c r="R556" s="12" t="n">
        <v>1142533</v>
      </c>
      <c r="S556" s="13" t="n">
        <f aca="false">IFERROR(R556/R555-1,"")</f>
        <v>0.314731238722981</v>
      </c>
      <c r="T556" s="12" t="n">
        <v>623674</v>
      </c>
      <c r="U556" s="13" t="n">
        <f aca="false">IFERROR(T556/P556,"")</f>
        <v>0.552990235152564</v>
      </c>
      <c r="V556" s="14" t="n">
        <f aca="false">T556-AV556</f>
        <v>-1079798</v>
      </c>
      <c r="W556" s="14" t="n">
        <f aca="false">V556-AA556*0.1</f>
        <v>-1079798</v>
      </c>
      <c r="X556" s="12" t="n">
        <v>1557600</v>
      </c>
      <c r="Y556" s="12" t="n">
        <v>114460</v>
      </c>
      <c r="Z556" s="15" t="n">
        <f aca="false">IFERROR(X556/Y556,"")</f>
        <v>13.6082474226804</v>
      </c>
      <c r="AA556" s="12" t="n">
        <v>0</v>
      </c>
      <c r="AB556" s="14" t="n">
        <f aca="false">W556-0.02*P556</f>
        <v>-1102354.42</v>
      </c>
      <c r="AC556" s="16" t="n">
        <v>24</v>
      </c>
      <c r="AD556" s="13" t="n">
        <f aca="false">IFERROR(AC556/AC555-1,"")</f>
        <v>0.263157894736842</v>
      </c>
      <c r="AE556" s="17" t="n">
        <v>0.069</v>
      </c>
      <c r="AF556" s="17" t="n">
        <v>0.061</v>
      </c>
      <c r="AG556" s="13" t="n">
        <f aca="false">1-AF556</f>
        <v>0.939</v>
      </c>
      <c r="AH556" s="17" t="n">
        <v>1.301</v>
      </c>
      <c r="AI556" s="12" t="n">
        <v>15504</v>
      </c>
      <c r="AJ556" s="14" t="n">
        <f aca="false">IFERROR(AM556*U556*MIN(1/AE556,5),"")</f>
        <v>69013.18134704</v>
      </c>
      <c r="AK556" s="18" t="n">
        <f aca="false">IFERROR(AJ556/AI556,"")</f>
        <v>4.45131458636739</v>
      </c>
      <c r="AL556" s="15" t="n">
        <f aca="false">IFERROR(AI556/(AM556*U556/12),"")</f>
        <v>13.4791641515871</v>
      </c>
      <c r="AM556" s="12" t="n">
        <v>24960</v>
      </c>
      <c r="AN556" s="12" t="n">
        <v>1087099</v>
      </c>
      <c r="AO556" s="12" t="n">
        <v>3801206</v>
      </c>
      <c r="AP556" s="17" t="n">
        <v>0.298</v>
      </c>
      <c r="AQ556" s="16" t="n">
        <v>38</v>
      </c>
      <c r="AR556" s="16" t="n">
        <v>1</v>
      </c>
      <c r="AS556" s="13" t="n">
        <f aca="false">IFERROR(AR556/AR555-1,"")</f>
        <v>0</v>
      </c>
      <c r="AT556" s="11" t="s">
        <v>218</v>
      </c>
      <c r="AU556" s="14" t="n">
        <f aca="false">IFERROR(P556/AR556,"")</f>
        <v>1127821</v>
      </c>
      <c r="AV556" s="12" t="n">
        <v>1703472</v>
      </c>
      <c r="AW556" s="12" t="n">
        <v>529705</v>
      </c>
      <c r="AX556" s="12" t="n">
        <v>331823</v>
      </c>
      <c r="AY556" s="16" t="n">
        <v>16058</v>
      </c>
      <c r="AZ556" s="13" t="n">
        <f aca="false">IFERROR(AY556/AY555-1,"")</f>
        <v>0.270210409745294</v>
      </c>
      <c r="BA556" s="17" t="n">
        <v>0.948</v>
      </c>
      <c r="BB556" s="11" t="s">
        <v>107</v>
      </c>
      <c r="BC556" s="11" t="s">
        <v>82</v>
      </c>
      <c r="BD556" s="11" t="s">
        <v>83</v>
      </c>
      <c r="BE556" s="12" t="n">
        <v>1174384</v>
      </c>
      <c r="BF556" s="13" t="n">
        <f aca="false">IFERROR(P556/BE556-1,"")</f>
        <v>-0.0396488712380277</v>
      </c>
      <c r="BG556" s="17" t="n">
        <v>0.084</v>
      </c>
      <c r="BH556" s="17" t="n">
        <v>-0.077</v>
      </c>
      <c r="BI556" s="14" t="n">
        <f aca="false">P556*(1+IFERROR(Q556,0))^4</f>
        <v>3802459.59857762</v>
      </c>
      <c r="BJ556" s="12" t="n">
        <v>-698960</v>
      </c>
      <c r="BK556" s="11" t="s">
        <v>102</v>
      </c>
      <c r="BL556" s="11" t="s">
        <v>162</v>
      </c>
      <c r="BM556" s="14" t="n">
        <f aca="false">O556</f>
        <v>63739033</v>
      </c>
      <c r="BN556" s="11" t="s">
        <v>569</v>
      </c>
      <c r="BO556" s="13" t="n">
        <f aca="false">IFERROR(1-L556/M556,"")</f>
        <v>0.175015007003268</v>
      </c>
      <c r="BP556" s="11" t="s">
        <v>142</v>
      </c>
      <c r="BQ556" s="12" t="n">
        <v>1736479</v>
      </c>
      <c r="BR556" s="11" t="s">
        <v>88</v>
      </c>
      <c r="BS556" s="11" t="s">
        <v>89</v>
      </c>
      <c r="BT556" s="19" t="str">
        <f aca="false">IF(OR(Z556&lt;6,AH556&lt;0.9,S556&lt;0.02,AK556&lt;1),"REVIEW",IF(AND(S556&gt;0.25,AH556&gt;1.2),"ACCELERATING","STABLE"))</f>
        <v>ACCELERATING</v>
      </c>
    </row>
    <row r="557" customFormat="false" ht="15" hidden="false" customHeight="false" outlineLevel="0" collapsed="false">
      <c r="A557" s="11" t="s">
        <v>567</v>
      </c>
      <c r="B557" s="11" t="s">
        <v>93</v>
      </c>
      <c r="C557" s="11" t="s">
        <v>74</v>
      </c>
      <c r="D557" s="11" t="s">
        <v>165</v>
      </c>
      <c r="E557" s="11" t="s">
        <v>187</v>
      </c>
      <c r="F557" s="11" t="s">
        <v>568</v>
      </c>
      <c r="G557" s="11" t="s">
        <v>78</v>
      </c>
      <c r="H557" s="11" t="s">
        <v>79</v>
      </c>
      <c r="I557" s="11" t="s">
        <v>78</v>
      </c>
      <c r="J557" s="12" t="n">
        <v>5248000</v>
      </c>
      <c r="K557" s="13" t="n">
        <f aca="false">IFERROR(J557/M557,"")</f>
        <v>0.175015007003268</v>
      </c>
      <c r="L557" s="12" t="n">
        <v>24738000</v>
      </c>
      <c r="M557" s="14" t="n">
        <f aca="false">L557+J557</f>
        <v>29986000</v>
      </c>
      <c r="N557" s="12" t="n">
        <v>5248000</v>
      </c>
      <c r="O557" s="12" t="n">
        <v>63739033</v>
      </c>
      <c r="P557" s="12" t="n">
        <v>1550151</v>
      </c>
      <c r="Q557" s="13" t="n">
        <f aca="false">IFERROR(P557/P556-1,"")</f>
        <v>0.374465451521119</v>
      </c>
      <c r="R557" s="12" t="n">
        <v>1641753</v>
      </c>
      <c r="S557" s="13" t="n">
        <f aca="false">IFERROR(R557/R556-1,"")</f>
        <v>0.436941427512378</v>
      </c>
      <c r="T557" s="12" t="n">
        <v>860661</v>
      </c>
      <c r="U557" s="13" t="n">
        <f aca="false">IFERROR(T557/P557,"")</f>
        <v>0.555211072985793</v>
      </c>
      <c r="V557" s="14" t="n">
        <f aca="false">T557-AV557</f>
        <v>-1477720</v>
      </c>
      <c r="W557" s="14" t="n">
        <f aca="false">V557-AA557*0.1</f>
        <v>-1477720</v>
      </c>
      <c r="X557" s="12" t="n">
        <v>2832000</v>
      </c>
      <c r="Y557" s="12" t="n">
        <v>118000</v>
      </c>
      <c r="Z557" s="15" t="n">
        <f aca="false">IFERROR(X557/Y557,"")</f>
        <v>24</v>
      </c>
      <c r="AA557" s="12" t="n">
        <v>0</v>
      </c>
      <c r="AB557" s="14" t="n">
        <f aca="false">W557-0.02*P557</f>
        <v>-1508723.02</v>
      </c>
      <c r="AC557" s="16" t="n">
        <v>33</v>
      </c>
      <c r="AD557" s="13" t="n">
        <f aca="false">IFERROR(AC557/AC556-1,"")</f>
        <v>0.375</v>
      </c>
      <c r="AE557" s="17" t="n">
        <v>0.067</v>
      </c>
      <c r="AF557" s="17" t="n">
        <v>0.047</v>
      </c>
      <c r="AG557" s="13" t="n">
        <f aca="false">1-AF557</f>
        <v>0.953</v>
      </c>
      <c r="AH557" s="17" t="n">
        <v>1.331</v>
      </c>
      <c r="AI557" s="12" t="n">
        <v>15200</v>
      </c>
      <c r="AJ557" s="14" t="n">
        <f aca="false">IFERROR(AM557*U557*MIN(1/AE557,5),"")</f>
        <v>70622.8484837929</v>
      </c>
      <c r="AK557" s="18" t="n">
        <f aca="false">IFERROR(AJ557/AI557,"")</f>
        <v>4.64624003182848</v>
      </c>
      <c r="AL557" s="15" t="n">
        <f aca="false">IFERROR(AI557/(AM557*U557/12),"")</f>
        <v>12.9136677375636</v>
      </c>
      <c r="AM557" s="12" t="n">
        <v>25440</v>
      </c>
      <c r="AN557" s="12" t="n">
        <v>1578147</v>
      </c>
      <c r="AO557" s="12" t="n">
        <v>3082219</v>
      </c>
      <c r="AP557" s="17" t="n">
        <v>0.298</v>
      </c>
      <c r="AQ557" s="16" t="n">
        <v>38</v>
      </c>
      <c r="AR557" s="16" t="n">
        <v>1</v>
      </c>
      <c r="AS557" s="13" t="n">
        <f aca="false">IFERROR(AR557/AR556-1,"")</f>
        <v>0</v>
      </c>
      <c r="AT557" s="11" t="s">
        <v>218</v>
      </c>
      <c r="AU557" s="14" t="n">
        <f aca="false">IFERROR(P557/AR557,"")</f>
        <v>1550151</v>
      </c>
      <c r="AV557" s="12" t="n">
        <v>2338381</v>
      </c>
      <c r="AW557" s="12" t="n">
        <v>907109</v>
      </c>
      <c r="AX557" s="12" t="n">
        <v>756353</v>
      </c>
      <c r="AY557" s="16" t="n">
        <v>20910</v>
      </c>
      <c r="AZ557" s="13" t="n">
        <f aca="false">IFERROR(AY557/AY556-1,"")</f>
        <v>0.302154689251464</v>
      </c>
      <c r="BA557" s="17" t="n">
        <v>0.951</v>
      </c>
      <c r="BB557" s="11" t="s">
        <v>107</v>
      </c>
      <c r="BC557" s="11" t="s">
        <v>82</v>
      </c>
      <c r="BD557" s="11" t="s">
        <v>83</v>
      </c>
      <c r="BE557" s="12" t="n">
        <v>1776733</v>
      </c>
      <c r="BF557" s="13" t="n">
        <f aca="false">IFERROR(P557/BE557-1,"")</f>
        <v>-0.127527321212585</v>
      </c>
      <c r="BG557" s="17" t="n">
        <v>-0.018</v>
      </c>
      <c r="BH557" s="17" t="n">
        <v>-0.068</v>
      </c>
      <c r="BI557" s="14" t="n">
        <f aca="false">P557*(1+IFERROR(Q557,0))^4</f>
        <v>5532345.78150312</v>
      </c>
      <c r="BJ557" s="12" t="n">
        <v>-1213328</v>
      </c>
      <c r="BK557" s="11" t="s">
        <v>102</v>
      </c>
      <c r="BL557" s="11" t="s">
        <v>162</v>
      </c>
      <c r="BM557" s="14" t="n">
        <f aca="false">O557</f>
        <v>63739033</v>
      </c>
      <c r="BN557" s="11" t="s">
        <v>569</v>
      </c>
      <c r="BO557" s="13" t="n">
        <f aca="false">IFERROR(1-L557/M557,"")</f>
        <v>0.175015007003268</v>
      </c>
      <c r="BP557" s="11" t="s">
        <v>142</v>
      </c>
      <c r="BQ557" s="12" t="n">
        <v>1875548</v>
      </c>
      <c r="BR557" s="11" t="s">
        <v>88</v>
      </c>
      <c r="BS557" s="11" t="s">
        <v>89</v>
      </c>
      <c r="BT557" s="19" t="str">
        <f aca="false">IF(OR(Z557&lt;6,AH557&lt;0.9,S557&lt;0.02,AK557&lt;1),"REVIEW",IF(AND(S557&gt;0.25,AH557&gt;1.2),"ACCELERATING","STABLE"))</f>
        <v>ACCELERATING</v>
      </c>
    </row>
    <row r="558" customFormat="false" ht="15" hidden="false" customHeight="false" outlineLevel="0" collapsed="false">
      <c r="A558" s="3" t="s">
        <v>570</v>
      </c>
      <c r="B558" s="3" t="s">
        <v>73</v>
      </c>
      <c r="C558" s="3" t="s">
        <v>74</v>
      </c>
      <c r="D558" s="3" t="s">
        <v>151</v>
      </c>
      <c r="E558" s="3" t="s">
        <v>105</v>
      </c>
      <c r="F558" s="3" t="s">
        <v>571</v>
      </c>
      <c r="G558" s="3" t="s">
        <v>78</v>
      </c>
      <c r="H558" s="3" t="s">
        <v>79</v>
      </c>
      <c r="I558" s="3" t="s">
        <v>78</v>
      </c>
      <c r="J558" s="4" t="n">
        <v>2617000</v>
      </c>
      <c r="K558" s="5" t="n">
        <f aca="false">IFERROR(J558/M558,"")</f>
        <v>0.152354893171101</v>
      </c>
      <c r="L558" s="4" t="n">
        <v>14560000</v>
      </c>
      <c r="M558" s="6" t="n">
        <f aca="false">L558+J558</f>
        <v>17177000</v>
      </c>
      <c r="N558" s="4" t="n">
        <v>2738000</v>
      </c>
      <c r="O558" s="4" t="n">
        <v>37385038</v>
      </c>
      <c r="P558" s="4" t="n">
        <v>1172857</v>
      </c>
      <c r="Q558" s="7"/>
      <c r="R558" s="4" t="n">
        <v>1368948</v>
      </c>
      <c r="S558" s="7"/>
      <c r="T558" s="4" t="n">
        <v>854211</v>
      </c>
      <c r="U558" s="5" t="n">
        <f aca="false">IFERROR(T558/P558,"")</f>
        <v>0.728316410269965</v>
      </c>
      <c r="V558" s="6" t="n">
        <f aca="false">T558-AV558</f>
        <v>-1763490</v>
      </c>
      <c r="W558" s="6" t="n">
        <f aca="false">V558-AA558*0.1</f>
        <v>-1763490</v>
      </c>
      <c r="X558" s="4" t="n">
        <v>767469</v>
      </c>
      <c r="Y558" s="4" t="n">
        <v>167440</v>
      </c>
      <c r="Z558" s="8" t="n">
        <f aca="false">IFERROR(X558/Y558,"")</f>
        <v>4.58354634495939</v>
      </c>
      <c r="AA558" s="4" t="n">
        <v>0</v>
      </c>
      <c r="AB558" s="6" t="n">
        <f aca="false">W558-0.02*P558</f>
        <v>-1786947.14</v>
      </c>
      <c r="AC558" s="9" t="n">
        <v>29</v>
      </c>
      <c r="AD558" s="7"/>
      <c r="AE558" s="7" t="n">
        <v>0.049</v>
      </c>
      <c r="AF558" s="7" t="n">
        <v>0.036</v>
      </c>
      <c r="AG558" s="5" t="n">
        <f aca="false">1-AF558</f>
        <v>0.964</v>
      </c>
      <c r="AH558" s="7" t="n">
        <v>1.229</v>
      </c>
      <c r="AI558" s="4" t="n">
        <v>34556</v>
      </c>
      <c r="AJ558" s="6" t="n">
        <f aca="false">IFERROR(AM558*U558*MIN(1/AE558,5),"")</f>
        <v>131096.953848594</v>
      </c>
      <c r="AK558" s="10" t="n">
        <f aca="false">IFERROR(AJ558/AI558,"")</f>
        <v>3.79375372868948</v>
      </c>
      <c r="AL558" s="8" t="n">
        <f aca="false">IFERROR(AI558/(AM558*U558/12),"")</f>
        <v>15.8154704524604</v>
      </c>
      <c r="AM558" s="4" t="n">
        <v>36000</v>
      </c>
      <c r="AN558" s="4" t="n">
        <v>2051810</v>
      </c>
      <c r="AO558" s="4" t="n">
        <v>3282087</v>
      </c>
      <c r="AP558" s="7" t="n">
        <v>0.416</v>
      </c>
      <c r="AQ558" s="9" t="n">
        <v>48</v>
      </c>
      <c r="AR558" s="9" t="n">
        <v>3</v>
      </c>
      <c r="AS558" s="7"/>
      <c r="AT558" s="3" t="s">
        <v>98</v>
      </c>
      <c r="AU558" s="6" t="n">
        <f aca="false">IFERROR(P558/AR558,"")</f>
        <v>390952.333333333</v>
      </c>
      <c r="AV558" s="4" t="n">
        <v>2617701</v>
      </c>
      <c r="AW558" s="4" t="n">
        <v>840051</v>
      </c>
      <c r="AX558" s="4" t="n">
        <v>534242</v>
      </c>
      <c r="AY558" s="9" t="n">
        <v>1913</v>
      </c>
      <c r="AZ558" s="7"/>
      <c r="BA558" s="7" t="n">
        <v>0.959</v>
      </c>
      <c r="BB558" s="3" t="s">
        <v>107</v>
      </c>
      <c r="BC558" s="3" t="s">
        <v>108</v>
      </c>
      <c r="BD558" s="3" t="s">
        <v>109</v>
      </c>
      <c r="BE558" s="4" t="n">
        <v>1063895</v>
      </c>
      <c r="BF558" s="5" t="n">
        <f aca="false">IFERROR(P558/BE558-1,"")</f>
        <v>0.102418001776491</v>
      </c>
      <c r="BG558" s="7" t="n">
        <v>-0.03</v>
      </c>
      <c r="BH558" s="7" t="n">
        <v>-0.065</v>
      </c>
      <c r="BI558" s="6" t="n">
        <f aca="false">P558</f>
        <v>1172857</v>
      </c>
      <c r="BJ558" s="4" t="n">
        <v>-1277443</v>
      </c>
      <c r="BK558" s="3" t="s">
        <v>102</v>
      </c>
      <c r="BL558" s="3" t="s">
        <v>128</v>
      </c>
      <c r="BM558" s="6" t="n">
        <f aca="false">O558</f>
        <v>37385038</v>
      </c>
      <c r="BN558" s="3" t="s">
        <v>572</v>
      </c>
      <c r="BO558" s="5" t="n">
        <f aca="false">IFERROR(1-L558/M558,"")</f>
        <v>0.152354893171101</v>
      </c>
      <c r="BP558" s="3" t="s">
        <v>198</v>
      </c>
      <c r="BQ558" s="4" t="n">
        <v>3143670</v>
      </c>
      <c r="BR558" s="3" t="s">
        <v>88</v>
      </c>
      <c r="BS558" s="3" t="s">
        <v>89</v>
      </c>
      <c r="BT558" s="3" t="s">
        <v>90</v>
      </c>
    </row>
    <row r="559" customFormat="false" ht="15" hidden="false" customHeight="false" outlineLevel="0" collapsed="false">
      <c r="A559" s="11" t="s">
        <v>570</v>
      </c>
      <c r="B559" s="11" t="s">
        <v>91</v>
      </c>
      <c r="C559" s="11" t="s">
        <v>74</v>
      </c>
      <c r="D559" s="11" t="s">
        <v>151</v>
      </c>
      <c r="E559" s="11" t="s">
        <v>105</v>
      </c>
      <c r="F559" s="11" t="s">
        <v>571</v>
      </c>
      <c r="G559" s="11" t="s">
        <v>78</v>
      </c>
      <c r="H559" s="11" t="s">
        <v>79</v>
      </c>
      <c r="I559" s="11" t="s">
        <v>78</v>
      </c>
      <c r="J559" s="12" t="n">
        <v>2617000</v>
      </c>
      <c r="K559" s="13" t="n">
        <f aca="false">IFERROR(J559/M559,"")</f>
        <v>0.152354893171101</v>
      </c>
      <c r="L559" s="12" t="n">
        <v>14560000</v>
      </c>
      <c r="M559" s="14" t="n">
        <f aca="false">L559+J559</f>
        <v>17177000</v>
      </c>
      <c r="N559" s="12" t="n">
        <v>2738000</v>
      </c>
      <c r="O559" s="12" t="n">
        <v>37385038</v>
      </c>
      <c r="P559" s="12" t="n">
        <v>1496969</v>
      </c>
      <c r="Q559" s="13" t="n">
        <f aca="false">IFERROR(P559/P558-1,"")</f>
        <v>0.276344004426797</v>
      </c>
      <c r="R559" s="12" t="n">
        <v>1856579</v>
      </c>
      <c r="S559" s="13" t="n">
        <f aca="false">IFERROR(R559/R558-1,"")</f>
        <v>0.35620856307179</v>
      </c>
      <c r="T559" s="12" t="n">
        <v>1094681</v>
      </c>
      <c r="U559" s="13" t="n">
        <f aca="false">IFERROR(T559/P559,"")</f>
        <v>0.731264976095029</v>
      </c>
      <c r="V559" s="14" t="n">
        <f aca="false">T559-AV559</f>
        <v>-1915402</v>
      </c>
      <c r="W559" s="14" t="n">
        <f aca="false">V559-AA559*0.1</f>
        <v>-1915402</v>
      </c>
      <c r="X559" s="12" t="n">
        <v>986746</v>
      </c>
      <c r="Y559" s="12" t="n">
        <v>172960</v>
      </c>
      <c r="Z559" s="15" t="n">
        <f aca="false">IFERROR(X559/Y559,"")</f>
        <v>5.70505319148936</v>
      </c>
      <c r="AA559" s="12" t="n">
        <v>0</v>
      </c>
      <c r="AB559" s="14" t="n">
        <f aca="false">W559-0.02*P559</f>
        <v>-1945341.38</v>
      </c>
      <c r="AC559" s="16" t="n">
        <v>37</v>
      </c>
      <c r="AD559" s="13" t="n">
        <f aca="false">IFERROR(AC559/AC558-1,"")</f>
        <v>0.275862068965517</v>
      </c>
      <c r="AE559" s="17" t="n">
        <v>0.048</v>
      </c>
      <c r="AF559" s="17" t="n">
        <v>0.031</v>
      </c>
      <c r="AG559" s="13" t="n">
        <f aca="false">1-AF559</f>
        <v>0.969</v>
      </c>
      <c r="AH559" s="17" t="n">
        <v>1.259</v>
      </c>
      <c r="AI559" s="12" t="n">
        <v>33904</v>
      </c>
      <c r="AJ559" s="14" t="n">
        <f aca="false">IFERROR(AM559*U559*MIN(1/AE559,5),"")</f>
        <v>134260.249611047</v>
      </c>
      <c r="AK559" s="18" t="n">
        <f aca="false">IFERROR(AJ559/AI559,"")</f>
        <v>3.96001208149621</v>
      </c>
      <c r="AL559" s="15" t="n">
        <f aca="false">IFERROR(AI559/(AM559*U559/12),"")</f>
        <v>15.151468926158</v>
      </c>
      <c r="AM559" s="12" t="n">
        <v>36720</v>
      </c>
      <c r="AN559" s="12" t="n">
        <v>2168330</v>
      </c>
      <c r="AO559" s="12" t="n">
        <v>5200987</v>
      </c>
      <c r="AP559" s="17" t="n">
        <v>0.416</v>
      </c>
      <c r="AQ559" s="16" t="n">
        <v>48</v>
      </c>
      <c r="AR559" s="16" t="n">
        <v>4</v>
      </c>
      <c r="AS559" s="13" t="n">
        <f aca="false">IFERROR(AR559/AR558-1,"")</f>
        <v>0.333333333333333</v>
      </c>
      <c r="AT559" s="11" t="s">
        <v>98</v>
      </c>
      <c r="AU559" s="14" t="n">
        <f aca="false">IFERROR(P559/AR559,"")</f>
        <v>374242.25</v>
      </c>
      <c r="AV559" s="12" t="n">
        <v>3010083</v>
      </c>
      <c r="AW559" s="12" t="n">
        <v>1159921</v>
      </c>
      <c r="AX559" s="12" t="n">
        <v>981419</v>
      </c>
      <c r="AY559" s="16" t="n">
        <v>2729</v>
      </c>
      <c r="AZ559" s="13" t="n">
        <f aca="false">IFERROR(AY559/AY558-1,"")</f>
        <v>0.426555148980659</v>
      </c>
      <c r="BA559" s="17" t="n">
        <v>0.965</v>
      </c>
      <c r="BB559" s="11" t="s">
        <v>107</v>
      </c>
      <c r="BC559" s="11" t="s">
        <v>108</v>
      </c>
      <c r="BD559" s="11" t="s">
        <v>109</v>
      </c>
      <c r="BE559" s="12" t="n">
        <v>1461241</v>
      </c>
      <c r="BF559" s="13" t="n">
        <f aca="false">IFERROR(P559/BE559-1,"")</f>
        <v>0.0244504499942173</v>
      </c>
      <c r="BG559" s="17" t="n">
        <v>0.028</v>
      </c>
      <c r="BH559" s="17" t="n">
        <v>0.016</v>
      </c>
      <c r="BI559" s="14" t="n">
        <f aca="false">P559*(1+IFERROR(Q559,0))^4</f>
        <v>3972681.76926123</v>
      </c>
      <c r="BJ559" s="12" t="n">
        <v>-1153758</v>
      </c>
      <c r="BK559" s="11" t="s">
        <v>102</v>
      </c>
      <c r="BL559" s="11" t="s">
        <v>128</v>
      </c>
      <c r="BM559" s="14" t="n">
        <f aca="false">O559</f>
        <v>37385038</v>
      </c>
      <c r="BN559" s="11" t="s">
        <v>572</v>
      </c>
      <c r="BO559" s="13" t="n">
        <f aca="false">IFERROR(1-L559/M559,"")</f>
        <v>0.152354893171101</v>
      </c>
      <c r="BP559" s="11" t="s">
        <v>198</v>
      </c>
      <c r="BQ559" s="12" t="n">
        <v>3151616</v>
      </c>
      <c r="BR559" s="11" t="s">
        <v>88</v>
      </c>
      <c r="BS559" s="11" t="s">
        <v>89</v>
      </c>
      <c r="BT559" s="19" t="str">
        <f aca="false">IF(OR(Z559&lt;6,AH559&lt;0.9,S559&lt;0.02,AK559&lt;1),"REVIEW",IF(AND(S559&gt;0.25,AH559&gt;1.2),"ACCELERATING","STABLE"))</f>
        <v>REVIEW</v>
      </c>
    </row>
    <row r="560" customFormat="false" ht="15" hidden="false" customHeight="false" outlineLevel="0" collapsed="false">
      <c r="A560" s="11" t="s">
        <v>570</v>
      </c>
      <c r="B560" s="11" t="s">
        <v>92</v>
      </c>
      <c r="C560" s="11" t="s">
        <v>74</v>
      </c>
      <c r="D560" s="11" t="s">
        <v>151</v>
      </c>
      <c r="E560" s="11" t="s">
        <v>105</v>
      </c>
      <c r="F560" s="11" t="s">
        <v>571</v>
      </c>
      <c r="G560" s="11" t="s">
        <v>78</v>
      </c>
      <c r="H560" s="11" t="s">
        <v>79</v>
      </c>
      <c r="I560" s="11" t="s">
        <v>78</v>
      </c>
      <c r="J560" s="12" t="n">
        <v>2617000</v>
      </c>
      <c r="K560" s="13" t="n">
        <f aca="false">IFERROR(J560/M560,"")</f>
        <v>0.152354893171101</v>
      </c>
      <c r="L560" s="12" t="n">
        <v>14560000</v>
      </c>
      <c r="M560" s="14" t="n">
        <f aca="false">L560+J560</f>
        <v>17177000</v>
      </c>
      <c r="N560" s="12" t="n">
        <v>2738000</v>
      </c>
      <c r="O560" s="12" t="n">
        <v>37385038</v>
      </c>
      <c r="P560" s="12" t="n">
        <v>2049232</v>
      </c>
      <c r="Q560" s="13" t="n">
        <f aca="false">IFERROR(P560/P559-1,"")</f>
        <v>0.368920799295109</v>
      </c>
      <c r="R560" s="12" t="n">
        <v>2307547</v>
      </c>
      <c r="S560" s="13" t="n">
        <f aca="false">IFERROR(R560/R559-1,"")</f>
        <v>0.242902672065126</v>
      </c>
      <c r="T560" s="12" t="n">
        <v>1504574</v>
      </c>
      <c r="U560" s="13" t="n">
        <f aca="false">IFERROR(T560/P560,"")</f>
        <v>0.734213598069911</v>
      </c>
      <c r="V560" s="14" t="n">
        <f aca="false">T560-AV560</f>
        <v>-1860491</v>
      </c>
      <c r="W560" s="14" t="n">
        <f aca="false">V560-AA560*0.1</f>
        <v>-1860491</v>
      </c>
      <c r="X560" s="12" t="n">
        <v>1206023</v>
      </c>
      <c r="Y560" s="12" t="n">
        <v>178480</v>
      </c>
      <c r="Z560" s="15" t="n">
        <f aca="false">IFERROR(X560/Y560,"")</f>
        <v>6.75718848050202</v>
      </c>
      <c r="AA560" s="12" t="n">
        <v>0</v>
      </c>
      <c r="AB560" s="14" t="n">
        <f aca="false">W560-0.02*P560</f>
        <v>-1901475.64</v>
      </c>
      <c r="AC560" s="16" t="n">
        <v>50</v>
      </c>
      <c r="AD560" s="13" t="n">
        <f aca="false">IFERROR(AC560/AC559-1,"")</f>
        <v>0.351351351351351</v>
      </c>
      <c r="AE560" s="17" t="n">
        <v>0.046</v>
      </c>
      <c r="AF560" s="17" t="n">
        <v>0.032</v>
      </c>
      <c r="AG560" s="13" t="n">
        <f aca="false">1-AF560</f>
        <v>0.968</v>
      </c>
      <c r="AH560" s="17" t="n">
        <v>1.289</v>
      </c>
      <c r="AI560" s="12" t="n">
        <v>33252</v>
      </c>
      <c r="AJ560" s="14" t="n">
        <f aca="false">IFERROR(AM560*U560*MIN(1/AE560,5),"")</f>
        <v>137444.785558687</v>
      </c>
      <c r="AK560" s="18" t="n">
        <f aca="false">IFERROR(AJ560/AI560,"")</f>
        <v>4.13342913384721</v>
      </c>
      <c r="AL560" s="15" t="n">
        <f aca="false">IFERROR(AI560/(AM560*U560/12),"")</f>
        <v>14.5157925918412</v>
      </c>
      <c r="AM560" s="12" t="n">
        <v>37440</v>
      </c>
      <c r="AN560" s="12" t="n">
        <v>2674344</v>
      </c>
      <c r="AO560" s="12" t="n">
        <v>7258442</v>
      </c>
      <c r="AP560" s="17" t="n">
        <v>0.416</v>
      </c>
      <c r="AQ560" s="16" t="n">
        <v>48</v>
      </c>
      <c r="AR560" s="16" t="n">
        <v>4</v>
      </c>
      <c r="AS560" s="13" t="n">
        <f aca="false">IFERROR(AR560/AR559-1,"")</f>
        <v>0</v>
      </c>
      <c r="AT560" s="11" t="s">
        <v>98</v>
      </c>
      <c r="AU560" s="14" t="n">
        <f aca="false">IFERROR(P560/AR560,"")</f>
        <v>512308</v>
      </c>
      <c r="AV560" s="12" t="n">
        <v>3365065</v>
      </c>
      <c r="AW560" s="12" t="n">
        <v>1227548</v>
      </c>
      <c r="AX560" s="12" t="n">
        <v>668852</v>
      </c>
      <c r="AY560" s="16" t="n">
        <v>3444</v>
      </c>
      <c r="AZ560" s="13" t="n">
        <f aca="false">IFERROR(AY560/AY559-1,"")</f>
        <v>0.262000732869183</v>
      </c>
      <c r="BA560" s="17" t="n">
        <v>0.962</v>
      </c>
      <c r="BB560" s="11" t="s">
        <v>107</v>
      </c>
      <c r="BC560" s="11" t="s">
        <v>108</v>
      </c>
      <c r="BD560" s="11" t="s">
        <v>109</v>
      </c>
      <c r="BE560" s="12" t="n">
        <v>2054210</v>
      </c>
      <c r="BF560" s="13" t="n">
        <f aca="false">IFERROR(P560/BE560-1,"")</f>
        <v>-0.00242331601929691</v>
      </c>
      <c r="BG560" s="17" t="n">
        <v>-0.054</v>
      </c>
      <c r="BH560" s="17" t="n">
        <v>0.018</v>
      </c>
      <c r="BI560" s="14" t="n">
        <f aca="false">P560*(1+IFERROR(Q560,0))^4</f>
        <v>7196219.76492201</v>
      </c>
      <c r="BJ560" s="12" t="n">
        <v>-1669861</v>
      </c>
      <c r="BK560" s="11" t="s">
        <v>102</v>
      </c>
      <c r="BL560" s="11" t="s">
        <v>128</v>
      </c>
      <c r="BM560" s="14" t="n">
        <f aca="false">O560</f>
        <v>37385038</v>
      </c>
      <c r="BN560" s="11" t="s">
        <v>572</v>
      </c>
      <c r="BO560" s="13" t="n">
        <f aca="false">IFERROR(1-L560/M560,"")</f>
        <v>0.152354893171101</v>
      </c>
      <c r="BP560" s="11" t="s">
        <v>198</v>
      </c>
      <c r="BQ560" s="12" t="n">
        <v>3388837</v>
      </c>
      <c r="BR560" s="11" t="s">
        <v>88</v>
      </c>
      <c r="BS560" s="11" t="s">
        <v>89</v>
      </c>
      <c r="BT560" s="19" t="str">
        <f aca="false">IF(OR(Z560&lt;6,AH560&lt;0.9,S560&lt;0.02,AK560&lt;1),"REVIEW",IF(AND(S560&gt;0.25,AH560&gt;1.2),"ACCELERATING","STABLE"))</f>
        <v>STABLE</v>
      </c>
    </row>
    <row r="561" customFormat="false" ht="15" hidden="false" customHeight="false" outlineLevel="0" collapsed="false">
      <c r="A561" s="11" t="s">
        <v>570</v>
      </c>
      <c r="B561" s="11" t="s">
        <v>93</v>
      </c>
      <c r="C561" s="11" t="s">
        <v>74</v>
      </c>
      <c r="D561" s="11" t="s">
        <v>151</v>
      </c>
      <c r="E561" s="11" t="s">
        <v>105</v>
      </c>
      <c r="F561" s="11" t="s">
        <v>571</v>
      </c>
      <c r="G561" s="11" t="s">
        <v>78</v>
      </c>
      <c r="H561" s="11" t="s">
        <v>79</v>
      </c>
      <c r="I561" s="11" t="s">
        <v>78</v>
      </c>
      <c r="J561" s="12" t="n">
        <v>2617000</v>
      </c>
      <c r="K561" s="13" t="n">
        <f aca="false">IFERROR(J561/M561,"")</f>
        <v>0.152354893171101</v>
      </c>
      <c r="L561" s="12" t="n">
        <v>14560000</v>
      </c>
      <c r="M561" s="14" t="n">
        <f aca="false">L561+J561</f>
        <v>17177000</v>
      </c>
      <c r="N561" s="12" t="n">
        <v>2738000</v>
      </c>
      <c r="O561" s="12" t="n">
        <v>37385038</v>
      </c>
      <c r="P561" s="12" t="n">
        <v>2741858</v>
      </c>
      <c r="Q561" s="13" t="n">
        <f aca="false">IFERROR(P561/P560-1,"")</f>
        <v>0.33799296516939</v>
      </c>
      <c r="R561" s="12" t="n">
        <v>3136405</v>
      </c>
      <c r="S561" s="13" t="n">
        <f aca="false">IFERROR(R561/R560-1,"")</f>
        <v>0.359194417275141</v>
      </c>
      <c r="T561" s="12" t="n">
        <v>2021195</v>
      </c>
      <c r="U561" s="13" t="n">
        <f aca="false">IFERROR(T561/P561,"")</f>
        <v>0.737162537228405</v>
      </c>
      <c r="V561" s="14" t="n">
        <f aca="false">T561-AV561</f>
        <v>-2064459</v>
      </c>
      <c r="W561" s="14" t="n">
        <f aca="false">V561-AA561*0.1</f>
        <v>-2064459</v>
      </c>
      <c r="X561" s="12" t="n">
        <v>2192770</v>
      </c>
      <c r="Y561" s="12" t="n">
        <v>184000</v>
      </c>
      <c r="Z561" s="15" t="n">
        <f aca="false">IFERROR(X561/Y561,"")</f>
        <v>11.9172282608696</v>
      </c>
      <c r="AA561" s="12" t="n">
        <v>0</v>
      </c>
      <c r="AB561" s="14" t="n">
        <f aca="false">W561-0.02*P561</f>
        <v>-2119296.16</v>
      </c>
      <c r="AC561" s="16" t="n">
        <v>63</v>
      </c>
      <c r="AD561" s="13" t="n">
        <f aca="false">IFERROR(AC561/AC560-1,"")</f>
        <v>0.26</v>
      </c>
      <c r="AE561" s="17" t="n">
        <v>0.045</v>
      </c>
      <c r="AF561" s="17" t="n">
        <v>0.035</v>
      </c>
      <c r="AG561" s="13" t="n">
        <f aca="false">1-AF561</f>
        <v>0.965</v>
      </c>
      <c r="AH561" s="17" t="n">
        <v>1.319</v>
      </c>
      <c r="AI561" s="12" t="n">
        <v>32600</v>
      </c>
      <c r="AJ561" s="14" t="n">
        <f aca="false">IFERROR(AM561*U561*MIN(1/AE561,5),"")</f>
        <v>140650.61210318</v>
      </c>
      <c r="AK561" s="18" t="n">
        <f aca="false">IFERROR(AJ561/AI561,"")</f>
        <v>4.31443595408527</v>
      </c>
      <c r="AL561" s="15" t="n">
        <f aca="false">IFERROR(AI561/(AM561*U561/12),"")</f>
        <v>13.9068004806485</v>
      </c>
      <c r="AM561" s="12" t="n">
        <v>38160</v>
      </c>
      <c r="AN561" s="12" t="n">
        <v>4156091</v>
      </c>
      <c r="AO561" s="12" t="n">
        <v>4979301</v>
      </c>
      <c r="AP561" s="17" t="n">
        <v>0.416</v>
      </c>
      <c r="AQ561" s="16" t="n">
        <v>48</v>
      </c>
      <c r="AR561" s="16" t="n">
        <v>5</v>
      </c>
      <c r="AS561" s="13" t="n">
        <f aca="false">IFERROR(AR561/AR560-1,"")</f>
        <v>0.25</v>
      </c>
      <c r="AT561" s="11" t="s">
        <v>98</v>
      </c>
      <c r="AU561" s="14" t="n">
        <f aca="false">IFERROR(P561/AR561,"")</f>
        <v>548371.6</v>
      </c>
      <c r="AV561" s="12" t="n">
        <v>4085654</v>
      </c>
      <c r="AW561" s="12" t="n">
        <v>1589836</v>
      </c>
      <c r="AX561" s="12" t="n">
        <v>1204021</v>
      </c>
      <c r="AY561" s="16" t="n">
        <v>4344</v>
      </c>
      <c r="AZ561" s="13" t="n">
        <f aca="false">IFERROR(AY561/AY560-1,"")</f>
        <v>0.261324041811847</v>
      </c>
      <c r="BA561" s="17" t="n">
        <v>0.961</v>
      </c>
      <c r="BB561" s="11" t="s">
        <v>107</v>
      </c>
      <c r="BC561" s="11" t="s">
        <v>108</v>
      </c>
      <c r="BD561" s="11" t="s">
        <v>109</v>
      </c>
      <c r="BE561" s="12" t="n">
        <v>2779683</v>
      </c>
      <c r="BF561" s="13" t="n">
        <f aca="false">IFERROR(P561/BE561-1,"")</f>
        <v>-0.0136076667735133</v>
      </c>
      <c r="BG561" s="17" t="n">
        <v>0.005</v>
      </c>
      <c r="BH561" s="17" t="n">
        <v>0.079</v>
      </c>
      <c r="BI561" s="14" t="n">
        <f aca="false">P561*(1+IFERROR(Q561,0))^4</f>
        <v>8787397.63967213</v>
      </c>
      <c r="BJ561" s="12" t="n">
        <v>-1797464</v>
      </c>
      <c r="BK561" s="11" t="s">
        <v>102</v>
      </c>
      <c r="BL561" s="11" t="s">
        <v>128</v>
      </c>
      <c r="BM561" s="14" t="n">
        <f aca="false">O561</f>
        <v>37385038</v>
      </c>
      <c r="BN561" s="11" t="s">
        <v>572</v>
      </c>
      <c r="BO561" s="13" t="n">
        <f aca="false">IFERROR(1-L561/M561,"")</f>
        <v>0.152354893171101</v>
      </c>
      <c r="BP561" s="11" t="s">
        <v>198</v>
      </c>
      <c r="BQ561" s="12" t="n">
        <v>2498032</v>
      </c>
      <c r="BR561" s="11" t="s">
        <v>88</v>
      </c>
      <c r="BS561" s="11" t="s">
        <v>89</v>
      </c>
      <c r="BT561" s="19" t="str">
        <f aca="false">IF(OR(Z561&lt;6,AH561&lt;0.9,S561&lt;0.02,AK561&lt;1),"REVIEW",IF(AND(S561&gt;0.25,AH561&gt;1.2),"ACCELERATING","STABLE"))</f>
        <v>ACCELERATING</v>
      </c>
    </row>
    <row r="562" customFormat="false" ht="15" hidden="false" customHeight="false" outlineLevel="0" collapsed="false">
      <c r="A562" s="3" t="s">
        <v>573</v>
      </c>
      <c r="B562" s="3" t="s">
        <v>73</v>
      </c>
      <c r="C562" s="3" t="s">
        <v>74</v>
      </c>
      <c r="D562" s="3" t="s">
        <v>165</v>
      </c>
      <c r="E562" s="3" t="s">
        <v>105</v>
      </c>
      <c r="F562" s="3" t="s">
        <v>574</v>
      </c>
      <c r="G562" s="3" t="s">
        <v>78</v>
      </c>
      <c r="H562" s="3" t="s">
        <v>79</v>
      </c>
      <c r="I562" s="3" t="s">
        <v>78</v>
      </c>
      <c r="J562" s="4" t="n">
        <v>3442000</v>
      </c>
      <c r="K562" s="5" t="n">
        <f aca="false">IFERROR(J562/M562,"")</f>
        <v>0.188179979224755</v>
      </c>
      <c r="L562" s="4" t="n">
        <v>14849000</v>
      </c>
      <c r="M562" s="6" t="n">
        <f aca="false">L562+J562</f>
        <v>18291000</v>
      </c>
      <c r="N562" s="4" t="n">
        <v>6411000</v>
      </c>
      <c r="O562" s="4" t="n">
        <v>15065612</v>
      </c>
      <c r="P562" s="4" t="n">
        <v>403086</v>
      </c>
      <c r="Q562" s="7"/>
      <c r="R562" s="4" t="n">
        <v>478717</v>
      </c>
      <c r="S562" s="7"/>
      <c r="T562" s="4" t="n">
        <v>210895</v>
      </c>
      <c r="U562" s="5" t="n">
        <f aca="false">IFERROR(T562/P562,"")</f>
        <v>0.523201004252194</v>
      </c>
      <c r="V562" s="6" t="n">
        <f aca="false">T562-AV562</f>
        <v>-1406544</v>
      </c>
      <c r="W562" s="6" t="n">
        <f aca="false">V562-AA562*0.1</f>
        <v>-1406544</v>
      </c>
      <c r="X562" s="4" t="n">
        <v>1497810</v>
      </c>
      <c r="Y562" s="4" t="n">
        <v>111520</v>
      </c>
      <c r="Z562" s="8" t="n">
        <f aca="false">IFERROR(X562/Y562,"")</f>
        <v>13.4308644189383</v>
      </c>
      <c r="AA562" s="4" t="n">
        <v>0</v>
      </c>
      <c r="AB562" s="6" t="n">
        <f aca="false">W562-0.02*P562</f>
        <v>-1414605.72</v>
      </c>
      <c r="AC562" s="9" t="n">
        <v>92</v>
      </c>
      <c r="AD562" s="7"/>
      <c r="AE562" s="7" t="n">
        <v>0.216</v>
      </c>
      <c r="AF562" s="7" t="n">
        <v>0.168</v>
      </c>
      <c r="AG562" s="5" t="n">
        <f aca="false">1-AF562</f>
        <v>0.832</v>
      </c>
      <c r="AH562" s="7" t="n">
        <v>1</v>
      </c>
      <c r="AI562" s="4" t="n">
        <v>38456</v>
      </c>
      <c r="AJ562" s="6" t="n">
        <f aca="false">IFERROR(AM562*U562*MIN(1/AE562,5),"")</f>
        <v>41177.8568161449</v>
      </c>
      <c r="AK562" s="10" t="n">
        <f aca="false">IFERROR(AJ562/AI562,"")</f>
        <v>1.07077846931935</v>
      </c>
      <c r="AL562" s="8" t="n">
        <f aca="false">IFERROR(AI562/(AM562*U562/12),"")</f>
        <v>51.8833326849296</v>
      </c>
      <c r="AM562" s="4" t="n">
        <v>17000</v>
      </c>
      <c r="AN562" s="4" t="n">
        <v>452161</v>
      </c>
      <c r="AO562" s="4" t="n">
        <v>1108167</v>
      </c>
      <c r="AP562" s="7" t="n">
        <v>0.413</v>
      </c>
      <c r="AQ562" s="9" t="n">
        <v>58</v>
      </c>
      <c r="AR562" s="9" t="n">
        <v>3</v>
      </c>
      <c r="AS562" s="7"/>
      <c r="AT562" s="3" t="s">
        <v>196</v>
      </c>
      <c r="AU562" s="6" t="n">
        <f aca="false">IFERROR(P562/AR562,"")</f>
        <v>134362</v>
      </c>
      <c r="AV562" s="4" t="n">
        <v>1617439</v>
      </c>
      <c r="AW562" s="4" t="n">
        <v>772922</v>
      </c>
      <c r="AX562" s="4" t="n">
        <v>455915</v>
      </c>
      <c r="AY562" s="9" t="n">
        <v>26108</v>
      </c>
      <c r="AZ562" s="7"/>
      <c r="BA562" s="7" t="n">
        <v>0.843</v>
      </c>
      <c r="BB562" s="3" t="s">
        <v>119</v>
      </c>
      <c r="BC562" s="3" t="s">
        <v>120</v>
      </c>
      <c r="BD562" s="3" t="s">
        <v>175</v>
      </c>
      <c r="BE562" s="4" t="n">
        <v>505001</v>
      </c>
      <c r="BF562" s="5" t="n">
        <f aca="false">IFERROR(P562/BE562-1,"")</f>
        <v>-0.201811481561423</v>
      </c>
      <c r="BG562" s="7" t="n">
        <v>0.186</v>
      </c>
      <c r="BH562" s="7" t="n">
        <v>0.375</v>
      </c>
      <c r="BI562" s="6" t="n">
        <f aca="false">P562</f>
        <v>403086</v>
      </c>
      <c r="BJ562" s="4" t="n">
        <v>-1193817</v>
      </c>
      <c r="BK562" s="3" t="s">
        <v>147</v>
      </c>
      <c r="BL562" s="3" t="s">
        <v>122</v>
      </c>
      <c r="BM562" s="6" t="n">
        <f aca="false">O562</f>
        <v>15065612</v>
      </c>
      <c r="BN562" s="3" t="s">
        <v>575</v>
      </c>
      <c r="BO562" s="5" t="n">
        <f aca="false">IFERROR(1-L562/M562,"")</f>
        <v>0.188179979224755</v>
      </c>
      <c r="BP562" s="3" t="s">
        <v>130</v>
      </c>
      <c r="BQ562" s="4" t="n">
        <v>1817343</v>
      </c>
      <c r="BR562" s="3" t="s">
        <v>88</v>
      </c>
      <c r="BS562" s="3" t="s">
        <v>89</v>
      </c>
      <c r="BT562" s="3" t="s">
        <v>90</v>
      </c>
    </row>
    <row r="563" customFormat="false" ht="15" hidden="false" customHeight="false" outlineLevel="0" collapsed="false">
      <c r="A563" s="11" t="s">
        <v>573</v>
      </c>
      <c r="B563" s="11" t="s">
        <v>91</v>
      </c>
      <c r="C563" s="11" t="s">
        <v>74</v>
      </c>
      <c r="D563" s="11" t="s">
        <v>165</v>
      </c>
      <c r="E563" s="11" t="s">
        <v>105</v>
      </c>
      <c r="F563" s="11" t="s">
        <v>574</v>
      </c>
      <c r="G563" s="11" t="s">
        <v>78</v>
      </c>
      <c r="H563" s="11" t="s">
        <v>79</v>
      </c>
      <c r="I563" s="11" t="s">
        <v>78</v>
      </c>
      <c r="J563" s="12" t="n">
        <v>3442000</v>
      </c>
      <c r="K563" s="13" t="n">
        <f aca="false">IFERROR(J563/M563,"")</f>
        <v>0.188179979224755</v>
      </c>
      <c r="L563" s="12" t="n">
        <v>14849000</v>
      </c>
      <c r="M563" s="14" t="n">
        <f aca="false">L563+J563</f>
        <v>18291000</v>
      </c>
      <c r="N563" s="12" t="n">
        <v>6411000</v>
      </c>
      <c r="O563" s="12" t="n">
        <v>15065612</v>
      </c>
      <c r="P563" s="12" t="n">
        <v>382106</v>
      </c>
      <c r="Q563" s="13" t="n">
        <f aca="false">IFERROR(P563/P562-1,"")</f>
        <v>-0.0520484462372794</v>
      </c>
      <c r="R563" s="12" t="n">
        <v>444835</v>
      </c>
      <c r="S563" s="13" t="n">
        <f aca="false">IFERROR(R563/R562-1,"")</f>
        <v>-0.0707766801680325</v>
      </c>
      <c r="T563" s="12" t="n">
        <v>196146</v>
      </c>
      <c r="U563" s="13" t="n">
        <f aca="false">IFERROR(T563/P563,"")</f>
        <v>0.513328762175941</v>
      </c>
      <c r="V563" s="14" t="n">
        <f aca="false">T563-AV563</f>
        <v>-1520493</v>
      </c>
      <c r="W563" s="14" t="n">
        <f aca="false">V563-AA563*0.1</f>
        <v>-1520493</v>
      </c>
      <c r="X563" s="12" t="n">
        <v>1183650</v>
      </c>
      <c r="Y563" s="12" t="n">
        <v>119680</v>
      </c>
      <c r="Z563" s="15" t="n">
        <f aca="false">IFERROR(X563/Y563,"")</f>
        <v>9.89012366310161</v>
      </c>
      <c r="AA563" s="12" t="n">
        <v>0</v>
      </c>
      <c r="AB563" s="14" t="n">
        <f aca="false">W563-0.02*P563</f>
        <v>-1528135.12</v>
      </c>
      <c r="AC563" s="16" t="n">
        <v>87</v>
      </c>
      <c r="AD563" s="13" t="n">
        <f aca="false">IFERROR(AC563/AC562-1,"")</f>
        <v>-0.0543478260869565</v>
      </c>
      <c r="AE563" s="17" t="n">
        <v>0.257</v>
      </c>
      <c r="AF563" s="17" t="n">
        <v>0.21</v>
      </c>
      <c r="AG563" s="13" t="n">
        <f aca="false">1-AF563</f>
        <v>0.79</v>
      </c>
      <c r="AH563" s="17" t="n">
        <v>0.96</v>
      </c>
      <c r="AI563" s="12" t="n">
        <v>42504</v>
      </c>
      <c r="AJ563" s="14" t="n">
        <f aca="false">IFERROR(AM563*U563*MIN(1/AE563,5),"")</f>
        <v>34634.7110355284</v>
      </c>
      <c r="AK563" s="18" t="n">
        <f aca="false">IFERROR(AJ563/AI563,"")</f>
        <v>0.814857684818569</v>
      </c>
      <c r="AL563" s="15" t="n">
        <f aca="false">IFERROR(AI563/(AM563*U563/12),"")</f>
        <v>57.3015483240946</v>
      </c>
      <c r="AM563" s="12" t="n">
        <v>17340</v>
      </c>
      <c r="AN563" s="12" t="n">
        <v>610299</v>
      </c>
      <c r="AO563" s="12" t="n">
        <v>729632</v>
      </c>
      <c r="AP563" s="17" t="n">
        <v>0.413</v>
      </c>
      <c r="AQ563" s="16" t="n">
        <v>58</v>
      </c>
      <c r="AR563" s="16" t="n">
        <v>2</v>
      </c>
      <c r="AS563" s="13" t="n">
        <f aca="false">IFERROR(AR563/AR562-1,"")</f>
        <v>-0.333333333333333</v>
      </c>
      <c r="AT563" s="11" t="s">
        <v>196</v>
      </c>
      <c r="AU563" s="14" t="n">
        <f aca="false">IFERROR(P563/AR563,"")</f>
        <v>191053</v>
      </c>
      <c r="AV563" s="12" t="n">
        <v>1716639</v>
      </c>
      <c r="AW563" s="12" t="n">
        <v>585250</v>
      </c>
      <c r="AX563" s="12" t="n">
        <v>536943</v>
      </c>
      <c r="AY563" s="16" t="n">
        <v>24775</v>
      </c>
      <c r="AZ563" s="13" t="n">
        <f aca="false">IFERROR(AY563/AY562-1,"")</f>
        <v>-0.0510571472345641</v>
      </c>
      <c r="BA563" s="17" t="n">
        <v>0.74</v>
      </c>
      <c r="BB563" s="11" t="s">
        <v>119</v>
      </c>
      <c r="BC563" s="11" t="s">
        <v>120</v>
      </c>
      <c r="BD563" s="11" t="s">
        <v>175</v>
      </c>
      <c r="BE563" s="12" t="n">
        <v>557398</v>
      </c>
      <c r="BF563" s="13" t="n">
        <f aca="false">IFERROR(P563/BE563-1,"")</f>
        <v>-0.314482649740401</v>
      </c>
      <c r="BG563" s="17" t="n">
        <v>0.177</v>
      </c>
      <c r="BH563" s="17" t="n">
        <v>0.354</v>
      </c>
      <c r="BI563" s="14" t="n">
        <f aca="false">P563*(1+IFERROR(Q563,0))^4</f>
        <v>308552.044342759</v>
      </c>
      <c r="BJ563" s="12" t="n">
        <v>-1025460</v>
      </c>
      <c r="BK563" s="11" t="s">
        <v>147</v>
      </c>
      <c r="BL563" s="11" t="s">
        <v>122</v>
      </c>
      <c r="BM563" s="14" t="n">
        <f aca="false">O563</f>
        <v>15065612</v>
      </c>
      <c r="BN563" s="11" t="s">
        <v>575</v>
      </c>
      <c r="BO563" s="13" t="n">
        <f aca="false">IFERROR(1-L563/M563,"")</f>
        <v>0.188179979224755</v>
      </c>
      <c r="BP563" s="11" t="s">
        <v>130</v>
      </c>
      <c r="BQ563" s="12" t="n">
        <v>2200582</v>
      </c>
      <c r="BR563" s="11" t="s">
        <v>88</v>
      </c>
      <c r="BS563" s="11" t="s">
        <v>89</v>
      </c>
      <c r="BT563" s="19" t="str">
        <f aca="false">IF(OR(Z563&lt;6,AH563&lt;0.9,S563&lt;0.02,AK563&lt;1),"REVIEW",IF(AND(S563&gt;0.25,AH563&gt;1.2),"ACCELERATING","STABLE"))</f>
        <v>REVIEW</v>
      </c>
    </row>
    <row r="564" customFormat="false" ht="15" hidden="false" customHeight="false" outlineLevel="0" collapsed="false">
      <c r="A564" s="11" t="s">
        <v>573</v>
      </c>
      <c r="B564" s="11" t="s">
        <v>92</v>
      </c>
      <c r="C564" s="11" t="s">
        <v>74</v>
      </c>
      <c r="D564" s="11" t="s">
        <v>165</v>
      </c>
      <c r="E564" s="11" t="s">
        <v>105</v>
      </c>
      <c r="F564" s="11" t="s">
        <v>574</v>
      </c>
      <c r="G564" s="11" t="s">
        <v>78</v>
      </c>
      <c r="H564" s="11" t="s">
        <v>79</v>
      </c>
      <c r="I564" s="11" t="s">
        <v>78</v>
      </c>
      <c r="J564" s="12" t="n">
        <v>3442000</v>
      </c>
      <c r="K564" s="13" t="n">
        <f aca="false">IFERROR(J564/M564,"")</f>
        <v>0.188179979224755</v>
      </c>
      <c r="L564" s="12" t="n">
        <v>14849000</v>
      </c>
      <c r="M564" s="14" t="n">
        <f aca="false">L564+J564</f>
        <v>18291000</v>
      </c>
      <c r="N564" s="12" t="n">
        <v>6411000</v>
      </c>
      <c r="O564" s="12" t="n">
        <v>15065612</v>
      </c>
      <c r="P564" s="12" t="n">
        <v>347005</v>
      </c>
      <c r="Q564" s="13" t="n">
        <f aca="false">IFERROR(P564/P563-1,"")</f>
        <v>-0.0918619440678764</v>
      </c>
      <c r="R564" s="12" t="n">
        <v>416195</v>
      </c>
      <c r="S564" s="13" t="n">
        <f aca="false">IFERROR(R564/R563-1,"")</f>
        <v>-0.0643834230669799</v>
      </c>
      <c r="T564" s="12" t="n">
        <v>174703</v>
      </c>
      <c r="U564" s="13" t="n">
        <f aca="false">IFERROR(T564/P564,"")</f>
        <v>0.503459604328468</v>
      </c>
      <c r="V564" s="14" t="n">
        <f aca="false">T564-AV564</f>
        <v>-1365113</v>
      </c>
      <c r="W564" s="14" t="n">
        <f aca="false">V564-AA564*0.1</f>
        <v>-1365113</v>
      </c>
      <c r="X564" s="12" t="n">
        <v>815634</v>
      </c>
      <c r="Y564" s="12" t="n">
        <v>127840</v>
      </c>
      <c r="Z564" s="15" t="n">
        <f aca="false">IFERROR(X564/Y564,"")</f>
        <v>6.38011576971214</v>
      </c>
      <c r="AA564" s="12" t="n">
        <v>0</v>
      </c>
      <c r="AB564" s="14" t="n">
        <f aca="false">W564-0.02*P564</f>
        <v>-1372053.1</v>
      </c>
      <c r="AC564" s="16" t="n">
        <v>84</v>
      </c>
      <c r="AD564" s="13" t="n">
        <f aca="false">IFERROR(AC564/AC563-1,"")</f>
        <v>-0.0344827586206896</v>
      </c>
      <c r="AE564" s="17" t="n">
        <v>0.297</v>
      </c>
      <c r="AF564" s="17" t="n">
        <v>0.247</v>
      </c>
      <c r="AG564" s="13" t="n">
        <f aca="false">1-AF564</f>
        <v>0.753</v>
      </c>
      <c r="AH564" s="17" t="n">
        <v>0.92</v>
      </c>
      <c r="AI564" s="12" t="n">
        <v>46552</v>
      </c>
      <c r="AJ564" s="14" t="n">
        <f aca="false">IFERROR(AM564*U564*MIN(1/AE564,5),"")</f>
        <v>29970.2552340987</v>
      </c>
      <c r="AK564" s="18" t="n">
        <f aca="false">IFERROR(AJ564/AI564,"")</f>
        <v>0.643801667685571</v>
      </c>
      <c r="AL564" s="15" t="n">
        <f aca="false">IFERROR(AI564/(AM564*U564/12),"")</f>
        <v>62.7585208800259</v>
      </c>
      <c r="AM564" s="12" t="n">
        <v>17680</v>
      </c>
      <c r="AN564" s="12" t="n">
        <v>575094</v>
      </c>
      <c r="AO564" s="12" t="n">
        <v>1081908</v>
      </c>
      <c r="AP564" s="17" t="n">
        <v>0.413</v>
      </c>
      <c r="AQ564" s="16" t="n">
        <v>58</v>
      </c>
      <c r="AR564" s="16" t="n">
        <v>2</v>
      </c>
      <c r="AS564" s="13" t="n">
        <f aca="false">IFERROR(AR564/AR563-1,"")</f>
        <v>0</v>
      </c>
      <c r="AT564" s="11" t="s">
        <v>196</v>
      </c>
      <c r="AU564" s="14" t="n">
        <f aca="false">IFERROR(P564/AR564,"")</f>
        <v>173502.5</v>
      </c>
      <c r="AV564" s="12" t="n">
        <v>1539816</v>
      </c>
      <c r="AW564" s="12" t="n">
        <v>487357</v>
      </c>
      <c r="AX564" s="12" t="n">
        <v>378508</v>
      </c>
      <c r="AY564" s="16" t="n">
        <v>22698</v>
      </c>
      <c r="AZ564" s="13" t="n">
        <f aca="false">IFERROR(AY564/AY563-1,"")</f>
        <v>-0.0838345105953582</v>
      </c>
      <c r="BA564" s="17" t="n">
        <v>0.734</v>
      </c>
      <c r="BB564" s="11" t="s">
        <v>119</v>
      </c>
      <c r="BC564" s="11" t="s">
        <v>120</v>
      </c>
      <c r="BD564" s="11" t="s">
        <v>175</v>
      </c>
      <c r="BE564" s="12" t="n">
        <v>560296</v>
      </c>
      <c r="BF564" s="13" t="n">
        <f aca="false">IFERROR(P564/BE564-1,"")</f>
        <v>-0.380675571483644</v>
      </c>
      <c r="BG564" s="17" t="n">
        <v>0.302</v>
      </c>
      <c r="BH564" s="17" t="n">
        <v>0.25</v>
      </c>
      <c r="BI564" s="14" t="n">
        <f aca="false">P564*(1+IFERROR(Q564,0))^4</f>
        <v>236016.971889045</v>
      </c>
      <c r="BJ564" s="12" t="n">
        <v>-876391</v>
      </c>
      <c r="BK564" s="11" t="s">
        <v>147</v>
      </c>
      <c r="BL564" s="11" t="s">
        <v>122</v>
      </c>
      <c r="BM564" s="14" t="n">
        <f aca="false">O564</f>
        <v>15065612</v>
      </c>
      <c r="BN564" s="11" t="s">
        <v>575</v>
      </c>
      <c r="BO564" s="13" t="n">
        <f aca="false">IFERROR(1-L564/M564,"")</f>
        <v>0.188179979224755</v>
      </c>
      <c r="BP564" s="11" t="s">
        <v>130</v>
      </c>
      <c r="BQ564" s="12" t="n">
        <v>2248815</v>
      </c>
      <c r="BR564" s="11" t="s">
        <v>88</v>
      </c>
      <c r="BS564" s="11" t="s">
        <v>89</v>
      </c>
      <c r="BT564" s="19" t="str">
        <f aca="false">IF(OR(Z564&lt;6,AH564&lt;0.9,S564&lt;0.02,AK564&lt;1),"REVIEW",IF(AND(S564&gt;0.25,AH564&gt;1.2),"ACCELERATING","STABLE"))</f>
        <v>REVIEW</v>
      </c>
    </row>
    <row r="565" customFormat="false" ht="15" hidden="false" customHeight="false" outlineLevel="0" collapsed="false">
      <c r="A565" s="11" t="s">
        <v>573</v>
      </c>
      <c r="B565" s="11" t="s">
        <v>93</v>
      </c>
      <c r="C565" s="11" t="s">
        <v>74</v>
      </c>
      <c r="D565" s="11" t="s">
        <v>165</v>
      </c>
      <c r="E565" s="11" t="s">
        <v>105</v>
      </c>
      <c r="F565" s="11" t="s">
        <v>574</v>
      </c>
      <c r="G565" s="11" t="s">
        <v>78</v>
      </c>
      <c r="H565" s="11" t="s">
        <v>79</v>
      </c>
      <c r="I565" s="11" t="s">
        <v>78</v>
      </c>
      <c r="J565" s="12" t="n">
        <v>3442000</v>
      </c>
      <c r="K565" s="13" t="n">
        <f aca="false">IFERROR(J565/M565,"")</f>
        <v>0.188179979224755</v>
      </c>
      <c r="L565" s="12" t="n">
        <v>14849000</v>
      </c>
      <c r="M565" s="14" t="n">
        <f aca="false">L565+J565</f>
        <v>18291000</v>
      </c>
      <c r="N565" s="12" t="n">
        <v>6411000</v>
      </c>
      <c r="O565" s="12" t="n">
        <v>15065612</v>
      </c>
      <c r="P565" s="12" t="n">
        <v>327045</v>
      </c>
      <c r="Q565" s="13" t="n">
        <f aca="false">IFERROR(P565/P564-1,"")</f>
        <v>-0.057520785003098</v>
      </c>
      <c r="R565" s="12" t="n">
        <v>384761</v>
      </c>
      <c r="S565" s="13" t="n">
        <f aca="false">IFERROR(R565/R564-1,"")</f>
        <v>-0.0755270966734344</v>
      </c>
      <c r="T565" s="12" t="n">
        <v>161425</v>
      </c>
      <c r="U565" s="13" t="n">
        <f aca="false">IFERROR(T565/P565,"")</f>
        <v>0.493586509501751</v>
      </c>
      <c r="V565" s="14" t="n">
        <f aca="false">T565-AV565</f>
        <v>-1422200</v>
      </c>
      <c r="W565" s="14" t="n">
        <f aca="false">V565-AA565*0.1</f>
        <v>-1422200</v>
      </c>
      <c r="X565" s="12" t="n">
        <v>393762</v>
      </c>
      <c r="Y565" s="12" t="n">
        <v>136000</v>
      </c>
      <c r="Z565" s="15" t="n">
        <f aca="false">IFERROR(X565/Y565,"")</f>
        <v>2.89530882352941</v>
      </c>
      <c r="AA565" s="12" t="n">
        <v>0</v>
      </c>
      <c r="AB565" s="14" t="n">
        <f aca="false">W565-0.02*P565</f>
        <v>-1428740.9</v>
      </c>
      <c r="AC565" s="16" t="n">
        <v>78</v>
      </c>
      <c r="AD565" s="13" t="n">
        <f aca="false">IFERROR(AC565/AC564-1,"")</f>
        <v>-0.0714285714285714</v>
      </c>
      <c r="AE565" s="17" t="n">
        <v>0.338</v>
      </c>
      <c r="AF565" s="17" t="n">
        <v>0.236</v>
      </c>
      <c r="AG565" s="13" t="n">
        <f aca="false">1-AF565</f>
        <v>0.764</v>
      </c>
      <c r="AH565" s="17" t="n">
        <v>0.88</v>
      </c>
      <c r="AI565" s="12" t="n">
        <v>50600</v>
      </c>
      <c r="AJ565" s="14" t="n">
        <f aca="false">IFERROR(AM565*U565*MIN(1/AE565,5),"")</f>
        <v>26314.8784059809</v>
      </c>
      <c r="AK565" s="18" t="n">
        <f aca="false">IFERROR(AJ565/AI565,"")</f>
        <v>0.520056885493694</v>
      </c>
      <c r="AL565" s="15" t="n">
        <f aca="false">IFERROR(AI565/(AM565*U565/12),"")</f>
        <v>68.2674522156907</v>
      </c>
      <c r="AM565" s="12" t="n">
        <v>18020</v>
      </c>
      <c r="AN565" s="12" t="n">
        <v>497927</v>
      </c>
      <c r="AO565" s="12" t="n">
        <v>712891</v>
      </c>
      <c r="AP565" s="17" t="n">
        <v>0.413</v>
      </c>
      <c r="AQ565" s="16" t="n">
        <v>58</v>
      </c>
      <c r="AR565" s="16" t="n">
        <v>2</v>
      </c>
      <c r="AS565" s="13" t="n">
        <f aca="false">IFERROR(AR565/AR564-1,"")</f>
        <v>0</v>
      </c>
      <c r="AT565" s="11" t="s">
        <v>196</v>
      </c>
      <c r="AU565" s="14" t="n">
        <f aca="false">IFERROR(P565/AR565,"")</f>
        <v>163522.5</v>
      </c>
      <c r="AV565" s="12" t="n">
        <v>1583625</v>
      </c>
      <c r="AW565" s="12" t="n">
        <v>615345</v>
      </c>
      <c r="AX565" s="12" t="n">
        <v>370903</v>
      </c>
      <c r="AY565" s="16" t="n">
        <v>21151</v>
      </c>
      <c r="AZ565" s="13" t="n">
        <f aca="false">IFERROR(AY565/AY564-1,"")</f>
        <v>-0.06815578465063</v>
      </c>
      <c r="BA565" s="17" t="n">
        <v>0.67</v>
      </c>
      <c r="BB565" s="11" t="s">
        <v>119</v>
      </c>
      <c r="BC565" s="11" t="s">
        <v>120</v>
      </c>
      <c r="BD565" s="11" t="s">
        <v>175</v>
      </c>
      <c r="BE565" s="12" t="n">
        <v>549131</v>
      </c>
      <c r="BF565" s="13" t="n">
        <f aca="false">IFERROR(P565/BE565-1,"")</f>
        <v>-0.404431729405187</v>
      </c>
      <c r="BG565" s="17" t="n">
        <v>0.215</v>
      </c>
      <c r="BH565" s="17" t="n">
        <v>0.194</v>
      </c>
      <c r="BI565" s="14" t="n">
        <f aca="false">P565*(1+IFERROR(Q565,0))^4</f>
        <v>258044.5189952</v>
      </c>
      <c r="BJ565" s="12" t="n">
        <v>-868958</v>
      </c>
      <c r="BK565" s="11" t="s">
        <v>147</v>
      </c>
      <c r="BL565" s="11" t="s">
        <v>122</v>
      </c>
      <c r="BM565" s="14" t="n">
        <f aca="false">O565</f>
        <v>15065612</v>
      </c>
      <c r="BN565" s="11" t="s">
        <v>575</v>
      </c>
      <c r="BO565" s="13" t="n">
        <f aca="false">IFERROR(1-L565/M565,"")</f>
        <v>0.188179979224755</v>
      </c>
      <c r="BP565" s="11" t="s">
        <v>130</v>
      </c>
      <c r="BQ565" s="12" t="n">
        <v>1827269</v>
      </c>
      <c r="BR565" s="11" t="s">
        <v>88</v>
      </c>
      <c r="BS565" s="11" t="s">
        <v>89</v>
      </c>
      <c r="BT565" s="19" t="str">
        <f aca="false">IF(OR(Z565&lt;6,AH565&lt;0.9,S565&lt;0.02,AK565&lt;1),"REVIEW",IF(AND(S565&gt;0.25,AH565&gt;1.2),"ACCELERATING","STABLE"))</f>
        <v>REVIEW</v>
      </c>
    </row>
    <row r="566" customFormat="false" ht="15" hidden="false" customHeight="false" outlineLevel="0" collapsed="false">
      <c r="A566" s="3" t="s">
        <v>576</v>
      </c>
      <c r="B566" s="3" t="s">
        <v>73</v>
      </c>
      <c r="C566" s="3" t="s">
        <v>74</v>
      </c>
      <c r="D566" s="3" t="s">
        <v>115</v>
      </c>
      <c r="E566" s="3" t="s">
        <v>105</v>
      </c>
      <c r="F566" s="3" t="s">
        <v>577</v>
      </c>
      <c r="G566" s="3" t="s">
        <v>78</v>
      </c>
      <c r="H566" s="3" t="s">
        <v>79</v>
      </c>
      <c r="I566" s="3" t="s">
        <v>78</v>
      </c>
      <c r="J566" s="4" t="n">
        <v>3116000</v>
      </c>
      <c r="K566" s="5" t="n">
        <f aca="false">IFERROR(J566/M566,"")</f>
        <v>0.194155399090286</v>
      </c>
      <c r="L566" s="4" t="n">
        <v>12933000</v>
      </c>
      <c r="M566" s="6" t="n">
        <f aca="false">L566+J566</f>
        <v>16049000</v>
      </c>
      <c r="N566" s="4" t="n">
        <v>7244000</v>
      </c>
      <c r="O566" s="4" t="n">
        <v>14099581</v>
      </c>
      <c r="P566" s="4" t="n">
        <v>645772</v>
      </c>
      <c r="Q566" s="7"/>
      <c r="R566" s="4" t="n">
        <v>824082</v>
      </c>
      <c r="S566" s="7"/>
      <c r="T566" s="4" t="n">
        <v>490364</v>
      </c>
      <c r="U566" s="5" t="n">
        <f aca="false">IFERROR(T566/P566,"")</f>
        <v>0.759345403640914</v>
      </c>
      <c r="V566" s="6" t="n">
        <f aca="false">T566-AV566</f>
        <v>-1737674</v>
      </c>
      <c r="W566" s="6" t="n">
        <f aca="false">V566-AA566*0.1</f>
        <v>-1737674</v>
      </c>
      <c r="X566" s="4" t="n">
        <v>5740893</v>
      </c>
      <c r="Y566" s="4" t="n">
        <v>166530</v>
      </c>
      <c r="Z566" s="8" t="n">
        <f aca="false">IFERROR(X566/Y566,"")</f>
        <v>34.4736263736264</v>
      </c>
      <c r="AA566" s="4" t="n">
        <v>0</v>
      </c>
      <c r="AB566" s="6" t="n">
        <f aca="false">W566-0.02*P566</f>
        <v>-1750589.44</v>
      </c>
      <c r="AC566" s="9" t="n">
        <v>34</v>
      </c>
      <c r="AD566" s="7"/>
      <c r="AE566" s="7" t="n">
        <v>0.09</v>
      </c>
      <c r="AF566" s="7" t="n">
        <v>0.076</v>
      </c>
      <c r="AG566" s="5" t="n">
        <f aca="false">1-AF566</f>
        <v>0.924</v>
      </c>
      <c r="AH566" s="7" t="n">
        <v>1.15</v>
      </c>
      <c r="AI566" s="4" t="n">
        <v>41340</v>
      </c>
      <c r="AJ566" s="6" t="n">
        <f aca="false">IFERROR(AM566*U566*MIN(1/AE566,5),"")</f>
        <v>136682.172655364</v>
      </c>
      <c r="AK566" s="10" t="n">
        <f aca="false">IFERROR(AJ566/AI566,"")</f>
        <v>3.30629348464839</v>
      </c>
      <c r="AL566" s="8" t="n">
        <f aca="false">IFERROR(AI566/(AM566*U566/12),"")</f>
        <v>18.1472093383691</v>
      </c>
      <c r="AM566" s="4" t="n">
        <v>36000</v>
      </c>
      <c r="AN566" s="4" t="n">
        <v>1021467</v>
      </c>
      <c r="AO566" s="4" t="n">
        <v>3088509</v>
      </c>
      <c r="AP566" s="7" t="n">
        <v>0.223</v>
      </c>
      <c r="AQ566" s="9" t="n">
        <v>42</v>
      </c>
      <c r="AR566" s="9" t="n">
        <v>2</v>
      </c>
      <c r="AS566" s="7"/>
      <c r="AT566" s="3" t="s">
        <v>134</v>
      </c>
      <c r="AU566" s="6" t="n">
        <f aca="false">IFERROR(P566/AR566,"")</f>
        <v>322886</v>
      </c>
      <c r="AV566" s="4" t="n">
        <v>2228038</v>
      </c>
      <c r="AW566" s="4" t="n">
        <v>677929</v>
      </c>
      <c r="AX566" s="4" t="n">
        <v>585999</v>
      </c>
      <c r="AY566" s="9" t="n">
        <v>14597</v>
      </c>
      <c r="AZ566" s="7"/>
      <c r="BA566" s="7" t="n">
        <v>0.907</v>
      </c>
      <c r="BB566" s="3" t="s">
        <v>161</v>
      </c>
      <c r="BC566" s="3" t="s">
        <v>108</v>
      </c>
      <c r="BD566" s="3" t="s">
        <v>109</v>
      </c>
      <c r="BE566" s="4" t="n">
        <v>621191</v>
      </c>
      <c r="BF566" s="5" t="n">
        <f aca="false">IFERROR(P566/BE566-1,"")</f>
        <v>0.0395707600399877</v>
      </c>
      <c r="BG566" s="7" t="n">
        <v>-0.052</v>
      </c>
      <c r="BH566" s="7" t="n">
        <v>-0.029</v>
      </c>
      <c r="BI566" s="6" t="n">
        <f aca="false">P566</f>
        <v>645772</v>
      </c>
      <c r="BJ566" s="4" t="n">
        <v>-1012942</v>
      </c>
      <c r="BK566" s="3" t="s">
        <v>110</v>
      </c>
      <c r="BL566" s="3" t="s">
        <v>162</v>
      </c>
      <c r="BM566" s="6" t="n">
        <f aca="false">O566</f>
        <v>14099581</v>
      </c>
      <c r="BN566" s="3" t="s">
        <v>578</v>
      </c>
      <c r="BO566" s="5" t="n">
        <f aca="false">IFERROR(1-L566/M566,"")</f>
        <v>0.194155399090286</v>
      </c>
      <c r="BP566" s="3" t="s">
        <v>142</v>
      </c>
      <c r="BQ566" s="4" t="n">
        <v>2894244</v>
      </c>
      <c r="BR566" s="3" t="s">
        <v>88</v>
      </c>
      <c r="BS566" s="3" t="s">
        <v>89</v>
      </c>
      <c r="BT566" s="3" t="s">
        <v>90</v>
      </c>
    </row>
    <row r="567" customFormat="false" ht="15" hidden="false" customHeight="false" outlineLevel="0" collapsed="false">
      <c r="A567" s="11" t="s">
        <v>576</v>
      </c>
      <c r="B567" s="11" t="s">
        <v>91</v>
      </c>
      <c r="C567" s="11" t="s">
        <v>74</v>
      </c>
      <c r="D567" s="11" t="s">
        <v>115</v>
      </c>
      <c r="E567" s="11" t="s">
        <v>105</v>
      </c>
      <c r="F567" s="11" t="s">
        <v>577</v>
      </c>
      <c r="G567" s="11" t="s">
        <v>78</v>
      </c>
      <c r="H567" s="11" t="s">
        <v>79</v>
      </c>
      <c r="I567" s="11" t="s">
        <v>78</v>
      </c>
      <c r="J567" s="12" t="n">
        <v>3116000</v>
      </c>
      <c r="K567" s="13" t="n">
        <f aca="false">IFERROR(J567/M567,"")</f>
        <v>0.194155399090286</v>
      </c>
      <c r="L567" s="12" t="n">
        <v>12933000</v>
      </c>
      <c r="M567" s="14" t="n">
        <f aca="false">L567+J567</f>
        <v>16049000</v>
      </c>
      <c r="N567" s="12" t="n">
        <v>7244000</v>
      </c>
      <c r="O567" s="12" t="n">
        <v>14099581</v>
      </c>
      <c r="P567" s="12" t="n">
        <v>845318</v>
      </c>
      <c r="Q567" s="13" t="n">
        <f aca="false">IFERROR(P567/P566-1,"")</f>
        <v>0.309003797005754</v>
      </c>
      <c r="R567" s="12" t="n">
        <v>1018479</v>
      </c>
      <c r="S567" s="13" t="n">
        <f aca="false">IFERROR(R567/R566-1,"")</f>
        <v>0.235895214311197</v>
      </c>
      <c r="T567" s="12" t="n">
        <v>644487</v>
      </c>
      <c r="U567" s="13" t="n">
        <f aca="false">IFERROR(T567/P567,"")</f>
        <v>0.762419586475149</v>
      </c>
      <c r="V567" s="14" t="n">
        <f aca="false">T567-AV567</f>
        <v>-2035586</v>
      </c>
      <c r="W567" s="14" t="n">
        <f aca="false">V567-AA567*0.1</f>
        <v>-2035586</v>
      </c>
      <c r="X567" s="12" t="n">
        <v>5320908</v>
      </c>
      <c r="Y567" s="12" t="n">
        <v>172020</v>
      </c>
      <c r="Z567" s="15" t="n">
        <f aca="false">IFERROR(X567/Y567,"")</f>
        <v>30.931914893617</v>
      </c>
      <c r="AA567" s="12" t="n">
        <v>0</v>
      </c>
      <c r="AB567" s="14" t="n">
        <f aca="false">W567-0.02*P567</f>
        <v>-2052492.36</v>
      </c>
      <c r="AC567" s="16" t="n">
        <v>38</v>
      </c>
      <c r="AD567" s="13" t="n">
        <f aca="false">IFERROR(AC567/AC566-1,"")</f>
        <v>0.117647058823529</v>
      </c>
      <c r="AE567" s="17" t="n">
        <v>0.088</v>
      </c>
      <c r="AF567" s="17" t="n">
        <v>0.058</v>
      </c>
      <c r="AG567" s="13" t="n">
        <f aca="false">1-AF567</f>
        <v>0.942</v>
      </c>
      <c r="AH567" s="17" t="n">
        <v>1.145</v>
      </c>
      <c r="AI567" s="12" t="n">
        <v>40560</v>
      </c>
      <c r="AJ567" s="14" t="n">
        <f aca="false">IFERROR(AM567*U567*MIN(1/AE567,5),"")</f>
        <v>139980.236076837</v>
      </c>
      <c r="AK567" s="18" t="n">
        <f aca="false">IFERROR(AJ567/AI567,"")</f>
        <v>3.45118925238751</v>
      </c>
      <c r="AL567" s="15" t="n">
        <f aca="false">IFERROR(AI567/(AM567*U567/12),"")</f>
        <v>17.3853114425679</v>
      </c>
      <c r="AM567" s="12" t="n">
        <v>36720</v>
      </c>
      <c r="AN567" s="12" t="n">
        <v>1259712</v>
      </c>
      <c r="AO567" s="12" t="n">
        <v>3700108</v>
      </c>
      <c r="AP567" s="17" t="n">
        <v>0.223</v>
      </c>
      <c r="AQ567" s="16" t="n">
        <v>42</v>
      </c>
      <c r="AR567" s="16" t="n">
        <v>2</v>
      </c>
      <c r="AS567" s="13" t="n">
        <f aca="false">IFERROR(AR567/AR566-1,"")</f>
        <v>0</v>
      </c>
      <c r="AT567" s="11" t="s">
        <v>134</v>
      </c>
      <c r="AU567" s="14" t="n">
        <f aca="false">IFERROR(P567/AR567,"")</f>
        <v>422659</v>
      </c>
      <c r="AV567" s="12" t="n">
        <v>2680073</v>
      </c>
      <c r="AW567" s="12" t="n">
        <v>1323320</v>
      </c>
      <c r="AX567" s="12" t="n">
        <v>856711</v>
      </c>
      <c r="AY567" s="16" t="n">
        <v>17696</v>
      </c>
      <c r="AZ567" s="13" t="n">
        <f aca="false">IFERROR(AY567/AY566-1,"")</f>
        <v>0.212303898061246</v>
      </c>
      <c r="BA567" s="17" t="n">
        <v>0.921</v>
      </c>
      <c r="BB567" s="11" t="s">
        <v>161</v>
      </c>
      <c r="BC567" s="11" t="s">
        <v>108</v>
      </c>
      <c r="BD567" s="11" t="s">
        <v>109</v>
      </c>
      <c r="BE567" s="12" t="n">
        <v>835133</v>
      </c>
      <c r="BF567" s="13" t="n">
        <f aca="false">IFERROR(P567/BE567-1,"")</f>
        <v>0.0121956622478097</v>
      </c>
      <c r="BG567" s="17" t="n">
        <v>-0.057</v>
      </c>
      <c r="BH567" s="17" t="n">
        <v>-0.013</v>
      </c>
      <c r="BI567" s="14" t="n">
        <f aca="false">P567*(1+IFERROR(Q567,0))^4</f>
        <v>2481896.93118463</v>
      </c>
      <c r="BJ567" s="12" t="n">
        <v>-1121918</v>
      </c>
      <c r="BK567" s="11" t="s">
        <v>110</v>
      </c>
      <c r="BL567" s="11" t="s">
        <v>162</v>
      </c>
      <c r="BM567" s="14" t="n">
        <f aca="false">O567</f>
        <v>14099581</v>
      </c>
      <c r="BN567" s="11" t="s">
        <v>578</v>
      </c>
      <c r="BO567" s="13" t="n">
        <f aca="false">IFERROR(1-L567/M567,"")</f>
        <v>0.194155399090286</v>
      </c>
      <c r="BP567" s="11" t="s">
        <v>142</v>
      </c>
      <c r="BQ567" s="12" t="n">
        <v>2616514</v>
      </c>
      <c r="BR567" s="11" t="s">
        <v>88</v>
      </c>
      <c r="BS567" s="11" t="s">
        <v>89</v>
      </c>
      <c r="BT567" s="19" t="str">
        <f aca="false">IF(OR(Z567&lt;6,AH567&lt;0.9,S567&lt;0.02,AK567&lt;1),"REVIEW",IF(AND(S567&gt;0.25,AH567&gt;1.2),"ACCELERATING","STABLE"))</f>
        <v>STABLE</v>
      </c>
    </row>
    <row r="568" customFormat="false" ht="15" hidden="false" customHeight="false" outlineLevel="0" collapsed="false">
      <c r="A568" s="11" t="s">
        <v>576</v>
      </c>
      <c r="B568" s="11" t="s">
        <v>92</v>
      </c>
      <c r="C568" s="11" t="s">
        <v>74</v>
      </c>
      <c r="D568" s="11" t="s">
        <v>115</v>
      </c>
      <c r="E568" s="11" t="s">
        <v>105</v>
      </c>
      <c r="F568" s="11" t="s">
        <v>577</v>
      </c>
      <c r="G568" s="11" t="s">
        <v>78</v>
      </c>
      <c r="H568" s="11" t="s">
        <v>79</v>
      </c>
      <c r="I568" s="11" t="s">
        <v>78</v>
      </c>
      <c r="J568" s="12" t="n">
        <v>3116000</v>
      </c>
      <c r="K568" s="13" t="n">
        <f aca="false">IFERROR(J568/M568,"")</f>
        <v>0.194155399090286</v>
      </c>
      <c r="L568" s="12" t="n">
        <v>12933000</v>
      </c>
      <c r="M568" s="14" t="n">
        <f aca="false">L568+J568</f>
        <v>16049000</v>
      </c>
      <c r="N568" s="12" t="n">
        <v>7244000</v>
      </c>
      <c r="O568" s="12" t="n">
        <v>14099581</v>
      </c>
      <c r="P568" s="12" t="n">
        <v>1022397</v>
      </c>
      <c r="Q568" s="13" t="n">
        <f aca="false">IFERROR(P568/P567-1,"")</f>
        <v>0.209482112057238</v>
      </c>
      <c r="R568" s="12" t="n">
        <v>1164028</v>
      </c>
      <c r="S568" s="13" t="n">
        <f aca="false">IFERROR(R568/R567-1,"")</f>
        <v>0.142908199383591</v>
      </c>
      <c r="T568" s="12" t="n">
        <v>782638</v>
      </c>
      <c r="U568" s="13" t="n">
        <f aca="false">IFERROR(T568/P568,"")</f>
        <v>0.765493247730578</v>
      </c>
      <c r="V568" s="14" t="n">
        <f aca="false">T568-AV568</f>
        <v>-1801174</v>
      </c>
      <c r="W568" s="14" t="n">
        <f aca="false">V568-AA568*0.1</f>
        <v>-1801174</v>
      </c>
      <c r="X568" s="12" t="n">
        <v>4871277</v>
      </c>
      <c r="Y568" s="12" t="n">
        <v>177510</v>
      </c>
      <c r="Z568" s="15" t="n">
        <f aca="false">IFERROR(X568/Y568,"")</f>
        <v>27.4422680412371</v>
      </c>
      <c r="AA568" s="12" t="n">
        <v>0</v>
      </c>
      <c r="AB568" s="14" t="n">
        <f aca="false">W568-0.02*P568</f>
        <v>-1821621.94</v>
      </c>
      <c r="AC568" s="16" t="n">
        <v>43</v>
      </c>
      <c r="AD568" s="13" t="n">
        <f aca="false">IFERROR(AC568/AC567-1,"")</f>
        <v>0.131578947368421</v>
      </c>
      <c r="AE568" s="17" t="n">
        <v>0.085</v>
      </c>
      <c r="AF568" s="17" t="n">
        <v>0.083</v>
      </c>
      <c r="AG568" s="13" t="n">
        <f aca="false">1-AF568</f>
        <v>0.917</v>
      </c>
      <c r="AH568" s="17" t="n">
        <v>1.14</v>
      </c>
      <c r="AI568" s="12" t="n">
        <v>39780</v>
      </c>
      <c r="AJ568" s="14" t="n">
        <f aca="false">IFERROR(AM568*U568*MIN(1/AE568,5),"")</f>
        <v>143300.335975164</v>
      </c>
      <c r="AK568" s="18" t="n">
        <f aca="false">IFERROR(AJ568/AI568,"")</f>
        <v>3.60232116579096</v>
      </c>
      <c r="AL568" s="15" t="n">
        <f aca="false">IFERROR(AI568/(AM568*U568/12),"")</f>
        <v>16.6559274530498</v>
      </c>
      <c r="AM568" s="12" t="n">
        <v>37440</v>
      </c>
      <c r="AN568" s="12" t="n">
        <v>1519923</v>
      </c>
      <c r="AO568" s="12" t="n">
        <v>4229960</v>
      </c>
      <c r="AP568" s="17" t="n">
        <v>0.223</v>
      </c>
      <c r="AQ568" s="16" t="n">
        <v>42</v>
      </c>
      <c r="AR568" s="16" t="n">
        <v>3</v>
      </c>
      <c r="AS568" s="13" t="n">
        <f aca="false">IFERROR(AR568/AR567-1,"")</f>
        <v>0.5</v>
      </c>
      <c r="AT568" s="11" t="s">
        <v>134</v>
      </c>
      <c r="AU568" s="14" t="n">
        <f aca="false">IFERROR(P568/AR568,"")</f>
        <v>340799</v>
      </c>
      <c r="AV568" s="12" t="n">
        <v>2583812</v>
      </c>
      <c r="AW568" s="12" t="n">
        <v>826682</v>
      </c>
      <c r="AX568" s="12" t="n">
        <v>733858</v>
      </c>
      <c r="AY568" s="16" t="n">
        <v>21242</v>
      </c>
      <c r="AZ568" s="13" t="n">
        <f aca="false">IFERROR(AY568/AY567-1,"")</f>
        <v>0.200384267631103</v>
      </c>
      <c r="BA568" s="17" t="n">
        <v>0.933</v>
      </c>
      <c r="BB568" s="11" t="s">
        <v>161</v>
      </c>
      <c r="BC568" s="11" t="s">
        <v>108</v>
      </c>
      <c r="BD568" s="11" t="s">
        <v>109</v>
      </c>
      <c r="BE568" s="12" t="n">
        <v>1247292</v>
      </c>
      <c r="BF568" s="13" t="n">
        <f aca="false">IFERROR(P568/BE568-1,"")</f>
        <v>-0.180306616253451</v>
      </c>
      <c r="BG568" s="17" t="n">
        <v>0.066</v>
      </c>
      <c r="BH568" s="17" t="n">
        <v>0.084</v>
      </c>
      <c r="BI568" s="14" t="n">
        <f aca="false">P568*(1+IFERROR(Q568,0))^4</f>
        <v>2187849.10212241</v>
      </c>
      <c r="BJ568" s="12" t="n">
        <v>-1892659</v>
      </c>
      <c r="BK568" s="11" t="s">
        <v>110</v>
      </c>
      <c r="BL568" s="11" t="s">
        <v>162</v>
      </c>
      <c r="BM568" s="14" t="n">
        <f aca="false">O568</f>
        <v>14099581</v>
      </c>
      <c r="BN568" s="11" t="s">
        <v>578</v>
      </c>
      <c r="BO568" s="13" t="n">
        <f aca="false">IFERROR(1-L568/M568,"")</f>
        <v>0.194155399090286</v>
      </c>
      <c r="BP568" s="11" t="s">
        <v>142</v>
      </c>
      <c r="BQ568" s="12" t="n">
        <v>3528373</v>
      </c>
      <c r="BR568" s="11" t="s">
        <v>88</v>
      </c>
      <c r="BS568" s="11" t="s">
        <v>89</v>
      </c>
      <c r="BT568" s="19" t="str">
        <f aca="false">IF(OR(Z568&lt;6,AH568&lt;0.9,S568&lt;0.02,AK568&lt;1),"REVIEW",IF(AND(S568&gt;0.25,AH568&gt;1.2),"ACCELERATING","STABLE"))</f>
        <v>STABLE</v>
      </c>
    </row>
    <row r="569" customFormat="false" ht="15" hidden="false" customHeight="false" outlineLevel="0" collapsed="false">
      <c r="A569" s="11" t="s">
        <v>576</v>
      </c>
      <c r="B569" s="11" t="s">
        <v>93</v>
      </c>
      <c r="C569" s="11" t="s">
        <v>74</v>
      </c>
      <c r="D569" s="11" t="s">
        <v>115</v>
      </c>
      <c r="E569" s="11" t="s">
        <v>105</v>
      </c>
      <c r="F569" s="11" t="s">
        <v>577</v>
      </c>
      <c r="G569" s="11" t="s">
        <v>78</v>
      </c>
      <c r="H569" s="11" t="s">
        <v>79</v>
      </c>
      <c r="I569" s="11" t="s">
        <v>78</v>
      </c>
      <c r="J569" s="12" t="n">
        <v>3116000</v>
      </c>
      <c r="K569" s="13" t="n">
        <f aca="false">IFERROR(J569/M569,"")</f>
        <v>0.194155399090286</v>
      </c>
      <c r="L569" s="12" t="n">
        <v>12933000</v>
      </c>
      <c r="M569" s="14" t="n">
        <f aca="false">L569+J569</f>
        <v>16049000</v>
      </c>
      <c r="N569" s="12" t="n">
        <v>7244000</v>
      </c>
      <c r="O569" s="12" t="n">
        <v>14099581</v>
      </c>
      <c r="P569" s="12" t="n">
        <v>1268816</v>
      </c>
      <c r="Q569" s="13" t="n">
        <f aca="false">IFERROR(P569/P568-1,"")</f>
        <v>0.241020855890618</v>
      </c>
      <c r="R569" s="12" t="n">
        <v>1407757</v>
      </c>
      <c r="S569" s="13" t="n">
        <f aca="false">IFERROR(R569/R568-1,"")</f>
        <v>0.209384138525877</v>
      </c>
      <c r="T569" s="12" t="n">
        <v>975172</v>
      </c>
      <c r="U569" s="13" t="n">
        <f aca="false">IFERROR(T569/P569,"")</f>
        <v>0.768568492200603</v>
      </c>
      <c r="V569" s="14" t="n">
        <f aca="false">T569-AV569</f>
        <v>-2202136</v>
      </c>
      <c r="W569" s="14" t="n">
        <f aca="false">V569-AA569*0.1</f>
        <v>-2202136</v>
      </c>
      <c r="X569" s="12" t="n">
        <v>4392000</v>
      </c>
      <c r="Y569" s="12" t="n">
        <v>183000</v>
      </c>
      <c r="Z569" s="15" t="n">
        <f aca="false">IFERROR(X569/Y569,"")</f>
        <v>24</v>
      </c>
      <c r="AA569" s="12" t="n">
        <v>0</v>
      </c>
      <c r="AB569" s="14" t="n">
        <f aca="false">W569-0.02*P569</f>
        <v>-2227512.32</v>
      </c>
      <c r="AC569" s="16" t="n">
        <v>51</v>
      </c>
      <c r="AD569" s="13" t="n">
        <f aca="false">IFERROR(AC569/AC568-1,"")</f>
        <v>0.186046511627907</v>
      </c>
      <c r="AE569" s="17" t="n">
        <v>0.083</v>
      </c>
      <c r="AF569" s="17" t="n">
        <v>0.053</v>
      </c>
      <c r="AG569" s="13" t="n">
        <f aca="false">1-AF569</f>
        <v>0.947</v>
      </c>
      <c r="AH569" s="17" t="n">
        <v>1.135</v>
      </c>
      <c r="AI569" s="12" t="n">
        <v>39000</v>
      </c>
      <c r="AJ569" s="14" t="n">
        <f aca="false">IFERROR(AM569*U569*MIN(1/AE569,5),"")</f>
        <v>146642.868311875</v>
      </c>
      <c r="AK569" s="18" t="n">
        <f aca="false">IFERROR(AJ569/AI569,"")</f>
        <v>3.76007354645833</v>
      </c>
      <c r="AL569" s="15" t="n">
        <f aca="false">IFERROR(AI569/(AM569*U569/12),"")</f>
        <v>15.9571346833135</v>
      </c>
      <c r="AM569" s="12" t="n">
        <v>38160</v>
      </c>
      <c r="AN569" s="12" t="n">
        <v>1382685</v>
      </c>
      <c r="AO569" s="12" t="n">
        <v>3745691</v>
      </c>
      <c r="AP569" s="17" t="n">
        <v>0.223</v>
      </c>
      <c r="AQ569" s="16" t="n">
        <v>42</v>
      </c>
      <c r="AR569" s="16" t="n">
        <v>3</v>
      </c>
      <c r="AS569" s="13" t="n">
        <f aca="false">IFERROR(AR569/AR568-1,"")</f>
        <v>0</v>
      </c>
      <c r="AT569" s="11" t="s">
        <v>134</v>
      </c>
      <c r="AU569" s="14" t="n">
        <f aca="false">IFERROR(P569/AR569,"")</f>
        <v>422938.666666667</v>
      </c>
      <c r="AV569" s="12" t="n">
        <v>3177308</v>
      </c>
      <c r="AW569" s="12" t="n">
        <v>1408412</v>
      </c>
      <c r="AX569" s="12" t="n">
        <v>757298</v>
      </c>
      <c r="AY569" s="16" t="n">
        <v>26281</v>
      </c>
      <c r="AZ569" s="13" t="n">
        <f aca="false">IFERROR(AY569/AY568-1,"")</f>
        <v>0.237218717634874</v>
      </c>
      <c r="BA569" s="17" t="n">
        <v>0.938</v>
      </c>
      <c r="BB569" s="11" t="s">
        <v>161</v>
      </c>
      <c r="BC569" s="11" t="s">
        <v>108</v>
      </c>
      <c r="BD569" s="11" t="s">
        <v>109</v>
      </c>
      <c r="BE569" s="12" t="n">
        <v>1251607</v>
      </c>
      <c r="BF569" s="13" t="n">
        <f aca="false">IFERROR(P569/BE569-1,"")</f>
        <v>0.0137495236124439</v>
      </c>
      <c r="BG569" s="17" t="n">
        <v>-0.018</v>
      </c>
      <c r="BH569" s="17" t="n">
        <v>-0.064</v>
      </c>
      <c r="BI569" s="14" t="n">
        <f aca="false">P569*(1+IFERROR(Q569,0))^4</f>
        <v>3009642.88642641</v>
      </c>
      <c r="BJ569" s="12" t="n">
        <v>-1465912</v>
      </c>
      <c r="BK569" s="11" t="s">
        <v>110</v>
      </c>
      <c r="BL569" s="11" t="s">
        <v>162</v>
      </c>
      <c r="BM569" s="14" t="n">
        <f aca="false">O569</f>
        <v>14099581</v>
      </c>
      <c r="BN569" s="11" t="s">
        <v>578</v>
      </c>
      <c r="BO569" s="13" t="n">
        <f aca="false">IFERROR(1-L569/M569,"")</f>
        <v>0.194155399090286</v>
      </c>
      <c r="BP569" s="11" t="s">
        <v>142</v>
      </c>
      <c r="BQ569" s="12" t="n">
        <v>3479012</v>
      </c>
      <c r="BR569" s="11" t="s">
        <v>88</v>
      </c>
      <c r="BS569" s="11" t="s">
        <v>89</v>
      </c>
      <c r="BT569" s="19" t="str">
        <f aca="false">IF(OR(Z569&lt;6,AH569&lt;0.9,S569&lt;0.02,AK569&lt;1),"REVIEW",IF(AND(S569&gt;0.25,AH569&gt;1.2),"ACCELERATING","STABLE"))</f>
        <v>STABLE</v>
      </c>
    </row>
    <row r="570" customFormat="false" ht="15" hidden="false" customHeight="false" outlineLevel="0" collapsed="false">
      <c r="A570" s="3" t="s">
        <v>579</v>
      </c>
      <c r="B570" s="3" t="s">
        <v>73</v>
      </c>
      <c r="C570" s="3" t="s">
        <v>74</v>
      </c>
      <c r="D570" s="3" t="s">
        <v>132</v>
      </c>
      <c r="E570" s="3" t="s">
        <v>105</v>
      </c>
      <c r="F570" s="3" t="s">
        <v>580</v>
      </c>
      <c r="G570" s="3" t="s">
        <v>78</v>
      </c>
      <c r="H570" s="3" t="s">
        <v>79</v>
      </c>
      <c r="I570" s="3" t="s">
        <v>78</v>
      </c>
      <c r="J570" s="4" t="n">
        <v>2805000</v>
      </c>
      <c r="K570" s="5" t="n">
        <f aca="false">IFERROR(J570/M570,"")</f>
        <v>0.171759230910538</v>
      </c>
      <c r="L570" s="4" t="n">
        <v>13526000</v>
      </c>
      <c r="M570" s="6" t="n">
        <f aca="false">L570+J570</f>
        <v>16331000</v>
      </c>
      <c r="N570" s="4" t="n">
        <v>4551000</v>
      </c>
      <c r="O570" s="4" t="n">
        <v>16712059</v>
      </c>
      <c r="P570" s="4" t="n">
        <v>632696</v>
      </c>
      <c r="Q570" s="7"/>
      <c r="R570" s="4" t="n">
        <v>824677</v>
      </c>
      <c r="S570" s="7"/>
      <c r="T570" s="4" t="n">
        <v>409006</v>
      </c>
      <c r="U570" s="5" t="n">
        <f aca="false">IFERROR(T570/P570,"")</f>
        <v>0.646449479686927</v>
      </c>
      <c r="V570" s="6" t="n">
        <f aca="false">T570-AV570</f>
        <v>-2834410</v>
      </c>
      <c r="W570" s="6" t="n">
        <f aca="false">V570-AA570*0.1</f>
        <v>-2834410</v>
      </c>
      <c r="X570" s="4" t="n">
        <v>1292200</v>
      </c>
      <c r="Y570" s="4" t="n">
        <v>224770</v>
      </c>
      <c r="Z570" s="8" t="n">
        <f aca="false">IFERROR(X570/Y570,"")</f>
        <v>5.74898785425101</v>
      </c>
      <c r="AA570" s="4" t="n">
        <v>0</v>
      </c>
      <c r="AB570" s="6" t="n">
        <f aca="false">W570-0.02*P570</f>
        <v>-2847063.92</v>
      </c>
      <c r="AC570" s="9" t="n">
        <v>32</v>
      </c>
      <c r="AD570" s="7"/>
      <c r="AE570" s="7" t="n">
        <v>0.052</v>
      </c>
      <c r="AF570" s="7" t="n">
        <v>0.046</v>
      </c>
      <c r="AG570" s="5" t="n">
        <f aca="false">1-AF570</f>
        <v>0.954</v>
      </c>
      <c r="AH570" s="7" t="n">
        <v>1.316</v>
      </c>
      <c r="AI570" s="4" t="n">
        <v>45262</v>
      </c>
      <c r="AJ570" s="6" t="n">
        <f aca="false">IFERROR(AM570*U570*MIN(1/AE570,5),"")</f>
        <v>155147.875124862</v>
      </c>
      <c r="AK570" s="10" t="n">
        <f aca="false">IFERROR(AJ570/AI570,"")</f>
        <v>3.42777330044767</v>
      </c>
      <c r="AL570" s="8" t="n">
        <f aca="false">IFERROR(AI570/(AM570*U570/12),"")</f>
        <v>17.5040747275101</v>
      </c>
      <c r="AM570" s="4" t="n">
        <v>48000</v>
      </c>
      <c r="AN570" s="4" t="n">
        <v>1007808</v>
      </c>
      <c r="AO570" s="4" t="n">
        <v>2589555</v>
      </c>
      <c r="AP570" s="7" t="n">
        <v>0.36</v>
      </c>
      <c r="AQ570" s="9" t="n">
        <v>46</v>
      </c>
      <c r="AR570" s="9" t="n">
        <v>1</v>
      </c>
      <c r="AS570" s="7"/>
      <c r="AT570" s="3" t="s">
        <v>153</v>
      </c>
      <c r="AU570" s="6" t="n">
        <f aca="false">IFERROR(P570/AR570,"")</f>
        <v>632696</v>
      </c>
      <c r="AV570" s="4" t="n">
        <v>3243416</v>
      </c>
      <c r="AW570" s="4" t="n">
        <v>1315550</v>
      </c>
      <c r="AX570" s="4" t="n">
        <v>882341</v>
      </c>
      <c r="AY570" s="9" t="n">
        <v>13061</v>
      </c>
      <c r="AZ570" s="7"/>
      <c r="BA570" s="7" t="n">
        <v>0.961</v>
      </c>
      <c r="BB570" s="3" t="s">
        <v>107</v>
      </c>
      <c r="BC570" s="3" t="s">
        <v>100</v>
      </c>
      <c r="BD570" s="3" t="s">
        <v>83</v>
      </c>
      <c r="BE570" s="4" t="n">
        <v>666035</v>
      </c>
      <c r="BF570" s="5" t="n">
        <f aca="false">IFERROR(P570/BE570-1,"")</f>
        <v>-0.0500559279917722</v>
      </c>
      <c r="BG570" s="7" t="n">
        <v>-0.012</v>
      </c>
      <c r="BH570" s="7" t="n">
        <v>-0.021</v>
      </c>
      <c r="BI570" s="6" t="n">
        <f aca="false">P570</f>
        <v>632696</v>
      </c>
      <c r="BJ570" s="4" t="n">
        <v>-2322458</v>
      </c>
      <c r="BK570" s="3" t="s">
        <v>127</v>
      </c>
      <c r="BL570" s="3" t="s">
        <v>111</v>
      </c>
      <c r="BM570" s="6" t="n">
        <f aca="false">O570</f>
        <v>16712059</v>
      </c>
      <c r="BN570" s="3" t="s">
        <v>581</v>
      </c>
      <c r="BO570" s="5" t="n">
        <f aca="false">IFERROR(1-L570/M570,"")</f>
        <v>0.171759230910538</v>
      </c>
      <c r="BP570" s="3" t="s">
        <v>130</v>
      </c>
      <c r="BQ570" s="4" t="n">
        <v>3724155</v>
      </c>
      <c r="BR570" s="3" t="s">
        <v>88</v>
      </c>
      <c r="BS570" s="3" t="s">
        <v>89</v>
      </c>
      <c r="BT570" s="3" t="s">
        <v>90</v>
      </c>
    </row>
    <row r="571" customFormat="false" ht="15" hidden="false" customHeight="false" outlineLevel="0" collapsed="false">
      <c r="A571" s="11" t="s">
        <v>579</v>
      </c>
      <c r="B571" s="11" t="s">
        <v>91</v>
      </c>
      <c r="C571" s="11" t="s">
        <v>74</v>
      </c>
      <c r="D571" s="11" t="s">
        <v>132</v>
      </c>
      <c r="E571" s="11" t="s">
        <v>105</v>
      </c>
      <c r="F571" s="11" t="s">
        <v>580</v>
      </c>
      <c r="G571" s="11" t="s">
        <v>78</v>
      </c>
      <c r="H571" s="11" t="s">
        <v>79</v>
      </c>
      <c r="I571" s="11" t="s">
        <v>78</v>
      </c>
      <c r="J571" s="12" t="n">
        <v>2805000</v>
      </c>
      <c r="K571" s="13" t="n">
        <f aca="false">IFERROR(J571/M571,"")</f>
        <v>0.171759230910538</v>
      </c>
      <c r="L571" s="12" t="n">
        <v>13526000</v>
      </c>
      <c r="M571" s="14" t="n">
        <f aca="false">L571+J571</f>
        <v>16331000</v>
      </c>
      <c r="N571" s="12" t="n">
        <v>4551000</v>
      </c>
      <c r="O571" s="12" t="n">
        <v>16712059</v>
      </c>
      <c r="P571" s="12" t="n">
        <v>876485</v>
      </c>
      <c r="Q571" s="13" t="n">
        <f aca="false">IFERROR(P571/P570-1,"")</f>
        <v>0.385317751337135</v>
      </c>
      <c r="R571" s="12" t="n">
        <v>1151964</v>
      </c>
      <c r="S571" s="13" t="n">
        <f aca="false">IFERROR(R571/R570-1,"")</f>
        <v>0.396866894553868</v>
      </c>
      <c r="T571" s="12" t="n">
        <v>568898</v>
      </c>
      <c r="U571" s="13" t="n">
        <f aca="false">IFERROR(T571/P571,"")</f>
        <v>0.649067582445792</v>
      </c>
      <c r="V571" s="14" t="n">
        <f aca="false">T571-AV571</f>
        <v>-2439558</v>
      </c>
      <c r="W571" s="14" t="n">
        <f aca="false">V571-AA571*0.1</f>
        <v>-2439558</v>
      </c>
      <c r="X571" s="12" t="n">
        <v>1661400</v>
      </c>
      <c r="Y571" s="12" t="n">
        <v>232180</v>
      </c>
      <c r="Z571" s="15" t="n">
        <f aca="false">IFERROR(X571/Y571,"")</f>
        <v>7.15565509518477</v>
      </c>
      <c r="AA571" s="12" t="n">
        <v>0</v>
      </c>
      <c r="AB571" s="14" t="n">
        <f aca="false">W571-0.02*P571</f>
        <v>-2457087.7</v>
      </c>
      <c r="AC571" s="16" t="n">
        <v>42</v>
      </c>
      <c r="AD571" s="13" t="n">
        <f aca="false">IFERROR(AC571/AC570-1,"")</f>
        <v>0.3125</v>
      </c>
      <c r="AE571" s="17" t="n">
        <v>0.051</v>
      </c>
      <c r="AF571" s="17" t="n">
        <v>0.039</v>
      </c>
      <c r="AG571" s="13" t="n">
        <f aca="false">1-AF571</f>
        <v>0.961</v>
      </c>
      <c r="AH571" s="17" t="n">
        <v>1.346</v>
      </c>
      <c r="AI571" s="12" t="n">
        <v>44408</v>
      </c>
      <c r="AJ571" s="14" t="n">
        <f aca="false">IFERROR(AM571*U571*MIN(1/AE571,5),"")</f>
        <v>158891.74418273</v>
      </c>
      <c r="AK571" s="18" t="n">
        <f aca="false">IFERROR(AJ571/AI571,"")</f>
        <v>3.57799820263758</v>
      </c>
      <c r="AL571" s="15" t="n">
        <f aca="false">IFERROR(AI571/(AM571*U571/12),"")</f>
        <v>16.7691531973856</v>
      </c>
      <c r="AM571" s="12" t="n">
        <v>48960</v>
      </c>
      <c r="AN571" s="12" t="n">
        <v>1691491</v>
      </c>
      <c r="AO571" s="12" t="n">
        <v>4134446</v>
      </c>
      <c r="AP571" s="17" t="n">
        <v>0.36</v>
      </c>
      <c r="AQ571" s="16" t="n">
        <v>46</v>
      </c>
      <c r="AR571" s="16" t="n">
        <v>1</v>
      </c>
      <c r="AS571" s="13" t="n">
        <f aca="false">IFERROR(AR571/AR570-1,"")</f>
        <v>0</v>
      </c>
      <c r="AT571" s="11" t="s">
        <v>153</v>
      </c>
      <c r="AU571" s="14" t="n">
        <f aca="false">IFERROR(P571/AR571,"")</f>
        <v>876485</v>
      </c>
      <c r="AV571" s="12" t="n">
        <v>3008456</v>
      </c>
      <c r="AW571" s="12" t="n">
        <v>1318877</v>
      </c>
      <c r="AX571" s="12" t="n">
        <v>647545</v>
      </c>
      <c r="AY571" s="16" t="n">
        <v>18251</v>
      </c>
      <c r="AZ571" s="13" t="n">
        <f aca="false">IFERROR(AY571/AY570-1,"")</f>
        <v>0.397366204731644</v>
      </c>
      <c r="BA571" s="17" t="n">
        <v>0.962</v>
      </c>
      <c r="BB571" s="11" t="s">
        <v>107</v>
      </c>
      <c r="BC571" s="11" t="s">
        <v>100</v>
      </c>
      <c r="BD571" s="11" t="s">
        <v>83</v>
      </c>
      <c r="BE571" s="12" t="n">
        <v>1048710</v>
      </c>
      <c r="BF571" s="13" t="n">
        <f aca="false">IFERROR(P571/BE571-1,"")</f>
        <v>-0.164225572369864</v>
      </c>
      <c r="BG571" s="17" t="n">
        <v>-0.042</v>
      </c>
      <c r="BH571" s="17" t="n">
        <v>-0.028</v>
      </c>
      <c r="BI571" s="14" t="n">
        <f aca="false">P571*(1+IFERROR(Q571,0))^4</f>
        <v>3228063.61805392</v>
      </c>
      <c r="BJ571" s="12" t="n">
        <v>-2274320</v>
      </c>
      <c r="BK571" s="11" t="s">
        <v>127</v>
      </c>
      <c r="BL571" s="11" t="s">
        <v>111</v>
      </c>
      <c r="BM571" s="14" t="n">
        <f aca="false">O571</f>
        <v>16712059</v>
      </c>
      <c r="BN571" s="11" t="s">
        <v>581</v>
      </c>
      <c r="BO571" s="13" t="n">
        <f aca="false">IFERROR(1-L571/M571,"")</f>
        <v>0.171759230910538</v>
      </c>
      <c r="BP571" s="11" t="s">
        <v>130</v>
      </c>
      <c r="BQ571" s="12" t="n">
        <v>3426341</v>
      </c>
      <c r="BR571" s="11" t="s">
        <v>88</v>
      </c>
      <c r="BS571" s="11" t="s">
        <v>89</v>
      </c>
      <c r="BT571" s="19" t="str">
        <f aca="false">IF(OR(Z571&lt;6,AH571&lt;0.9,S571&lt;0.02,AK571&lt;1),"REVIEW",IF(AND(S571&gt;0.25,AH571&gt;1.2),"ACCELERATING","STABLE"))</f>
        <v>ACCELERATING</v>
      </c>
    </row>
    <row r="572" customFormat="false" ht="15" hidden="false" customHeight="false" outlineLevel="0" collapsed="false">
      <c r="A572" s="11" t="s">
        <v>579</v>
      </c>
      <c r="B572" s="11" t="s">
        <v>92</v>
      </c>
      <c r="C572" s="11" t="s">
        <v>74</v>
      </c>
      <c r="D572" s="11" t="s">
        <v>132</v>
      </c>
      <c r="E572" s="11" t="s">
        <v>105</v>
      </c>
      <c r="F572" s="11" t="s">
        <v>580</v>
      </c>
      <c r="G572" s="11" t="s">
        <v>78</v>
      </c>
      <c r="H572" s="11" t="s">
        <v>79</v>
      </c>
      <c r="I572" s="11" t="s">
        <v>78</v>
      </c>
      <c r="J572" s="12" t="n">
        <v>2805000</v>
      </c>
      <c r="K572" s="13" t="n">
        <f aca="false">IFERROR(J572/M572,"")</f>
        <v>0.171759230910538</v>
      </c>
      <c r="L572" s="12" t="n">
        <v>13526000</v>
      </c>
      <c r="M572" s="14" t="n">
        <f aca="false">L572+J572</f>
        <v>16331000</v>
      </c>
      <c r="N572" s="12" t="n">
        <v>4551000</v>
      </c>
      <c r="O572" s="12" t="n">
        <v>16712059</v>
      </c>
      <c r="P572" s="12" t="n">
        <v>1308808</v>
      </c>
      <c r="Q572" s="13" t="n">
        <f aca="false">IFERROR(P572/P571-1,"")</f>
        <v>0.493246319104149</v>
      </c>
      <c r="R572" s="12" t="n">
        <v>1566281</v>
      </c>
      <c r="S572" s="13" t="n">
        <f aca="false">IFERROR(R572/R571-1,"")</f>
        <v>0.359661413030268</v>
      </c>
      <c r="T572" s="12" t="n">
        <v>852930</v>
      </c>
      <c r="U572" s="13" t="n">
        <f aca="false">IFERROR(T572/P572,"")</f>
        <v>0.651684586280035</v>
      </c>
      <c r="V572" s="14" t="n">
        <f aca="false">T572-AV572</f>
        <v>-2258381</v>
      </c>
      <c r="W572" s="14" t="n">
        <f aca="false">V572-AA572*0.1</f>
        <v>-2258381</v>
      </c>
      <c r="X572" s="12" t="n">
        <v>2030600</v>
      </c>
      <c r="Y572" s="12" t="n">
        <v>239590</v>
      </c>
      <c r="Z572" s="15" t="n">
        <f aca="false">IFERROR(X572/Y572,"")</f>
        <v>8.4753119913185</v>
      </c>
      <c r="AA572" s="12" t="n">
        <v>0</v>
      </c>
      <c r="AB572" s="14" t="n">
        <f aca="false">W572-0.02*P572</f>
        <v>-2284557.16</v>
      </c>
      <c r="AC572" s="16" t="n">
        <v>53</v>
      </c>
      <c r="AD572" s="13" t="n">
        <f aca="false">IFERROR(AC572/AC571-1,"")</f>
        <v>0.261904761904762</v>
      </c>
      <c r="AE572" s="17" t="n">
        <v>0.049</v>
      </c>
      <c r="AF572" s="17" t="n">
        <v>0.03</v>
      </c>
      <c r="AG572" s="13" t="n">
        <f aca="false">1-AF572</f>
        <v>0.97</v>
      </c>
      <c r="AH572" s="17" t="n">
        <v>1.376</v>
      </c>
      <c r="AI572" s="12" t="n">
        <v>43554</v>
      </c>
      <c r="AJ572" s="14" t="n">
        <f aca="false">IFERROR(AM572*U572*MIN(1/AE572,5),"")</f>
        <v>162660.472735497</v>
      </c>
      <c r="AK572" s="18" t="n">
        <f aca="false">IFERROR(AJ572/AI572,"")</f>
        <v>3.73468505155661</v>
      </c>
      <c r="AL572" s="15" t="n">
        <f aca="false">IFERROR(AI572/(AM572*U572/12),"")</f>
        <v>16.0656117374588</v>
      </c>
      <c r="AM572" s="12" t="n">
        <v>49920</v>
      </c>
      <c r="AN572" s="12" t="n">
        <v>2285299</v>
      </c>
      <c r="AO572" s="12" t="n">
        <v>4524225</v>
      </c>
      <c r="AP572" s="17" t="n">
        <v>0.36</v>
      </c>
      <c r="AQ572" s="16" t="n">
        <v>46</v>
      </c>
      <c r="AR572" s="16" t="n">
        <v>2</v>
      </c>
      <c r="AS572" s="13" t="n">
        <f aca="false">IFERROR(AR572/AR571-1,"")</f>
        <v>1</v>
      </c>
      <c r="AT572" s="11" t="s">
        <v>153</v>
      </c>
      <c r="AU572" s="14" t="n">
        <f aca="false">IFERROR(P572/AR572,"")</f>
        <v>654404</v>
      </c>
      <c r="AV572" s="12" t="n">
        <v>3111311</v>
      </c>
      <c r="AW572" s="12" t="n">
        <v>1008536</v>
      </c>
      <c r="AX572" s="12" t="n">
        <v>1052554</v>
      </c>
      <c r="AY572" s="16" t="n">
        <v>24370</v>
      </c>
      <c r="AZ572" s="13" t="n">
        <f aca="false">IFERROR(AY572/AY571-1,"")</f>
        <v>0.335269300312312</v>
      </c>
      <c r="BA572" s="17" t="n">
        <v>0.957</v>
      </c>
      <c r="BB572" s="11" t="s">
        <v>107</v>
      </c>
      <c r="BC572" s="11" t="s">
        <v>100</v>
      </c>
      <c r="BD572" s="11" t="s">
        <v>83</v>
      </c>
      <c r="BE572" s="12" t="n">
        <v>1633116</v>
      </c>
      <c r="BF572" s="13" t="n">
        <f aca="false">IFERROR(P572/BE572-1,"")</f>
        <v>-0.198582341976932</v>
      </c>
      <c r="BG572" s="17" t="n">
        <v>0.044</v>
      </c>
      <c r="BH572" s="17" t="n">
        <v>-0.076</v>
      </c>
      <c r="BI572" s="14" t="n">
        <f aca="false">P572*(1+IFERROR(Q572,0))^4</f>
        <v>6507313.83510593</v>
      </c>
      <c r="BJ572" s="12" t="n">
        <v>-2318303</v>
      </c>
      <c r="BK572" s="11" t="s">
        <v>127</v>
      </c>
      <c r="BL572" s="11" t="s">
        <v>111</v>
      </c>
      <c r="BM572" s="14" t="n">
        <f aca="false">O572</f>
        <v>16712059</v>
      </c>
      <c r="BN572" s="11" t="s">
        <v>581</v>
      </c>
      <c r="BO572" s="13" t="n">
        <f aca="false">IFERROR(1-L572/M572,"")</f>
        <v>0.171759230910538</v>
      </c>
      <c r="BP572" s="11" t="s">
        <v>130</v>
      </c>
      <c r="BQ572" s="12" t="n">
        <v>2932514</v>
      </c>
      <c r="BR572" s="11" t="s">
        <v>88</v>
      </c>
      <c r="BS572" s="11" t="s">
        <v>89</v>
      </c>
      <c r="BT572" s="19" t="str">
        <f aca="false">IF(OR(Z572&lt;6,AH572&lt;0.9,S572&lt;0.02,AK572&lt;1),"REVIEW",IF(AND(S572&gt;0.25,AH572&gt;1.2),"ACCELERATING","STABLE"))</f>
        <v>ACCELERATING</v>
      </c>
    </row>
    <row r="573" customFormat="false" ht="15" hidden="false" customHeight="false" outlineLevel="0" collapsed="false">
      <c r="A573" s="11" t="s">
        <v>579</v>
      </c>
      <c r="B573" s="11" t="s">
        <v>93</v>
      </c>
      <c r="C573" s="11" t="s">
        <v>74</v>
      </c>
      <c r="D573" s="11" t="s">
        <v>132</v>
      </c>
      <c r="E573" s="11" t="s">
        <v>105</v>
      </c>
      <c r="F573" s="11" t="s">
        <v>580</v>
      </c>
      <c r="G573" s="11" t="s">
        <v>78</v>
      </c>
      <c r="H573" s="11" t="s">
        <v>79</v>
      </c>
      <c r="I573" s="11" t="s">
        <v>78</v>
      </c>
      <c r="J573" s="12" t="n">
        <v>2805000</v>
      </c>
      <c r="K573" s="13" t="n">
        <f aca="false">IFERROR(J573/M573,"")</f>
        <v>0.171759230910538</v>
      </c>
      <c r="L573" s="12" t="n">
        <v>13526000</v>
      </c>
      <c r="M573" s="14" t="n">
        <f aca="false">L573+J573</f>
        <v>16331000</v>
      </c>
      <c r="N573" s="12" t="n">
        <v>4551000</v>
      </c>
      <c r="O573" s="12" t="n">
        <v>16712059</v>
      </c>
      <c r="P573" s="12" t="n">
        <v>1849702</v>
      </c>
      <c r="Q573" s="13" t="n">
        <f aca="false">IFERROR(P573/P572-1,"")</f>
        <v>0.413272229387351</v>
      </c>
      <c r="R573" s="12" t="n">
        <v>2199836</v>
      </c>
      <c r="S573" s="13" t="n">
        <f aca="false">IFERROR(R573/R572-1,"")</f>
        <v>0.404496383471421</v>
      </c>
      <c r="T573" s="12" t="n">
        <v>1210264</v>
      </c>
      <c r="U573" s="13" t="n">
        <f aca="false">IFERROR(T573/P573,"")</f>
        <v>0.654302152454828</v>
      </c>
      <c r="V573" s="14" t="n">
        <f aca="false">T573-AV573</f>
        <v>-2968240</v>
      </c>
      <c r="W573" s="14" t="n">
        <f aca="false">V573-AA573*0.1</f>
        <v>-2968240</v>
      </c>
      <c r="X573" s="12" t="n">
        <v>3692000</v>
      </c>
      <c r="Y573" s="12" t="n">
        <v>247000</v>
      </c>
      <c r="Z573" s="15" t="n">
        <f aca="false">IFERROR(X573/Y573,"")</f>
        <v>14.9473684210526</v>
      </c>
      <c r="AA573" s="12" t="n">
        <v>0</v>
      </c>
      <c r="AB573" s="14" t="n">
        <f aca="false">W573-0.02*P573</f>
        <v>-3005234.04</v>
      </c>
      <c r="AC573" s="16" t="n">
        <v>66</v>
      </c>
      <c r="AD573" s="13" t="n">
        <f aca="false">IFERROR(AC573/AC572-1,"")</f>
        <v>0.245283018867924</v>
      </c>
      <c r="AE573" s="17" t="n">
        <v>0.048</v>
      </c>
      <c r="AF573" s="17" t="n">
        <v>0.042</v>
      </c>
      <c r="AG573" s="13" t="n">
        <f aca="false">1-AF573</f>
        <v>0.958</v>
      </c>
      <c r="AH573" s="17" t="n">
        <v>1.406</v>
      </c>
      <c r="AI573" s="12" t="n">
        <v>42700</v>
      </c>
      <c r="AJ573" s="14" t="n">
        <f aca="false">IFERROR(AM573*U573*MIN(1/AE573,5),"")</f>
        <v>166454.467584508</v>
      </c>
      <c r="AK573" s="18" t="n">
        <f aca="false">IFERROR(AJ573/AI573,"")</f>
        <v>3.89823109097209</v>
      </c>
      <c r="AL573" s="15" t="n">
        <f aca="false">IFERROR(AI573/(AM573*U573/12),"")</f>
        <v>15.3915964958963</v>
      </c>
      <c r="AM573" s="12" t="n">
        <v>50880</v>
      </c>
      <c r="AN573" s="12" t="n">
        <v>2055212</v>
      </c>
      <c r="AO573" s="12" t="n">
        <v>5234777</v>
      </c>
      <c r="AP573" s="17" t="n">
        <v>0.36</v>
      </c>
      <c r="AQ573" s="16" t="n">
        <v>46</v>
      </c>
      <c r="AR573" s="16" t="n">
        <v>2</v>
      </c>
      <c r="AS573" s="13" t="n">
        <f aca="false">IFERROR(AR573/AR572-1,"")</f>
        <v>0</v>
      </c>
      <c r="AT573" s="11" t="s">
        <v>153</v>
      </c>
      <c r="AU573" s="14" t="n">
        <f aca="false">IFERROR(P573/AR573,"")</f>
        <v>924851</v>
      </c>
      <c r="AV573" s="12" t="n">
        <v>4178504</v>
      </c>
      <c r="AW573" s="12" t="n">
        <v>1786264</v>
      </c>
      <c r="AX573" s="12" t="n">
        <v>1201809</v>
      </c>
      <c r="AY573" s="16" t="n">
        <v>32171</v>
      </c>
      <c r="AZ573" s="13" t="n">
        <f aca="false">IFERROR(AY573/AY572-1,"")</f>
        <v>0.320106688551498</v>
      </c>
      <c r="BA573" s="17" t="n">
        <v>0.953</v>
      </c>
      <c r="BB573" s="11" t="s">
        <v>107</v>
      </c>
      <c r="BC573" s="11" t="s">
        <v>100</v>
      </c>
      <c r="BD573" s="11" t="s">
        <v>83</v>
      </c>
      <c r="BE573" s="12" t="n">
        <v>1901153</v>
      </c>
      <c r="BF573" s="13" t="n">
        <f aca="false">IFERROR(P573/BE573-1,"")</f>
        <v>-0.0270630506855577</v>
      </c>
      <c r="BG573" s="17" t="n">
        <v>0.029</v>
      </c>
      <c r="BH573" s="17" t="n">
        <v>-0.061</v>
      </c>
      <c r="BI573" s="14" t="n">
        <f aca="false">P573*(1+IFERROR(Q573,0))^4</f>
        <v>7379128.3944358</v>
      </c>
      <c r="BJ573" s="12" t="n">
        <v>-2396541</v>
      </c>
      <c r="BK573" s="11" t="s">
        <v>127</v>
      </c>
      <c r="BL573" s="11" t="s">
        <v>111</v>
      </c>
      <c r="BM573" s="14" t="n">
        <f aca="false">O573</f>
        <v>16712059</v>
      </c>
      <c r="BN573" s="11" t="s">
        <v>581</v>
      </c>
      <c r="BO573" s="13" t="n">
        <f aca="false">IFERROR(1-L573/M573,"")</f>
        <v>0.171759230910538</v>
      </c>
      <c r="BP573" s="11" t="s">
        <v>130</v>
      </c>
      <c r="BQ573" s="12" t="n">
        <v>4319414</v>
      </c>
      <c r="BR573" s="11" t="s">
        <v>88</v>
      </c>
      <c r="BS573" s="11" t="s">
        <v>89</v>
      </c>
      <c r="BT573" s="19" t="str">
        <f aca="false">IF(OR(Z573&lt;6,AH573&lt;0.9,S573&lt;0.02,AK573&lt;1),"REVIEW",IF(AND(S573&gt;0.25,AH573&gt;1.2),"ACCELERATING","STABLE"))</f>
        <v>ACCELERATING</v>
      </c>
    </row>
    <row r="574" customFormat="false" ht="15" hidden="false" customHeight="false" outlineLevel="0" collapsed="false">
      <c r="A574" s="3" t="s">
        <v>582</v>
      </c>
      <c r="B574" s="3" t="s">
        <v>73</v>
      </c>
      <c r="C574" s="3" t="s">
        <v>74</v>
      </c>
      <c r="D574" s="3" t="s">
        <v>115</v>
      </c>
      <c r="E574" s="3" t="s">
        <v>105</v>
      </c>
      <c r="F574" s="3" t="s">
        <v>583</v>
      </c>
      <c r="G574" s="3" t="s">
        <v>78</v>
      </c>
      <c r="H574" s="3" t="s">
        <v>79</v>
      </c>
      <c r="I574" s="3" t="s">
        <v>78</v>
      </c>
      <c r="J574" s="4" t="n">
        <v>2414000</v>
      </c>
      <c r="K574" s="5" t="n">
        <f aca="false">IFERROR(J574/M574,"")</f>
        <v>0.173819124423963</v>
      </c>
      <c r="L574" s="4" t="n">
        <v>11474000</v>
      </c>
      <c r="M574" s="6" t="n">
        <f aca="false">L574+J574</f>
        <v>13888000</v>
      </c>
      <c r="N574" s="4" t="n">
        <v>2414000</v>
      </c>
      <c r="O574" s="4" t="n">
        <v>30274993</v>
      </c>
      <c r="P574" s="4" t="n">
        <v>1032280</v>
      </c>
      <c r="Q574" s="7"/>
      <c r="R574" s="4" t="n">
        <v>1215255</v>
      </c>
      <c r="S574" s="7"/>
      <c r="T574" s="4" t="n">
        <v>591477</v>
      </c>
      <c r="U574" s="5" t="n">
        <f aca="false">IFERROR(T574/P574,"")</f>
        <v>0.572981167900182</v>
      </c>
      <c r="V574" s="6" t="n">
        <f aca="false">T574-AV574</f>
        <v>-1402075</v>
      </c>
      <c r="W574" s="6" t="n">
        <f aca="false">V574-AA574*0.1</f>
        <v>-1504075</v>
      </c>
      <c r="X574" s="4" t="n">
        <v>4799763</v>
      </c>
      <c r="Y574" s="4" t="n">
        <v>139230</v>
      </c>
      <c r="Z574" s="8" t="n">
        <f aca="false">IFERROR(X574/Y574,"")</f>
        <v>34.4736263736264</v>
      </c>
      <c r="AA574" s="4" t="n">
        <v>1020000</v>
      </c>
      <c r="AB574" s="6" t="n">
        <f aca="false">W574-0.02*P574</f>
        <v>-1524720.6</v>
      </c>
      <c r="AC574" s="9" t="n">
        <v>52</v>
      </c>
      <c r="AD574" s="7"/>
      <c r="AE574" s="7" t="n">
        <v>0.09</v>
      </c>
      <c r="AF574" s="7" t="n">
        <v>0.092</v>
      </c>
      <c r="AG574" s="5" t="n">
        <f aca="false">1-AF574</f>
        <v>0.908</v>
      </c>
      <c r="AH574" s="7" t="n">
        <v>1.167</v>
      </c>
      <c r="AI574" s="4" t="n">
        <v>32542</v>
      </c>
      <c r="AJ574" s="6" t="n">
        <f aca="false">IFERROR(AM574*U574*MIN(1/AE574,5),"")</f>
        <v>63027.92846902</v>
      </c>
      <c r="AK574" s="10" t="n">
        <f aca="false">IFERROR(AJ574/AI574,"")</f>
        <v>1.9368179112845</v>
      </c>
      <c r="AL574" s="8" t="n">
        <f aca="false">IFERROR(AI574/(AM574*U574/12),"")</f>
        <v>30.9786478379932</v>
      </c>
      <c r="AM574" s="4" t="n">
        <v>22000</v>
      </c>
      <c r="AN574" s="4" t="n">
        <v>1614424</v>
      </c>
      <c r="AO574" s="4" t="n">
        <v>1924352</v>
      </c>
      <c r="AP574" s="7" t="n">
        <v>0.151</v>
      </c>
      <c r="AQ574" s="9" t="n">
        <v>71</v>
      </c>
      <c r="AR574" s="9" t="n">
        <v>7</v>
      </c>
      <c r="AS574" s="7"/>
      <c r="AT574" s="3" t="s">
        <v>218</v>
      </c>
      <c r="AU574" s="6" t="n">
        <f aca="false">IFERROR(P574/AR574,"")</f>
        <v>147468.571428571</v>
      </c>
      <c r="AV574" s="4" t="n">
        <v>1993552</v>
      </c>
      <c r="AW574" s="4" t="n">
        <v>795963</v>
      </c>
      <c r="AX574" s="4" t="n">
        <v>460777</v>
      </c>
      <c r="AY574" s="9" t="n">
        <v>3765</v>
      </c>
      <c r="AZ574" s="7"/>
      <c r="BA574" s="7" t="n">
        <v>0.909</v>
      </c>
      <c r="BB574" s="3" t="s">
        <v>161</v>
      </c>
      <c r="BC574" s="3" t="s">
        <v>100</v>
      </c>
      <c r="BD574" s="3" t="s">
        <v>109</v>
      </c>
      <c r="BE574" s="4" t="n">
        <v>1079210</v>
      </c>
      <c r="BF574" s="5" t="n">
        <f aca="false">IFERROR(P574/BE574-1,"")</f>
        <v>-0.0434855125508474</v>
      </c>
      <c r="BG574" s="7" t="n">
        <v>-0.046</v>
      </c>
      <c r="BH574" s="7" t="n">
        <v>-0.079</v>
      </c>
      <c r="BI574" s="6" t="n">
        <f aca="false">P574</f>
        <v>1032280</v>
      </c>
      <c r="BJ574" s="4" t="n">
        <v>-1557299</v>
      </c>
      <c r="BK574" s="3" t="s">
        <v>102</v>
      </c>
      <c r="BL574" s="3" t="s">
        <v>85</v>
      </c>
      <c r="BM574" s="6" t="n">
        <f aca="false">O574</f>
        <v>30274993</v>
      </c>
      <c r="BN574" s="3" t="s">
        <v>584</v>
      </c>
      <c r="BO574" s="5" t="n">
        <f aca="false">IFERROR(1-L574/M574,"")</f>
        <v>0.173819124423963</v>
      </c>
      <c r="BP574" s="3" t="s">
        <v>142</v>
      </c>
      <c r="BQ574" s="4" t="n">
        <v>2700785</v>
      </c>
      <c r="BR574" s="3" t="s">
        <v>88</v>
      </c>
      <c r="BS574" s="3" t="s">
        <v>89</v>
      </c>
      <c r="BT574" s="3" t="s">
        <v>90</v>
      </c>
    </row>
    <row r="575" customFormat="false" ht="15" hidden="false" customHeight="false" outlineLevel="0" collapsed="false">
      <c r="A575" s="11" t="s">
        <v>582</v>
      </c>
      <c r="B575" s="11" t="s">
        <v>91</v>
      </c>
      <c r="C575" s="11" t="s">
        <v>74</v>
      </c>
      <c r="D575" s="11" t="s">
        <v>115</v>
      </c>
      <c r="E575" s="11" t="s">
        <v>105</v>
      </c>
      <c r="F575" s="11" t="s">
        <v>583</v>
      </c>
      <c r="G575" s="11" t="s">
        <v>78</v>
      </c>
      <c r="H575" s="11" t="s">
        <v>79</v>
      </c>
      <c r="I575" s="11" t="s">
        <v>78</v>
      </c>
      <c r="J575" s="12" t="n">
        <v>2414000</v>
      </c>
      <c r="K575" s="13" t="n">
        <f aca="false">IFERROR(J575/M575,"")</f>
        <v>0.173819124423963</v>
      </c>
      <c r="L575" s="12" t="n">
        <v>11474000</v>
      </c>
      <c r="M575" s="14" t="n">
        <f aca="false">L575+J575</f>
        <v>13888000</v>
      </c>
      <c r="N575" s="12" t="n">
        <v>2414000</v>
      </c>
      <c r="O575" s="12" t="n">
        <v>30274993</v>
      </c>
      <c r="P575" s="12" t="n">
        <v>1174767</v>
      </c>
      <c r="Q575" s="13" t="n">
        <f aca="false">IFERROR(P575/P574-1,"")</f>
        <v>0.138031348083853</v>
      </c>
      <c r="R575" s="12" t="n">
        <v>1455983</v>
      </c>
      <c r="S575" s="13" t="n">
        <f aca="false">IFERROR(R575/R574-1,"")</f>
        <v>0.198088467029554</v>
      </c>
      <c r="T575" s="12" t="n">
        <v>675845</v>
      </c>
      <c r="U575" s="13" t="n">
        <f aca="false">IFERROR(T575/P575,"")</f>
        <v>0.575301315069286</v>
      </c>
      <c r="V575" s="14" t="n">
        <f aca="false">T575-AV575</f>
        <v>-1762778</v>
      </c>
      <c r="W575" s="14" t="n">
        <f aca="false">V575-AA575*0.1</f>
        <v>-1864778</v>
      </c>
      <c r="X575" s="12" t="n">
        <v>4448628</v>
      </c>
      <c r="Y575" s="12" t="n">
        <v>143820</v>
      </c>
      <c r="Z575" s="15" t="n">
        <f aca="false">IFERROR(X575/Y575,"")</f>
        <v>30.931914893617</v>
      </c>
      <c r="AA575" s="12" t="n">
        <v>1020000</v>
      </c>
      <c r="AB575" s="14" t="n">
        <f aca="false">W575-0.02*P575</f>
        <v>-1888273.34</v>
      </c>
      <c r="AC575" s="16" t="n">
        <v>54</v>
      </c>
      <c r="AD575" s="13" t="n">
        <f aca="false">IFERROR(AC575/AC574-1,"")</f>
        <v>0.0384615384615386</v>
      </c>
      <c r="AE575" s="17" t="n">
        <v>0.088</v>
      </c>
      <c r="AF575" s="17" t="n">
        <v>0.082</v>
      </c>
      <c r="AG575" s="13" t="n">
        <f aca="false">1-AF575</f>
        <v>0.918</v>
      </c>
      <c r="AH575" s="17" t="n">
        <v>1.162</v>
      </c>
      <c r="AI575" s="12" t="n">
        <v>31928</v>
      </c>
      <c r="AJ575" s="14" t="n">
        <f aca="false">IFERROR(AM575*U575*MIN(1/AE575,5),"")</f>
        <v>64548.8075507739</v>
      </c>
      <c r="AK575" s="18" t="n">
        <f aca="false">IFERROR(AJ575/AI575,"")</f>
        <v>2.02169905884408</v>
      </c>
      <c r="AL575" s="15" t="n">
        <f aca="false">IFERROR(AI575/(AM575*U575/12),"")</f>
        <v>29.6780075835349</v>
      </c>
      <c r="AM575" s="12" t="n">
        <v>22440</v>
      </c>
      <c r="AN575" s="12" t="n">
        <v>1614101</v>
      </c>
      <c r="AO575" s="12" t="n">
        <v>4835619</v>
      </c>
      <c r="AP575" s="17" t="n">
        <v>0.151</v>
      </c>
      <c r="AQ575" s="16" t="n">
        <v>71</v>
      </c>
      <c r="AR575" s="16" t="n">
        <v>8</v>
      </c>
      <c r="AS575" s="13" t="n">
        <f aca="false">IFERROR(AR575/AR574-1,"")</f>
        <v>0.142857142857143</v>
      </c>
      <c r="AT575" s="11" t="s">
        <v>218</v>
      </c>
      <c r="AU575" s="14" t="n">
        <f aca="false">IFERROR(P575/AR575,"")</f>
        <v>146845.875</v>
      </c>
      <c r="AV575" s="12" t="n">
        <v>2438623</v>
      </c>
      <c r="AW575" s="12" t="n">
        <v>873314</v>
      </c>
      <c r="AX575" s="12" t="n">
        <v>518338</v>
      </c>
      <c r="AY575" s="16" t="n">
        <v>4499</v>
      </c>
      <c r="AZ575" s="13" t="n">
        <f aca="false">IFERROR(AY575/AY574-1,"")</f>
        <v>0.194953519256308</v>
      </c>
      <c r="BA575" s="17" t="n">
        <v>0.916</v>
      </c>
      <c r="BB575" s="11" t="s">
        <v>161</v>
      </c>
      <c r="BC575" s="11" t="s">
        <v>100</v>
      </c>
      <c r="BD575" s="11" t="s">
        <v>109</v>
      </c>
      <c r="BE575" s="12" t="n">
        <v>1434267</v>
      </c>
      <c r="BF575" s="13" t="n">
        <f aca="false">IFERROR(P575/BE575-1,"")</f>
        <v>-0.180928655543215</v>
      </c>
      <c r="BG575" s="17" t="n">
        <v>0.079</v>
      </c>
      <c r="BH575" s="17" t="n">
        <v>0.066</v>
      </c>
      <c r="BI575" s="14" t="n">
        <f aca="false">P575*(1+IFERROR(Q575,0))^4</f>
        <v>1970464.61071449</v>
      </c>
      <c r="BJ575" s="12" t="n">
        <v>-1170757</v>
      </c>
      <c r="BK575" s="11" t="s">
        <v>102</v>
      </c>
      <c r="BL575" s="11" t="s">
        <v>85</v>
      </c>
      <c r="BM575" s="14" t="n">
        <f aca="false">O575</f>
        <v>30274993</v>
      </c>
      <c r="BN575" s="11" t="s">
        <v>584</v>
      </c>
      <c r="BO575" s="13" t="n">
        <f aca="false">IFERROR(1-L575/M575,"")</f>
        <v>0.173819124423963</v>
      </c>
      <c r="BP575" s="11" t="s">
        <v>142</v>
      </c>
      <c r="BQ575" s="12" t="n">
        <v>2052562</v>
      </c>
      <c r="BR575" s="11" t="s">
        <v>88</v>
      </c>
      <c r="BS575" s="11" t="s">
        <v>89</v>
      </c>
      <c r="BT575" s="19" t="str">
        <f aca="false">IF(OR(Z575&lt;6,AH575&lt;0.9,S575&lt;0.02,AK575&lt;1),"REVIEW",IF(AND(S575&gt;0.25,AH575&gt;1.2),"ACCELERATING","STABLE"))</f>
        <v>STABLE</v>
      </c>
    </row>
    <row r="576" customFormat="false" ht="15" hidden="false" customHeight="false" outlineLevel="0" collapsed="false">
      <c r="A576" s="11" t="s">
        <v>582</v>
      </c>
      <c r="B576" s="11" t="s">
        <v>92</v>
      </c>
      <c r="C576" s="11" t="s">
        <v>74</v>
      </c>
      <c r="D576" s="11" t="s">
        <v>115</v>
      </c>
      <c r="E576" s="11" t="s">
        <v>105</v>
      </c>
      <c r="F576" s="11" t="s">
        <v>583</v>
      </c>
      <c r="G576" s="11" t="s">
        <v>78</v>
      </c>
      <c r="H576" s="11" t="s">
        <v>79</v>
      </c>
      <c r="I576" s="11" t="s">
        <v>78</v>
      </c>
      <c r="J576" s="12" t="n">
        <v>2414000</v>
      </c>
      <c r="K576" s="13" t="n">
        <f aca="false">IFERROR(J576/M576,"")</f>
        <v>0.173819124423963</v>
      </c>
      <c r="L576" s="12" t="n">
        <v>11474000</v>
      </c>
      <c r="M576" s="14" t="n">
        <f aca="false">L576+J576</f>
        <v>13888000</v>
      </c>
      <c r="N576" s="12" t="n">
        <v>2414000</v>
      </c>
      <c r="O576" s="12" t="n">
        <v>30274993</v>
      </c>
      <c r="P576" s="12" t="n">
        <v>1355070</v>
      </c>
      <c r="Q576" s="13" t="n">
        <f aca="false">IFERROR(P576/P575-1,"")</f>
        <v>0.153479796419205</v>
      </c>
      <c r="R576" s="12" t="n">
        <v>1696188</v>
      </c>
      <c r="S576" s="13" t="n">
        <f aca="false">IFERROR(R576/R575-1,"")</f>
        <v>0.164977887791272</v>
      </c>
      <c r="T576" s="12" t="n">
        <v>782717</v>
      </c>
      <c r="U576" s="13" t="n">
        <f aca="false">IFERROR(T576/P576,"")</f>
        <v>0.577621082305711</v>
      </c>
      <c r="V576" s="14" t="n">
        <f aca="false">T576-AV576</f>
        <v>-1496901</v>
      </c>
      <c r="W576" s="14" t="n">
        <f aca="false">V576-AA576*0.1</f>
        <v>-1598901</v>
      </c>
      <c r="X576" s="12" t="n">
        <v>4072707</v>
      </c>
      <c r="Y576" s="12" t="n">
        <v>148410</v>
      </c>
      <c r="Z576" s="15" t="n">
        <f aca="false">IFERROR(X576/Y576,"")</f>
        <v>27.4422680412371</v>
      </c>
      <c r="AA576" s="12" t="n">
        <v>1020000</v>
      </c>
      <c r="AB576" s="14" t="n">
        <f aca="false">W576-0.02*P576</f>
        <v>-1626002.4</v>
      </c>
      <c r="AC576" s="16" t="n">
        <v>63</v>
      </c>
      <c r="AD576" s="13" t="n">
        <f aca="false">IFERROR(AC576/AC575-1,"")</f>
        <v>0.166666666666667</v>
      </c>
      <c r="AE576" s="17" t="n">
        <v>0.085</v>
      </c>
      <c r="AF576" s="17" t="n">
        <v>0.079</v>
      </c>
      <c r="AG576" s="13" t="n">
        <f aca="false">1-AF576</f>
        <v>0.921</v>
      </c>
      <c r="AH576" s="17" t="n">
        <v>1.157</v>
      </c>
      <c r="AI576" s="12" t="n">
        <v>31314</v>
      </c>
      <c r="AJ576" s="14" t="n">
        <f aca="false">IFERROR(AM576*U576*MIN(1/AE576,5),"")</f>
        <v>66079.8518157734</v>
      </c>
      <c r="AK576" s="18" t="n">
        <f aca="false">IFERROR(AJ576/AI576,"")</f>
        <v>2.11023349989696</v>
      </c>
      <c r="AL576" s="15" t="n">
        <f aca="false">IFERROR(AI576/(AM576*U576/12),"")</f>
        <v>28.432872477349</v>
      </c>
      <c r="AM576" s="12" t="n">
        <v>22880</v>
      </c>
      <c r="AN576" s="12" t="n">
        <v>2346897</v>
      </c>
      <c r="AO576" s="12" t="n">
        <v>5994415</v>
      </c>
      <c r="AP576" s="17" t="n">
        <v>0.151</v>
      </c>
      <c r="AQ576" s="16" t="n">
        <v>71</v>
      </c>
      <c r="AR576" s="16" t="n">
        <v>9</v>
      </c>
      <c r="AS576" s="13" t="n">
        <f aca="false">IFERROR(AR576/AR575-1,"")</f>
        <v>0.125</v>
      </c>
      <c r="AT576" s="11" t="s">
        <v>218</v>
      </c>
      <c r="AU576" s="14" t="n">
        <f aca="false">IFERROR(P576/AR576,"")</f>
        <v>150563.333333333</v>
      </c>
      <c r="AV576" s="12" t="n">
        <v>2279618</v>
      </c>
      <c r="AW576" s="12" t="n">
        <v>1046037</v>
      </c>
      <c r="AX576" s="12" t="n">
        <v>574873</v>
      </c>
      <c r="AY576" s="16" t="n">
        <v>4803</v>
      </c>
      <c r="AZ576" s="13" t="n">
        <f aca="false">IFERROR(AY576/AY575-1,"")</f>
        <v>0.067570571238053</v>
      </c>
      <c r="BA576" s="17" t="n">
        <v>0.926</v>
      </c>
      <c r="BB576" s="11" t="s">
        <v>161</v>
      </c>
      <c r="BC576" s="11" t="s">
        <v>100</v>
      </c>
      <c r="BD576" s="11" t="s">
        <v>109</v>
      </c>
      <c r="BE576" s="12" t="n">
        <v>1313848</v>
      </c>
      <c r="BF576" s="13" t="n">
        <f aca="false">IFERROR(P576/BE576-1,"")</f>
        <v>0.0313750144613381</v>
      </c>
      <c r="BG576" s="17" t="n">
        <v>-0.037</v>
      </c>
      <c r="BH576" s="17" t="n">
        <v>0.063</v>
      </c>
      <c r="BI576" s="14" t="n">
        <f aca="false">P576*(1+IFERROR(Q576,0))^4</f>
        <v>2398842.30325107</v>
      </c>
      <c r="BJ576" s="12" t="n">
        <v>-1694397</v>
      </c>
      <c r="BK576" s="11" t="s">
        <v>102</v>
      </c>
      <c r="BL576" s="11" t="s">
        <v>85</v>
      </c>
      <c r="BM576" s="14" t="n">
        <f aca="false">O576</f>
        <v>30274993</v>
      </c>
      <c r="BN576" s="11" t="s">
        <v>584</v>
      </c>
      <c r="BO576" s="13" t="n">
        <f aca="false">IFERROR(1-L576/M576,"")</f>
        <v>0.173819124423963</v>
      </c>
      <c r="BP576" s="11" t="s">
        <v>142</v>
      </c>
      <c r="BQ576" s="12" t="n">
        <v>2111758</v>
      </c>
      <c r="BR576" s="11" t="s">
        <v>88</v>
      </c>
      <c r="BS576" s="11" t="s">
        <v>89</v>
      </c>
      <c r="BT576" s="19" t="str">
        <f aca="false">IF(OR(Z576&lt;6,AH576&lt;0.9,S576&lt;0.02,AK576&lt;1),"REVIEW",IF(AND(S576&gt;0.25,AH576&gt;1.2),"ACCELERATING","STABLE"))</f>
        <v>STABLE</v>
      </c>
    </row>
    <row r="577" customFormat="false" ht="15" hidden="false" customHeight="false" outlineLevel="0" collapsed="false">
      <c r="A577" s="11" t="s">
        <v>582</v>
      </c>
      <c r="B577" s="11" t="s">
        <v>93</v>
      </c>
      <c r="C577" s="11" t="s">
        <v>74</v>
      </c>
      <c r="D577" s="11" t="s">
        <v>115</v>
      </c>
      <c r="E577" s="11" t="s">
        <v>105</v>
      </c>
      <c r="F577" s="11" t="s">
        <v>583</v>
      </c>
      <c r="G577" s="11" t="s">
        <v>78</v>
      </c>
      <c r="H577" s="11" t="s">
        <v>79</v>
      </c>
      <c r="I577" s="11" t="s">
        <v>78</v>
      </c>
      <c r="J577" s="12" t="n">
        <v>2414000</v>
      </c>
      <c r="K577" s="13" t="n">
        <f aca="false">IFERROR(J577/M577,"")</f>
        <v>0.173819124423963</v>
      </c>
      <c r="L577" s="12" t="n">
        <v>11474000</v>
      </c>
      <c r="M577" s="14" t="n">
        <f aca="false">L577+J577</f>
        <v>13888000</v>
      </c>
      <c r="N577" s="12" t="n">
        <v>2414000</v>
      </c>
      <c r="O577" s="12" t="n">
        <v>30274993</v>
      </c>
      <c r="P577" s="12" t="n">
        <v>1609780</v>
      </c>
      <c r="Q577" s="13" t="n">
        <f aca="false">IFERROR(P577/P576-1,"")</f>
        <v>0.187968149246902</v>
      </c>
      <c r="R577" s="12" t="n">
        <v>1913466</v>
      </c>
      <c r="S577" s="13" t="n">
        <f aca="false">IFERROR(R577/R576-1,"")</f>
        <v>0.128097828778414</v>
      </c>
      <c r="T577" s="12" t="n">
        <v>933577</v>
      </c>
      <c r="U577" s="13" t="n">
        <f aca="false">IFERROR(T577/P577,"")</f>
        <v>0.579940737243599</v>
      </c>
      <c r="V577" s="14" t="n">
        <f aca="false">T577-AV577</f>
        <v>-1954379</v>
      </c>
      <c r="W577" s="14" t="n">
        <f aca="false">V577-AA577*0.1</f>
        <v>-2056379</v>
      </c>
      <c r="X577" s="12" t="n">
        <v>3672000</v>
      </c>
      <c r="Y577" s="12" t="n">
        <v>153000</v>
      </c>
      <c r="Z577" s="15" t="n">
        <f aca="false">IFERROR(X577/Y577,"")</f>
        <v>24</v>
      </c>
      <c r="AA577" s="12" t="n">
        <v>1020000</v>
      </c>
      <c r="AB577" s="14" t="n">
        <f aca="false">W577-0.02*P577</f>
        <v>-2088574.6</v>
      </c>
      <c r="AC577" s="16" t="n">
        <v>68</v>
      </c>
      <c r="AD577" s="13" t="n">
        <f aca="false">IFERROR(AC577/AC576-1,"")</f>
        <v>0.0793650793650793</v>
      </c>
      <c r="AE577" s="17" t="n">
        <v>0.083</v>
      </c>
      <c r="AF577" s="17" t="n">
        <v>0.071</v>
      </c>
      <c r="AG577" s="13" t="n">
        <f aca="false">1-AF577</f>
        <v>0.929</v>
      </c>
      <c r="AH577" s="17" t="n">
        <v>1.152</v>
      </c>
      <c r="AI577" s="12" t="n">
        <v>30700</v>
      </c>
      <c r="AJ577" s="14" t="n">
        <f aca="false">IFERROR(AM577*U577*MIN(1/AE577,5),"")</f>
        <v>67621.0899626036</v>
      </c>
      <c r="AK577" s="18" t="n">
        <f aca="false">IFERROR(AJ577/AI577,"")</f>
        <v>2.20264136686005</v>
      </c>
      <c r="AL577" s="15" t="n">
        <f aca="false">IFERROR(AI577/(AM577*U577/12),"")</f>
        <v>27.2400223217147</v>
      </c>
      <c r="AM577" s="12" t="n">
        <v>23320</v>
      </c>
      <c r="AN577" s="12" t="n">
        <v>2440064</v>
      </c>
      <c r="AO577" s="12" t="n">
        <v>7085535</v>
      </c>
      <c r="AP577" s="17" t="n">
        <v>0.151</v>
      </c>
      <c r="AQ577" s="16" t="n">
        <v>71</v>
      </c>
      <c r="AR577" s="16" t="n">
        <v>10</v>
      </c>
      <c r="AS577" s="13" t="n">
        <f aca="false">IFERROR(AR577/AR576-1,"")</f>
        <v>0.111111111111111</v>
      </c>
      <c r="AT577" s="11" t="s">
        <v>218</v>
      </c>
      <c r="AU577" s="14" t="n">
        <f aca="false">IFERROR(P577/AR577,"")</f>
        <v>160978</v>
      </c>
      <c r="AV577" s="12" t="n">
        <v>2887956</v>
      </c>
      <c r="AW577" s="12" t="n">
        <v>1116660</v>
      </c>
      <c r="AX577" s="12" t="n">
        <v>578142</v>
      </c>
      <c r="AY577" s="16" t="n">
        <v>5545</v>
      </c>
      <c r="AZ577" s="13" t="n">
        <f aca="false">IFERROR(AY577/AY576-1,"")</f>
        <v>0.154486779096398</v>
      </c>
      <c r="BA577" s="17" t="n">
        <v>0.934</v>
      </c>
      <c r="BB577" s="11" t="s">
        <v>161</v>
      </c>
      <c r="BC577" s="11" t="s">
        <v>100</v>
      </c>
      <c r="BD577" s="11" t="s">
        <v>109</v>
      </c>
      <c r="BE577" s="12" t="n">
        <v>1591036</v>
      </c>
      <c r="BF577" s="13" t="n">
        <f aca="false">IFERROR(P577/BE577-1,"")</f>
        <v>0.0117810030696981</v>
      </c>
      <c r="BG577" s="17" t="n">
        <v>0.02</v>
      </c>
      <c r="BH577" s="17" t="n">
        <v>-0.08</v>
      </c>
      <c r="BI577" s="14" t="n">
        <f aca="false">P577*(1+IFERROR(Q577,0))^4</f>
        <v>3206163.863619</v>
      </c>
      <c r="BJ577" s="12" t="n">
        <v>-1381580</v>
      </c>
      <c r="BK577" s="11" t="s">
        <v>102</v>
      </c>
      <c r="BL577" s="11" t="s">
        <v>85</v>
      </c>
      <c r="BM577" s="14" t="n">
        <f aca="false">O577</f>
        <v>30274993</v>
      </c>
      <c r="BN577" s="11" t="s">
        <v>584</v>
      </c>
      <c r="BO577" s="13" t="n">
        <f aca="false">IFERROR(1-L577/M577,"")</f>
        <v>0.173819124423963</v>
      </c>
      <c r="BP577" s="11" t="s">
        <v>142</v>
      </c>
      <c r="BQ577" s="12" t="n">
        <v>2392784</v>
      </c>
      <c r="BR577" s="11" t="s">
        <v>88</v>
      </c>
      <c r="BS577" s="11" t="s">
        <v>89</v>
      </c>
      <c r="BT577" s="19" t="str">
        <f aca="false">IF(OR(Z577&lt;6,AH577&lt;0.9,S577&lt;0.02,AK577&lt;1),"REVIEW",IF(AND(S577&gt;0.25,AH577&gt;1.2),"ACCELERATING","STABLE"))</f>
        <v>STABLE</v>
      </c>
    </row>
    <row r="578" customFormat="false" ht="15" hidden="false" customHeight="false" outlineLevel="0" collapsed="false">
      <c r="A578" s="3" t="s">
        <v>585</v>
      </c>
      <c r="B578" s="3" t="s">
        <v>73</v>
      </c>
      <c r="C578" s="3" t="s">
        <v>74</v>
      </c>
      <c r="D578" s="3" t="s">
        <v>95</v>
      </c>
      <c r="E578" s="3" t="s">
        <v>105</v>
      </c>
      <c r="F578" s="3" t="s">
        <v>586</v>
      </c>
      <c r="G578" s="3" t="s">
        <v>78</v>
      </c>
      <c r="H578" s="3" t="s">
        <v>79</v>
      </c>
      <c r="I578" s="3" t="s">
        <v>78</v>
      </c>
      <c r="J578" s="4" t="n">
        <v>1940000</v>
      </c>
      <c r="K578" s="5" t="n">
        <f aca="false">IFERROR(J578/M578,"")</f>
        <v>0.116572527340464</v>
      </c>
      <c r="L578" s="4" t="n">
        <v>14702000</v>
      </c>
      <c r="M578" s="6" t="n">
        <f aca="false">L578+J578</f>
        <v>16642000</v>
      </c>
      <c r="N578" s="4" t="n">
        <v>4999000</v>
      </c>
      <c r="O578" s="4" t="n">
        <v>31780715</v>
      </c>
      <c r="P578" s="4" t="n">
        <v>514714</v>
      </c>
      <c r="Q578" s="7"/>
      <c r="R578" s="4" t="n">
        <v>556476</v>
      </c>
      <c r="S578" s="7"/>
      <c r="T578" s="4" t="n">
        <v>374937</v>
      </c>
      <c r="U578" s="5" t="n">
        <f aca="false">IFERROR(T578/P578,"")</f>
        <v>0.728437540070797</v>
      </c>
      <c r="V578" s="6" t="n">
        <f aca="false">T578-AV578</f>
        <v>-1331237</v>
      </c>
      <c r="W578" s="6" t="n">
        <f aca="false">V578-AA578*0.1</f>
        <v>-1331237</v>
      </c>
      <c r="X578" s="4" t="n">
        <v>1302000</v>
      </c>
      <c r="Y578" s="4" t="n">
        <v>141050</v>
      </c>
      <c r="Z578" s="8" t="n">
        <f aca="false">IFERROR(X578/Y578,"")</f>
        <v>9.23076923076923</v>
      </c>
      <c r="AA578" s="4" t="n">
        <v>0</v>
      </c>
      <c r="AB578" s="6" t="n">
        <f aca="false">W578-0.02*P578</f>
        <v>-1341531.28</v>
      </c>
      <c r="AC578" s="9" t="n">
        <v>41</v>
      </c>
      <c r="AD578" s="7"/>
      <c r="AE578" s="7" t="n">
        <v>0.052</v>
      </c>
      <c r="AF578" s="7" t="n">
        <v>0.043</v>
      </c>
      <c r="AG578" s="5" t="n">
        <f aca="false">1-AF578</f>
        <v>0.957</v>
      </c>
      <c r="AH578" s="7" t="n">
        <v>1.165</v>
      </c>
      <c r="AI578" s="4" t="n">
        <v>15688</v>
      </c>
      <c r="AJ578" s="6" t="n">
        <f aca="false">IFERROR(AM578*U578*MIN(1/AE578,5),"")</f>
        <v>50990.6278049558</v>
      </c>
      <c r="AK578" s="10" t="n">
        <f aca="false">IFERROR(AJ578/AI578,"")</f>
        <v>3.25029499011702</v>
      </c>
      <c r="AL578" s="8" t="n">
        <f aca="false">IFERROR(AI578/(AM578*U578/12),"")</f>
        <v>18.4598629301151</v>
      </c>
      <c r="AM578" s="4" t="n">
        <v>14000</v>
      </c>
      <c r="AN578" s="4" t="n">
        <v>526979</v>
      </c>
      <c r="AO578" s="4" t="n">
        <v>1445977</v>
      </c>
      <c r="AP578" s="7" t="n">
        <v>0.401</v>
      </c>
      <c r="AQ578" s="9" t="n">
        <v>50</v>
      </c>
      <c r="AR578" s="9" t="n">
        <v>1</v>
      </c>
      <c r="AS578" s="7"/>
      <c r="AT578" s="3" t="s">
        <v>218</v>
      </c>
      <c r="AU578" s="6" t="n">
        <f aca="false">IFERROR(P578/AR578,"")</f>
        <v>514714</v>
      </c>
      <c r="AV578" s="4" t="n">
        <v>1706174</v>
      </c>
      <c r="AW578" s="4" t="n">
        <v>610835</v>
      </c>
      <c r="AX578" s="4" t="n">
        <v>458632</v>
      </c>
      <c r="AY578" s="9" t="n">
        <v>823</v>
      </c>
      <c r="AZ578" s="7"/>
      <c r="BA578" s="7" t="n">
        <v>0.949</v>
      </c>
      <c r="BB578" s="3" t="s">
        <v>107</v>
      </c>
      <c r="BC578" s="3" t="s">
        <v>100</v>
      </c>
      <c r="BD578" s="3" t="s">
        <v>175</v>
      </c>
      <c r="BE578" s="4" t="n">
        <v>614284</v>
      </c>
      <c r="BF578" s="5" t="n">
        <f aca="false">IFERROR(P578/BE578-1,"")</f>
        <v>-0.162091150021814</v>
      </c>
      <c r="BG578" s="7" t="n">
        <v>-0.026</v>
      </c>
      <c r="BH578" s="7" t="n">
        <v>0.039</v>
      </c>
      <c r="BI578" s="6" t="n">
        <f aca="false">P578</f>
        <v>514714</v>
      </c>
      <c r="BJ578" s="4" t="n">
        <v>-1043251</v>
      </c>
      <c r="BK578" s="3" t="s">
        <v>102</v>
      </c>
      <c r="BL578" s="3" t="s">
        <v>111</v>
      </c>
      <c r="BM578" s="6" t="n">
        <f aca="false">O578</f>
        <v>31780715</v>
      </c>
      <c r="BN578" s="3" t="s">
        <v>587</v>
      </c>
      <c r="BO578" s="5" t="n">
        <f aca="false">IFERROR(1-L578/M578,"")</f>
        <v>0.116572527340464</v>
      </c>
      <c r="BP578" s="3" t="s">
        <v>198</v>
      </c>
      <c r="BQ578" s="4" t="n">
        <v>2803807</v>
      </c>
      <c r="BR578" s="3" t="s">
        <v>88</v>
      </c>
      <c r="BS578" s="3" t="s">
        <v>89</v>
      </c>
      <c r="BT578" s="3" t="s">
        <v>90</v>
      </c>
    </row>
    <row r="579" customFormat="false" ht="15" hidden="false" customHeight="false" outlineLevel="0" collapsed="false">
      <c r="A579" s="11" t="s">
        <v>585</v>
      </c>
      <c r="B579" s="11" t="s">
        <v>91</v>
      </c>
      <c r="C579" s="11" t="s">
        <v>74</v>
      </c>
      <c r="D579" s="11" t="s">
        <v>95</v>
      </c>
      <c r="E579" s="11" t="s">
        <v>105</v>
      </c>
      <c r="F579" s="11" t="s">
        <v>586</v>
      </c>
      <c r="G579" s="11" t="s">
        <v>78</v>
      </c>
      <c r="H579" s="11" t="s">
        <v>79</v>
      </c>
      <c r="I579" s="11" t="s">
        <v>78</v>
      </c>
      <c r="J579" s="12" t="n">
        <v>1940000</v>
      </c>
      <c r="K579" s="13" t="n">
        <f aca="false">IFERROR(J579/M579,"")</f>
        <v>0.116572527340464</v>
      </c>
      <c r="L579" s="12" t="n">
        <v>14702000</v>
      </c>
      <c r="M579" s="14" t="n">
        <f aca="false">L579+J579</f>
        <v>16642000</v>
      </c>
      <c r="N579" s="12" t="n">
        <v>4999000</v>
      </c>
      <c r="O579" s="12" t="n">
        <v>31780715</v>
      </c>
      <c r="P579" s="12" t="n">
        <v>642377</v>
      </c>
      <c r="Q579" s="13" t="n">
        <f aca="false">IFERROR(P579/P578-1,"")</f>
        <v>0.248027059687516</v>
      </c>
      <c r="R579" s="12" t="n">
        <v>720098</v>
      </c>
      <c r="S579" s="13" t="n">
        <f aca="false">IFERROR(R579/R578-1,"")</f>
        <v>0.294032447041741</v>
      </c>
      <c r="T579" s="12" t="n">
        <v>469826</v>
      </c>
      <c r="U579" s="13" t="n">
        <f aca="false">IFERROR(T579/P579,"")</f>
        <v>0.731386709050916</v>
      </c>
      <c r="V579" s="14" t="n">
        <f aca="false">T579-AV579</f>
        <v>-1617839</v>
      </c>
      <c r="W579" s="14" t="n">
        <f aca="false">V579-AA579*0.1</f>
        <v>-1617839</v>
      </c>
      <c r="X579" s="12" t="n">
        <v>1674000</v>
      </c>
      <c r="Y579" s="12" t="n">
        <v>145700</v>
      </c>
      <c r="Z579" s="15" t="n">
        <f aca="false">IFERROR(X579/Y579,"")</f>
        <v>11.4893617021277</v>
      </c>
      <c r="AA579" s="12" t="n">
        <v>0</v>
      </c>
      <c r="AB579" s="14" t="n">
        <f aca="false">W579-0.02*P579</f>
        <v>-1630686.54</v>
      </c>
      <c r="AC579" s="16" t="n">
        <v>52</v>
      </c>
      <c r="AD579" s="13" t="n">
        <f aca="false">IFERROR(AC579/AC578-1,"")</f>
        <v>0.268292682926829</v>
      </c>
      <c r="AE579" s="17" t="n">
        <v>0.051</v>
      </c>
      <c r="AF579" s="17" t="n">
        <v>0.046</v>
      </c>
      <c r="AG579" s="13" t="n">
        <f aca="false">1-AF579</f>
        <v>0.954</v>
      </c>
      <c r="AH579" s="17" t="n">
        <v>1.195</v>
      </c>
      <c r="AI579" s="12" t="n">
        <v>15392</v>
      </c>
      <c r="AJ579" s="14" t="n">
        <f aca="false">IFERROR(AM579*U579*MIN(1/AE579,5),"")</f>
        <v>52221.0110262354</v>
      </c>
      <c r="AK579" s="18" t="n">
        <f aca="false">IFERROR(AJ579/AI579,"")</f>
        <v>3.39273720284793</v>
      </c>
      <c r="AL579" s="15" t="n">
        <f aca="false">IFERROR(AI579/(AM579*U579/12),"")</f>
        <v>17.6848356983367</v>
      </c>
      <c r="AM579" s="12" t="n">
        <v>14280</v>
      </c>
      <c r="AN579" s="12" t="n">
        <v>874160</v>
      </c>
      <c r="AO579" s="12" t="n">
        <v>2325047</v>
      </c>
      <c r="AP579" s="17" t="n">
        <v>0.401</v>
      </c>
      <c r="AQ579" s="16" t="n">
        <v>50</v>
      </c>
      <c r="AR579" s="16" t="n">
        <v>2</v>
      </c>
      <c r="AS579" s="13" t="n">
        <f aca="false">IFERROR(AR579/AR578-1,"")</f>
        <v>1</v>
      </c>
      <c r="AT579" s="11" t="s">
        <v>218</v>
      </c>
      <c r="AU579" s="14" t="n">
        <f aca="false">IFERROR(P579/AR579,"")</f>
        <v>321188.5</v>
      </c>
      <c r="AV579" s="12" t="n">
        <v>2087665</v>
      </c>
      <c r="AW579" s="12" t="n">
        <v>692632</v>
      </c>
      <c r="AX579" s="12" t="n">
        <v>517432</v>
      </c>
      <c r="AY579" s="16" t="n">
        <v>1121</v>
      </c>
      <c r="AZ579" s="13" t="n">
        <f aca="false">IFERROR(AY579/AY578-1,"")</f>
        <v>0.362089914945322</v>
      </c>
      <c r="BA579" s="17" t="n">
        <v>0.961</v>
      </c>
      <c r="BB579" s="11" t="s">
        <v>107</v>
      </c>
      <c r="BC579" s="11" t="s">
        <v>100</v>
      </c>
      <c r="BD579" s="11" t="s">
        <v>175</v>
      </c>
      <c r="BE579" s="12" t="n">
        <v>645108</v>
      </c>
      <c r="BF579" s="13" t="n">
        <f aca="false">IFERROR(P579/BE579-1,"")</f>
        <v>-0.00423339967881342</v>
      </c>
      <c r="BG579" s="17" t="n">
        <v>-0.057</v>
      </c>
      <c r="BH579" s="17" t="n">
        <v>0.067</v>
      </c>
      <c r="BI579" s="14" t="n">
        <f aca="false">P579*(1+IFERROR(Q579,0))^4</f>
        <v>1558425.30002188</v>
      </c>
      <c r="BJ579" s="12" t="n">
        <v>-1298859</v>
      </c>
      <c r="BK579" s="11" t="s">
        <v>102</v>
      </c>
      <c r="BL579" s="11" t="s">
        <v>111</v>
      </c>
      <c r="BM579" s="14" t="n">
        <f aca="false">O579</f>
        <v>31780715</v>
      </c>
      <c r="BN579" s="11" t="s">
        <v>587</v>
      </c>
      <c r="BO579" s="13" t="n">
        <f aca="false">IFERROR(1-L579/M579,"")</f>
        <v>0.116572527340464</v>
      </c>
      <c r="BP579" s="11" t="s">
        <v>198</v>
      </c>
      <c r="BQ579" s="12" t="n">
        <v>2108991</v>
      </c>
      <c r="BR579" s="11" t="s">
        <v>88</v>
      </c>
      <c r="BS579" s="11" t="s">
        <v>89</v>
      </c>
      <c r="BT579" s="19" t="str">
        <f aca="false">IF(OR(Z579&lt;6,AH579&lt;0.9,S579&lt;0.02,AK579&lt;1),"REVIEW",IF(AND(S579&gt;0.25,AH579&gt;1.2),"ACCELERATING","STABLE"))</f>
        <v>STABLE</v>
      </c>
    </row>
    <row r="580" customFormat="false" ht="15" hidden="false" customHeight="false" outlineLevel="0" collapsed="false">
      <c r="A580" s="11" t="s">
        <v>585</v>
      </c>
      <c r="B580" s="11" t="s">
        <v>92</v>
      </c>
      <c r="C580" s="11" t="s">
        <v>74</v>
      </c>
      <c r="D580" s="11" t="s">
        <v>95</v>
      </c>
      <c r="E580" s="11" t="s">
        <v>105</v>
      </c>
      <c r="F580" s="11" t="s">
        <v>586</v>
      </c>
      <c r="G580" s="11" t="s">
        <v>78</v>
      </c>
      <c r="H580" s="11" t="s">
        <v>79</v>
      </c>
      <c r="I580" s="11" t="s">
        <v>78</v>
      </c>
      <c r="J580" s="12" t="n">
        <v>1940000</v>
      </c>
      <c r="K580" s="13" t="n">
        <f aca="false">IFERROR(J580/M580,"")</f>
        <v>0.116572527340464</v>
      </c>
      <c r="L580" s="12" t="n">
        <v>14702000</v>
      </c>
      <c r="M580" s="14" t="n">
        <f aca="false">L580+J580</f>
        <v>16642000</v>
      </c>
      <c r="N580" s="12" t="n">
        <v>4999000</v>
      </c>
      <c r="O580" s="12" t="n">
        <v>31780715</v>
      </c>
      <c r="P580" s="12" t="n">
        <v>859410</v>
      </c>
      <c r="Q580" s="13" t="n">
        <f aca="false">IFERROR(P580/P579-1,"")</f>
        <v>0.337859232195424</v>
      </c>
      <c r="R580" s="12" t="n">
        <v>1022717</v>
      </c>
      <c r="S580" s="13" t="n">
        <f aca="false">IFERROR(R580/R579-1,"")</f>
        <v>0.420246966385131</v>
      </c>
      <c r="T580" s="12" t="n">
        <v>631096</v>
      </c>
      <c r="U580" s="13" t="n">
        <f aca="false">IFERROR(T580/P580,"")</f>
        <v>0.734336347028776</v>
      </c>
      <c r="V580" s="14" t="n">
        <f aca="false">T580-AV580</f>
        <v>-1611865</v>
      </c>
      <c r="W580" s="14" t="n">
        <f aca="false">V580-AA580*0.1</f>
        <v>-1611865</v>
      </c>
      <c r="X580" s="12" t="n">
        <v>2046000</v>
      </c>
      <c r="Y580" s="12" t="n">
        <v>150350</v>
      </c>
      <c r="Z580" s="15" t="n">
        <f aca="false">IFERROR(X580/Y580,"")</f>
        <v>13.6082474226804</v>
      </c>
      <c r="AA580" s="12" t="n">
        <v>0</v>
      </c>
      <c r="AB580" s="14" t="n">
        <f aca="false">W580-0.02*P580</f>
        <v>-1629053.2</v>
      </c>
      <c r="AC580" s="16" t="n">
        <v>66</v>
      </c>
      <c r="AD580" s="13" t="n">
        <f aca="false">IFERROR(AC580/AC579-1,"")</f>
        <v>0.269230769230769</v>
      </c>
      <c r="AE580" s="17" t="n">
        <v>0.049</v>
      </c>
      <c r="AF580" s="17" t="n">
        <v>0.035</v>
      </c>
      <c r="AG580" s="13" t="n">
        <f aca="false">1-AF580</f>
        <v>0.965</v>
      </c>
      <c r="AH580" s="17" t="n">
        <v>1.225</v>
      </c>
      <c r="AI580" s="12" t="n">
        <v>15096</v>
      </c>
      <c r="AJ580" s="14" t="n">
        <f aca="false">IFERROR(AM580*U580*MIN(1/AE580,5),"")</f>
        <v>53459.6860636949</v>
      </c>
      <c r="AK580" s="18" t="n">
        <f aca="false">IFERROR(AJ580/AI580,"")</f>
        <v>3.5413146571075</v>
      </c>
      <c r="AL580" s="15" t="n">
        <f aca="false">IFERROR(AI580/(AM580*U580/12),"")</f>
        <v>16.9428604373177</v>
      </c>
      <c r="AM580" s="12" t="n">
        <v>14560</v>
      </c>
      <c r="AN580" s="12" t="n">
        <v>1002377</v>
      </c>
      <c r="AO580" s="12" t="n">
        <v>1859139</v>
      </c>
      <c r="AP580" s="17" t="n">
        <v>0.401</v>
      </c>
      <c r="AQ580" s="16" t="n">
        <v>50</v>
      </c>
      <c r="AR580" s="16" t="n">
        <v>2</v>
      </c>
      <c r="AS580" s="13" t="n">
        <f aca="false">IFERROR(AR580/AR579-1,"")</f>
        <v>0</v>
      </c>
      <c r="AT580" s="11" t="s">
        <v>218</v>
      </c>
      <c r="AU580" s="14" t="n">
        <f aca="false">IFERROR(P580/AR580,"")</f>
        <v>429705</v>
      </c>
      <c r="AV580" s="12" t="n">
        <v>2242961</v>
      </c>
      <c r="AW580" s="12" t="n">
        <v>727250</v>
      </c>
      <c r="AX580" s="12" t="n">
        <v>529521</v>
      </c>
      <c r="AY580" s="16" t="n">
        <v>1387</v>
      </c>
      <c r="AZ580" s="13" t="n">
        <f aca="false">IFERROR(AY580/AY579-1,"")</f>
        <v>0.23728813559322</v>
      </c>
      <c r="BA580" s="17" t="n">
        <v>0.958</v>
      </c>
      <c r="BB580" s="11" t="s">
        <v>107</v>
      </c>
      <c r="BC580" s="11" t="s">
        <v>100</v>
      </c>
      <c r="BD580" s="11" t="s">
        <v>175</v>
      </c>
      <c r="BE580" s="12" t="n">
        <v>774163</v>
      </c>
      <c r="BF580" s="13" t="n">
        <f aca="false">IFERROR(P580/BE580-1,"")</f>
        <v>0.110115053289811</v>
      </c>
      <c r="BG580" s="17" t="n">
        <v>-0.041</v>
      </c>
      <c r="BH580" s="17" t="n">
        <v>0.039</v>
      </c>
      <c r="BI580" s="14" t="n">
        <f aca="false">P580*(1+IFERROR(Q580,0))^4</f>
        <v>2753227.39709866</v>
      </c>
      <c r="BJ580" s="12" t="n">
        <v>-951279</v>
      </c>
      <c r="BK580" s="11" t="s">
        <v>102</v>
      </c>
      <c r="BL580" s="11" t="s">
        <v>111</v>
      </c>
      <c r="BM580" s="14" t="n">
        <f aca="false">O580</f>
        <v>31780715</v>
      </c>
      <c r="BN580" s="11" t="s">
        <v>587</v>
      </c>
      <c r="BO580" s="13" t="n">
        <f aca="false">IFERROR(1-L580/M580,"")</f>
        <v>0.116572527340464</v>
      </c>
      <c r="BP580" s="11" t="s">
        <v>198</v>
      </c>
      <c r="BQ580" s="12" t="n">
        <v>2965947</v>
      </c>
      <c r="BR580" s="11" t="s">
        <v>88</v>
      </c>
      <c r="BS580" s="11" t="s">
        <v>89</v>
      </c>
      <c r="BT580" s="19" t="str">
        <f aca="false">IF(OR(Z580&lt;6,AH580&lt;0.9,S580&lt;0.02,AK580&lt;1),"REVIEW",IF(AND(S580&gt;0.25,AH580&gt;1.2),"ACCELERATING","STABLE"))</f>
        <v>ACCELERATING</v>
      </c>
    </row>
    <row r="581" customFormat="false" ht="15" hidden="false" customHeight="false" outlineLevel="0" collapsed="false">
      <c r="A581" s="11" t="s">
        <v>585</v>
      </c>
      <c r="B581" s="11" t="s">
        <v>93</v>
      </c>
      <c r="C581" s="11" t="s">
        <v>74</v>
      </c>
      <c r="D581" s="11" t="s">
        <v>95</v>
      </c>
      <c r="E581" s="11" t="s">
        <v>105</v>
      </c>
      <c r="F581" s="11" t="s">
        <v>586</v>
      </c>
      <c r="G581" s="11" t="s">
        <v>78</v>
      </c>
      <c r="H581" s="11" t="s">
        <v>79</v>
      </c>
      <c r="I581" s="11" t="s">
        <v>78</v>
      </c>
      <c r="J581" s="12" t="n">
        <v>1940000</v>
      </c>
      <c r="K581" s="13" t="n">
        <f aca="false">IFERROR(J581/M581,"")</f>
        <v>0.116572527340464</v>
      </c>
      <c r="L581" s="12" t="n">
        <v>14702000</v>
      </c>
      <c r="M581" s="14" t="n">
        <f aca="false">L581+J581</f>
        <v>16642000</v>
      </c>
      <c r="N581" s="12" t="n">
        <v>4999000</v>
      </c>
      <c r="O581" s="12" t="n">
        <v>31780715</v>
      </c>
      <c r="P581" s="12" t="n">
        <v>1124889</v>
      </c>
      <c r="Q581" s="13" t="n">
        <f aca="false">IFERROR(P581/P580-1,"")</f>
        <v>0.308908437183649</v>
      </c>
      <c r="R581" s="12" t="n">
        <v>1244730</v>
      </c>
      <c r="S581" s="13" t="n">
        <f aca="false">IFERROR(R581/R580-1,"")</f>
        <v>0.217081558241429</v>
      </c>
      <c r="T581" s="12" t="n">
        <v>829364</v>
      </c>
      <c r="U581" s="13" t="n">
        <f aca="false">IFERROR(T581/P581,"")</f>
        <v>0.737285189916516</v>
      </c>
      <c r="V581" s="14" t="n">
        <f aca="false">T581-AV581</f>
        <v>-1527722</v>
      </c>
      <c r="W581" s="14" t="n">
        <f aca="false">V581-AA581*0.1</f>
        <v>-1527722</v>
      </c>
      <c r="X581" s="12" t="n">
        <v>3720000</v>
      </c>
      <c r="Y581" s="12" t="n">
        <v>155000</v>
      </c>
      <c r="Z581" s="15" t="n">
        <f aca="false">IFERROR(X581/Y581,"")</f>
        <v>24</v>
      </c>
      <c r="AA581" s="12" t="n">
        <v>0</v>
      </c>
      <c r="AB581" s="14" t="n">
        <f aca="false">W581-0.02*P581</f>
        <v>-1550219.78</v>
      </c>
      <c r="AC581" s="16" t="n">
        <v>75</v>
      </c>
      <c r="AD581" s="13" t="n">
        <f aca="false">IFERROR(AC581/AC580-1,"")</f>
        <v>0.136363636363636</v>
      </c>
      <c r="AE581" s="17" t="n">
        <v>0.048</v>
      </c>
      <c r="AF581" s="17" t="n">
        <v>0.029</v>
      </c>
      <c r="AG581" s="13" t="n">
        <f aca="false">1-AF581</f>
        <v>0.971</v>
      </c>
      <c r="AH581" s="17" t="n">
        <v>1.255</v>
      </c>
      <c r="AI581" s="12" t="n">
        <v>14800</v>
      </c>
      <c r="AJ581" s="14" t="n">
        <f aca="false">IFERROR(AM581*U581*MIN(1/AE581,5),"")</f>
        <v>54706.5610918055</v>
      </c>
      <c r="AK581" s="18" t="n">
        <f aca="false">IFERROR(AJ581/AI581,"")</f>
        <v>3.69638926295983</v>
      </c>
      <c r="AL581" s="15" t="n">
        <f aca="false">IFERROR(AI581/(AM581*U581/12),"")</f>
        <v>16.2320566725042</v>
      </c>
      <c r="AM581" s="12" t="n">
        <v>14840</v>
      </c>
      <c r="AN581" s="12" t="n">
        <v>1310811</v>
      </c>
      <c r="AO581" s="12" t="n">
        <v>4771269</v>
      </c>
      <c r="AP581" s="17" t="n">
        <v>0.401</v>
      </c>
      <c r="AQ581" s="16" t="n">
        <v>50</v>
      </c>
      <c r="AR581" s="16" t="n">
        <v>2</v>
      </c>
      <c r="AS581" s="13" t="n">
        <f aca="false">IFERROR(AR581/AR580-1,"")</f>
        <v>0</v>
      </c>
      <c r="AT581" s="11" t="s">
        <v>218</v>
      </c>
      <c r="AU581" s="14" t="n">
        <f aca="false">IFERROR(P581/AR581,"")</f>
        <v>562444.5</v>
      </c>
      <c r="AV581" s="12" t="n">
        <v>2357086</v>
      </c>
      <c r="AW581" s="12" t="n">
        <v>758089</v>
      </c>
      <c r="AX581" s="12" t="n">
        <v>621352</v>
      </c>
      <c r="AY581" s="16" t="n">
        <v>1733</v>
      </c>
      <c r="AZ581" s="13" t="n">
        <f aca="false">IFERROR(AY581/AY580-1,"")</f>
        <v>0.249459264599856</v>
      </c>
      <c r="BA581" s="17" t="n">
        <v>0.959</v>
      </c>
      <c r="BB581" s="11" t="s">
        <v>107</v>
      </c>
      <c r="BC581" s="11" t="s">
        <v>100</v>
      </c>
      <c r="BD581" s="11" t="s">
        <v>175</v>
      </c>
      <c r="BE581" s="12" t="n">
        <v>1397968</v>
      </c>
      <c r="BF581" s="13" t="n">
        <f aca="false">IFERROR(P581/BE581-1,"")</f>
        <v>-0.195339950556808</v>
      </c>
      <c r="BG581" s="17" t="n">
        <v>0.088</v>
      </c>
      <c r="BH581" s="17" t="n">
        <v>-0.057</v>
      </c>
      <c r="BI581" s="14" t="n">
        <f aca="false">P581*(1+IFERROR(Q581,0))^4</f>
        <v>3301769.40246947</v>
      </c>
      <c r="BJ581" s="12" t="n">
        <v>-1027509</v>
      </c>
      <c r="BK581" s="11" t="s">
        <v>102</v>
      </c>
      <c r="BL581" s="11" t="s">
        <v>111</v>
      </c>
      <c r="BM581" s="14" t="n">
        <f aca="false">O581</f>
        <v>31780715</v>
      </c>
      <c r="BN581" s="11" t="s">
        <v>587</v>
      </c>
      <c r="BO581" s="13" t="n">
        <f aca="false">IFERROR(1-L581/M581,"")</f>
        <v>0.116572527340464</v>
      </c>
      <c r="BP581" s="11" t="s">
        <v>198</v>
      </c>
      <c r="BQ581" s="12" t="n">
        <v>2012469</v>
      </c>
      <c r="BR581" s="11" t="s">
        <v>88</v>
      </c>
      <c r="BS581" s="11" t="s">
        <v>89</v>
      </c>
      <c r="BT581" s="19" t="str">
        <f aca="false">IF(OR(Z581&lt;6,AH581&lt;0.9,S581&lt;0.02,AK581&lt;1),"REVIEW",IF(AND(S581&gt;0.25,AH581&gt;1.2),"ACCELERATING","STABLE"))</f>
        <v>STABLE</v>
      </c>
    </row>
    <row r="582" customFormat="false" ht="15" hidden="false" customHeight="false" outlineLevel="0" collapsed="false">
      <c r="A582" s="3" t="s">
        <v>588</v>
      </c>
      <c r="B582" s="3" t="s">
        <v>73</v>
      </c>
      <c r="C582" s="3" t="s">
        <v>74</v>
      </c>
      <c r="D582" s="3" t="s">
        <v>115</v>
      </c>
      <c r="E582" s="3" t="s">
        <v>105</v>
      </c>
      <c r="F582" s="3" t="s">
        <v>589</v>
      </c>
      <c r="G582" s="3" t="s">
        <v>78</v>
      </c>
      <c r="H582" s="3" t="s">
        <v>79</v>
      </c>
      <c r="I582" s="3" t="s">
        <v>78</v>
      </c>
      <c r="J582" s="4" t="n">
        <v>2879000</v>
      </c>
      <c r="K582" s="5" t="n">
        <f aca="false">IFERROR(J582/M582,"")</f>
        <v>0.0980285334876911</v>
      </c>
      <c r="L582" s="4" t="n">
        <v>26490000</v>
      </c>
      <c r="M582" s="6" t="n">
        <f aca="false">L582+J582</f>
        <v>29369000</v>
      </c>
      <c r="N582" s="4" t="n">
        <v>2879000</v>
      </c>
      <c r="O582" s="4" t="n">
        <v>57382766</v>
      </c>
      <c r="P582" s="4" t="n">
        <v>1071695</v>
      </c>
      <c r="Q582" s="7"/>
      <c r="R582" s="4" t="n">
        <v>1123688</v>
      </c>
      <c r="S582" s="7"/>
      <c r="T582" s="4" t="n">
        <v>700130</v>
      </c>
      <c r="U582" s="5" t="n">
        <f aca="false">IFERROR(T582/P582,"")</f>
        <v>0.653292214669286</v>
      </c>
      <c r="V582" s="6" t="n">
        <f aca="false">T582-AV582</f>
        <v>-1287456</v>
      </c>
      <c r="W582" s="6" t="n">
        <f aca="false">V582-AA582*0.1</f>
        <v>-1287456</v>
      </c>
      <c r="X582" s="4" t="n">
        <v>2791279</v>
      </c>
      <c r="Y582" s="4" t="n">
        <v>135590</v>
      </c>
      <c r="Z582" s="8" t="n">
        <f aca="false">IFERROR(X582/Y582,"")</f>
        <v>20.5861715465742</v>
      </c>
      <c r="AA582" s="4" t="n">
        <v>0</v>
      </c>
      <c r="AB582" s="6" t="n">
        <f aca="false">W582-0.02*P582</f>
        <v>-1308889.9</v>
      </c>
      <c r="AC582" s="9" t="n">
        <v>46</v>
      </c>
      <c r="AD582" s="7"/>
      <c r="AE582" s="7" t="n">
        <v>0.146</v>
      </c>
      <c r="AF582" s="7" t="n">
        <v>0.143</v>
      </c>
      <c r="AG582" s="5" t="n">
        <f aca="false">1-AF582</f>
        <v>0.857</v>
      </c>
      <c r="AH582" s="7" t="n">
        <v>1.17</v>
      </c>
      <c r="AI582" s="4" t="n">
        <v>9328</v>
      </c>
      <c r="AJ582" s="6" t="n">
        <f aca="false">IFERROR(AM582*U582*MIN(1/AE582,5),"")</f>
        <v>26131.6885867714</v>
      </c>
      <c r="AK582" s="10" t="n">
        <f aca="false">IFERROR(AJ582/AI582,"")</f>
        <v>2.8014245912062</v>
      </c>
      <c r="AL582" s="8" t="n">
        <f aca="false">IFERROR(AI582/(AM582*U582/12),"")</f>
        <v>21.4176744890235</v>
      </c>
      <c r="AM582" s="4" t="n">
        <v>8000</v>
      </c>
      <c r="AN582" s="4" t="n">
        <v>1394911</v>
      </c>
      <c r="AO582" s="4" t="n">
        <v>2091016</v>
      </c>
      <c r="AP582" s="7" t="n">
        <v>0.418</v>
      </c>
      <c r="AQ582" s="9" t="n">
        <v>34</v>
      </c>
      <c r="AR582" s="9" t="n">
        <v>1</v>
      </c>
      <c r="AS582" s="7"/>
      <c r="AT582" s="3" t="s">
        <v>134</v>
      </c>
      <c r="AU582" s="6" t="n">
        <f aca="false">IFERROR(P582/AR582,"")</f>
        <v>1071695</v>
      </c>
      <c r="AV582" s="4" t="n">
        <v>1987586</v>
      </c>
      <c r="AW582" s="4" t="n">
        <v>866856</v>
      </c>
      <c r="AX582" s="4" t="n">
        <v>381339</v>
      </c>
      <c r="AY582" s="9" t="n">
        <v>26902</v>
      </c>
      <c r="AZ582" s="7"/>
      <c r="BA582" s="7" t="n">
        <v>0.863</v>
      </c>
      <c r="BB582" s="3" t="s">
        <v>107</v>
      </c>
      <c r="BC582" s="3" t="s">
        <v>126</v>
      </c>
      <c r="BD582" s="3" t="s">
        <v>157</v>
      </c>
      <c r="BE582" s="4" t="n">
        <v>1172843</v>
      </c>
      <c r="BF582" s="5" t="n">
        <f aca="false">IFERROR(P582/BE582-1,"")</f>
        <v>-0.0862417220378176</v>
      </c>
      <c r="BG582" s="7" t="n">
        <v>0.013</v>
      </c>
      <c r="BH582" s="7" t="n">
        <v>-0.033</v>
      </c>
      <c r="BI582" s="6" t="n">
        <f aca="false">P582</f>
        <v>1071695</v>
      </c>
      <c r="BJ582" s="4" t="n">
        <v>-825955</v>
      </c>
      <c r="BK582" s="3" t="s">
        <v>84</v>
      </c>
      <c r="BL582" s="3" t="s">
        <v>111</v>
      </c>
      <c r="BM582" s="6" t="n">
        <f aca="false">O582</f>
        <v>57382766</v>
      </c>
      <c r="BN582" s="3" t="s">
        <v>590</v>
      </c>
      <c r="BO582" s="5" t="n">
        <f aca="false">IFERROR(1-L582/M582,"")</f>
        <v>0.0980285334876911</v>
      </c>
      <c r="BP582" s="3" t="s">
        <v>198</v>
      </c>
      <c r="BQ582" s="4" t="n">
        <v>1813402</v>
      </c>
      <c r="BR582" s="3" t="s">
        <v>88</v>
      </c>
      <c r="BS582" s="3" t="s">
        <v>89</v>
      </c>
      <c r="BT582" s="3" t="s">
        <v>90</v>
      </c>
    </row>
    <row r="583" customFormat="false" ht="15" hidden="false" customHeight="false" outlineLevel="0" collapsed="false">
      <c r="A583" s="11" t="s">
        <v>588</v>
      </c>
      <c r="B583" s="11" t="s">
        <v>91</v>
      </c>
      <c r="C583" s="11" t="s">
        <v>74</v>
      </c>
      <c r="D583" s="11" t="s">
        <v>115</v>
      </c>
      <c r="E583" s="11" t="s">
        <v>105</v>
      </c>
      <c r="F583" s="11" t="s">
        <v>589</v>
      </c>
      <c r="G583" s="11" t="s">
        <v>78</v>
      </c>
      <c r="H583" s="11" t="s">
        <v>79</v>
      </c>
      <c r="I583" s="11" t="s">
        <v>78</v>
      </c>
      <c r="J583" s="12" t="n">
        <v>2879000</v>
      </c>
      <c r="K583" s="13" t="n">
        <f aca="false">IFERROR(J583/M583,"")</f>
        <v>0.0980285334876911</v>
      </c>
      <c r="L583" s="12" t="n">
        <v>26490000</v>
      </c>
      <c r="M583" s="14" t="n">
        <f aca="false">L583+J583</f>
        <v>29369000</v>
      </c>
      <c r="N583" s="12" t="n">
        <v>2879000</v>
      </c>
      <c r="O583" s="12" t="n">
        <v>57382766</v>
      </c>
      <c r="P583" s="12" t="n">
        <v>1259795</v>
      </c>
      <c r="Q583" s="13" t="n">
        <f aca="false">IFERROR(P583/P582-1,"")</f>
        <v>0.175516354933073</v>
      </c>
      <c r="R583" s="12" t="n">
        <v>1334819</v>
      </c>
      <c r="S583" s="13" t="n">
        <f aca="false">IFERROR(R583/R582-1,"")</f>
        <v>0.187891122802771</v>
      </c>
      <c r="T583" s="12" t="n">
        <v>826347</v>
      </c>
      <c r="U583" s="13" t="n">
        <f aca="false">IFERROR(T583/P583,"")</f>
        <v>0.655937672399081</v>
      </c>
      <c r="V583" s="14" t="n">
        <f aca="false">T583-AV583</f>
        <v>-1767587</v>
      </c>
      <c r="W583" s="14" t="n">
        <f aca="false">V583-AA583*0.1</f>
        <v>-1767587</v>
      </c>
      <c r="X583" s="12" t="n">
        <v>2449324</v>
      </c>
      <c r="Y583" s="12" t="n">
        <v>140060</v>
      </c>
      <c r="Z583" s="15" t="n">
        <f aca="false">IFERROR(X583/Y583,"")</f>
        <v>17.4876767099814</v>
      </c>
      <c r="AA583" s="12" t="n">
        <v>0</v>
      </c>
      <c r="AB583" s="14" t="n">
        <f aca="false">W583-0.02*P583</f>
        <v>-1792782.9</v>
      </c>
      <c r="AC583" s="16" t="n">
        <v>51</v>
      </c>
      <c r="AD583" s="13" t="n">
        <f aca="false">IFERROR(AC583/AC582-1,"")</f>
        <v>0.108695652173913</v>
      </c>
      <c r="AE583" s="17" t="n">
        <v>0.142</v>
      </c>
      <c r="AF583" s="17" t="n">
        <v>0.086</v>
      </c>
      <c r="AG583" s="13" t="n">
        <f aca="false">1-AF583</f>
        <v>0.914</v>
      </c>
      <c r="AH583" s="17" t="n">
        <v>1.165</v>
      </c>
      <c r="AI583" s="12" t="n">
        <v>9152</v>
      </c>
      <c r="AJ583" s="14" t="n">
        <f aca="false">IFERROR(AM583*U583*MIN(1/AE583,5),"")</f>
        <v>26762.2570338825</v>
      </c>
      <c r="AK583" s="18" t="n">
        <f aca="false">IFERROR(AJ583/AI583,"")</f>
        <v>2.92419766541548</v>
      </c>
      <c r="AL583" s="15" t="n">
        <f aca="false">IFERROR(AI583/(AM583*U583/12),"")</f>
        <v>20.5184487730158</v>
      </c>
      <c r="AM583" s="12" t="n">
        <v>8160</v>
      </c>
      <c r="AN583" s="12" t="n">
        <v>1963206</v>
      </c>
      <c r="AO583" s="12" t="n">
        <v>3452316</v>
      </c>
      <c r="AP583" s="17" t="n">
        <v>0.418</v>
      </c>
      <c r="AQ583" s="16" t="n">
        <v>34</v>
      </c>
      <c r="AR583" s="16" t="n">
        <v>1</v>
      </c>
      <c r="AS583" s="13" t="n">
        <f aca="false">IFERROR(AR583/AR582-1,"")</f>
        <v>0</v>
      </c>
      <c r="AT583" s="11" t="s">
        <v>134</v>
      </c>
      <c r="AU583" s="14" t="n">
        <f aca="false">IFERROR(P583/AR583,"")</f>
        <v>1259795</v>
      </c>
      <c r="AV583" s="12" t="n">
        <v>2593934</v>
      </c>
      <c r="AW583" s="12" t="n">
        <v>942249</v>
      </c>
      <c r="AX583" s="12" t="n">
        <v>877379</v>
      </c>
      <c r="AY583" s="16" t="n">
        <v>31562</v>
      </c>
      <c r="AZ583" s="13" t="n">
        <f aca="false">IFERROR(AY583/AY582-1,"")</f>
        <v>0.173221321834808</v>
      </c>
      <c r="BA583" s="17" t="n">
        <v>0.877</v>
      </c>
      <c r="BB583" s="11" t="s">
        <v>107</v>
      </c>
      <c r="BC583" s="11" t="s">
        <v>126</v>
      </c>
      <c r="BD583" s="11" t="s">
        <v>157</v>
      </c>
      <c r="BE583" s="12" t="n">
        <v>1570159</v>
      </c>
      <c r="BF583" s="13" t="n">
        <f aca="false">IFERROR(P583/BE583-1,"")</f>
        <v>-0.19766405822595</v>
      </c>
      <c r="BG583" s="17" t="n">
        <v>0.049</v>
      </c>
      <c r="BH583" s="17" t="n">
        <v>0.054</v>
      </c>
      <c r="BI583" s="14" t="n">
        <f aca="false">P583*(1+IFERROR(Q583,0))^4</f>
        <v>2405551.08241064</v>
      </c>
      <c r="BJ583" s="12" t="n">
        <v>-1066392</v>
      </c>
      <c r="BK583" s="11" t="s">
        <v>84</v>
      </c>
      <c r="BL583" s="11" t="s">
        <v>111</v>
      </c>
      <c r="BM583" s="14" t="n">
        <f aca="false">O583</f>
        <v>57382766</v>
      </c>
      <c r="BN583" s="11" t="s">
        <v>590</v>
      </c>
      <c r="BO583" s="13" t="n">
        <f aca="false">IFERROR(1-L583/M583,"")</f>
        <v>0.0980285334876911</v>
      </c>
      <c r="BP583" s="11" t="s">
        <v>198</v>
      </c>
      <c r="BQ583" s="12" t="n">
        <v>2529756</v>
      </c>
      <c r="BR583" s="11" t="s">
        <v>88</v>
      </c>
      <c r="BS583" s="11" t="s">
        <v>89</v>
      </c>
      <c r="BT583" s="19" t="str">
        <f aca="false">IF(OR(Z583&lt;6,AH583&lt;0.9,S583&lt;0.02,AK583&lt;1),"REVIEW",IF(AND(S583&gt;0.25,AH583&gt;1.2),"ACCELERATING","STABLE"))</f>
        <v>STABLE</v>
      </c>
    </row>
    <row r="584" customFormat="false" ht="15" hidden="false" customHeight="false" outlineLevel="0" collapsed="false">
      <c r="A584" s="11" t="s">
        <v>588</v>
      </c>
      <c r="B584" s="11" t="s">
        <v>92</v>
      </c>
      <c r="C584" s="11" t="s">
        <v>74</v>
      </c>
      <c r="D584" s="11" t="s">
        <v>115</v>
      </c>
      <c r="E584" s="11" t="s">
        <v>105</v>
      </c>
      <c r="F584" s="11" t="s">
        <v>589</v>
      </c>
      <c r="G584" s="11" t="s">
        <v>78</v>
      </c>
      <c r="H584" s="11" t="s">
        <v>79</v>
      </c>
      <c r="I584" s="11" t="s">
        <v>78</v>
      </c>
      <c r="J584" s="12" t="n">
        <v>2879000</v>
      </c>
      <c r="K584" s="13" t="n">
        <f aca="false">IFERROR(J584/M584,"")</f>
        <v>0.0980285334876911</v>
      </c>
      <c r="L584" s="12" t="n">
        <v>26490000</v>
      </c>
      <c r="M584" s="14" t="n">
        <f aca="false">L584+J584</f>
        <v>29369000</v>
      </c>
      <c r="N584" s="12" t="n">
        <v>2879000</v>
      </c>
      <c r="O584" s="12" t="n">
        <v>57382766</v>
      </c>
      <c r="P584" s="12" t="n">
        <v>1519552</v>
      </c>
      <c r="Q584" s="13" t="n">
        <f aca="false">IFERROR(P584/P583-1,"")</f>
        <v>0.206189895975139</v>
      </c>
      <c r="R584" s="12" t="n">
        <v>1623871</v>
      </c>
      <c r="S584" s="13" t="n">
        <f aca="false">IFERROR(R584/R583-1,"")</f>
        <v>0.216547711712225</v>
      </c>
      <c r="T584" s="12" t="n">
        <v>1000750</v>
      </c>
      <c r="U584" s="13" t="n">
        <f aca="false">IFERROR(T584/P584,"")</f>
        <v>0.658582266352188</v>
      </c>
      <c r="V584" s="14" t="n">
        <f aca="false">T584-AV584</f>
        <v>-1763664</v>
      </c>
      <c r="W584" s="14" t="n">
        <f aca="false">V584-AA584*0.1</f>
        <v>-1763664</v>
      </c>
      <c r="X584" s="12" t="n">
        <v>2083231</v>
      </c>
      <c r="Y584" s="12" t="n">
        <v>144530</v>
      </c>
      <c r="Z584" s="15" t="n">
        <f aca="false">IFERROR(X584/Y584,"")</f>
        <v>14.4138310385387</v>
      </c>
      <c r="AA584" s="12" t="n">
        <v>0</v>
      </c>
      <c r="AB584" s="14" t="n">
        <f aca="false">W584-0.02*P584</f>
        <v>-1794055.04</v>
      </c>
      <c r="AC584" s="16" t="n">
        <v>61</v>
      </c>
      <c r="AD584" s="13" t="n">
        <f aca="false">IFERROR(AC584/AC583-1,"")</f>
        <v>0.196078431372549</v>
      </c>
      <c r="AE584" s="17" t="n">
        <v>0.138</v>
      </c>
      <c r="AF584" s="17" t="n">
        <v>0.088</v>
      </c>
      <c r="AG584" s="13" t="n">
        <f aca="false">1-AF584</f>
        <v>0.912</v>
      </c>
      <c r="AH584" s="17" t="n">
        <v>1.16</v>
      </c>
      <c r="AI584" s="12" t="n">
        <v>8976</v>
      </c>
      <c r="AJ584" s="14" t="n">
        <f aca="false">IFERROR(AM584*U584*MIN(1/AE584,5),"")</f>
        <v>27397.022280251</v>
      </c>
      <c r="AK584" s="18" t="n">
        <f aca="false">IFERROR(AJ584/AI584,"")</f>
        <v>3.05225292783545</v>
      </c>
      <c r="AL584" s="15" t="n">
        <f aca="false">IFERROR(AI584/(AM584*U584/12),"")</f>
        <v>19.6576107611599</v>
      </c>
      <c r="AM584" s="12" t="n">
        <v>8320</v>
      </c>
      <c r="AN584" s="12" t="n">
        <v>2346811</v>
      </c>
      <c r="AO584" s="12" t="n">
        <v>5821809</v>
      </c>
      <c r="AP584" s="17" t="n">
        <v>0.418</v>
      </c>
      <c r="AQ584" s="16" t="n">
        <v>34</v>
      </c>
      <c r="AR584" s="16" t="n">
        <v>1</v>
      </c>
      <c r="AS584" s="13" t="n">
        <f aca="false">IFERROR(AR584/AR583-1,"")</f>
        <v>0</v>
      </c>
      <c r="AT584" s="11" t="s">
        <v>134</v>
      </c>
      <c r="AU584" s="14" t="n">
        <f aca="false">IFERROR(P584/AR584,"")</f>
        <v>1519552</v>
      </c>
      <c r="AV584" s="12" t="n">
        <v>2764414</v>
      </c>
      <c r="AW584" s="12" t="n">
        <v>1185300</v>
      </c>
      <c r="AX584" s="12" t="n">
        <v>710252</v>
      </c>
      <c r="AY584" s="16" t="n">
        <v>34419</v>
      </c>
      <c r="AZ584" s="13" t="n">
        <f aca="false">IFERROR(AY584/AY583-1,"")</f>
        <v>0.090520245865281</v>
      </c>
      <c r="BA584" s="17" t="n">
        <v>0.893</v>
      </c>
      <c r="BB584" s="11" t="s">
        <v>107</v>
      </c>
      <c r="BC584" s="11" t="s">
        <v>126</v>
      </c>
      <c r="BD584" s="11" t="s">
        <v>157</v>
      </c>
      <c r="BE584" s="12" t="n">
        <v>1439356</v>
      </c>
      <c r="BF584" s="13" t="n">
        <f aca="false">IFERROR(P584/BE584-1,"")</f>
        <v>0.0557165843613394</v>
      </c>
      <c r="BG584" s="17" t="n">
        <v>0.018</v>
      </c>
      <c r="BH584" s="17" t="n">
        <v>-0.017</v>
      </c>
      <c r="BI584" s="14" t="n">
        <f aca="false">P584*(1+IFERROR(Q584,0))^4</f>
        <v>3216461.15694045</v>
      </c>
      <c r="BJ584" s="12" t="n">
        <v>-1512775</v>
      </c>
      <c r="BK584" s="11" t="s">
        <v>84</v>
      </c>
      <c r="BL584" s="11" t="s">
        <v>111</v>
      </c>
      <c r="BM584" s="14" t="n">
        <f aca="false">O584</f>
        <v>57382766</v>
      </c>
      <c r="BN584" s="11" t="s">
        <v>590</v>
      </c>
      <c r="BO584" s="13" t="n">
        <f aca="false">IFERROR(1-L584/M584,"")</f>
        <v>0.0980285334876911</v>
      </c>
      <c r="BP584" s="11" t="s">
        <v>198</v>
      </c>
      <c r="BQ584" s="12" t="n">
        <v>2095863</v>
      </c>
      <c r="BR584" s="11" t="s">
        <v>88</v>
      </c>
      <c r="BS584" s="11" t="s">
        <v>89</v>
      </c>
      <c r="BT584" s="19" t="str">
        <f aca="false">IF(OR(Z584&lt;6,AH584&lt;0.9,S584&lt;0.02,AK584&lt;1),"REVIEW",IF(AND(S584&gt;0.25,AH584&gt;1.2),"ACCELERATING","STABLE"))</f>
        <v>STABLE</v>
      </c>
    </row>
    <row r="585" customFormat="false" ht="15" hidden="false" customHeight="false" outlineLevel="0" collapsed="false">
      <c r="A585" s="11" t="s">
        <v>588</v>
      </c>
      <c r="B585" s="11" t="s">
        <v>93</v>
      </c>
      <c r="C585" s="11" t="s">
        <v>74</v>
      </c>
      <c r="D585" s="11" t="s">
        <v>115</v>
      </c>
      <c r="E585" s="11" t="s">
        <v>105</v>
      </c>
      <c r="F585" s="11" t="s">
        <v>589</v>
      </c>
      <c r="G585" s="11" t="s">
        <v>78</v>
      </c>
      <c r="H585" s="11" t="s">
        <v>79</v>
      </c>
      <c r="I585" s="11" t="s">
        <v>78</v>
      </c>
      <c r="J585" s="12" t="n">
        <v>2879000</v>
      </c>
      <c r="K585" s="13" t="n">
        <f aca="false">IFERROR(J585/M585,"")</f>
        <v>0.0980285334876911</v>
      </c>
      <c r="L585" s="12" t="n">
        <v>26490000</v>
      </c>
      <c r="M585" s="14" t="n">
        <f aca="false">L585+J585</f>
        <v>29369000</v>
      </c>
      <c r="N585" s="12" t="n">
        <v>2879000</v>
      </c>
      <c r="O585" s="12" t="n">
        <v>57382766</v>
      </c>
      <c r="P585" s="12" t="n">
        <v>1776205</v>
      </c>
      <c r="Q585" s="13" t="n">
        <f aca="false">IFERROR(P585/P584-1,"")</f>
        <v>0.168900439076781</v>
      </c>
      <c r="R585" s="12" t="n">
        <v>1822845</v>
      </c>
      <c r="S585" s="13" t="n">
        <f aca="false">IFERROR(R585/R584-1,"")</f>
        <v>0.122530669000185</v>
      </c>
      <c r="T585" s="12" t="n">
        <v>1174476</v>
      </c>
      <c r="U585" s="13" t="n">
        <f aca="false">IFERROR(T585/P585,"")</f>
        <v>0.661227729907302</v>
      </c>
      <c r="V585" s="14" t="n">
        <f aca="false">T585-AV585</f>
        <v>-1514310</v>
      </c>
      <c r="W585" s="14" t="n">
        <f aca="false">V585-AA585*0.1</f>
        <v>-1514310</v>
      </c>
      <c r="X585" s="12" t="n">
        <v>1693000</v>
      </c>
      <c r="Y585" s="12" t="n">
        <v>149000</v>
      </c>
      <c r="Z585" s="15" t="n">
        <f aca="false">IFERROR(X585/Y585,"")</f>
        <v>11.3624161073826</v>
      </c>
      <c r="AA585" s="12" t="n">
        <v>0</v>
      </c>
      <c r="AB585" s="14" t="n">
        <f aca="false">W585-0.02*P585</f>
        <v>-1549834.1</v>
      </c>
      <c r="AC585" s="16" t="n">
        <v>69</v>
      </c>
      <c r="AD585" s="13" t="n">
        <f aca="false">IFERROR(AC585/AC584-1,"")</f>
        <v>0.131147540983606</v>
      </c>
      <c r="AE585" s="17" t="n">
        <v>0.134</v>
      </c>
      <c r="AF585" s="17" t="n">
        <v>0.107</v>
      </c>
      <c r="AG585" s="13" t="n">
        <f aca="false">1-AF585</f>
        <v>0.893</v>
      </c>
      <c r="AH585" s="17" t="n">
        <v>1.155</v>
      </c>
      <c r="AI585" s="12" t="n">
        <v>8800</v>
      </c>
      <c r="AJ585" s="14" t="n">
        <f aca="false">IFERROR(AM585*U585*MIN(1/AE585,5),"")</f>
        <v>28036.0557480696</v>
      </c>
      <c r="AK585" s="18" t="n">
        <f aca="false">IFERROR(AJ585/AI585,"")</f>
        <v>3.185915425917</v>
      </c>
      <c r="AL585" s="15" t="n">
        <f aca="false">IFERROR(AI585/(AM585*U585/12),"")</f>
        <v>18.8328916429821</v>
      </c>
      <c r="AM585" s="12" t="n">
        <v>8480</v>
      </c>
      <c r="AN585" s="12" t="n">
        <v>1802280</v>
      </c>
      <c r="AO585" s="12" t="n">
        <v>7282365</v>
      </c>
      <c r="AP585" s="17" t="n">
        <v>0.418</v>
      </c>
      <c r="AQ585" s="16" t="n">
        <v>34</v>
      </c>
      <c r="AR585" s="16" t="n">
        <v>1</v>
      </c>
      <c r="AS585" s="13" t="n">
        <f aca="false">IFERROR(AR585/AR584-1,"")</f>
        <v>0</v>
      </c>
      <c r="AT585" s="11" t="s">
        <v>134</v>
      </c>
      <c r="AU585" s="14" t="n">
        <f aca="false">IFERROR(P585/AR585,"")</f>
        <v>1776205</v>
      </c>
      <c r="AV585" s="12" t="n">
        <v>2688786</v>
      </c>
      <c r="AW585" s="12" t="n">
        <v>985183</v>
      </c>
      <c r="AX585" s="12" t="n">
        <v>538284</v>
      </c>
      <c r="AY585" s="16" t="n">
        <v>40371</v>
      </c>
      <c r="AZ585" s="13" t="n">
        <f aca="false">IFERROR(AY585/AY584-1,"")</f>
        <v>0.172927743397542</v>
      </c>
      <c r="BA585" s="17" t="n">
        <v>0.87</v>
      </c>
      <c r="BB585" s="11" t="s">
        <v>107</v>
      </c>
      <c r="BC585" s="11" t="s">
        <v>126</v>
      </c>
      <c r="BD585" s="11" t="s">
        <v>157</v>
      </c>
      <c r="BE585" s="12" t="n">
        <v>1991623</v>
      </c>
      <c r="BF585" s="13" t="n">
        <f aca="false">IFERROR(P585/BE585-1,"")</f>
        <v>-0.108162036690679</v>
      </c>
      <c r="BG585" s="17" t="n">
        <v>0.025</v>
      </c>
      <c r="BH585" s="17" t="n">
        <v>0.009</v>
      </c>
      <c r="BI585" s="14" t="n">
        <f aca="false">P585*(1+IFERROR(Q585,0))^4</f>
        <v>3315913.36605388</v>
      </c>
      <c r="BJ585" s="12" t="n">
        <v>-1383307</v>
      </c>
      <c r="BK585" s="11" t="s">
        <v>84</v>
      </c>
      <c r="BL585" s="11" t="s">
        <v>111</v>
      </c>
      <c r="BM585" s="14" t="n">
        <f aca="false">O585</f>
        <v>57382766</v>
      </c>
      <c r="BN585" s="11" t="s">
        <v>590</v>
      </c>
      <c r="BO585" s="13" t="n">
        <f aca="false">IFERROR(1-L585/M585,"")</f>
        <v>0.0980285334876911</v>
      </c>
      <c r="BP585" s="11" t="s">
        <v>198</v>
      </c>
      <c r="BQ585" s="12" t="n">
        <v>2744463</v>
      </c>
      <c r="BR585" s="11" t="s">
        <v>88</v>
      </c>
      <c r="BS585" s="11" t="s">
        <v>89</v>
      </c>
      <c r="BT585" s="19" t="str">
        <f aca="false">IF(OR(Z585&lt;6,AH585&lt;0.9,S585&lt;0.02,AK585&lt;1),"REVIEW",IF(AND(S585&gt;0.25,AH585&gt;1.2),"ACCELERATING","STABLE"))</f>
        <v>STABLE</v>
      </c>
    </row>
    <row r="586" customFormat="false" ht="15" hidden="false" customHeight="false" outlineLevel="0" collapsed="false">
      <c r="A586" s="3" t="s">
        <v>591</v>
      </c>
      <c r="B586" s="3" t="s">
        <v>73</v>
      </c>
      <c r="C586" s="3" t="s">
        <v>74</v>
      </c>
      <c r="D586" s="3" t="s">
        <v>75</v>
      </c>
      <c r="E586" s="3" t="s">
        <v>105</v>
      </c>
      <c r="F586" s="3" t="s">
        <v>592</v>
      </c>
      <c r="G586" s="3" t="s">
        <v>78</v>
      </c>
      <c r="H586" s="3" t="s">
        <v>79</v>
      </c>
      <c r="I586" s="3" t="s">
        <v>78</v>
      </c>
      <c r="J586" s="4" t="n">
        <v>4742000</v>
      </c>
      <c r="K586" s="5" t="n">
        <f aca="false">IFERROR(J586/M586,"")</f>
        <v>0.182475853311271</v>
      </c>
      <c r="L586" s="4" t="n">
        <v>21245000</v>
      </c>
      <c r="M586" s="6" t="n">
        <f aca="false">L586+J586</f>
        <v>25987000</v>
      </c>
      <c r="N586" s="4" t="n">
        <v>4742000</v>
      </c>
      <c r="O586" s="4" t="n">
        <v>37255686</v>
      </c>
      <c r="P586" s="4" t="n">
        <v>1090480</v>
      </c>
      <c r="Q586" s="7"/>
      <c r="R586" s="4" t="n">
        <v>1160105</v>
      </c>
      <c r="S586" s="7"/>
      <c r="T586" s="4" t="n">
        <v>804011</v>
      </c>
      <c r="U586" s="5" t="n">
        <f aca="false">IFERROR(T586/P586,"")</f>
        <v>0.737300088034627</v>
      </c>
      <c r="V586" s="6" t="n">
        <f aca="false">T586-AV586</f>
        <v>-2093258</v>
      </c>
      <c r="W586" s="6" t="n">
        <f aca="false">V586-AA586*0.1</f>
        <v>-2093258</v>
      </c>
      <c r="X586" s="4" t="n">
        <v>4590856</v>
      </c>
      <c r="Y586" s="4" t="n">
        <v>200200</v>
      </c>
      <c r="Z586" s="8" t="n">
        <f aca="false">IFERROR(X586/Y586,"")</f>
        <v>22.9313486513487</v>
      </c>
      <c r="AA586" s="4" t="n">
        <v>0</v>
      </c>
      <c r="AB586" s="6" t="n">
        <f aca="false">W586-0.02*P586</f>
        <v>-2115067.6</v>
      </c>
      <c r="AC586" s="9" t="n">
        <v>18</v>
      </c>
      <c r="AD586" s="7"/>
      <c r="AE586" s="7" t="n">
        <v>0.104</v>
      </c>
      <c r="AF586" s="7" t="n">
        <v>0.107</v>
      </c>
      <c r="AG586" s="5" t="n">
        <f aca="false">1-AF586</f>
        <v>0.893</v>
      </c>
      <c r="AH586" s="7" t="n">
        <v>1.151</v>
      </c>
      <c r="AI586" s="4" t="n">
        <v>37312</v>
      </c>
      <c r="AJ586" s="6" t="n">
        <f aca="false">IFERROR(AM586*U586*MIN(1/AE586,5),"")</f>
        <v>110595.013205194</v>
      </c>
      <c r="AK586" s="10" t="n">
        <f aca="false">IFERROR(AJ586/AI586,"")</f>
        <v>2.96406017380988</v>
      </c>
      <c r="AL586" s="8" t="n">
        <f aca="false">IFERROR(AI586/(AM586*U586/12),"")</f>
        <v>20.2425040254424</v>
      </c>
      <c r="AM586" s="4" t="n">
        <v>30000</v>
      </c>
      <c r="AN586" s="4" t="n">
        <v>1134545</v>
      </c>
      <c r="AO586" s="4" t="n">
        <v>3397812</v>
      </c>
      <c r="AP586" s="7" t="n">
        <v>0.335</v>
      </c>
      <c r="AQ586" s="9" t="n">
        <v>64</v>
      </c>
      <c r="AR586" s="9" t="n">
        <v>6</v>
      </c>
      <c r="AS586" s="7"/>
      <c r="AT586" s="3" t="s">
        <v>80</v>
      </c>
      <c r="AU586" s="6" t="n">
        <f aca="false">IFERROR(P586/AR586,"")</f>
        <v>181746.666666667</v>
      </c>
      <c r="AV586" s="4" t="n">
        <v>2897269</v>
      </c>
      <c r="AW586" s="4" t="n">
        <v>1297349</v>
      </c>
      <c r="AX586" s="4" t="n">
        <v>817708</v>
      </c>
      <c r="AY586" s="9" t="n">
        <v>22305</v>
      </c>
      <c r="AZ586" s="7"/>
      <c r="BA586" s="7" t="n">
        <v>0.887</v>
      </c>
      <c r="BB586" s="3" t="s">
        <v>107</v>
      </c>
      <c r="BC586" s="3" t="s">
        <v>126</v>
      </c>
      <c r="BD586" s="3" t="s">
        <v>157</v>
      </c>
      <c r="BE586" s="4" t="n">
        <v>1303596</v>
      </c>
      <c r="BF586" s="5" t="n">
        <f aca="false">IFERROR(P586/BE586-1,"")</f>
        <v>-0.163483165029656</v>
      </c>
      <c r="BG586" s="7" t="n">
        <v>-0.029</v>
      </c>
      <c r="BH586" s="7" t="n">
        <v>-0.047</v>
      </c>
      <c r="BI586" s="6" t="n">
        <f aca="false">P586</f>
        <v>1090480</v>
      </c>
      <c r="BJ586" s="4" t="n">
        <v>-1395424</v>
      </c>
      <c r="BK586" s="3" t="s">
        <v>84</v>
      </c>
      <c r="BL586" s="3" t="s">
        <v>85</v>
      </c>
      <c r="BM586" s="6" t="n">
        <f aca="false">O586</f>
        <v>37255686</v>
      </c>
      <c r="BN586" s="3" t="s">
        <v>593</v>
      </c>
      <c r="BO586" s="5" t="n">
        <f aca="false">IFERROR(1-L586/M586,"")</f>
        <v>0.182475853311271</v>
      </c>
      <c r="BP586" s="3" t="s">
        <v>142</v>
      </c>
      <c r="BQ586" s="4" t="n">
        <v>3249149</v>
      </c>
      <c r="BR586" s="3" t="s">
        <v>88</v>
      </c>
      <c r="BS586" s="3" t="s">
        <v>89</v>
      </c>
      <c r="BT586" s="3" t="s">
        <v>90</v>
      </c>
    </row>
    <row r="587" customFormat="false" ht="15" hidden="false" customHeight="false" outlineLevel="0" collapsed="false">
      <c r="A587" s="11" t="s">
        <v>591</v>
      </c>
      <c r="B587" s="11" t="s">
        <v>91</v>
      </c>
      <c r="C587" s="11" t="s">
        <v>74</v>
      </c>
      <c r="D587" s="11" t="s">
        <v>75</v>
      </c>
      <c r="E587" s="11" t="s">
        <v>105</v>
      </c>
      <c r="F587" s="11" t="s">
        <v>592</v>
      </c>
      <c r="G587" s="11" t="s">
        <v>78</v>
      </c>
      <c r="H587" s="11" t="s">
        <v>79</v>
      </c>
      <c r="I587" s="11" t="s">
        <v>78</v>
      </c>
      <c r="J587" s="12" t="n">
        <v>4742000</v>
      </c>
      <c r="K587" s="13" t="n">
        <f aca="false">IFERROR(J587/M587,"")</f>
        <v>0.182475853311271</v>
      </c>
      <c r="L587" s="12" t="n">
        <v>21245000</v>
      </c>
      <c r="M587" s="14" t="n">
        <f aca="false">L587+J587</f>
        <v>25987000</v>
      </c>
      <c r="N587" s="12" t="n">
        <v>4742000</v>
      </c>
      <c r="O587" s="12" t="n">
        <v>37255686</v>
      </c>
      <c r="P587" s="12" t="n">
        <v>1282852</v>
      </c>
      <c r="Q587" s="13" t="n">
        <f aca="false">IFERROR(P587/P586-1,"")</f>
        <v>0.17641038808598</v>
      </c>
      <c r="R587" s="12" t="n">
        <v>1327303</v>
      </c>
      <c r="S587" s="13" t="n">
        <f aca="false">IFERROR(R587/R586-1,"")</f>
        <v>0.144123161265575</v>
      </c>
      <c r="T587" s="12" t="n">
        <v>949676</v>
      </c>
      <c r="U587" s="13" t="n">
        <f aca="false">IFERROR(T587/P587,"")</f>
        <v>0.74028492764559</v>
      </c>
      <c r="V587" s="14" t="n">
        <f aca="false">T587-AV587</f>
        <v>-2184277</v>
      </c>
      <c r="W587" s="14" t="n">
        <f aca="false">V587-AA587*0.1</f>
        <v>-2184277</v>
      </c>
      <c r="X587" s="12" t="n">
        <v>4085956</v>
      </c>
      <c r="Y587" s="12" t="n">
        <v>206800</v>
      </c>
      <c r="Z587" s="15" t="n">
        <f aca="false">IFERROR(X587/Y587,"")</f>
        <v>19.7580077369439</v>
      </c>
      <c r="AA587" s="12" t="n">
        <v>0</v>
      </c>
      <c r="AB587" s="14" t="n">
        <f aca="false">W587-0.02*P587</f>
        <v>-2209934.04</v>
      </c>
      <c r="AC587" s="16" t="n">
        <v>22</v>
      </c>
      <c r="AD587" s="13" t="n">
        <f aca="false">IFERROR(AC587/AC586-1,"")</f>
        <v>0.222222222222222</v>
      </c>
      <c r="AE587" s="17" t="n">
        <v>0.101</v>
      </c>
      <c r="AF587" s="17" t="n">
        <v>0.069</v>
      </c>
      <c r="AG587" s="13" t="n">
        <f aca="false">1-AF587</f>
        <v>0.931</v>
      </c>
      <c r="AH587" s="17" t="n">
        <v>1.146</v>
      </c>
      <c r="AI587" s="12" t="n">
        <v>36608</v>
      </c>
      <c r="AJ587" s="14" t="n">
        <f aca="false">IFERROR(AM587*U587*MIN(1/AE587,5),"")</f>
        <v>113263.593929775</v>
      </c>
      <c r="AK587" s="18" t="n">
        <f aca="false">IFERROR(AJ587/AI587,"")</f>
        <v>3.09395743907821</v>
      </c>
      <c r="AL587" s="15" t="n">
        <f aca="false">IFERROR(AI587/(AM587*U587/12),"")</f>
        <v>19.3926390978009</v>
      </c>
      <c r="AM587" s="12" t="n">
        <v>30600</v>
      </c>
      <c r="AN587" s="12" t="n">
        <v>1930757</v>
      </c>
      <c r="AO587" s="12" t="n">
        <v>4493400</v>
      </c>
      <c r="AP587" s="17" t="n">
        <v>0.335</v>
      </c>
      <c r="AQ587" s="16" t="n">
        <v>64</v>
      </c>
      <c r="AR587" s="16" t="n">
        <v>6</v>
      </c>
      <c r="AS587" s="13" t="n">
        <f aca="false">IFERROR(AR587/AR586-1,"")</f>
        <v>0</v>
      </c>
      <c r="AT587" s="11" t="s">
        <v>80</v>
      </c>
      <c r="AU587" s="14" t="n">
        <f aca="false">IFERROR(P587/AR587,"")</f>
        <v>213808.666666667</v>
      </c>
      <c r="AV587" s="12" t="n">
        <v>3133953</v>
      </c>
      <c r="AW587" s="12" t="n">
        <v>960665</v>
      </c>
      <c r="AX587" s="12" t="n">
        <v>593319</v>
      </c>
      <c r="AY587" s="16" t="n">
        <v>25386</v>
      </c>
      <c r="AZ587" s="13" t="n">
        <f aca="false">IFERROR(AY587/AY586-1,"")</f>
        <v>0.13813046402152</v>
      </c>
      <c r="BA587" s="17" t="n">
        <v>0.906</v>
      </c>
      <c r="BB587" s="11" t="s">
        <v>107</v>
      </c>
      <c r="BC587" s="11" t="s">
        <v>126</v>
      </c>
      <c r="BD587" s="11" t="s">
        <v>157</v>
      </c>
      <c r="BE587" s="12" t="n">
        <v>1472317</v>
      </c>
      <c r="BF587" s="13" t="n">
        <f aca="false">IFERROR(P587/BE587-1,"")</f>
        <v>-0.12868492315174</v>
      </c>
      <c r="BG587" s="17" t="n">
        <v>0.067</v>
      </c>
      <c r="BH587" s="17" t="n">
        <v>-0.023</v>
      </c>
      <c r="BI587" s="14" t="n">
        <f aca="false">P587*(1+IFERROR(Q587,0))^4</f>
        <v>2457038.48441407</v>
      </c>
      <c r="BJ587" s="12" t="n">
        <v>-2462955</v>
      </c>
      <c r="BK587" s="11" t="s">
        <v>84</v>
      </c>
      <c r="BL587" s="11" t="s">
        <v>85</v>
      </c>
      <c r="BM587" s="14" t="n">
        <f aca="false">O587</f>
        <v>37255686</v>
      </c>
      <c r="BN587" s="11" t="s">
        <v>593</v>
      </c>
      <c r="BO587" s="13" t="n">
        <f aca="false">IFERROR(1-L587/M587,"")</f>
        <v>0.182475853311271</v>
      </c>
      <c r="BP587" s="11" t="s">
        <v>142</v>
      </c>
      <c r="BQ587" s="12" t="n">
        <v>2794377</v>
      </c>
      <c r="BR587" s="11" t="s">
        <v>88</v>
      </c>
      <c r="BS587" s="11" t="s">
        <v>89</v>
      </c>
      <c r="BT587" s="19" t="str">
        <f aca="false">IF(OR(Z587&lt;6,AH587&lt;0.9,S587&lt;0.02,AK587&lt;1),"REVIEW",IF(AND(S587&gt;0.25,AH587&gt;1.2),"ACCELERATING","STABLE"))</f>
        <v>STABLE</v>
      </c>
    </row>
    <row r="588" customFormat="false" ht="15" hidden="false" customHeight="false" outlineLevel="0" collapsed="false">
      <c r="A588" s="11" t="s">
        <v>591</v>
      </c>
      <c r="B588" s="11" t="s">
        <v>92</v>
      </c>
      <c r="C588" s="11" t="s">
        <v>74</v>
      </c>
      <c r="D588" s="11" t="s">
        <v>75</v>
      </c>
      <c r="E588" s="11" t="s">
        <v>105</v>
      </c>
      <c r="F588" s="11" t="s">
        <v>592</v>
      </c>
      <c r="G588" s="11" t="s">
        <v>78</v>
      </c>
      <c r="H588" s="11" t="s">
        <v>79</v>
      </c>
      <c r="I588" s="11" t="s">
        <v>78</v>
      </c>
      <c r="J588" s="12" t="n">
        <v>4742000</v>
      </c>
      <c r="K588" s="13" t="n">
        <f aca="false">IFERROR(J588/M588,"")</f>
        <v>0.182475853311271</v>
      </c>
      <c r="L588" s="12" t="n">
        <v>21245000</v>
      </c>
      <c r="M588" s="14" t="n">
        <f aca="false">L588+J588</f>
        <v>25987000</v>
      </c>
      <c r="N588" s="12" t="n">
        <v>4742000</v>
      </c>
      <c r="O588" s="12" t="n">
        <v>37255686</v>
      </c>
      <c r="P588" s="12" t="n">
        <v>1458832</v>
      </c>
      <c r="Q588" s="13" t="n">
        <f aca="false">IFERROR(P588/P587-1,"")</f>
        <v>0.137178723656353</v>
      </c>
      <c r="R588" s="12" t="n">
        <v>1614382</v>
      </c>
      <c r="S588" s="13" t="n">
        <f aca="false">IFERROR(R588/R587-1,"")</f>
        <v>0.216287464128387</v>
      </c>
      <c r="T588" s="12" t="n">
        <v>1084306</v>
      </c>
      <c r="U588" s="13" t="n">
        <f aca="false">IFERROR(T588/P588,"")</f>
        <v>0.743269958432499</v>
      </c>
      <c r="V588" s="14" t="n">
        <f aca="false">T588-AV588</f>
        <v>-2739838</v>
      </c>
      <c r="W588" s="14" t="n">
        <f aca="false">V588-AA588*0.1</f>
        <v>-2739838</v>
      </c>
      <c r="X588" s="12" t="n">
        <v>3545416</v>
      </c>
      <c r="Y588" s="12" t="n">
        <v>213400</v>
      </c>
      <c r="Z588" s="15" t="n">
        <f aca="false">IFERROR(X588/Y588,"")</f>
        <v>16.6139456419869</v>
      </c>
      <c r="AA588" s="12" t="n">
        <v>0</v>
      </c>
      <c r="AB588" s="14" t="n">
        <f aca="false">W588-0.02*P588</f>
        <v>-2769014.64</v>
      </c>
      <c r="AC588" s="16" t="n">
        <v>25</v>
      </c>
      <c r="AD588" s="13" t="n">
        <f aca="false">IFERROR(AC588/AC587-1,"")</f>
        <v>0.136363636363636</v>
      </c>
      <c r="AE588" s="17" t="n">
        <v>0.098</v>
      </c>
      <c r="AF588" s="17" t="n">
        <v>0.085</v>
      </c>
      <c r="AG588" s="13" t="n">
        <f aca="false">1-AF588</f>
        <v>0.915</v>
      </c>
      <c r="AH588" s="17" t="n">
        <v>1.141</v>
      </c>
      <c r="AI588" s="12" t="n">
        <v>35904</v>
      </c>
      <c r="AJ588" s="14" t="n">
        <f aca="false">IFERROR(AM588*U588*MIN(1/AE588,5),"")</f>
        <v>115950.11351547</v>
      </c>
      <c r="AK588" s="18" t="n">
        <f aca="false">IFERROR(AJ588/AI588,"")</f>
        <v>3.22944834880431</v>
      </c>
      <c r="AL588" s="15" t="n">
        <f aca="false">IFERROR(AI588/(AM588*U588/12),"")</f>
        <v>18.5790245018827</v>
      </c>
      <c r="AM588" s="12" t="n">
        <v>31200</v>
      </c>
      <c r="AN588" s="12" t="n">
        <v>2201000</v>
      </c>
      <c r="AO588" s="12" t="n">
        <v>4797799</v>
      </c>
      <c r="AP588" s="17" t="n">
        <v>0.335</v>
      </c>
      <c r="AQ588" s="16" t="n">
        <v>64</v>
      </c>
      <c r="AR588" s="16" t="n">
        <v>7</v>
      </c>
      <c r="AS588" s="13" t="n">
        <f aca="false">IFERROR(AR588/AR587-1,"")</f>
        <v>0.166666666666667</v>
      </c>
      <c r="AT588" s="11" t="s">
        <v>80</v>
      </c>
      <c r="AU588" s="14" t="n">
        <f aca="false">IFERROR(P588/AR588,"")</f>
        <v>208404.571428571</v>
      </c>
      <c r="AV588" s="12" t="n">
        <v>3824144</v>
      </c>
      <c r="AW588" s="12" t="n">
        <v>1858535</v>
      </c>
      <c r="AX588" s="12" t="n">
        <v>1081123</v>
      </c>
      <c r="AY588" s="16" t="n">
        <v>31108</v>
      </c>
      <c r="AZ588" s="13" t="n">
        <f aca="false">IFERROR(AY588/AY587-1,"")</f>
        <v>0.225399826676121</v>
      </c>
      <c r="BA588" s="17" t="n">
        <v>0.917</v>
      </c>
      <c r="BB588" s="11" t="s">
        <v>107</v>
      </c>
      <c r="BC588" s="11" t="s">
        <v>126</v>
      </c>
      <c r="BD588" s="11" t="s">
        <v>157</v>
      </c>
      <c r="BE588" s="12" t="n">
        <v>1729796</v>
      </c>
      <c r="BF588" s="13" t="n">
        <f aca="false">IFERROR(P588/BE588-1,"")</f>
        <v>-0.156645061036099</v>
      </c>
      <c r="BG588" s="17" t="n">
        <v>-0.005</v>
      </c>
      <c r="BH588" s="17" t="n">
        <v>-0.001</v>
      </c>
      <c r="BI588" s="14" t="n">
        <f aca="false">P588*(1+IFERROR(Q588,0))^4</f>
        <v>2439608.75559111</v>
      </c>
      <c r="BJ588" s="12" t="n">
        <v>-1658466</v>
      </c>
      <c r="BK588" s="11" t="s">
        <v>84</v>
      </c>
      <c r="BL588" s="11" t="s">
        <v>85</v>
      </c>
      <c r="BM588" s="14" t="n">
        <f aca="false">O588</f>
        <v>37255686</v>
      </c>
      <c r="BN588" s="11" t="s">
        <v>593</v>
      </c>
      <c r="BO588" s="13" t="n">
        <f aca="false">IFERROR(1-L588/M588,"")</f>
        <v>0.182475853311271</v>
      </c>
      <c r="BP588" s="11" t="s">
        <v>142</v>
      </c>
      <c r="BQ588" s="12" t="n">
        <v>3492284</v>
      </c>
      <c r="BR588" s="11" t="s">
        <v>88</v>
      </c>
      <c r="BS588" s="11" t="s">
        <v>89</v>
      </c>
      <c r="BT588" s="19" t="str">
        <f aca="false">IF(OR(Z588&lt;6,AH588&lt;0.9,S588&lt;0.02,AK588&lt;1),"REVIEW",IF(AND(S588&gt;0.25,AH588&gt;1.2),"ACCELERATING","STABLE"))</f>
        <v>STABLE</v>
      </c>
    </row>
    <row r="589" customFormat="false" ht="15" hidden="false" customHeight="false" outlineLevel="0" collapsed="false">
      <c r="A589" s="11" t="s">
        <v>591</v>
      </c>
      <c r="B589" s="11" t="s">
        <v>93</v>
      </c>
      <c r="C589" s="11" t="s">
        <v>74</v>
      </c>
      <c r="D589" s="11" t="s">
        <v>75</v>
      </c>
      <c r="E589" s="11" t="s">
        <v>105</v>
      </c>
      <c r="F589" s="11" t="s">
        <v>592</v>
      </c>
      <c r="G589" s="11" t="s">
        <v>78</v>
      </c>
      <c r="H589" s="11" t="s">
        <v>79</v>
      </c>
      <c r="I589" s="11" t="s">
        <v>78</v>
      </c>
      <c r="J589" s="12" t="n">
        <v>4742000</v>
      </c>
      <c r="K589" s="13" t="n">
        <f aca="false">IFERROR(J589/M589,"")</f>
        <v>0.182475853311271</v>
      </c>
      <c r="L589" s="12" t="n">
        <v>21245000</v>
      </c>
      <c r="M589" s="14" t="n">
        <f aca="false">L589+J589</f>
        <v>25987000</v>
      </c>
      <c r="N589" s="12" t="n">
        <v>4742000</v>
      </c>
      <c r="O589" s="12" t="n">
        <v>37255686</v>
      </c>
      <c r="P589" s="12" t="n">
        <v>1886316</v>
      </c>
      <c r="Q589" s="13" t="n">
        <f aca="false">IFERROR(P589/P588-1,"")</f>
        <v>0.293031685622471</v>
      </c>
      <c r="R589" s="12" t="n">
        <v>2144892</v>
      </c>
      <c r="S589" s="13" t="n">
        <f aca="false">IFERROR(R589/R588-1,"")</f>
        <v>0.328614912703437</v>
      </c>
      <c r="T589" s="12" t="n">
        <v>1407674</v>
      </c>
      <c r="U589" s="13" t="n">
        <f aca="false">IFERROR(T589/P589,"")</f>
        <v>0.746255664480395</v>
      </c>
      <c r="V589" s="14" t="n">
        <f aca="false">T589-AV589</f>
        <v>-2094268</v>
      </c>
      <c r="W589" s="14" t="n">
        <f aca="false">V589-AA589*0.1</f>
        <v>-2094268</v>
      </c>
      <c r="X589" s="12" t="n">
        <v>2969236</v>
      </c>
      <c r="Y589" s="12" t="n">
        <v>220000</v>
      </c>
      <c r="Z589" s="15" t="n">
        <f aca="false">IFERROR(X589/Y589,"")</f>
        <v>13.4965272727273</v>
      </c>
      <c r="AA589" s="12" t="n">
        <v>0</v>
      </c>
      <c r="AB589" s="14" t="n">
        <f aca="false">W589-0.02*P589</f>
        <v>-2131994.32</v>
      </c>
      <c r="AC589" s="16" t="n">
        <v>28</v>
      </c>
      <c r="AD589" s="13" t="n">
        <f aca="false">IFERROR(AC589/AC588-1,"")</f>
        <v>0.12</v>
      </c>
      <c r="AE589" s="17" t="n">
        <v>0.095</v>
      </c>
      <c r="AF589" s="17" t="n">
        <v>0.088</v>
      </c>
      <c r="AG589" s="13" t="n">
        <f aca="false">1-AF589</f>
        <v>0.912</v>
      </c>
      <c r="AH589" s="17" t="n">
        <v>1.136</v>
      </c>
      <c r="AI589" s="12" t="n">
        <v>35200</v>
      </c>
      <c r="AJ589" s="14" t="n">
        <f aca="false">IFERROR(AM589*U589*MIN(1/AE589,5),"")</f>
        <v>118654.650652383</v>
      </c>
      <c r="AK589" s="18" t="n">
        <f aca="false">IFERROR(AJ589/AI589,"")</f>
        <v>3.37087075716996</v>
      </c>
      <c r="AL589" s="15" t="n">
        <f aca="false">IFERROR(AI589/(AM589*U589/12),"")</f>
        <v>17.7995551660881</v>
      </c>
      <c r="AM589" s="12" t="n">
        <v>31800</v>
      </c>
      <c r="AN589" s="12" t="n">
        <v>2340433</v>
      </c>
      <c r="AO589" s="12" t="n">
        <v>4800102</v>
      </c>
      <c r="AP589" s="17" t="n">
        <v>0.335</v>
      </c>
      <c r="AQ589" s="16" t="n">
        <v>64</v>
      </c>
      <c r="AR589" s="16" t="n">
        <v>8</v>
      </c>
      <c r="AS589" s="13" t="n">
        <f aca="false">IFERROR(AR589/AR588-1,"")</f>
        <v>0.142857142857143</v>
      </c>
      <c r="AT589" s="11" t="s">
        <v>80</v>
      </c>
      <c r="AU589" s="14" t="n">
        <f aca="false">IFERROR(P589/AR589,"")</f>
        <v>235789.5</v>
      </c>
      <c r="AV589" s="12" t="n">
        <v>3501942</v>
      </c>
      <c r="AW589" s="12" t="n">
        <v>1222986</v>
      </c>
      <c r="AX589" s="12" t="n">
        <v>974222</v>
      </c>
      <c r="AY589" s="16" t="n">
        <v>35456</v>
      </c>
      <c r="AZ589" s="13" t="n">
        <f aca="false">IFERROR(AY589/AY588-1,"")</f>
        <v>0.13977111996914</v>
      </c>
      <c r="BA589" s="17" t="n">
        <v>0.91</v>
      </c>
      <c r="BB589" s="11" t="s">
        <v>107</v>
      </c>
      <c r="BC589" s="11" t="s">
        <v>126</v>
      </c>
      <c r="BD589" s="11" t="s">
        <v>157</v>
      </c>
      <c r="BE589" s="12" t="n">
        <v>2315916</v>
      </c>
      <c r="BF589" s="13" t="n">
        <f aca="false">IFERROR(P589/BE589-1,"")</f>
        <v>-0.185498955920681</v>
      </c>
      <c r="BG589" s="17" t="n">
        <v>0.049</v>
      </c>
      <c r="BH589" s="17" t="n">
        <v>-0.052</v>
      </c>
      <c r="BI589" s="14" t="n">
        <f aca="false">P589*(1+IFERROR(Q589,0))^4</f>
        <v>5272919.21821077</v>
      </c>
      <c r="BJ589" s="12" t="n">
        <v>-2095432</v>
      </c>
      <c r="BK589" s="11" t="s">
        <v>84</v>
      </c>
      <c r="BL589" s="11" t="s">
        <v>85</v>
      </c>
      <c r="BM589" s="14" t="n">
        <f aca="false">O589</f>
        <v>37255686</v>
      </c>
      <c r="BN589" s="11" t="s">
        <v>593</v>
      </c>
      <c r="BO589" s="13" t="n">
        <f aca="false">IFERROR(1-L589/M589,"")</f>
        <v>0.182475853311271</v>
      </c>
      <c r="BP589" s="11" t="s">
        <v>142</v>
      </c>
      <c r="BQ589" s="12" t="n">
        <v>4246843</v>
      </c>
      <c r="BR589" s="11" t="s">
        <v>88</v>
      </c>
      <c r="BS589" s="11" t="s">
        <v>89</v>
      </c>
      <c r="BT589" s="19" t="str">
        <f aca="false">IF(OR(Z589&lt;6,AH589&lt;0.9,S589&lt;0.02,AK589&lt;1),"REVIEW",IF(AND(S589&gt;0.25,AH589&gt;1.2),"ACCELERATING","STABLE"))</f>
        <v>STABLE</v>
      </c>
    </row>
    <row r="590" customFormat="false" ht="15" hidden="false" customHeight="false" outlineLevel="0" collapsed="false">
      <c r="A590" s="3" t="s">
        <v>594</v>
      </c>
      <c r="B590" s="3" t="s">
        <v>73</v>
      </c>
      <c r="C590" s="3" t="s">
        <v>74</v>
      </c>
      <c r="D590" s="3" t="s">
        <v>132</v>
      </c>
      <c r="E590" s="3" t="s">
        <v>105</v>
      </c>
      <c r="F590" s="3" t="s">
        <v>595</v>
      </c>
      <c r="G590" s="3" t="s">
        <v>78</v>
      </c>
      <c r="H590" s="3" t="s">
        <v>79</v>
      </c>
      <c r="I590" s="3" t="s">
        <v>78</v>
      </c>
      <c r="J590" s="4" t="n">
        <v>3375000</v>
      </c>
      <c r="K590" s="5" t="n">
        <f aca="false">IFERROR(J590/M590,"")</f>
        <v>0.172952751870452</v>
      </c>
      <c r="L590" s="4" t="n">
        <v>16139000</v>
      </c>
      <c r="M590" s="6" t="n">
        <f aca="false">L590+J590</f>
        <v>19514000</v>
      </c>
      <c r="N590" s="4" t="n">
        <v>5535000</v>
      </c>
      <c r="O590" s="4" t="n">
        <v>22279357</v>
      </c>
      <c r="P590" s="4" t="n">
        <v>673830</v>
      </c>
      <c r="Q590" s="7"/>
      <c r="R590" s="4" t="n">
        <v>719928</v>
      </c>
      <c r="S590" s="7"/>
      <c r="T590" s="4" t="n">
        <v>486975</v>
      </c>
      <c r="U590" s="5" t="n">
        <f aca="false">IFERROR(T590/P590,"")</f>
        <v>0.722697119451494</v>
      </c>
      <c r="V590" s="6" t="n">
        <f aca="false">T590-AV590</f>
        <v>-1244872</v>
      </c>
      <c r="W590" s="6" t="n">
        <f aca="false">V590-AA590*0.1</f>
        <v>-1365572</v>
      </c>
      <c r="X590" s="4" t="n">
        <v>3325326</v>
      </c>
      <c r="Y590" s="4" t="n">
        <v>96460</v>
      </c>
      <c r="Z590" s="8" t="n">
        <f aca="false">IFERROR(X590/Y590,"")</f>
        <v>34.4736263736264</v>
      </c>
      <c r="AA590" s="4" t="n">
        <v>1207000</v>
      </c>
      <c r="AB590" s="6" t="n">
        <f aca="false">W590-0.02*P590</f>
        <v>-1379048.6</v>
      </c>
      <c r="AC590" s="9" t="n">
        <v>45</v>
      </c>
      <c r="AD590" s="7"/>
      <c r="AE590" s="7" t="n">
        <v>0.095</v>
      </c>
      <c r="AF590" s="7" t="n">
        <v>0.099</v>
      </c>
      <c r="AG590" s="5" t="n">
        <f aca="false">1-AF590</f>
        <v>0.901</v>
      </c>
      <c r="AH590" s="7" t="n">
        <v>1.163</v>
      </c>
      <c r="AI590" s="4" t="n">
        <v>51410</v>
      </c>
      <c r="AJ590" s="6" t="n">
        <f aca="false">IFERROR(AM590*U590*MIN(1/AE590,5),"")</f>
        <v>166220.337473844</v>
      </c>
      <c r="AK590" s="10" t="n">
        <f aca="false">IFERROR(AJ590/AI590,"")</f>
        <v>3.23322967270655</v>
      </c>
      <c r="AL590" s="8" t="n">
        <f aca="false">IFERROR(AI590/(AM590*U590/12),"")</f>
        <v>18.557295977608</v>
      </c>
      <c r="AM590" s="4" t="n">
        <v>46000</v>
      </c>
      <c r="AN590" s="4" t="n">
        <v>825424</v>
      </c>
      <c r="AO590" s="4" t="n">
        <v>1138712</v>
      </c>
      <c r="AP590" s="7" t="n">
        <v>0.131</v>
      </c>
      <c r="AQ590" s="9" t="n">
        <v>87</v>
      </c>
      <c r="AR590" s="9" t="n">
        <v>1</v>
      </c>
      <c r="AS590" s="7"/>
      <c r="AT590" s="3" t="s">
        <v>218</v>
      </c>
      <c r="AU590" s="6" t="n">
        <f aca="false">IFERROR(P590/AR590,"")</f>
        <v>673830</v>
      </c>
      <c r="AV590" s="4" t="n">
        <v>1731847</v>
      </c>
      <c r="AW590" s="4" t="n">
        <v>657619</v>
      </c>
      <c r="AX590" s="4" t="n">
        <v>440288</v>
      </c>
      <c r="AY590" s="9" t="n">
        <v>9212</v>
      </c>
      <c r="AZ590" s="7"/>
      <c r="BA590" s="7" t="n">
        <v>0.896</v>
      </c>
      <c r="BB590" s="3" t="s">
        <v>161</v>
      </c>
      <c r="BC590" s="3" t="s">
        <v>100</v>
      </c>
      <c r="BD590" s="3" t="s">
        <v>101</v>
      </c>
      <c r="BE590" s="4" t="n">
        <v>699766</v>
      </c>
      <c r="BF590" s="5" t="n">
        <f aca="false">IFERROR(P590/BE590-1,"")</f>
        <v>-0.0370638184764621</v>
      </c>
      <c r="BG590" s="7" t="n">
        <v>-0.006</v>
      </c>
      <c r="BH590" s="7" t="n">
        <v>-0.059</v>
      </c>
      <c r="BI590" s="6" t="n">
        <f aca="false">P590</f>
        <v>673830</v>
      </c>
      <c r="BJ590" s="4" t="n">
        <v>-684853</v>
      </c>
      <c r="BK590" s="3" t="s">
        <v>84</v>
      </c>
      <c r="BL590" s="3" t="s">
        <v>162</v>
      </c>
      <c r="BM590" s="6" t="n">
        <f aca="false">O590</f>
        <v>22279357</v>
      </c>
      <c r="BN590" s="3" t="s">
        <v>596</v>
      </c>
      <c r="BO590" s="5" t="n">
        <f aca="false">IFERROR(1-L590/M590,"")</f>
        <v>0.172952751870452</v>
      </c>
      <c r="BP590" s="3" t="s">
        <v>142</v>
      </c>
      <c r="BQ590" s="4" t="n">
        <v>1314675</v>
      </c>
      <c r="BR590" s="3" t="s">
        <v>88</v>
      </c>
      <c r="BS590" s="3" t="s">
        <v>89</v>
      </c>
      <c r="BT590" s="3" t="s">
        <v>90</v>
      </c>
    </row>
    <row r="591" customFormat="false" ht="15" hidden="false" customHeight="false" outlineLevel="0" collapsed="false">
      <c r="A591" s="11" t="s">
        <v>594</v>
      </c>
      <c r="B591" s="11" t="s">
        <v>91</v>
      </c>
      <c r="C591" s="11" t="s">
        <v>74</v>
      </c>
      <c r="D591" s="11" t="s">
        <v>132</v>
      </c>
      <c r="E591" s="11" t="s">
        <v>105</v>
      </c>
      <c r="F591" s="11" t="s">
        <v>595</v>
      </c>
      <c r="G591" s="11" t="s">
        <v>78</v>
      </c>
      <c r="H591" s="11" t="s">
        <v>79</v>
      </c>
      <c r="I591" s="11" t="s">
        <v>78</v>
      </c>
      <c r="J591" s="12" t="n">
        <v>3375000</v>
      </c>
      <c r="K591" s="13" t="n">
        <f aca="false">IFERROR(J591/M591,"")</f>
        <v>0.172952751870452</v>
      </c>
      <c r="L591" s="12" t="n">
        <v>16139000</v>
      </c>
      <c r="M591" s="14" t="n">
        <f aca="false">L591+J591</f>
        <v>19514000</v>
      </c>
      <c r="N591" s="12" t="n">
        <v>5535000</v>
      </c>
      <c r="O591" s="12" t="n">
        <v>22279357</v>
      </c>
      <c r="P591" s="12" t="n">
        <v>800859</v>
      </c>
      <c r="Q591" s="13" t="n">
        <f aca="false">IFERROR(P591/P590-1,"")</f>
        <v>0.188517875428521</v>
      </c>
      <c r="R591" s="12" t="n">
        <v>844793</v>
      </c>
      <c r="S591" s="13" t="n">
        <f aca="false">IFERROR(R591/R590-1,"")</f>
        <v>0.173440955206632</v>
      </c>
      <c r="T591" s="12" t="n">
        <v>581121</v>
      </c>
      <c r="U591" s="13" t="n">
        <f aca="false">IFERROR(T591/P591,"")</f>
        <v>0.725622113255891</v>
      </c>
      <c r="V591" s="14" t="n">
        <f aca="false">T591-AV591</f>
        <v>-936240</v>
      </c>
      <c r="W591" s="14" t="n">
        <f aca="false">V591-AA591*0.1</f>
        <v>-1056940</v>
      </c>
      <c r="X591" s="12" t="n">
        <v>3082056</v>
      </c>
      <c r="Y591" s="12" t="n">
        <v>99640</v>
      </c>
      <c r="Z591" s="15" t="n">
        <f aca="false">IFERROR(X591/Y591,"")</f>
        <v>30.931914893617</v>
      </c>
      <c r="AA591" s="12" t="n">
        <v>1207000</v>
      </c>
      <c r="AB591" s="14" t="n">
        <f aca="false">W591-0.02*P591</f>
        <v>-1072957.18</v>
      </c>
      <c r="AC591" s="16" t="n">
        <v>50</v>
      </c>
      <c r="AD591" s="13" t="n">
        <f aca="false">IFERROR(AC591/AC590-1,"")</f>
        <v>0.111111111111111</v>
      </c>
      <c r="AE591" s="17" t="n">
        <v>0.092</v>
      </c>
      <c r="AF591" s="17" t="n">
        <v>0.078</v>
      </c>
      <c r="AG591" s="13" t="n">
        <f aca="false">1-AF591</f>
        <v>0.922</v>
      </c>
      <c r="AH591" s="17" t="n">
        <v>1.158</v>
      </c>
      <c r="AI591" s="12" t="n">
        <v>50440</v>
      </c>
      <c r="AJ591" s="14" t="n">
        <f aca="false">IFERROR(AM591*U591*MIN(1/AE591,5),"")</f>
        <v>170230.947769832</v>
      </c>
      <c r="AK591" s="18" t="n">
        <f aca="false">IFERROR(AJ591/AI591,"")</f>
        <v>3.37491966236781</v>
      </c>
      <c r="AL591" s="15" t="n">
        <f aca="false">IFERROR(AI591/(AM591*U591/12),"")</f>
        <v>17.7782009655023</v>
      </c>
      <c r="AM591" s="12" t="n">
        <v>46920</v>
      </c>
      <c r="AN591" s="12" t="n">
        <v>1136633</v>
      </c>
      <c r="AO591" s="12" t="n">
        <v>2965824</v>
      </c>
      <c r="AP591" s="17" t="n">
        <v>0.131</v>
      </c>
      <c r="AQ591" s="16" t="n">
        <v>87</v>
      </c>
      <c r="AR591" s="16" t="n">
        <v>2</v>
      </c>
      <c r="AS591" s="13" t="n">
        <f aca="false">IFERROR(AR591/AR590-1,"")</f>
        <v>1</v>
      </c>
      <c r="AT591" s="11" t="s">
        <v>218</v>
      </c>
      <c r="AU591" s="14" t="n">
        <f aca="false">IFERROR(P591/AR591,"")</f>
        <v>400429.5</v>
      </c>
      <c r="AV591" s="12" t="n">
        <v>1517361</v>
      </c>
      <c r="AW591" s="12" t="n">
        <v>678262</v>
      </c>
      <c r="AX591" s="12" t="n">
        <v>291773</v>
      </c>
      <c r="AY591" s="16" t="n">
        <v>11053</v>
      </c>
      <c r="AZ591" s="13" t="n">
        <f aca="false">IFERROR(AY591/AY590-1,"")</f>
        <v>0.199848024316109</v>
      </c>
      <c r="BA591" s="17" t="n">
        <v>0.913</v>
      </c>
      <c r="BB591" s="11" t="s">
        <v>161</v>
      </c>
      <c r="BC591" s="11" t="s">
        <v>100</v>
      </c>
      <c r="BD591" s="11" t="s">
        <v>101</v>
      </c>
      <c r="BE591" s="12" t="n">
        <v>983729</v>
      </c>
      <c r="BF591" s="13" t="n">
        <f aca="false">IFERROR(P591/BE591-1,"")</f>
        <v>-0.185894692542357</v>
      </c>
      <c r="BG591" s="17" t="n">
        <v>0.085</v>
      </c>
      <c r="BH591" s="17" t="n">
        <v>-0.014</v>
      </c>
      <c r="BI591" s="14" t="n">
        <f aca="false">P591*(1+IFERROR(Q591,0))^4</f>
        <v>1598007.9379443</v>
      </c>
      <c r="BJ591" s="12" t="n">
        <v>-1050688</v>
      </c>
      <c r="BK591" s="11" t="s">
        <v>84</v>
      </c>
      <c r="BL591" s="11" t="s">
        <v>162</v>
      </c>
      <c r="BM591" s="14" t="n">
        <f aca="false">O591</f>
        <v>22279357</v>
      </c>
      <c r="BN591" s="11" t="s">
        <v>596</v>
      </c>
      <c r="BO591" s="13" t="n">
        <f aca="false">IFERROR(1-L591/M591,"")</f>
        <v>0.172952751870452</v>
      </c>
      <c r="BP591" s="11" t="s">
        <v>142</v>
      </c>
      <c r="BQ591" s="12" t="n">
        <v>1852828</v>
      </c>
      <c r="BR591" s="11" t="s">
        <v>88</v>
      </c>
      <c r="BS591" s="11" t="s">
        <v>89</v>
      </c>
      <c r="BT591" s="19" t="str">
        <f aca="false">IF(OR(Z591&lt;6,AH591&lt;0.9,S591&lt;0.02,AK591&lt;1),"REVIEW",IF(AND(S591&gt;0.25,AH591&gt;1.2),"ACCELERATING","STABLE"))</f>
        <v>STABLE</v>
      </c>
    </row>
    <row r="592" customFormat="false" ht="15" hidden="false" customHeight="false" outlineLevel="0" collapsed="false">
      <c r="A592" s="11" t="s">
        <v>594</v>
      </c>
      <c r="B592" s="11" t="s">
        <v>92</v>
      </c>
      <c r="C592" s="11" t="s">
        <v>74</v>
      </c>
      <c r="D592" s="11" t="s">
        <v>132</v>
      </c>
      <c r="E592" s="11" t="s">
        <v>105</v>
      </c>
      <c r="F592" s="11" t="s">
        <v>595</v>
      </c>
      <c r="G592" s="11" t="s">
        <v>78</v>
      </c>
      <c r="H592" s="11" t="s">
        <v>79</v>
      </c>
      <c r="I592" s="11" t="s">
        <v>78</v>
      </c>
      <c r="J592" s="12" t="n">
        <v>3375000</v>
      </c>
      <c r="K592" s="13" t="n">
        <f aca="false">IFERROR(J592/M592,"")</f>
        <v>0.172952751870452</v>
      </c>
      <c r="L592" s="12" t="n">
        <v>16139000</v>
      </c>
      <c r="M592" s="14" t="n">
        <f aca="false">L592+J592</f>
        <v>19514000</v>
      </c>
      <c r="N592" s="12" t="n">
        <v>5535000</v>
      </c>
      <c r="O592" s="12" t="n">
        <v>22279357</v>
      </c>
      <c r="P592" s="12" t="n">
        <v>900782</v>
      </c>
      <c r="Q592" s="13" t="n">
        <f aca="false">IFERROR(P592/P591-1,"")</f>
        <v>0.124769778450389</v>
      </c>
      <c r="R592" s="12" t="n">
        <v>1006725</v>
      </c>
      <c r="S592" s="13" t="n">
        <f aca="false">IFERROR(R592/R591-1,"")</f>
        <v>0.191682459490076</v>
      </c>
      <c r="T592" s="12" t="n">
        <v>656263</v>
      </c>
      <c r="U592" s="13" t="n">
        <f aca="false">IFERROR(T592/P592,"")</f>
        <v>0.728548083776097</v>
      </c>
      <c r="V592" s="14" t="n">
        <f aca="false">T592-AV592</f>
        <v>-1104490</v>
      </c>
      <c r="W592" s="14" t="n">
        <f aca="false">V592-AA592*0.1</f>
        <v>-1225190</v>
      </c>
      <c r="X592" s="12" t="n">
        <v>2821614</v>
      </c>
      <c r="Y592" s="12" t="n">
        <v>102820</v>
      </c>
      <c r="Z592" s="15" t="n">
        <f aca="false">IFERROR(X592/Y592,"")</f>
        <v>27.4422680412371</v>
      </c>
      <c r="AA592" s="12" t="n">
        <v>1207000</v>
      </c>
      <c r="AB592" s="14" t="n">
        <f aca="false">W592-0.02*P592</f>
        <v>-1243205.64</v>
      </c>
      <c r="AC592" s="16" t="n">
        <v>62</v>
      </c>
      <c r="AD592" s="13" t="n">
        <f aca="false">IFERROR(AC592/AC591-1,"")</f>
        <v>0.24</v>
      </c>
      <c r="AE592" s="17" t="n">
        <v>0.09</v>
      </c>
      <c r="AF592" s="17" t="n">
        <v>0.076</v>
      </c>
      <c r="AG592" s="13" t="n">
        <f aca="false">1-AF592</f>
        <v>0.924</v>
      </c>
      <c r="AH592" s="17" t="n">
        <v>1.153</v>
      </c>
      <c r="AI592" s="12" t="n">
        <v>49470</v>
      </c>
      <c r="AJ592" s="14" t="n">
        <f aca="false">IFERROR(AM592*U592*MIN(1/AE592,5),"")</f>
        <v>174268.701639242</v>
      </c>
      <c r="AK592" s="18" t="n">
        <f aca="false">IFERROR(AJ592/AI592,"")</f>
        <v>3.52271480976839</v>
      </c>
      <c r="AL592" s="15" t="n">
        <f aca="false">IFERROR(AI592/(AM592*U592/12),"")</f>
        <v>17.0323183226816</v>
      </c>
      <c r="AM592" s="12" t="n">
        <v>47840</v>
      </c>
      <c r="AN592" s="12" t="n">
        <v>928404</v>
      </c>
      <c r="AO592" s="12" t="n">
        <v>2533016</v>
      </c>
      <c r="AP592" s="17" t="n">
        <v>0.131</v>
      </c>
      <c r="AQ592" s="16" t="n">
        <v>87</v>
      </c>
      <c r="AR592" s="16" t="n">
        <v>2</v>
      </c>
      <c r="AS592" s="13" t="n">
        <f aca="false">IFERROR(AR592/AR591-1,"")</f>
        <v>0</v>
      </c>
      <c r="AT592" s="11" t="s">
        <v>218</v>
      </c>
      <c r="AU592" s="14" t="n">
        <f aca="false">IFERROR(P592/AR592,"")</f>
        <v>450391</v>
      </c>
      <c r="AV592" s="12" t="n">
        <v>1760753</v>
      </c>
      <c r="AW592" s="12" t="n">
        <v>552785</v>
      </c>
      <c r="AX592" s="12" t="n">
        <v>585809</v>
      </c>
      <c r="AY592" s="16" t="n">
        <v>13200</v>
      </c>
      <c r="AZ592" s="13" t="n">
        <f aca="false">IFERROR(AY592/AY591-1,"")</f>
        <v>0.194245906088845</v>
      </c>
      <c r="BA592" s="17" t="n">
        <v>0.916</v>
      </c>
      <c r="BB592" s="11" t="s">
        <v>161</v>
      </c>
      <c r="BC592" s="11" t="s">
        <v>100</v>
      </c>
      <c r="BD592" s="11" t="s">
        <v>101</v>
      </c>
      <c r="BE592" s="12" t="n">
        <v>1038530</v>
      </c>
      <c r="BF592" s="13" t="n">
        <f aca="false">IFERROR(P592/BE592-1,"")</f>
        <v>-0.132637477973674</v>
      </c>
      <c r="BG592" s="17" t="n">
        <v>-0.052</v>
      </c>
      <c r="BH592" s="17" t="n">
        <v>-0.049</v>
      </c>
      <c r="BI592" s="14" t="n">
        <f aca="false">P592*(1+IFERROR(Q592,0))^4</f>
        <v>1441697.86120806</v>
      </c>
      <c r="BJ592" s="12" t="n">
        <v>-753622</v>
      </c>
      <c r="BK592" s="11" t="s">
        <v>84</v>
      </c>
      <c r="BL592" s="11" t="s">
        <v>162</v>
      </c>
      <c r="BM592" s="14" t="n">
        <f aca="false">O592</f>
        <v>22279357</v>
      </c>
      <c r="BN592" s="11" t="s">
        <v>596</v>
      </c>
      <c r="BO592" s="13" t="n">
        <f aca="false">IFERROR(1-L592/M592,"")</f>
        <v>0.172952751870452</v>
      </c>
      <c r="BP592" s="11" t="s">
        <v>142</v>
      </c>
      <c r="BQ592" s="12" t="n">
        <v>1701181</v>
      </c>
      <c r="BR592" s="11" t="s">
        <v>88</v>
      </c>
      <c r="BS592" s="11" t="s">
        <v>89</v>
      </c>
      <c r="BT592" s="19" t="str">
        <f aca="false">IF(OR(Z592&lt;6,AH592&lt;0.9,S592&lt;0.02,AK592&lt;1),"REVIEW",IF(AND(S592&gt;0.25,AH592&gt;1.2),"ACCELERATING","STABLE"))</f>
        <v>STABLE</v>
      </c>
    </row>
    <row r="593" customFormat="false" ht="15" hidden="false" customHeight="false" outlineLevel="0" collapsed="false">
      <c r="A593" s="11" t="s">
        <v>594</v>
      </c>
      <c r="B593" s="11" t="s">
        <v>93</v>
      </c>
      <c r="C593" s="11" t="s">
        <v>74</v>
      </c>
      <c r="D593" s="11" t="s">
        <v>132</v>
      </c>
      <c r="E593" s="11" t="s">
        <v>105</v>
      </c>
      <c r="F593" s="11" t="s">
        <v>595</v>
      </c>
      <c r="G593" s="11" t="s">
        <v>78</v>
      </c>
      <c r="H593" s="11" t="s">
        <v>79</v>
      </c>
      <c r="I593" s="11" t="s">
        <v>78</v>
      </c>
      <c r="J593" s="12" t="n">
        <v>3375000</v>
      </c>
      <c r="K593" s="13" t="n">
        <f aca="false">IFERROR(J593/M593,"")</f>
        <v>0.172952751870452</v>
      </c>
      <c r="L593" s="12" t="n">
        <v>16139000</v>
      </c>
      <c r="M593" s="14" t="n">
        <f aca="false">L593+J593</f>
        <v>19514000</v>
      </c>
      <c r="N593" s="12" t="n">
        <v>5535000</v>
      </c>
      <c r="O593" s="12" t="n">
        <v>22279357</v>
      </c>
      <c r="P593" s="12" t="n">
        <v>1126562</v>
      </c>
      <c r="Q593" s="13" t="n">
        <f aca="false">IFERROR(P593/P592-1,"")</f>
        <v>0.250648880639267</v>
      </c>
      <c r="R593" s="12" t="n">
        <v>1271309</v>
      </c>
      <c r="S593" s="13" t="n">
        <f aca="false">IFERROR(R593/R592-1,"")</f>
        <v>0.262816558643125</v>
      </c>
      <c r="T593" s="12" t="n">
        <v>824051</v>
      </c>
      <c r="U593" s="13" t="n">
        <f aca="false">IFERROR(T593/P593,"")</f>
        <v>0.731474166534998</v>
      </c>
      <c r="V593" s="14" t="n">
        <f aca="false">T593-AV593</f>
        <v>-1283488</v>
      </c>
      <c r="W593" s="14" t="n">
        <f aca="false">V593-AA593*0.1</f>
        <v>-1404188</v>
      </c>
      <c r="X593" s="12" t="n">
        <v>2544000</v>
      </c>
      <c r="Y593" s="12" t="n">
        <v>106000</v>
      </c>
      <c r="Z593" s="15" t="n">
        <f aca="false">IFERROR(X593/Y593,"")</f>
        <v>24</v>
      </c>
      <c r="AA593" s="12" t="n">
        <v>1207000</v>
      </c>
      <c r="AB593" s="14" t="n">
        <f aca="false">W593-0.02*P593</f>
        <v>-1426719.24</v>
      </c>
      <c r="AC593" s="16" t="n">
        <v>73</v>
      </c>
      <c r="AD593" s="13" t="n">
        <f aca="false">IFERROR(AC593/AC592-1,"")</f>
        <v>0.17741935483871</v>
      </c>
      <c r="AE593" s="17" t="n">
        <v>0.087</v>
      </c>
      <c r="AF593" s="17" t="n">
        <v>0.087</v>
      </c>
      <c r="AG593" s="13" t="n">
        <f aca="false">1-AF593</f>
        <v>0.913</v>
      </c>
      <c r="AH593" s="17" t="n">
        <v>1.148</v>
      </c>
      <c r="AI593" s="12" t="n">
        <v>48500</v>
      </c>
      <c r="AJ593" s="14" t="n">
        <f aca="false">IFERROR(AM593*U593*MIN(1/AE593,5),"")</f>
        <v>178333.401801232</v>
      </c>
      <c r="AK593" s="18" t="n">
        <f aca="false">IFERROR(AJ593/AI593,"")</f>
        <v>3.67697735672644</v>
      </c>
      <c r="AL593" s="15" t="n">
        <f aca="false">IFERROR(AI593/(AM593*U593/12),"")</f>
        <v>16.3177507444368</v>
      </c>
      <c r="AM593" s="12" t="n">
        <v>48760</v>
      </c>
      <c r="AN593" s="12" t="n">
        <v>1512180</v>
      </c>
      <c r="AO593" s="12" t="n">
        <v>4042332</v>
      </c>
      <c r="AP593" s="17" t="n">
        <v>0.131</v>
      </c>
      <c r="AQ593" s="16" t="n">
        <v>87</v>
      </c>
      <c r="AR593" s="16" t="n">
        <v>2</v>
      </c>
      <c r="AS593" s="13" t="n">
        <f aca="false">IFERROR(AR593/AR592-1,"")</f>
        <v>0</v>
      </c>
      <c r="AT593" s="11" t="s">
        <v>218</v>
      </c>
      <c r="AU593" s="14" t="n">
        <f aca="false">IFERROR(P593/AR593,"")</f>
        <v>563281</v>
      </c>
      <c r="AV593" s="12" t="n">
        <v>2107539</v>
      </c>
      <c r="AW593" s="12" t="n">
        <v>1037961</v>
      </c>
      <c r="AX593" s="12" t="n">
        <v>694494</v>
      </c>
      <c r="AY593" s="16" t="n">
        <v>15495</v>
      </c>
      <c r="AZ593" s="13" t="n">
        <f aca="false">IFERROR(AY593/AY592-1,"")</f>
        <v>0.173863636363636</v>
      </c>
      <c r="BA593" s="17" t="n">
        <v>0.937</v>
      </c>
      <c r="BB593" s="11" t="s">
        <v>161</v>
      </c>
      <c r="BC593" s="11" t="s">
        <v>100</v>
      </c>
      <c r="BD593" s="11" t="s">
        <v>101</v>
      </c>
      <c r="BE593" s="12" t="n">
        <v>1266822</v>
      </c>
      <c r="BF593" s="13" t="n">
        <f aca="false">IFERROR(P593/BE593-1,"")</f>
        <v>-0.110718001424036</v>
      </c>
      <c r="BG593" s="17" t="n">
        <v>0.052</v>
      </c>
      <c r="BH593" s="17" t="n">
        <v>-0.067</v>
      </c>
      <c r="BI593" s="14" t="n">
        <f aca="false">P593*(1+IFERROR(Q593,0))^4</f>
        <v>2756110.92710285</v>
      </c>
      <c r="BJ593" s="12" t="n">
        <v>-939589</v>
      </c>
      <c r="BK593" s="11" t="s">
        <v>84</v>
      </c>
      <c r="BL593" s="11" t="s">
        <v>162</v>
      </c>
      <c r="BM593" s="14" t="n">
        <f aca="false">O593</f>
        <v>22279357</v>
      </c>
      <c r="BN593" s="11" t="s">
        <v>596</v>
      </c>
      <c r="BO593" s="13" t="n">
        <f aca="false">IFERROR(1-L593/M593,"")</f>
        <v>0.172952751870452</v>
      </c>
      <c r="BP593" s="11" t="s">
        <v>142</v>
      </c>
      <c r="BQ593" s="12" t="n">
        <v>1332543</v>
      </c>
      <c r="BR593" s="11" t="s">
        <v>88</v>
      </c>
      <c r="BS593" s="11" t="s">
        <v>89</v>
      </c>
      <c r="BT593" s="19" t="str">
        <f aca="false">IF(OR(Z593&lt;6,AH593&lt;0.9,S593&lt;0.02,AK593&lt;1),"REVIEW",IF(AND(S593&gt;0.25,AH593&gt;1.2),"ACCELERATING","STABLE"))</f>
        <v>STABLE</v>
      </c>
    </row>
    <row r="594" customFormat="false" ht="15" hidden="false" customHeight="false" outlineLevel="0" collapsed="false">
      <c r="A594" s="3" t="s">
        <v>597</v>
      </c>
      <c r="B594" s="3" t="s">
        <v>73</v>
      </c>
      <c r="C594" s="3" t="s">
        <v>74</v>
      </c>
      <c r="D594" s="3" t="s">
        <v>95</v>
      </c>
      <c r="E594" s="3" t="s">
        <v>279</v>
      </c>
      <c r="F594" s="3" t="s">
        <v>598</v>
      </c>
      <c r="G594" s="3" t="s">
        <v>78</v>
      </c>
      <c r="H594" s="3" t="s">
        <v>79</v>
      </c>
      <c r="I594" s="3" t="s">
        <v>78</v>
      </c>
      <c r="J594" s="4" t="n">
        <v>2721000</v>
      </c>
      <c r="K594" s="5" t="n">
        <f aca="false">IFERROR(J594/M594,"")</f>
        <v>0.097863616745792</v>
      </c>
      <c r="L594" s="4" t="n">
        <v>25083000</v>
      </c>
      <c r="M594" s="6" t="n">
        <f aca="false">L594+J594</f>
        <v>27804000</v>
      </c>
      <c r="N594" s="4" t="n">
        <v>6705000</v>
      </c>
      <c r="O594" s="4" t="n">
        <v>16885182</v>
      </c>
      <c r="P594" s="4" t="n">
        <v>1373406</v>
      </c>
      <c r="Q594" s="7"/>
      <c r="R594" s="4" t="n">
        <v>1508500</v>
      </c>
      <c r="S594" s="7"/>
      <c r="T594" s="4" t="n">
        <v>651194</v>
      </c>
      <c r="U594" s="5" t="n">
        <f aca="false">IFERROR(T594/P594,"")</f>
        <v>0.474145300078782</v>
      </c>
      <c r="V594" s="6" t="n">
        <f aca="false">T594-AV594</f>
        <v>-1999604</v>
      </c>
      <c r="W594" s="6" t="n">
        <f aca="false">V594-AA594*0.1</f>
        <v>-2099804</v>
      </c>
      <c r="X594" s="4" t="n">
        <v>2806770</v>
      </c>
      <c r="Y594" s="4" t="n">
        <v>192700</v>
      </c>
      <c r="Z594" s="8" t="n">
        <f aca="false">IFERROR(X594/Y594,"")</f>
        <v>14.5654903995848</v>
      </c>
      <c r="AA594" s="4" t="n">
        <v>1002000</v>
      </c>
      <c r="AB594" s="6" t="n">
        <f aca="false">W594-0.02*P594</f>
        <v>-2127272.12</v>
      </c>
      <c r="AC594" s="9" t="n">
        <v>68</v>
      </c>
      <c r="AD594" s="7"/>
      <c r="AE594" s="7" t="n">
        <v>0.186</v>
      </c>
      <c r="AF594" s="7" t="n">
        <v>0.161</v>
      </c>
      <c r="AG594" s="5" t="n">
        <f aca="false">1-AF594</f>
        <v>0.839</v>
      </c>
      <c r="AH594" s="7" t="n">
        <v>0.931</v>
      </c>
      <c r="AI594" s="4" t="n">
        <v>73796</v>
      </c>
      <c r="AJ594" s="6" t="n">
        <f aca="false">IFERROR(AM594*U594*MIN(1/AE594,5),"")</f>
        <v>87716.8805145747</v>
      </c>
      <c r="AK594" s="10" t="n">
        <f aca="false">IFERROR(AJ594/AI594,"")</f>
        <v>1.18864004166316</v>
      </c>
      <c r="AL594" s="8" t="n">
        <f aca="false">IFERROR(AI594/(AM594*U594/12),"")</f>
        <v>50.4778552774035</v>
      </c>
      <c r="AM594" s="4" t="n">
        <v>37000</v>
      </c>
      <c r="AN594" s="4" t="n">
        <v>1676055</v>
      </c>
      <c r="AO594" s="4" t="n">
        <v>3969095</v>
      </c>
      <c r="AP594" s="7" t="n">
        <v>0.161</v>
      </c>
      <c r="AQ594" s="9" t="n">
        <v>57</v>
      </c>
      <c r="AR594" s="9" t="n">
        <v>4</v>
      </c>
      <c r="AS594" s="7"/>
      <c r="AT594" s="3" t="s">
        <v>145</v>
      </c>
      <c r="AU594" s="6" t="n">
        <f aca="false">IFERROR(P594/AR594,"")</f>
        <v>343351.5</v>
      </c>
      <c r="AV594" s="4" t="n">
        <v>2650798</v>
      </c>
      <c r="AW594" s="4" t="n">
        <v>1195141</v>
      </c>
      <c r="AX594" s="4" t="n">
        <v>780656</v>
      </c>
      <c r="AY594" s="9" t="n">
        <v>55065</v>
      </c>
      <c r="AZ594" s="7"/>
      <c r="BA594" s="7" t="n">
        <v>0.815</v>
      </c>
      <c r="BB594" s="3" t="s">
        <v>119</v>
      </c>
      <c r="BC594" s="3" t="s">
        <v>120</v>
      </c>
      <c r="BD594" s="3" t="s">
        <v>101</v>
      </c>
      <c r="BE594" s="4" t="n">
        <v>1839473</v>
      </c>
      <c r="BF594" s="5" t="n">
        <f aca="false">IFERROR(P594/BE594-1,"")</f>
        <v>-0.253369851038857</v>
      </c>
      <c r="BG594" s="7" t="n">
        <v>0.176</v>
      </c>
      <c r="BH594" s="7" t="n">
        <v>0.235</v>
      </c>
      <c r="BI594" s="6" t="n">
        <f aca="false">P594</f>
        <v>1373406</v>
      </c>
      <c r="BJ594" s="4" t="n">
        <v>-1984211</v>
      </c>
      <c r="BK594" s="3" t="s">
        <v>121</v>
      </c>
      <c r="BL594" s="3" t="s">
        <v>148</v>
      </c>
      <c r="BM594" s="6" t="n">
        <f aca="false">O594</f>
        <v>16885182</v>
      </c>
      <c r="BN594" s="3" t="s">
        <v>599</v>
      </c>
      <c r="BO594" s="5" t="n">
        <f aca="false">IFERROR(1-L594/M594,"")</f>
        <v>0.097863616745792</v>
      </c>
      <c r="BP594" s="3" t="s">
        <v>142</v>
      </c>
      <c r="BQ594" s="4" t="n">
        <v>2594740</v>
      </c>
      <c r="BR594" s="3" t="s">
        <v>88</v>
      </c>
      <c r="BS594" s="3" t="s">
        <v>89</v>
      </c>
      <c r="BT594" s="3" t="s">
        <v>90</v>
      </c>
    </row>
    <row r="595" customFormat="false" ht="15" hidden="false" customHeight="false" outlineLevel="0" collapsed="false">
      <c r="A595" s="11" t="s">
        <v>597</v>
      </c>
      <c r="B595" s="11" t="s">
        <v>91</v>
      </c>
      <c r="C595" s="11" t="s">
        <v>74</v>
      </c>
      <c r="D595" s="11" t="s">
        <v>95</v>
      </c>
      <c r="E595" s="11" t="s">
        <v>279</v>
      </c>
      <c r="F595" s="11" t="s">
        <v>598</v>
      </c>
      <c r="G595" s="11" t="s">
        <v>78</v>
      </c>
      <c r="H595" s="11" t="s">
        <v>79</v>
      </c>
      <c r="I595" s="11" t="s">
        <v>78</v>
      </c>
      <c r="J595" s="12" t="n">
        <v>2721000</v>
      </c>
      <c r="K595" s="13" t="n">
        <f aca="false">IFERROR(J595/M595,"")</f>
        <v>0.097863616745792</v>
      </c>
      <c r="L595" s="12" t="n">
        <v>25083000</v>
      </c>
      <c r="M595" s="14" t="n">
        <f aca="false">L595+J595</f>
        <v>27804000</v>
      </c>
      <c r="N595" s="12" t="n">
        <v>6705000</v>
      </c>
      <c r="O595" s="12" t="n">
        <v>16885182</v>
      </c>
      <c r="P595" s="12" t="n">
        <v>1176215</v>
      </c>
      <c r="Q595" s="13" t="n">
        <f aca="false">IFERROR(P595/P594-1,"")</f>
        <v>-0.143578082518935</v>
      </c>
      <c r="R595" s="12" t="n">
        <v>1280357</v>
      </c>
      <c r="S595" s="13" t="n">
        <f aca="false">IFERROR(R595/R594-1,"")</f>
        <v>-0.151238316208154</v>
      </c>
      <c r="T595" s="12" t="n">
        <v>547174</v>
      </c>
      <c r="U595" s="13" t="n">
        <f aca="false">IFERROR(T595/P595,"")</f>
        <v>0.465198964475032</v>
      </c>
      <c r="V595" s="14" t="n">
        <f aca="false">T595-AV595</f>
        <v>-1923096</v>
      </c>
      <c r="W595" s="14" t="n">
        <f aca="false">V595-AA595*0.1</f>
        <v>-2023296</v>
      </c>
      <c r="X595" s="12" t="n">
        <v>2263920</v>
      </c>
      <c r="Y595" s="12" t="n">
        <v>206800</v>
      </c>
      <c r="Z595" s="15" t="n">
        <f aca="false">IFERROR(X595/Y595,"")</f>
        <v>10.9473887814313</v>
      </c>
      <c r="AA595" s="12" t="n">
        <v>1002000</v>
      </c>
      <c r="AB595" s="14" t="n">
        <f aca="false">W595-0.02*P595</f>
        <v>-2046820.3</v>
      </c>
      <c r="AC595" s="16" t="n">
        <v>61</v>
      </c>
      <c r="AD595" s="13" t="n">
        <f aca="false">IFERROR(AC595/AC594-1,"")</f>
        <v>-0.102941176470588</v>
      </c>
      <c r="AE595" s="17" t="n">
        <v>0.22</v>
      </c>
      <c r="AF595" s="17" t="n">
        <v>0.188</v>
      </c>
      <c r="AG595" s="13" t="n">
        <f aca="false">1-AF595</f>
        <v>0.812</v>
      </c>
      <c r="AH595" s="17" t="n">
        <v>0.891</v>
      </c>
      <c r="AI595" s="12" t="n">
        <v>81564</v>
      </c>
      <c r="AJ595" s="14" t="n">
        <f aca="false">IFERROR(AM595*U595*MIN(1/AE595,5),"")</f>
        <v>79802.7678149442</v>
      </c>
      <c r="AK595" s="18" t="n">
        <f aca="false">IFERROR(AJ595/AI595,"")</f>
        <v>0.978406745806289</v>
      </c>
      <c r="AL595" s="15" t="n">
        <f aca="false">IFERROR(AI595/(AM595*U595/12),"")</f>
        <v>55.7492625426499</v>
      </c>
      <c r="AM595" s="12" t="n">
        <v>37740</v>
      </c>
      <c r="AN595" s="12" t="n">
        <v>1290632</v>
      </c>
      <c r="AO595" s="12" t="n">
        <v>2975849</v>
      </c>
      <c r="AP595" s="17" t="n">
        <v>0.161</v>
      </c>
      <c r="AQ595" s="16" t="n">
        <v>57</v>
      </c>
      <c r="AR595" s="16" t="n">
        <v>4</v>
      </c>
      <c r="AS595" s="13" t="n">
        <f aca="false">IFERROR(AR595/AR594-1,"")</f>
        <v>0</v>
      </c>
      <c r="AT595" s="11" t="s">
        <v>145</v>
      </c>
      <c r="AU595" s="14" t="n">
        <f aca="false">IFERROR(P595/AR595,"")</f>
        <v>294053.75</v>
      </c>
      <c r="AV595" s="12" t="n">
        <v>2470270</v>
      </c>
      <c r="AW595" s="12" t="n">
        <v>868298</v>
      </c>
      <c r="AX595" s="12" t="n">
        <v>598089</v>
      </c>
      <c r="AY595" s="16" t="n">
        <v>48794</v>
      </c>
      <c r="AZ595" s="13" t="n">
        <f aca="false">IFERROR(AY595/AY594-1,"")</f>
        <v>-0.113883592118405</v>
      </c>
      <c r="BA595" s="17" t="n">
        <v>0.803</v>
      </c>
      <c r="BB595" s="11" t="s">
        <v>119</v>
      </c>
      <c r="BC595" s="11" t="s">
        <v>120</v>
      </c>
      <c r="BD595" s="11" t="s">
        <v>101</v>
      </c>
      <c r="BE595" s="12" t="n">
        <v>1675252</v>
      </c>
      <c r="BF595" s="13" t="n">
        <f aca="false">IFERROR(P595/BE595-1,"")</f>
        <v>-0.297887720772755</v>
      </c>
      <c r="BG595" s="17" t="n">
        <v>0.275</v>
      </c>
      <c r="BH595" s="17" t="n">
        <v>0.217</v>
      </c>
      <c r="BI595" s="14" t="n">
        <f aca="false">P595*(1+IFERROR(Q595,0))^4</f>
        <v>632758.235532337</v>
      </c>
      <c r="BJ595" s="12" t="n">
        <v>-1603098</v>
      </c>
      <c r="BK595" s="11" t="s">
        <v>121</v>
      </c>
      <c r="BL595" s="11" t="s">
        <v>148</v>
      </c>
      <c r="BM595" s="14" t="n">
        <f aca="false">O595</f>
        <v>16885182</v>
      </c>
      <c r="BN595" s="11" t="s">
        <v>599</v>
      </c>
      <c r="BO595" s="13" t="n">
        <f aca="false">IFERROR(1-L595/M595,"")</f>
        <v>0.097863616745792</v>
      </c>
      <c r="BP595" s="11" t="s">
        <v>142</v>
      </c>
      <c r="BQ595" s="12" t="n">
        <v>3990764</v>
      </c>
      <c r="BR595" s="11" t="s">
        <v>88</v>
      </c>
      <c r="BS595" s="11" t="s">
        <v>89</v>
      </c>
      <c r="BT595" s="19" t="str">
        <f aca="false">IF(OR(Z595&lt;6,AH595&lt;0.9,S595&lt;0.02,AK595&lt;1),"REVIEW",IF(AND(S595&gt;0.25,AH595&gt;1.2),"ACCELERATING","STABLE"))</f>
        <v>REVIEW</v>
      </c>
    </row>
    <row r="596" customFormat="false" ht="15" hidden="false" customHeight="false" outlineLevel="0" collapsed="false">
      <c r="A596" s="11" t="s">
        <v>597</v>
      </c>
      <c r="B596" s="11" t="s">
        <v>92</v>
      </c>
      <c r="C596" s="11" t="s">
        <v>74</v>
      </c>
      <c r="D596" s="11" t="s">
        <v>95</v>
      </c>
      <c r="E596" s="11" t="s">
        <v>279</v>
      </c>
      <c r="F596" s="11" t="s">
        <v>598</v>
      </c>
      <c r="G596" s="11" t="s">
        <v>78</v>
      </c>
      <c r="H596" s="11" t="s">
        <v>79</v>
      </c>
      <c r="I596" s="11" t="s">
        <v>78</v>
      </c>
      <c r="J596" s="12" t="n">
        <v>2721000</v>
      </c>
      <c r="K596" s="13" t="n">
        <f aca="false">IFERROR(J596/M596,"")</f>
        <v>0.097863616745792</v>
      </c>
      <c r="L596" s="12" t="n">
        <v>25083000</v>
      </c>
      <c r="M596" s="14" t="n">
        <f aca="false">L596+J596</f>
        <v>27804000</v>
      </c>
      <c r="N596" s="12" t="n">
        <v>6705000</v>
      </c>
      <c r="O596" s="12" t="n">
        <v>16885182</v>
      </c>
      <c r="P596" s="12" t="n">
        <v>1031091</v>
      </c>
      <c r="Q596" s="13" t="n">
        <f aca="false">IFERROR(P596/P595-1,"")</f>
        <v>-0.123382204783989</v>
      </c>
      <c r="R596" s="12" t="n">
        <v>1132252</v>
      </c>
      <c r="S596" s="13" t="n">
        <f aca="false">IFERROR(R596/R595-1,"")</f>
        <v>-0.115674768834005</v>
      </c>
      <c r="T596" s="12" t="n">
        <v>470439</v>
      </c>
      <c r="U596" s="13" t="n">
        <f aca="false">IFERROR(T596/P596,"")</f>
        <v>0.456253618739762</v>
      </c>
      <c r="V596" s="14" t="n">
        <f aca="false">T596-AV596</f>
        <v>-2409064</v>
      </c>
      <c r="W596" s="14" t="n">
        <f aca="false">V596-AA596*0.1</f>
        <v>-2509264</v>
      </c>
      <c r="X596" s="12" t="n">
        <v>1628010</v>
      </c>
      <c r="Y596" s="12" t="n">
        <v>220900</v>
      </c>
      <c r="Z596" s="15" t="n">
        <f aca="false">IFERROR(X596/Y596,"")</f>
        <v>7.36989588048891</v>
      </c>
      <c r="AA596" s="12" t="n">
        <v>1002000</v>
      </c>
      <c r="AB596" s="14" t="n">
        <f aca="false">W596-0.02*P596</f>
        <v>-2529885.82</v>
      </c>
      <c r="AC596" s="16" t="n">
        <v>55</v>
      </c>
      <c r="AD596" s="13" t="n">
        <f aca="false">IFERROR(AC596/AC595-1,"")</f>
        <v>-0.0983606557377049</v>
      </c>
      <c r="AE596" s="17" t="n">
        <v>0.255</v>
      </c>
      <c r="AF596" s="17" t="n">
        <v>0.239</v>
      </c>
      <c r="AG596" s="13" t="n">
        <f aca="false">1-AF596</f>
        <v>0.761</v>
      </c>
      <c r="AH596" s="17" t="n">
        <v>0.851</v>
      </c>
      <c r="AI596" s="12" t="n">
        <v>89332</v>
      </c>
      <c r="AJ596" s="14" t="n">
        <f aca="false">IFERROR(AM596*U596*MIN(1/AE596,5),"")</f>
        <v>68849.5656827688</v>
      </c>
      <c r="AK596" s="18" t="n">
        <f aca="false">IFERROR(AJ596/AI596,"")</f>
        <v>0.770715596681691</v>
      </c>
      <c r="AL596" s="15" t="n">
        <f aca="false">IFERROR(AI596/(AM596*U596/12),"")</f>
        <v>61.0586106366903</v>
      </c>
      <c r="AM596" s="12" t="n">
        <v>38480</v>
      </c>
      <c r="AN596" s="12" t="n">
        <v>1644774</v>
      </c>
      <c r="AO596" s="12" t="n">
        <v>2058906</v>
      </c>
      <c r="AP596" s="17" t="n">
        <v>0.161</v>
      </c>
      <c r="AQ596" s="16" t="n">
        <v>57</v>
      </c>
      <c r="AR596" s="16" t="n">
        <v>3</v>
      </c>
      <c r="AS596" s="13" t="n">
        <f aca="false">IFERROR(AR596/AR595-1,"")</f>
        <v>-0.25</v>
      </c>
      <c r="AT596" s="11" t="s">
        <v>145</v>
      </c>
      <c r="AU596" s="14" t="n">
        <f aca="false">IFERROR(P596/AR596,"")</f>
        <v>343697</v>
      </c>
      <c r="AV596" s="12" t="n">
        <v>2879503</v>
      </c>
      <c r="AW596" s="12" t="n">
        <v>957027</v>
      </c>
      <c r="AX596" s="12" t="n">
        <v>525875</v>
      </c>
      <c r="AY596" s="16" t="n">
        <v>43497</v>
      </c>
      <c r="AZ596" s="13" t="n">
        <f aca="false">IFERROR(AY596/AY595-1,"")</f>
        <v>-0.10855842931508</v>
      </c>
      <c r="BA596" s="17" t="n">
        <v>0.768</v>
      </c>
      <c r="BB596" s="11" t="s">
        <v>119</v>
      </c>
      <c r="BC596" s="11" t="s">
        <v>120</v>
      </c>
      <c r="BD596" s="11" t="s">
        <v>101</v>
      </c>
      <c r="BE596" s="12" t="n">
        <v>1343553</v>
      </c>
      <c r="BF596" s="13" t="n">
        <f aca="false">IFERROR(P596/BE596-1,"")</f>
        <v>-0.232563955422674</v>
      </c>
      <c r="BG596" s="17" t="n">
        <v>0.309</v>
      </c>
      <c r="BH596" s="17" t="n">
        <v>0.228</v>
      </c>
      <c r="BI596" s="14" t="n">
        <f aca="false">P596*(1+IFERROR(Q596,0))^4</f>
        <v>608888.997027968</v>
      </c>
      <c r="BJ596" s="12" t="n">
        <v>-1442344</v>
      </c>
      <c r="BK596" s="11" t="s">
        <v>121</v>
      </c>
      <c r="BL596" s="11" t="s">
        <v>148</v>
      </c>
      <c r="BM596" s="14" t="n">
        <f aca="false">O596</f>
        <v>16885182</v>
      </c>
      <c r="BN596" s="11" t="s">
        <v>599</v>
      </c>
      <c r="BO596" s="13" t="n">
        <f aca="false">IFERROR(1-L596/M596,"")</f>
        <v>0.097863616745792</v>
      </c>
      <c r="BP596" s="11" t="s">
        <v>142</v>
      </c>
      <c r="BQ596" s="12" t="n">
        <v>2687367</v>
      </c>
      <c r="BR596" s="11" t="s">
        <v>88</v>
      </c>
      <c r="BS596" s="11" t="s">
        <v>89</v>
      </c>
      <c r="BT596" s="19" t="str">
        <f aca="false">IF(OR(Z596&lt;6,AH596&lt;0.9,S596&lt;0.02,AK596&lt;1),"REVIEW",IF(AND(S596&gt;0.25,AH596&gt;1.2),"ACCELERATING","STABLE"))</f>
        <v>REVIEW</v>
      </c>
    </row>
    <row r="597" customFormat="false" ht="15" hidden="false" customHeight="false" outlineLevel="0" collapsed="false">
      <c r="A597" s="11" t="s">
        <v>597</v>
      </c>
      <c r="B597" s="11" t="s">
        <v>93</v>
      </c>
      <c r="C597" s="11" t="s">
        <v>74</v>
      </c>
      <c r="D597" s="11" t="s">
        <v>95</v>
      </c>
      <c r="E597" s="11" t="s">
        <v>279</v>
      </c>
      <c r="F597" s="11" t="s">
        <v>598</v>
      </c>
      <c r="G597" s="11" t="s">
        <v>78</v>
      </c>
      <c r="H597" s="11" t="s">
        <v>79</v>
      </c>
      <c r="I597" s="11" t="s">
        <v>78</v>
      </c>
      <c r="J597" s="12" t="n">
        <v>2721000</v>
      </c>
      <c r="K597" s="13" t="n">
        <f aca="false">IFERROR(J597/M597,"")</f>
        <v>0.097863616745792</v>
      </c>
      <c r="L597" s="12" t="n">
        <v>25083000</v>
      </c>
      <c r="M597" s="14" t="n">
        <f aca="false">L597+J597</f>
        <v>27804000</v>
      </c>
      <c r="N597" s="12" t="n">
        <v>6705000</v>
      </c>
      <c r="O597" s="12" t="n">
        <v>16885182</v>
      </c>
      <c r="P597" s="12" t="n">
        <v>900446</v>
      </c>
      <c r="Q597" s="13" t="n">
        <f aca="false">IFERROR(P597/P596-1,"")</f>
        <v>-0.126705596305273</v>
      </c>
      <c r="R597" s="12" t="n">
        <v>985513</v>
      </c>
      <c r="S597" s="13" t="n">
        <f aca="false">IFERROR(R597/R596-1,"")</f>
        <v>-0.129599241158329</v>
      </c>
      <c r="T597" s="12" t="n">
        <v>402776</v>
      </c>
      <c r="U597" s="13" t="n">
        <f aca="false">IFERROR(T597/P597,"")</f>
        <v>0.447307223309338</v>
      </c>
      <c r="V597" s="14" t="n">
        <f aca="false">T597-AV597</f>
        <v>-2195069</v>
      </c>
      <c r="W597" s="14" t="n">
        <f aca="false">V597-AA597*0.1</f>
        <v>-2295269</v>
      </c>
      <c r="X597" s="12" t="n">
        <v>899040</v>
      </c>
      <c r="Y597" s="12" t="n">
        <v>235000</v>
      </c>
      <c r="Z597" s="15" t="n">
        <f aca="false">IFERROR(X597/Y597,"")</f>
        <v>3.82570212765957</v>
      </c>
      <c r="AA597" s="12" t="n">
        <v>1002000</v>
      </c>
      <c r="AB597" s="14" t="n">
        <f aca="false">W597-0.02*P597</f>
        <v>-2313277.92</v>
      </c>
      <c r="AC597" s="16" t="n">
        <v>49</v>
      </c>
      <c r="AD597" s="13" t="n">
        <f aca="false">IFERROR(AC597/AC596-1,"")</f>
        <v>-0.109090909090909</v>
      </c>
      <c r="AE597" s="17" t="n">
        <v>0.29</v>
      </c>
      <c r="AF597" s="17" t="n">
        <v>0.297</v>
      </c>
      <c r="AG597" s="13" t="n">
        <f aca="false">1-AF597</f>
        <v>0.703</v>
      </c>
      <c r="AH597" s="17" t="n">
        <v>0.811</v>
      </c>
      <c r="AI597" s="12" t="n">
        <v>97100</v>
      </c>
      <c r="AJ597" s="14" t="n">
        <f aca="false">IFERROR(AM597*U597*MIN(1/AE597,5),"")</f>
        <v>60494.4458558353</v>
      </c>
      <c r="AK597" s="18" t="n">
        <f aca="false">IFERROR(AJ597/AI597,"")</f>
        <v>0.623011800781002</v>
      </c>
      <c r="AL597" s="15" t="n">
        <f aca="false">IFERROR(AI597/(AM597*U597/12),"")</f>
        <v>66.4181806716259</v>
      </c>
      <c r="AM597" s="12" t="n">
        <v>39220</v>
      </c>
      <c r="AN597" s="12" t="n">
        <v>1357880</v>
      </c>
      <c r="AO597" s="12" t="n">
        <v>2316386</v>
      </c>
      <c r="AP597" s="17" t="n">
        <v>0.161</v>
      </c>
      <c r="AQ597" s="16" t="n">
        <v>57</v>
      </c>
      <c r="AR597" s="16" t="n">
        <v>3</v>
      </c>
      <c r="AS597" s="13" t="n">
        <f aca="false">IFERROR(AR597/AR596-1,"")</f>
        <v>0</v>
      </c>
      <c r="AT597" s="11" t="s">
        <v>145</v>
      </c>
      <c r="AU597" s="14" t="n">
        <f aca="false">IFERROR(P597/AR597,"")</f>
        <v>300148.666666667</v>
      </c>
      <c r="AV597" s="12" t="n">
        <v>2597845</v>
      </c>
      <c r="AW597" s="12" t="n">
        <v>1284933</v>
      </c>
      <c r="AX597" s="12" t="n">
        <v>483714</v>
      </c>
      <c r="AY597" s="16" t="n">
        <v>37781</v>
      </c>
      <c r="AZ597" s="13" t="n">
        <f aca="false">IFERROR(AY597/AY596-1,"")</f>
        <v>-0.131411361703106</v>
      </c>
      <c r="BA597" s="17" t="n">
        <v>0.775</v>
      </c>
      <c r="BB597" s="11" t="s">
        <v>119</v>
      </c>
      <c r="BC597" s="11" t="s">
        <v>120</v>
      </c>
      <c r="BD597" s="11" t="s">
        <v>101</v>
      </c>
      <c r="BE597" s="12" t="n">
        <v>1178690</v>
      </c>
      <c r="BF597" s="13" t="n">
        <f aca="false">IFERROR(P597/BE597-1,"")</f>
        <v>-0.236062068907007</v>
      </c>
      <c r="BG597" s="17" t="n">
        <v>0.257</v>
      </c>
      <c r="BH597" s="17" t="n">
        <v>0.231</v>
      </c>
      <c r="BI597" s="14" t="n">
        <f aca="false">P597*(1+IFERROR(Q597,0))^4</f>
        <v>523721.474027923</v>
      </c>
      <c r="BJ597" s="12" t="n">
        <v>-1673339</v>
      </c>
      <c r="BK597" s="11" t="s">
        <v>121</v>
      </c>
      <c r="BL597" s="11" t="s">
        <v>148</v>
      </c>
      <c r="BM597" s="14" t="n">
        <f aca="false">O597</f>
        <v>16885182</v>
      </c>
      <c r="BN597" s="11" t="s">
        <v>599</v>
      </c>
      <c r="BO597" s="13" t="n">
        <f aca="false">IFERROR(1-L597/M597,"")</f>
        <v>0.097863616745792</v>
      </c>
      <c r="BP597" s="11" t="s">
        <v>142</v>
      </c>
      <c r="BQ597" s="12" t="n">
        <v>3200125</v>
      </c>
      <c r="BR597" s="11" t="s">
        <v>88</v>
      </c>
      <c r="BS597" s="11" t="s">
        <v>89</v>
      </c>
      <c r="BT597" s="19" t="str">
        <f aca="false">IF(OR(Z597&lt;6,AH597&lt;0.9,S597&lt;0.02,AK597&lt;1),"REVIEW",IF(AND(S597&gt;0.25,AH597&gt;1.2),"ACCELERATING","STABLE"))</f>
        <v>REVIEW</v>
      </c>
    </row>
    <row r="598" customFormat="false" ht="15" hidden="false" customHeight="false" outlineLevel="0" collapsed="false">
      <c r="A598" s="3" t="s">
        <v>600</v>
      </c>
      <c r="B598" s="3" t="s">
        <v>73</v>
      </c>
      <c r="C598" s="3" t="s">
        <v>74</v>
      </c>
      <c r="D598" s="3" t="s">
        <v>115</v>
      </c>
      <c r="E598" s="3" t="s">
        <v>365</v>
      </c>
      <c r="F598" s="3" t="s">
        <v>601</v>
      </c>
      <c r="G598" s="3" t="s">
        <v>78</v>
      </c>
      <c r="H598" s="3" t="s">
        <v>79</v>
      </c>
      <c r="I598" s="3" t="s">
        <v>78</v>
      </c>
      <c r="J598" s="4" t="n">
        <v>2219000</v>
      </c>
      <c r="K598" s="5" t="n">
        <f aca="false">IFERROR(J598/M598,"")</f>
        <v>0.184901258228481</v>
      </c>
      <c r="L598" s="4" t="n">
        <v>9782000</v>
      </c>
      <c r="M598" s="6" t="n">
        <f aca="false">L598+J598</f>
        <v>12001000</v>
      </c>
      <c r="N598" s="4" t="n">
        <v>6017000</v>
      </c>
      <c r="O598" s="4" t="n">
        <v>15253142</v>
      </c>
      <c r="P598" s="4" t="n">
        <v>1478681</v>
      </c>
      <c r="Q598" s="7"/>
      <c r="R598" s="4" t="n">
        <v>1801346</v>
      </c>
      <c r="S598" s="7"/>
      <c r="T598" s="4" t="n">
        <v>918458</v>
      </c>
      <c r="U598" s="5" t="n">
        <f aca="false">IFERROR(T598/P598,"")</f>
        <v>0.62113329379359</v>
      </c>
      <c r="V598" s="6" t="n">
        <f aca="false">T598-AV598</f>
        <v>-1962847</v>
      </c>
      <c r="W598" s="6" t="n">
        <f aca="false">V598-AA598*0.1</f>
        <v>-1962847</v>
      </c>
      <c r="X598" s="4" t="n">
        <v>4434530</v>
      </c>
      <c r="Y598" s="4" t="n">
        <v>198380</v>
      </c>
      <c r="Z598" s="8" t="n">
        <f aca="false">IFERROR(X598/Y598,"")</f>
        <v>22.3537150922472</v>
      </c>
      <c r="AA598" s="4" t="n">
        <v>0</v>
      </c>
      <c r="AB598" s="6" t="n">
        <f aca="false">W598-0.02*P598</f>
        <v>-1992420.62</v>
      </c>
      <c r="AC598" s="9" t="n">
        <v>33</v>
      </c>
      <c r="AD598" s="7"/>
      <c r="AE598" s="7" t="n">
        <v>0.062</v>
      </c>
      <c r="AF598" s="7" t="n">
        <v>0.065</v>
      </c>
      <c r="AG598" s="5" t="n">
        <f aca="false">1-AF598</f>
        <v>0.935</v>
      </c>
      <c r="AH598" s="7" t="n">
        <v>1.153</v>
      </c>
      <c r="AI598" s="4" t="n">
        <v>12508</v>
      </c>
      <c r="AJ598" s="6" t="n">
        <f aca="false">IFERROR(AM598*U598*MIN(1/AE598,5),"")</f>
        <v>37267.9976276154</v>
      </c>
      <c r="AK598" s="10" t="n">
        <f aca="false">IFERROR(AJ598/AI598,"")</f>
        <v>2.97953290914738</v>
      </c>
      <c r="AL598" s="8" t="n">
        <f aca="false">IFERROR(AI598/(AM598*U598/12),"")</f>
        <v>20.137384559773</v>
      </c>
      <c r="AM598" s="4" t="n">
        <v>12000</v>
      </c>
      <c r="AN598" s="4" t="n">
        <v>1801708</v>
      </c>
      <c r="AO598" s="4" t="n">
        <v>5427357</v>
      </c>
      <c r="AP598" s="7" t="n">
        <v>0.384</v>
      </c>
      <c r="AQ598" s="9" t="n">
        <v>52</v>
      </c>
      <c r="AR598" s="9" t="n">
        <v>3</v>
      </c>
      <c r="AS598" s="7"/>
      <c r="AT598" s="3" t="s">
        <v>201</v>
      </c>
      <c r="AU598" s="6" t="n">
        <f aca="false">IFERROR(P598/AR598,"")</f>
        <v>492893.666666667</v>
      </c>
      <c r="AV598" s="4" t="n">
        <v>2881305</v>
      </c>
      <c r="AW598" s="4" t="n">
        <v>895089</v>
      </c>
      <c r="AX598" s="4" t="n">
        <v>883806</v>
      </c>
      <c r="AY598" s="9" t="n">
        <v>16013</v>
      </c>
      <c r="AZ598" s="7"/>
      <c r="BA598" s="7" t="n">
        <v>0.932</v>
      </c>
      <c r="BB598" s="3" t="s">
        <v>161</v>
      </c>
      <c r="BC598" s="3" t="s">
        <v>108</v>
      </c>
      <c r="BD598" s="3" t="s">
        <v>175</v>
      </c>
      <c r="BE598" s="4" t="n">
        <v>1496936</v>
      </c>
      <c r="BF598" s="5" t="n">
        <f aca="false">IFERROR(P598/BE598-1,"")</f>
        <v>-0.0121949101364387</v>
      </c>
      <c r="BG598" s="7" t="n">
        <v>-0.015</v>
      </c>
      <c r="BH598" s="7" t="n">
        <v>-0.041</v>
      </c>
      <c r="BI598" s="6" t="n">
        <f aca="false">P598</f>
        <v>1478681</v>
      </c>
      <c r="BJ598" s="4" t="n">
        <v>-1509646</v>
      </c>
      <c r="BK598" s="3" t="s">
        <v>102</v>
      </c>
      <c r="BL598" s="3" t="s">
        <v>162</v>
      </c>
      <c r="BM598" s="6" t="n">
        <f aca="false">O598</f>
        <v>15253142</v>
      </c>
      <c r="BN598" s="3" t="s">
        <v>602</v>
      </c>
      <c r="BO598" s="5" t="n">
        <f aca="false">IFERROR(1-L598/M598,"")</f>
        <v>0.184901258228481</v>
      </c>
      <c r="BP598" s="3" t="s">
        <v>142</v>
      </c>
      <c r="BQ598" s="4" t="n">
        <v>3512617</v>
      </c>
      <c r="BR598" s="3" t="s">
        <v>88</v>
      </c>
      <c r="BS598" s="3" t="s">
        <v>89</v>
      </c>
      <c r="BT598" s="3" t="s">
        <v>90</v>
      </c>
    </row>
    <row r="599" customFormat="false" ht="15" hidden="false" customHeight="false" outlineLevel="0" collapsed="false">
      <c r="A599" s="11" t="s">
        <v>600</v>
      </c>
      <c r="B599" s="11" t="s">
        <v>91</v>
      </c>
      <c r="C599" s="11" t="s">
        <v>74</v>
      </c>
      <c r="D599" s="11" t="s">
        <v>115</v>
      </c>
      <c r="E599" s="11" t="s">
        <v>365</v>
      </c>
      <c r="F599" s="11" t="s">
        <v>601</v>
      </c>
      <c r="G599" s="11" t="s">
        <v>78</v>
      </c>
      <c r="H599" s="11" t="s">
        <v>79</v>
      </c>
      <c r="I599" s="11" t="s">
        <v>78</v>
      </c>
      <c r="J599" s="12" t="n">
        <v>2219000</v>
      </c>
      <c r="K599" s="13" t="n">
        <f aca="false">IFERROR(J599/M599,"")</f>
        <v>0.184901258228481</v>
      </c>
      <c r="L599" s="12" t="n">
        <v>9782000</v>
      </c>
      <c r="M599" s="14" t="n">
        <f aca="false">L599+J599</f>
        <v>12001000</v>
      </c>
      <c r="N599" s="12" t="n">
        <v>6017000</v>
      </c>
      <c r="O599" s="12" t="n">
        <v>15253142</v>
      </c>
      <c r="P599" s="12" t="n">
        <v>1748575</v>
      </c>
      <c r="Q599" s="13" t="n">
        <f aca="false">IFERROR(P599/P598-1,"")</f>
        <v>0.182523478694864</v>
      </c>
      <c r="R599" s="12" t="n">
        <v>1768751</v>
      </c>
      <c r="S599" s="13" t="n">
        <f aca="false">IFERROR(R599/R598-1,"")</f>
        <v>-0.0180948024421738</v>
      </c>
      <c r="T599" s="12" t="n">
        <v>1090495</v>
      </c>
      <c r="U599" s="13" t="n">
        <f aca="false">IFERROR(T599/P599,"")</f>
        <v>0.623647827516692</v>
      </c>
      <c r="V599" s="14" t="n">
        <f aca="false">T599-AV599</f>
        <v>-2232860</v>
      </c>
      <c r="W599" s="14" t="n">
        <f aca="false">V599-AA599*0.1</f>
        <v>-2232860</v>
      </c>
      <c r="X599" s="12" t="n">
        <v>3934220</v>
      </c>
      <c r="Y599" s="12" t="n">
        <v>204920</v>
      </c>
      <c r="Z599" s="15" t="n">
        <f aca="false">IFERROR(X599/Y599,"")</f>
        <v>19.1988092914308</v>
      </c>
      <c r="AA599" s="12" t="n">
        <v>0</v>
      </c>
      <c r="AB599" s="14" t="n">
        <f aca="false">W599-0.02*P599</f>
        <v>-2267831.5</v>
      </c>
      <c r="AC599" s="16" t="n">
        <v>37</v>
      </c>
      <c r="AD599" s="13" t="n">
        <f aca="false">IFERROR(AC599/AC598-1,"")</f>
        <v>0.121212121212121</v>
      </c>
      <c r="AE599" s="17" t="n">
        <v>0.06</v>
      </c>
      <c r="AF599" s="17" t="n">
        <v>0.058</v>
      </c>
      <c r="AG599" s="13" t="n">
        <f aca="false">1-AF599</f>
        <v>0.942</v>
      </c>
      <c r="AH599" s="17" t="n">
        <v>1.148</v>
      </c>
      <c r="AI599" s="12" t="n">
        <v>12272</v>
      </c>
      <c r="AJ599" s="14" t="n">
        <f aca="false">IFERROR(AM599*U599*MIN(1/AE599,5),"")</f>
        <v>38167.2470440216</v>
      </c>
      <c r="AK599" s="18" t="n">
        <f aca="false">IFERROR(AJ599/AI599,"")</f>
        <v>3.11010813592092</v>
      </c>
      <c r="AL599" s="15" t="n">
        <f aca="false">IFERROR(AI599/(AM599*U599/12),"")</f>
        <v>19.2919337134989</v>
      </c>
      <c r="AM599" s="12" t="n">
        <v>12240</v>
      </c>
      <c r="AN599" s="12" t="n">
        <v>2004727</v>
      </c>
      <c r="AO599" s="12" t="n">
        <v>3985466</v>
      </c>
      <c r="AP599" s="17" t="n">
        <v>0.384</v>
      </c>
      <c r="AQ599" s="16" t="n">
        <v>52</v>
      </c>
      <c r="AR599" s="16" t="n">
        <v>3</v>
      </c>
      <c r="AS599" s="13" t="n">
        <f aca="false">IFERROR(AR599/AR598-1,"")</f>
        <v>0</v>
      </c>
      <c r="AT599" s="11" t="s">
        <v>201</v>
      </c>
      <c r="AU599" s="14" t="n">
        <f aca="false">IFERROR(P599/AR599,"")</f>
        <v>582858.333333333</v>
      </c>
      <c r="AV599" s="12" t="n">
        <v>3323355</v>
      </c>
      <c r="AW599" s="12" t="n">
        <v>1454761</v>
      </c>
      <c r="AX599" s="12" t="n">
        <v>797258</v>
      </c>
      <c r="AY599" s="16" t="n">
        <v>16444</v>
      </c>
      <c r="AZ599" s="13" t="n">
        <f aca="false">IFERROR(AY599/AY598-1,"")</f>
        <v>0.026915631049772</v>
      </c>
      <c r="BA599" s="17" t="n">
        <v>0.952</v>
      </c>
      <c r="BB599" s="11" t="s">
        <v>161</v>
      </c>
      <c r="BC599" s="11" t="s">
        <v>108</v>
      </c>
      <c r="BD599" s="11" t="s">
        <v>175</v>
      </c>
      <c r="BE599" s="12" t="n">
        <v>2088635</v>
      </c>
      <c r="BF599" s="13" t="n">
        <f aca="false">IFERROR(P599/BE599-1,"")</f>
        <v>-0.162814469737412</v>
      </c>
      <c r="BG599" s="17" t="n">
        <v>0.005</v>
      </c>
      <c r="BH599" s="17" t="n">
        <v>0.038</v>
      </c>
      <c r="BI599" s="14" t="n">
        <f aca="false">P599*(1+IFERROR(Q599,0))^4</f>
        <v>3419190.93984103</v>
      </c>
      <c r="BJ599" s="12" t="n">
        <v>-2245158</v>
      </c>
      <c r="BK599" s="11" t="s">
        <v>102</v>
      </c>
      <c r="BL599" s="11" t="s">
        <v>162</v>
      </c>
      <c r="BM599" s="14" t="n">
        <f aca="false">O599</f>
        <v>15253142</v>
      </c>
      <c r="BN599" s="11" t="s">
        <v>602</v>
      </c>
      <c r="BO599" s="13" t="n">
        <f aca="false">IFERROR(1-L599/M599,"")</f>
        <v>0.184901258228481</v>
      </c>
      <c r="BP599" s="11" t="s">
        <v>142</v>
      </c>
      <c r="BQ599" s="12" t="n">
        <v>2743699</v>
      </c>
      <c r="BR599" s="11" t="s">
        <v>88</v>
      </c>
      <c r="BS599" s="11" t="s">
        <v>89</v>
      </c>
      <c r="BT599" s="19" t="str">
        <f aca="false">IF(OR(Z599&lt;6,AH599&lt;0.9,S599&lt;0.02,AK599&lt;1),"REVIEW",IF(AND(S599&gt;0.25,AH599&gt;1.2),"ACCELERATING","STABLE"))</f>
        <v>REVIEW</v>
      </c>
    </row>
    <row r="600" customFormat="false" ht="15" hidden="false" customHeight="false" outlineLevel="0" collapsed="false">
      <c r="A600" s="11" t="s">
        <v>600</v>
      </c>
      <c r="B600" s="11" t="s">
        <v>92</v>
      </c>
      <c r="C600" s="11" t="s">
        <v>74</v>
      </c>
      <c r="D600" s="11" t="s">
        <v>115</v>
      </c>
      <c r="E600" s="11" t="s">
        <v>365</v>
      </c>
      <c r="F600" s="11" t="s">
        <v>601</v>
      </c>
      <c r="G600" s="11" t="s">
        <v>78</v>
      </c>
      <c r="H600" s="11" t="s">
        <v>79</v>
      </c>
      <c r="I600" s="11" t="s">
        <v>78</v>
      </c>
      <c r="J600" s="12" t="n">
        <v>2219000</v>
      </c>
      <c r="K600" s="13" t="n">
        <f aca="false">IFERROR(J600/M600,"")</f>
        <v>0.184901258228481</v>
      </c>
      <c r="L600" s="12" t="n">
        <v>9782000</v>
      </c>
      <c r="M600" s="14" t="n">
        <f aca="false">L600+J600</f>
        <v>12001000</v>
      </c>
      <c r="N600" s="12" t="n">
        <v>6017000</v>
      </c>
      <c r="O600" s="12" t="n">
        <v>15253142</v>
      </c>
      <c r="P600" s="12" t="n">
        <v>1894112</v>
      </c>
      <c r="Q600" s="13" t="n">
        <f aca="false">IFERROR(P600/P599-1,"")</f>
        <v>0.0832317744449052</v>
      </c>
      <c r="R600" s="12" t="n">
        <v>2128607</v>
      </c>
      <c r="S600" s="13" t="n">
        <f aca="false">IFERROR(R600/R599-1,"")</f>
        <v>0.203452040451143</v>
      </c>
      <c r="T600" s="12" t="n">
        <v>1186022</v>
      </c>
      <c r="U600" s="13" t="n">
        <f aca="false">IFERROR(T600/P600,"")</f>
        <v>0.626162550049839</v>
      </c>
      <c r="V600" s="14" t="n">
        <f aca="false">T600-AV600</f>
        <v>-2506226</v>
      </c>
      <c r="W600" s="14" t="n">
        <f aca="false">V600-AA600*0.1</f>
        <v>-2506226</v>
      </c>
      <c r="X600" s="12" t="n">
        <v>3398594</v>
      </c>
      <c r="Y600" s="12" t="n">
        <v>211460</v>
      </c>
      <c r="Z600" s="15" t="n">
        <f aca="false">IFERROR(X600/Y600,"")</f>
        <v>16.0720419937577</v>
      </c>
      <c r="AA600" s="12" t="n">
        <v>0</v>
      </c>
      <c r="AB600" s="14" t="n">
        <f aca="false">W600-0.02*P600</f>
        <v>-2544108.24</v>
      </c>
      <c r="AC600" s="16" t="n">
        <v>39</v>
      </c>
      <c r="AD600" s="13" t="n">
        <f aca="false">IFERROR(AC600/AC599-1,"")</f>
        <v>0.0540540540540539</v>
      </c>
      <c r="AE600" s="17" t="n">
        <v>0.059</v>
      </c>
      <c r="AF600" s="17" t="n">
        <v>0.063</v>
      </c>
      <c r="AG600" s="13" t="n">
        <f aca="false">1-AF600</f>
        <v>0.937</v>
      </c>
      <c r="AH600" s="17" t="n">
        <v>1.143</v>
      </c>
      <c r="AI600" s="12" t="n">
        <v>12036</v>
      </c>
      <c r="AJ600" s="14" t="n">
        <f aca="false">IFERROR(AM600*U600*MIN(1/AE600,5),"")</f>
        <v>39072.5431231099</v>
      </c>
      <c r="AK600" s="18" t="n">
        <f aca="false">IFERROR(AJ600/AI600,"")</f>
        <v>3.24630634123545</v>
      </c>
      <c r="AL600" s="15" t="n">
        <f aca="false">IFERROR(AI600/(AM600*U600/12),"")</f>
        <v>18.482544064885</v>
      </c>
      <c r="AM600" s="12" t="n">
        <v>12480</v>
      </c>
      <c r="AN600" s="12" t="n">
        <v>2048812</v>
      </c>
      <c r="AO600" s="12" t="n">
        <v>5042029</v>
      </c>
      <c r="AP600" s="17" t="n">
        <v>0.384</v>
      </c>
      <c r="AQ600" s="16" t="n">
        <v>52</v>
      </c>
      <c r="AR600" s="16" t="n">
        <v>4</v>
      </c>
      <c r="AS600" s="13" t="n">
        <f aca="false">IFERROR(AR600/AR599-1,"")</f>
        <v>0.333333333333333</v>
      </c>
      <c r="AT600" s="11" t="s">
        <v>201</v>
      </c>
      <c r="AU600" s="14" t="n">
        <f aca="false">IFERROR(P600/AR600,"")</f>
        <v>473528</v>
      </c>
      <c r="AV600" s="12" t="n">
        <v>3692248</v>
      </c>
      <c r="AW600" s="12" t="n">
        <v>1767626</v>
      </c>
      <c r="AX600" s="12" t="n">
        <v>1156116</v>
      </c>
      <c r="AY600" s="16" t="n">
        <v>17412</v>
      </c>
      <c r="AZ600" s="13" t="n">
        <f aca="false">IFERROR(AY600/AY599-1,"")</f>
        <v>0.0588664558501582</v>
      </c>
      <c r="BA600" s="17" t="n">
        <v>0.95</v>
      </c>
      <c r="BB600" s="11" t="s">
        <v>161</v>
      </c>
      <c r="BC600" s="11" t="s">
        <v>108</v>
      </c>
      <c r="BD600" s="11" t="s">
        <v>175</v>
      </c>
      <c r="BE600" s="12" t="n">
        <v>1873705</v>
      </c>
      <c r="BF600" s="13" t="n">
        <f aca="false">IFERROR(P600/BE600-1,"")</f>
        <v>0.0108912555605072</v>
      </c>
      <c r="BG600" s="17" t="n">
        <v>0.036</v>
      </c>
      <c r="BH600" s="17" t="n">
        <v>-0.003</v>
      </c>
      <c r="BI600" s="14" t="n">
        <f aca="false">P600*(1+IFERROR(Q600,0))^4</f>
        <v>2607901.7050546</v>
      </c>
      <c r="BJ600" s="12" t="n">
        <v>-1363105</v>
      </c>
      <c r="BK600" s="11" t="s">
        <v>102</v>
      </c>
      <c r="BL600" s="11" t="s">
        <v>162</v>
      </c>
      <c r="BM600" s="14" t="n">
        <f aca="false">O600</f>
        <v>15253142</v>
      </c>
      <c r="BN600" s="11" t="s">
        <v>602</v>
      </c>
      <c r="BO600" s="13" t="n">
        <f aca="false">IFERROR(1-L600/M600,"")</f>
        <v>0.184901258228481</v>
      </c>
      <c r="BP600" s="11" t="s">
        <v>142</v>
      </c>
      <c r="BQ600" s="12" t="n">
        <v>3739187</v>
      </c>
      <c r="BR600" s="11" t="s">
        <v>88</v>
      </c>
      <c r="BS600" s="11" t="s">
        <v>89</v>
      </c>
      <c r="BT600" s="19" t="str">
        <f aca="false">IF(OR(Z600&lt;6,AH600&lt;0.9,S600&lt;0.02,AK600&lt;1),"REVIEW",IF(AND(S600&gt;0.25,AH600&gt;1.2),"ACCELERATING","STABLE"))</f>
        <v>STABLE</v>
      </c>
    </row>
    <row r="601" customFormat="false" ht="15" hidden="false" customHeight="false" outlineLevel="0" collapsed="false">
      <c r="A601" s="11" t="s">
        <v>600</v>
      </c>
      <c r="B601" s="11" t="s">
        <v>93</v>
      </c>
      <c r="C601" s="11" t="s">
        <v>74</v>
      </c>
      <c r="D601" s="11" t="s">
        <v>115</v>
      </c>
      <c r="E601" s="11" t="s">
        <v>365</v>
      </c>
      <c r="F601" s="11" t="s">
        <v>601</v>
      </c>
      <c r="G601" s="11" t="s">
        <v>78</v>
      </c>
      <c r="H601" s="11" t="s">
        <v>79</v>
      </c>
      <c r="I601" s="11" t="s">
        <v>78</v>
      </c>
      <c r="J601" s="12" t="n">
        <v>2219000</v>
      </c>
      <c r="K601" s="13" t="n">
        <f aca="false">IFERROR(J601/M601,"")</f>
        <v>0.184901258228481</v>
      </c>
      <c r="L601" s="12" t="n">
        <v>9782000</v>
      </c>
      <c r="M601" s="14" t="n">
        <f aca="false">L601+J601</f>
        <v>12001000</v>
      </c>
      <c r="N601" s="12" t="n">
        <v>6017000</v>
      </c>
      <c r="O601" s="12" t="n">
        <v>15253142</v>
      </c>
      <c r="P601" s="12" t="n">
        <v>1932469</v>
      </c>
      <c r="Q601" s="13" t="n">
        <f aca="false">IFERROR(P601/P600-1,"")</f>
        <v>0.0202506504367217</v>
      </c>
      <c r="R601" s="12" t="n">
        <v>2230785</v>
      </c>
      <c r="S601" s="13" t="n">
        <f aca="false">IFERROR(R601/R600-1,"")</f>
        <v>0.0480022850624846</v>
      </c>
      <c r="T601" s="12" t="n">
        <v>1214899</v>
      </c>
      <c r="U601" s="13" t="n">
        <f aca="false">IFERROR(T601/P601,"")</f>
        <v>0.628677096501936</v>
      </c>
      <c r="V601" s="14" t="n">
        <f aca="false">T601-AV601</f>
        <v>-2026417</v>
      </c>
      <c r="W601" s="14" t="n">
        <f aca="false">V601-AA601*0.1</f>
        <v>-2026417</v>
      </c>
      <c r="X601" s="12" t="n">
        <v>2827652</v>
      </c>
      <c r="Y601" s="12" t="n">
        <v>218000</v>
      </c>
      <c r="Z601" s="15" t="n">
        <f aca="false">IFERROR(X601/Y601,"")</f>
        <v>12.970880733945</v>
      </c>
      <c r="AA601" s="12" t="n">
        <v>0</v>
      </c>
      <c r="AB601" s="14" t="n">
        <f aca="false">W601-0.02*P601</f>
        <v>-2065066.38</v>
      </c>
      <c r="AC601" s="16" t="n">
        <v>42</v>
      </c>
      <c r="AD601" s="13" t="n">
        <f aca="false">IFERROR(AC601/AC600-1,"")</f>
        <v>0.0769230769230769</v>
      </c>
      <c r="AE601" s="17" t="n">
        <v>0.057</v>
      </c>
      <c r="AF601" s="17" t="n">
        <v>0.05</v>
      </c>
      <c r="AG601" s="13" t="n">
        <f aca="false">1-AF601</f>
        <v>0.95</v>
      </c>
      <c r="AH601" s="17" t="n">
        <v>1.138</v>
      </c>
      <c r="AI601" s="12" t="n">
        <v>11800</v>
      </c>
      <c r="AJ601" s="14" t="n">
        <f aca="false">IFERROR(AM601*U601*MIN(1/AE601,5),"")</f>
        <v>39983.8633375231</v>
      </c>
      <c r="AK601" s="18" t="n">
        <f aca="false">IFERROR(AJ601/AI601,"")</f>
        <v>3.38846299470535</v>
      </c>
      <c r="AL601" s="15" t="n">
        <f aca="false">IFERROR(AI601/(AM601*U601/12),"")</f>
        <v>17.7071433548937</v>
      </c>
      <c r="AM601" s="12" t="n">
        <v>12720</v>
      </c>
      <c r="AN601" s="12" t="n">
        <v>3036750</v>
      </c>
      <c r="AO601" s="12" t="n">
        <v>8445943</v>
      </c>
      <c r="AP601" s="17" t="n">
        <v>0.384</v>
      </c>
      <c r="AQ601" s="16" t="n">
        <v>52</v>
      </c>
      <c r="AR601" s="16" t="n">
        <v>4</v>
      </c>
      <c r="AS601" s="13" t="n">
        <f aca="false">IFERROR(AR601/AR600-1,"")</f>
        <v>0</v>
      </c>
      <c r="AT601" s="11" t="s">
        <v>201</v>
      </c>
      <c r="AU601" s="14" t="n">
        <f aca="false">IFERROR(P601/AR601,"")</f>
        <v>483117.25</v>
      </c>
      <c r="AV601" s="12" t="n">
        <v>3241316</v>
      </c>
      <c r="AW601" s="12" t="n">
        <v>1202041</v>
      </c>
      <c r="AX601" s="12" t="n">
        <v>730712</v>
      </c>
      <c r="AY601" s="16" t="n">
        <v>18842</v>
      </c>
      <c r="AZ601" s="13" t="n">
        <f aca="false">IFERROR(AY601/AY600-1,"")</f>
        <v>0.0821272685504251</v>
      </c>
      <c r="BA601" s="17" t="n">
        <v>0.956</v>
      </c>
      <c r="BB601" s="11" t="s">
        <v>161</v>
      </c>
      <c r="BC601" s="11" t="s">
        <v>108</v>
      </c>
      <c r="BD601" s="11" t="s">
        <v>175</v>
      </c>
      <c r="BE601" s="12" t="n">
        <v>2029173</v>
      </c>
      <c r="BF601" s="13" t="n">
        <f aca="false">IFERROR(P601/BE601-1,"")</f>
        <v>-0.0476568533092053</v>
      </c>
      <c r="BG601" s="17" t="n">
        <v>0.067</v>
      </c>
      <c r="BH601" s="17" t="n">
        <v>0.022</v>
      </c>
      <c r="BI601" s="14" t="n">
        <f aca="false">P601*(1+IFERROR(Q601,0))^4</f>
        <v>2093823.43890732</v>
      </c>
      <c r="BJ601" s="12" t="n">
        <v>-2461484</v>
      </c>
      <c r="BK601" s="11" t="s">
        <v>102</v>
      </c>
      <c r="BL601" s="11" t="s">
        <v>162</v>
      </c>
      <c r="BM601" s="14" t="n">
        <f aca="false">O601</f>
        <v>15253142</v>
      </c>
      <c r="BN601" s="11" t="s">
        <v>602</v>
      </c>
      <c r="BO601" s="13" t="n">
        <f aca="false">IFERROR(1-L601/M601,"")</f>
        <v>0.184901258228481</v>
      </c>
      <c r="BP601" s="11" t="s">
        <v>142</v>
      </c>
      <c r="BQ601" s="12" t="n">
        <v>2661406</v>
      </c>
      <c r="BR601" s="11" t="s">
        <v>88</v>
      </c>
      <c r="BS601" s="11" t="s">
        <v>89</v>
      </c>
      <c r="BT601" s="19" t="str">
        <f aca="false">IF(OR(Z601&lt;6,AH601&lt;0.9,S601&lt;0.02,AK601&lt;1),"REVIEW",IF(AND(S601&gt;0.25,AH601&gt;1.2),"ACCELERATING","STABLE"))</f>
        <v>STABLE</v>
      </c>
    </row>
    <row r="602" customFormat="false" ht="15" hidden="false" customHeight="false" outlineLevel="0" collapsed="false">
      <c r="A602" s="3" t="s">
        <v>603</v>
      </c>
      <c r="B602" s="3" t="s">
        <v>73</v>
      </c>
      <c r="C602" s="3" t="s">
        <v>74</v>
      </c>
      <c r="D602" s="3" t="s">
        <v>115</v>
      </c>
      <c r="E602" s="3" t="s">
        <v>105</v>
      </c>
      <c r="F602" s="3" t="s">
        <v>604</v>
      </c>
      <c r="G602" s="3" t="s">
        <v>78</v>
      </c>
      <c r="H602" s="3" t="s">
        <v>79</v>
      </c>
      <c r="I602" s="3" t="s">
        <v>78</v>
      </c>
      <c r="J602" s="4" t="n">
        <v>3689000</v>
      </c>
      <c r="K602" s="5" t="n">
        <f aca="false">IFERROR(J602/M602,"")</f>
        <v>0.170463472113119</v>
      </c>
      <c r="L602" s="4" t="n">
        <v>17952000</v>
      </c>
      <c r="M602" s="6" t="n">
        <f aca="false">L602+J602</f>
        <v>21641000</v>
      </c>
      <c r="N602" s="4" t="n">
        <v>3689000</v>
      </c>
      <c r="O602" s="4" t="n">
        <v>19338876</v>
      </c>
      <c r="P602" s="4" t="n">
        <v>776816</v>
      </c>
      <c r="Q602" s="7"/>
      <c r="R602" s="4" t="n">
        <v>892770</v>
      </c>
      <c r="S602" s="7"/>
      <c r="T602" s="4" t="n">
        <v>518742</v>
      </c>
      <c r="U602" s="5" t="n">
        <f aca="false">IFERROR(T602/P602,"")</f>
        <v>0.66777975736854</v>
      </c>
      <c r="V602" s="6" t="n">
        <f aca="false">T602-AV602</f>
        <v>-1704057</v>
      </c>
      <c r="W602" s="6" t="n">
        <f aca="false">V602-AA602*0.1</f>
        <v>-1772957</v>
      </c>
      <c r="X602" s="4" t="n">
        <v>5082102</v>
      </c>
      <c r="Y602" s="4" t="n">
        <v>147420</v>
      </c>
      <c r="Z602" s="8" t="n">
        <f aca="false">IFERROR(X602/Y602,"")</f>
        <v>34.4736263736264</v>
      </c>
      <c r="AA602" s="4" t="n">
        <v>689000</v>
      </c>
      <c r="AB602" s="6" t="n">
        <f aca="false">W602-0.02*P602</f>
        <v>-1788493.32</v>
      </c>
      <c r="AC602" s="9" t="n">
        <v>27</v>
      </c>
      <c r="AD602" s="7"/>
      <c r="AE602" s="7" t="n">
        <v>0.07</v>
      </c>
      <c r="AF602" s="7" t="n">
        <v>0.064</v>
      </c>
      <c r="AG602" s="5" t="n">
        <f aca="false">1-AF602</f>
        <v>0.936</v>
      </c>
      <c r="AH602" s="7" t="n">
        <v>1.09</v>
      </c>
      <c r="AI602" s="4" t="n">
        <v>89570</v>
      </c>
      <c r="AJ602" s="6" t="n">
        <f aca="false">IFERROR(AM602*U602*MIN(1/AE602,5),"")</f>
        <v>190317.230850034</v>
      </c>
      <c r="AK602" s="10" t="n">
        <f aca="false">IFERROR(AJ602/AI602,"")</f>
        <v>2.12478766160583</v>
      </c>
      <c r="AL602" s="8" t="n">
        <f aca="false">IFERROR(AI602/(AM602*U602/12),"")</f>
        <v>28.2381157817221</v>
      </c>
      <c r="AM602" s="4" t="n">
        <v>57000</v>
      </c>
      <c r="AN602" s="4" t="n">
        <v>1236750</v>
      </c>
      <c r="AO602" s="4" t="n">
        <v>2276076</v>
      </c>
      <c r="AP602" s="7" t="n">
        <v>0.207</v>
      </c>
      <c r="AQ602" s="9" t="n">
        <v>83</v>
      </c>
      <c r="AR602" s="9" t="n">
        <v>10</v>
      </c>
      <c r="AS602" s="7"/>
      <c r="AT602" s="3" t="s">
        <v>153</v>
      </c>
      <c r="AU602" s="6" t="n">
        <f aca="false">IFERROR(P602/AR602,"")</f>
        <v>77681.6</v>
      </c>
      <c r="AV602" s="4" t="n">
        <v>2222799</v>
      </c>
      <c r="AW602" s="4" t="n">
        <v>991205</v>
      </c>
      <c r="AX602" s="4" t="n">
        <v>736978</v>
      </c>
      <c r="AY602" s="9" t="n">
        <v>10421</v>
      </c>
      <c r="AZ602" s="7"/>
      <c r="BA602" s="7" t="n">
        <v>0.928</v>
      </c>
      <c r="BB602" s="3" t="s">
        <v>161</v>
      </c>
      <c r="BC602" s="3" t="s">
        <v>100</v>
      </c>
      <c r="BD602" s="3" t="s">
        <v>83</v>
      </c>
      <c r="BE602" s="4" t="n">
        <v>957440</v>
      </c>
      <c r="BF602" s="5" t="n">
        <f aca="false">IFERROR(P602/BE602-1,"")</f>
        <v>-0.18865307486631</v>
      </c>
      <c r="BG602" s="7" t="n">
        <v>0.022</v>
      </c>
      <c r="BH602" s="7" t="n">
        <v>0.025</v>
      </c>
      <c r="BI602" s="6" t="n">
        <f aca="false">P602</f>
        <v>776816</v>
      </c>
      <c r="BJ602" s="4" t="n">
        <v>-1408932</v>
      </c>
      <c r="BK602" s="3" t="s">
        <v>102</v>
      </c>
      <c r="BL602" s="3" t="s">
        <v>85</v>
      </c>
      <c r="BM602" s="6" t="n">
        <f aca="false">O602</f>
        <v>19338876</v>
      </c>
      <c r="BN602" s="3" t="s">
        <v>605</v>
      </c>
      <c r="BO602" s="5" t="n">
        <f aca="false">IFERROR(1-L602/M602,"")</f>
        <v>0.170463472113119</v>
      </c>
      <c r="BP602" s="3" t="s">
        <v>142</v>
      </c>
      <c r="BQ602" s="4" t="n">
        <v>2307780</v>
      </c>
      <c r="BR602" s="3" t="s">
        <v>88</v>
      </c>
      <c r="BS602" s="3" t="s">
        <v>89</v>
      </c>
      <c r="BT602" s="3" t="s">
        <v>90</v>
      </c>
    </row>
    <row r="603" customFormat="false" ht="15" hidden="false" customHeight="false" outlineLevel="0" collapsed="false">
      <c r="A603" s="11" t="s">
        <v>603</v>
      </c>
      <c r="B603" s="11" t="s">
        <v>91</v>
      </c>
      <c r="C603" s="11" t="s">
        <v>74</v>
      </c>
      <c r="D603" s="11" t="s">
        <v>115</v>
      </c>
      <c r="E603" s="11" t="s">
        <v>105</v>
      </c>
      <c r="F603" s="11" t="s">
        <v>604</v>
      </c>
      <c r="G603" s="11" t="s">
        <v>78</v>
      </c>
      <c r="H603" s="11" t="s">
        <v>79</v>
      </c>
      <c r="I603" s="11" t="s">
        <v>78</v>
      </c>
      <c r="J603" s="12" t="n">
        <v>3689000</v>
      </c>
      <c r="K603" s="13" t="n">
        <f aca="false">IFERROR(J603/M603,"")</f>
        <v>0.170463472113119</v>
      </c>
      <c r="L603" s="12" t="n">
        <v>17952000</v>
      </c>
      <c r="M603" s="14" t="n">
        <f aca="false">L603+J603</f>
        <v>21641000</v>
      </c>
      <c r="N603" s="12" t="n">
        <v>3689000</v>
      </c>
      <c r="O603" s="12" t="n">
        <v>19338876</v>
      </c>
      <c r="P603" s="12" t="n">
        <v>857641</v>
      </c>
      <c r="Q603" s="13" t="n">
        <f aca="false">IFERROR(P603/P602-1,"")</f>
        <v>0.104046518094375</v>
      </c>
      <c r="R603" s="12" t="n">
        <v>983335</v>
      </c>
      <c r="S603" s="13" t="n">
        <f aca="false">IFERROR(R603/R602-1,"")</f>
        <v>0.101442700807599</v>
      </c>
      <c r="T603" s="12" t="n">
        <v>575034</v>
      </c>
      <c r="U603" s="13" t="n">
        <f aca="false">IFERROR(T603/P603,"")</f>
        <v>0.670483337433728</v>
      </c>
      <c r="V603" s="14" t="n">
        <f aca="false">T603-AV603</f>
        <v>-1468275</v>
      </c>
      <c r="W603" s="14" t="n">
        <f aca="false">V603-AA603*0.1</f>
        <v>-1537175</v>
      </c>
      <c r="X603" s="12" t="n">
        <v>4710312</v>
      </c>
      <c r="Y603" s="12" t="n">
        <v>152280</v>
      </c>
      <c r="Z603" s="15" t="n">
        <f aca="false">IFERROR(X603/Y603,"")</f>
        <v>30.931914893617</v>
      </c>
      <c r="AA603" s="12" t="n">
        <v>689000</v>
      </c>
      <c r="AB603" s="14" t="n">
        <f aca="false">W603-0.02*P603</f>
        <v>-1554327.82</v>
      </c>
      <c r="AC603" s="16" t="n">
        <v>27</v>
      </c>
      <c r="AD603" s="13" t="n">
        <f aca="false">IFERROR(AC603/AC602-1,"")</f>
        <v>0</v>
      </c>
      <c r="AE603" s="17" t="n">
        <v>0.068</v>
      </c>
      <c r="AF603" s="17" t="n">
        <v>0.062</v>
      </c>
      <c r="AG603" s="13" t="n">
        <f aca="false">1-AF603</f>
        <v>0.938</v>
      </c>
      <c r="AH603" s="17" t="n">
        <v>1.085</v>
      </c>
      <c r="AI603" s="12" t="n">
        <v>87880</v>
      </c>
      <c r="AJ603" s="14" t="n">
        <f aca="false">IFERROR(AM603*U603*MIN(1/AE603,5),"")</f>
        <v>194909.506191985</v>
      </c>
      <c r="AK603" s="18" t="n">
        <f aca="false">IFERROR(AJ603/AI603,"")</f>
        <v>2.21790516832026</v>
      </c>
      <c r="AL603" s="15" t="n">
        <f aca="false">IFERROR(AI603/(AM603*U603/12),"")</f>
        <v>27.052554300796</v>
      </c>
      <c r="AM603" s="12" t="n">
        <v>58140</v>
      </c>
      <c r="AN603" s="12" t="n">
        <v>1151370</v>
      </c>
      <c r="AO603" s="12" t="n">
        <v>3047594</v>
      </c>
      <c r="AP603" s="17" t="n">
        <v>0.207</v>
      </c>
      <c r="AQ603" s="16" t="n">
        <v>83</v>
      </c>
      <c r="AR603" s="16" t="n">
        <v>10</v>
      </c>
      <c r="AS603" s="13" t="n">
        <f aca="false">IFERROR(AR603/AR602-1,"")</f>
        <v>0</v>
      </c>
      <c r="AT603" s="11" t="s">
        <v>153</v>
      </c>
      <c r="AU603" s="14" t="n">
        <f aca="false">IFERROR(P603/AR603,"")</f>
        <v>85764.1</v>
      </c>
      <c r="AV603" s="12" t="n">
        <v>2043309</v>
      </c>
      <c r="AW603" s="12" t="n">
        <v>992234</v>
      </c>
      <c r="AX603" s="12" t="n">
        <v>568740</v>
      </c>
      <c r="AY603" s="16" t="n">
        <v>11954</v>
      </c>
      <c r="AZ603" s="13" t="n">
        <f aca="false">IFERROR(AY603/AY602-1,"")</f>
        <v>0.147106803569715</v>
      </c>
      <c r="BA603" s="17" t="n">
        <v>0.948</v>
      </c>
      <c r="BB603" s="11" t="s">
        <v>161</v>
      </c>
      <c r="BC603" s="11" t="s">
        <v>100</v>
      </c>
      <c r="BD603" s="11" t="s">
        <v>83</v>
      </c>
      <c r="BE603" s="12" t="n">
        <v>973100</v>
      </c>
      <c r="BF603" s="13" t="n">
        <f aca="false">IFERROR(P603/BE603-1,"")</f>
        <v>-0.118650703935875</v>
      </c>
      <c r="BG603" s="17" t="n">
        <v>-0.052</v>
      </c>
      <c r="BH603" s="17" t="n">
        <v>0.014</v>
      </c>
      <c r="BI603" s="14" t="n">
        <f aca="false">P603*(1+IFERROR(Q603,0))^4</f>
        <v>1274251.12067595</v>
      </c>
      <c r="BJ603" s="12" t="n">
        <v>-1396958</v>
      </c>
      <c r="BK603" s="11" t="s">
        <v>102</v>
      </c>
      <c r="BL603" s="11" t="s">
        <v>85</v>
      </c>
      <c r="BM603" s="14" t="n">
        <f aca="false">O603</f>
        <v>19338876</v>
      </c>
      <c r="BN603" s="11" t="s">
        <v>605</v>
      </c>
      <c r="BO603" s="13" t="n">
        <f aca="false">IFERROR(1-L603/M603,"")</f>
        <v>0.170463472113119</v>
      </c>
      <c r="BP603" s="11" t="s">
        <v>142</v>
      </c>
      <c r="BQ603" s="12" t="n">
        <v>2171600</v>
      </c>
      <c r="BR603" s="11" t="s">
        <v>88</v>
      </c>
      <c r="BS603" s="11" t="s">
        <v>89</v>
      </c>
      <c r="BT603" s="19" t="str">
        <f aca="false">IF(OR(Z603&lt;6,AH603&lt;0.9,S603&lt;0.02,AK603&lt;1),"REVIEW",IF(AND(S603&gt;0.25,AH603&gt;1.2),"ACCELERATING","STABLE"))</f>
        <v>STABLE</v>
      </c>
    </row>
    <row r="604" customFormat="false" ht="15" hidden="false" customHeight="false" outlineLevel="0" collapsed="false">
      <c r="A604" s="11" t="s">
        <v>603</v>
      </c>
      <c r="B604" s="11" t="s">
        <v>92</v>
      </c>
      <c r="C604" s="11" t="s">
        <v>74</v>
      </c>
      <c r="D604" s="11" t="s">
        <v>115</v>
      </c>
      <c r="E604" s="11" t="s">
        <v>105</v>
      </c>
      <c r="F604" s="11" t="s">
        <v>604</v>
      </c>
      <c r="G604" s="11" t="s">
        <v>78</v>
      </c>
      <c r="H604" s="11" t="s">
        <v>79</v>
      </c>
      <c r="I604" s="11" t="s">
        <v>78</v>
      </c>
      <c r="J604" s="12" t="n">
        <v>3689000</v>
      </c>
      <c r="K604" s="13" t="n">
        <f aca="false">IFERROR(J604/M604,"")</f>
        <v>0.170463472113119</v>
      </c>
      <c r="L604" s="12" t="n">
        <v>17952000</v>
      </c>
      <c r="M604" s="14" t="n">
        <f aca="false">L604+J604</f>
        <v>21641000</v>
      </c>
      <c r="N604" s="12" t="n">
        <v>3689000</v>
      </c>
      <c r="O604" s="12" t="n">
        <v>19338876</v>
      </c>
      <c r="P604" s="12" t="n">
        <v>989106</v>
      </c>
      <c r="Q604" s="13" t="n">
        <f aca="false">IFERROR(P604/P603-1,"")</f>
        <v>0.153286748184847</v>
      </c>
      <c r="R604" s="12" t="n">
        <v>1066832</v>
      </c>
      <c r="S604" s="13" t="n">
        <f aca="false">IFERROR(R604/R603-1,"")</f>
        <v>0.0849120594710857</v>
      </c>
      <c r="T604" s="12" t="n">
        <v>665853</v>
      </c>
      <c r="U604" s="13" t="n">
        <f aca="false">IFERROR(T604/P604,"")</f>
        <v>0.673186695864751</v>
      </c>
      <c r="V604" s="14" t="n">
        <f aca="false">T604-AV604</f>
        <v>-1643036</v>
      </c>
      <c r="W604" s="14" t="n">
        <f aca="false">V604-AA604*0.1</f>
        <v>-1711936</v>
      </c>
      <c r="X604" s="12" t="n">
        <v>4312278</v>
      </c>
      <c r="Y604" s="12" t="n">
        <v>157140</v>
      </c>
      <c r="Z604" s="15" t="n">
        <f aca="false">IFERROR(X604/Y604,"")</f>
        <v>27.4422680412371</v>
      </c>
      <c r="AA604" s="12" t="n">
        <v>689000</v>
      </c>
      <c r="AB604" s="14" t="n">
        <f aca="false">W604-0.02*P604</f>
        <v>-1731718.12</v>
      </c>
      <c r="AC604" s="16" t="n">
        <v>33</v>
      </c>
      <c r="AD604" s="13" t="n">
        <f aca="false">IFERROR(AC604/AC603-1,"")</f>
        <v>0.222222222222222</v>
      </c>
      <c r="AE604" s="17" t="n">
        <v>0.066</v>
      </c>
      <c r="AF604" s="17" t="n">
        <v>0.059</v>
      </c>
      <c r="AG604" s="13" t="n">
        <f aca="false">1-AF604</f>
        <v>0.941</v>
      </c>
      <c r="AH604" s="17" t="n">
        <v>1.08</v>
      </c>
      <c r="AI604" s="12" t="n">
        <v>86190</v>
      </c>
      <c r="AJ604" s="14" t="n">
        <f aca="false">IFERROR(AM604*U604*MIN(1/AE604,5),"")</f>
        <v>199532.536654312</v>
      </c>
      <c r="AK604" s="18" t="n">
        <f aca="false">IFERROR(AJ604/AI604,"")</f>
        <v>2.31503117129959</v>
      </c>
      <c r="AL604" s="15" t="n">
        <f aca="false">IFERROR(AI604/(AM604*U604/12),"")</f>
        <v>25.9175775876563</v>
      </c>
      <c r="AM604" s="12" t="n">
        <v>59280</v>
      </c>
      <c r="AN604" s="12" t="n">
        <v>1426331</v>
      </c>
      <c r="AO604" s="12" t="n">
        <v>1815027</v>
      </c>
      <c r="AP604" s="17" t="n">
        <v>0.207</v>
      </c>
      <c r="AQ604" s="16" t="n">
        <v>83</v>
      </c>
      <c r="AR604" s="16" t="n">
        <v>11</v>
      </c>
      <c r="AS604" s="13" t="n">
        <f aca="false">IFERROR(AR604/AR603-1,"")</f>
        <v>0.1</v>
      </c>
      <c r="AT604" s="11" t="s">
        <v>153</v>
      </c>
      <c r="AU604" s="14" t="n">
        <f aca="false">IFERROR(P604/AR604,"")</f>
        <v>89918.7272727273</v>
      </c>
      <c r="AV604" s="12" t="n">
        <v>2308889</v>
      </c>
      <c r="AW604" s="12" t="n">
        <v>1000833</v>
      </c>
      <c r="AX604" s="12" t="n">
        <v>423291</v>
      </c>
      <c r="AY604" s="16" t="n">
        <v>12280</v>
      </c>
      <c r="AZ604" s="13" t="n">
        <f aca="false">IFERROR(AY604/AY603-1,"")</f>
        <v>0.0272712062907814</v>
      </c>
      <c r="BA604" s="17" t="n">
        <v>0.954</v>
      </c>
      <c r="BB604" s="11" t="s">
        <v>161</v>
      </c>
      <c r="BC604" s="11" t="s">
        <v>100</v>
      </c>
      <c r="BD604" s="11" t="s">
        <v>83</v>
      </c>
      <c r="BE604" s="12" t="n">
        <v>975395</v>
      </c>
      <c r="BF604" s="13" t="n">
        <f aca="false">IFERROR(P604/BE604-1,"")</f>
        <v>0.0140568692683476</v>
      </c>
      <c r="BG604" s="17" t="n">
        <v>0.06</v>
      </c>
      <c r="BH604" s="17" t="n">
        <v>0.044</v>
      </c>
      <c r="BI604" s="14" t="n">
        <f aca="false">P604*(1+IFERROR(Q604,0))^4</f>
        <v>1749814.63106635</v>
      </c>
      <c r="BJ604" s="12" t="n">
        <v>-1662241</v>
      </c>
      <c r="BK604" s="11" t="s">
        <v>102</v>
      </c>
      <c r="BL604" s="11" t="s">
        <v>85</v>
      </c>
      <c r="BM604" s="14" t="n">
        <f aca="false">O604</f>
        <v>19338876</v>
      </c>
      <c r="BN604" s="11" t="s">
        <v>605</v>
      </c>
      <c r="BO604" s="13" t="n">
        <f aca="false">IFERROR(1-L604/M604,"")</f>
        <v>0.170463472113119</v>
      </c>
      <c r="BP604" s="11" t="s">
        <v>142</v>
      </c>
      <c r="BQ604" s="12" t="n">
        <v>2912420</v>
      </c>
      <c r="BR604" s="11" t="s">
        <v>88</v>
      </c>
      <c r="BS604" s="11" t="s">
        <v>89</v>
      </c>
      <c r="BT604" s="19" t="str">
        <f aca="false">IF(OR(Z604&lt;6,AH604&lt;0.9,S604&lt;0.02,AK604&lt;1),"REVIEW",IF(AND(S604&gt;0.25,AH604&gt;1.2),"ACCELERATING","STABLE"))</f>
        <v>STABLE</v>
      </c>
    </row>
    <row r="605" customFormat="false" ht="15" hidden="false" customHeight="false" outlineLevel="0" collapsed="false">
      <c r="A605" s="11" t="s">
        <v>603</v>
      </c>
      <c r="B605" s="11" t="s">
        <v>93</v>
      </c>
      <c r="C605" s="11" t="s">
        <v>74</v>
      </c>
      <c r="D605" s="11" t="s">
        <v>115</v>
      </c>
      <c r="E605" s="11" t="s">
        <v>105</v>
      </c>
      <c r="F605" s="11" t="s">
        <v>604</v>
      </c>
      <c r="G605" s="11" t="s">
        <v>78</v>
      </c>
      <c r="H605" s="11" t="s">
        <v>79</v>
      </c>
      <c r="I605" s="11" t="s">
        <v>78</v>
      </c>
      <c r="J605" s="12" t="n">
        <v>3689000</v>
      </c>
      <c r="K605" s="13" t="n">
        <f aca="false">IFERROR(J605/M605,"")</f>
        <v>0.170463472113119</v>
      </c>
      <c r="L605" s="12" t="n">
        <v>17952000</v>
      </c>
      <c r="M605" s="14" t="n">
        <f aca="false">L605+J605</f>
        <v>21641000</v>
      </c>
      <c r="N605" s="12" t="n">
        <v>3689000</v>
      </c>
      <c r="O605" s="12" t="n">
        <v>19338876</v>
      </c>
      <c r="P605" s="12" t="n">
        <v>1138888</v>
      </c>
      <c r="Q605" s="13" t="n">
        <f aca="false">IFERROR(P605/P604-1,"")</f>
        <v>0.151431696906095</v>
      </c>
      <c r="R605" s="12" t="n">
        <v>1255064</v>
      </c>
      <c r="S605" s="13" t="n">
        <f aca="false">IFERROR(R605/R604-1,"")</f>
        <v>0.176440151776475</v>
      </c>
      <c r="T605" s="12" t="n">
        <v>769763</v>
      </c>
      <c r="U605" s="13" t="n">
        <f aca="false">IFERROR(T605/P605,"")</f>
        <v>0.67588999093853</v>
      </c>
      <c r="V605" s="14" t="n">
        <f aca="false">T605-AV605</f>
        <v>-1910071</v>
      </c>
      <c r="W605" s="14" t="n">
        <f aca="false">V605-AA605*0.1</f>
        <v>-1978971</v>
      </c>
      <c r="X605" s="12" t="n">
        <v>3888000</v>
      </c>
      <c r="Y605" s="12" t="n">
        <v>162000</v>
      </c>
      <c r="Z605" s="15" t="n">
        <f aca="false">IFERROR(X605/Y605,"")</f>
        <v>24</v>
      </c>
      <c r="AA605" s="12" t="n">
        <v>689000</v>
      </c>
      <c r="AB605" s="14" t="n">
        <f aca="false">W605-0.02*P605</f>
        <v>-2001748.76</v>
      </c>
      <c r="AC605" s="16" t="n">
        <v>34</v>
      </c>
      <c r="AD605" s="13" t="n">
        <f aca="false">IFERROR(AC605/AC604-1,"")</f>
        <v>0.0303030303030303</v>
      </c>
      <c r="AE605" s="17" t="n">
        <v>0.064</v>
      </c>
      <c r="AF605" s="17" t="n">
        <v>0.059</v>
      </c>
      <c r="AG605" s="13" t="n">
        <f aca="false">1-AF605</f>
        <v>0.941</v>
      </c>
      <c r="AH605" s="17" t="n">
        <v>1.075</v>
      </c>
      <c r="AI605" s="12" t="n">
        <v>84500</v>
      </c>
      <c r="AJ605" s="14" t="n">
        <f aca="false">IFERROR(AM605*U605*MIN(1/AE605,5),"")</f>
        <v>204186.36626253</v>
      </c>
      <c r="AK605" s="18" t="n">
        <f aca="false">IFERROR(AJ605/AI605,"")</f>
        <v>2.41640670133171</v>
      </c>
      <c r="AL605" s="15" t="n">
        <f aca="false">IFERROR(AI605/(AM605*U605/12),"")</f>
        <v>24.8302572439206</v>
      </c>
      <c r="AM605" s="12" t="n">
        <v>60420</v>
      </c>
      <c r="AN605" s="12" t="n">
        <v>1543269</v>
      </c>
      <c r="AO605" s="12" t="n">
        <v>4941285</v>
      </c>
      <c r="AP605" s="17" t="n">
        <v>0.207</v>
      </c>
      <c r="AQ605" s="16" t="n">
        <v>83</v>
      </c>
      <c r="AR605" s="16" t="n">
        <v>12</v>
      </c>
      <c r="AS605" s="13" t="n">
        <f aca="false">IFERROR(AR605/AR604-1,"")</f>
        <v>0.0909090909090908</v>
      </c>
      <c r="AT605" s="11" t="s">
        <v>153</v>
      </c>
      <c r="AU605" s="14" t="n">
        <f aca="false">IFERROR(P605/AR605,"")</f>
        <v>94907.3333333333</v>
      </c>
      <c r="AV605" s="12" t="n">
        <v>2679834</v>
      </c>
      <c r="AW605" s="12" t="n">
        <v>1272855</v>
      </c>
      <c r="AX605" s="12" t="n">
        <v>678570</v>
      </c>
      <c r="AY605" s="16" t="n">
        <v>14491</v>
      </c>
      <c r="AZ605" s="13" t="n">
        <f aca="false">IFERROR(AY605/AY604-1,"")</f>
        <v>0.180048859934853</v>
      </c>
      <c r="BA605" s="17" t="n">
        <v>0.945</v>
      </c>
      <c r="BB605" s="11" t="s">
        <v>161</v>
      </c>
      <c r="BC605" s="11" t="s">
        <v>100</v>
      </c>
      <c r="BD605" s="11" t="s">
        <v>83</v>
      </c>
      <c r="BE605" s="12" t="n">
        <v>1367712</v>
      </c>
      <c r="BF605" s="13" t="n">
        <f aca="false">IFERROR(P605/BE605-1,"")</f>
        <v>-0.167304227790646</v>
      </c>
      <c r="BG605" s="17" t="n">
        <v>0.041</v>
      </c>
      <c r="BH605" s="17" t="n">
        <v>0.006</v>
      </c>
      <c r="BI605" s="14" t="n">
        <f aca="false">P605*(1+IFERROR(Q605,0))^4</f>
        <v>2001860.17407908</v>
      </c>
      <c r="BJ605" s="12" t="n">
        <v>-973802</v>
      </c>
      <c r="BK605" s="11" t="s">
        <v>102</v>
      </c>
      <c r="BL605" s="11" t="s">
        <v>85</v>
      </c>
      <c r="BM605" s="14" t="n">
        <f aca="false">O605</f>
        <v>19338876</v>
      </c>
      <c r="BN605" s="11" t="s">
        <v>605</v>
      </c>
      <c r="BO605" s="13" t="n">
        <f aca="false">IFERROR(1-L605/M605,"")</f>
        <v>0.170463472113119</v>
      </c>
      <c r="BP605" s="11" t="s">
        <v>142</v>
      </c>
      <c r="BQ605" s="12" t="n">
        <v>2574314</v>
      </c>
      <c r="BR605" s="11" t="s">
        <v>88</v>
      </c>
      <c r="BS605" s="11" t="s">
        <v>89</v>
      </c>
      <c r="BT605" s="19" t="str">
        <f aca="false">IF(OR(Z605&lt;6,AH605&lt;0.9,S605&lt;0.02,AK605&lt;1),"REVIEW",IF(AND(S605&gt;0.25,AH605&gt;1.2),"ACCELERATING","STABLE"))</f>
        <v>STABLE</v>
      </c>
    </row>
    <row r="606" customFormat="false" ht="15" hidden="false" customHeight="false" outlineLevel="0" collapsed="false">
      <c r="A606" s="3" t="s">
        <v>606</v>
      </c>
      <c r="B606" s="3" t="s">
        <v>73</v>
      </c>
      <c r="C606" s="3" t="s">
        <v>74</v>
      </c>
      <c r="D606" s="3" t="s">
        <v>95</v>
      </c>
      <c r="E606" s="3" t="s">
        <v>105</v>
      </c>
      <c r="F606" s="3" t="s">
        <v>607</v>
      </c>
      <c r="G606" s="3" t="s">
        <v>78</v>
      </c>
      <c r="H606" s="3" t="s">
        <v>79</v>
      </c>
      <c r="I606" s="3" t="s">
        <v>78</v>
      </c>
      <c r="J606" s="4" t="n">
        <v>2084000</v>
      </c>
      <c r="K606" s="5" t="n">
        <f aca="false">IFERROR(J606/M606,"")</f>
        <v>0.160901791229154</v>
      </c>
      <c r="L606" s="4" t="n">
        <v>10868000</v>
      </c>
      <c r="M606" s="6" t="n">
        <f aca="false">L606+J606</f>
        <v>12952000</v>
      </c>
      <c r="N606" s="4" t="n">
        <v>2335000</v>
      </c>
      <c r="O606" s="4" t="n">
        <v>23769898</v>
      </c>
      <c r="P606" s="4" t="n">
        <v>585164</v>
      </c>
      <c r="Q606" s="7"/>
      <c r="R606" s="4" t="n">
        <v>662559</v>
      </c>
      <c r="S606" s="7"/>
      <c r="T606" s="4" t="n">
        <v>360854</v>
      </c>
      <c r="U606" s="5" t="n">
        <f aca="false">IFERROR(T606/P606,"")</f>
        <v>0.616671565578197</v>
      </c>
      <c r="V606" s="6" t="n">
        <f aca="false">T606-AV606</f>
        <v>-1640582</v>
      </c>
      <c r="W606" s="6" t="n">
        <f aca="false">V606-AA606*0.1</f>
        <v>-1640582</v>
      </c>
      <c r="X606" s="4" t="n">
        <v>3412104</v>
      </c>
      <c r="Y606" s="4" t="n">
        <v>161070</v>
      </c>
      <c r="Z606" s="8" t="n">
        <f aca="false">IFERROR(X606/Y606,"")</f>
        <v>21.1839821195753</v>
      </c>
      <c r="AA606" s="4" t="n">
        <v>0</v>
      </c>
      <c r="AB606" s="6" t="n">
        <f aca="false">W606-0.02*P606</f>
        <v>-1652285.28</v>
      </c>
      <c r="AC606" s="9" t="n">
        <v>13</v>
      </c>
      <c r="AD606" s="7"/>
      <c r="AE606" s="7" t="n">
        <v>0.052</v>
      </c>
      <c r="AF606" s="7" t="n">
        <v>0.036</v>
      </c>
      <c r="AG606" s="5" t="n">
        <f aca="false">1-AF606</f>
        <v>0.964</v>
      </c>
      <c r="AH606" s="7" t="n">
        <v>1.164</v>
      </c>
      <c r="AI606" s="4" t="n">
        <v>32436</v>
      </c>
      <c r="AJ606" s="6" t="n">
        <f aca="false">IFERROR(AM606*U606*MIN(1/AE606,5),"")</f>
        <v>95584.0926646205</v>
      </c>
      <c r="AK606" s="10" t="n">
        <f aca="false">IFERROR(AJ606/AI606,"")</f>
        <v>2.94685203676842</v>
      </c>
      <c r="AL606" s="8" t="n">
        <f aca="false">IFERROR(AI606/(AM606*U606/12),"")</f>
        <v>20.3607100904181</v>
      </c>
      <c r="AM606" s="4" t="n">
        <v>31000</v>
      </c>
      <c r="AN606" s="4" t="n">
        <v>904551</v>
      </c>
      <c r="AO606" s="4" t="n">
        <v>1716261</v>
      </c>
      <c r="AP606" s="7" t="n">
        <v>0.121</v>
      </c>
      <c r="AQ606" s="9" t="n">
        <v>78</v>
      </c>
      <c r="AR606" s="9" t="n">
        <v>2</v>
      </c>
      <c r="AS606" s="7"/>
      <c r="AT606" s="3" t="s">
        <v>80</v>
      </c>
      <c r="AU606" s="6" t="n">
        <f aca="false">IFERROR(P606/AR606,"")</f>
        <v>292582</v>
      </c>
      <c r="AV606" s="4" t="n">
        <v>2001436</v>
      </c>
      <c r="AW606" s="4" t="n">
        <v>777530</v>
      </c>
      <c r="AX606" s="4" t="n">
        <v>589033</v>
      </c>
      <c r="AY606" s="9" t="n">
        <v>8122</v>
      </c>
      <c r="AZ606" s="7"/>
      <c r="BA606" s="7" t="n">
        <v>0.953</v>
      </c>
      <c r="BB606" s="3" t="s">
        <v>81</v>
      </c>
      <c r="BC606" s="3" t="s">
        <v>100</v>
      </c>
      <c r="BD606" s="3" t="s">
        <v>157</v>
      </c>
      <c r="BE606" s="4" t="n">
        <v>573865</v>
      </c>
      <c r="BF606" s="5" t="n">
        <f aca="false">IFERROR(P606/BE606-1,"")</f>
        <v>0.0196892997481986</v>
      </c>
      <c r="BG606" s="7" t="n">
        <v>0.067</v>
      </c>
      <c r="BH606" s="7" t="n">
        <v>-0.035</v>
      </c>
      <c r="BI606" s="6" t="n">
        <f aca="false">P606</f>
        <v>585164</v>
      </c>
      <c r="BJ606" s="4" t="n">
        <v>-969627</v>
      </c>
      <c r="BK606" s="3" t="s">
        <v>84</v>
      </c>
      <c r="BL606" s="3" t="s">
        <v>111</v>
      </c>
      <c r="BM606" s="6" t="n">
        <f aca="false">O606</f>
        <v>23769898</v>
      </c>
      <c r="BN606" s="3" t="s">
        <v>608</v>
      </c>
      <c r="BO606" s="5" t="n">
        <f aca="false">IFERROR(1-L606/M606,"")</f>
        <v>0.160901791229154</v>
      </c>
      <c r="BP606" s="3" t="s">
        <v>142</v>
      </c>
      <c r="BQ606" s="4" t="n">
        <v>2309602</v>
      </c>
      <c r="BR606" s="3" t="s">
        <v>88</v>
      </c>
      <c r="BS606" s="3" t="s">
        <v>89</v>
      </c>
      <c r="BT606" s="3" t="s">
        <v>90</v>
      </c>
    </row>
    <row r="607" customFormat="false" ht="15" hidden="false" customHeight="false" outlineLevel="0" collapsed="false">
      <c r="A607" s="11" t="s">
        <v>606</v>
      </c>
      <c r="B607" s="11" t="s">
        <v>91</v>
      </c>
      <c r="C607" s="11" t="s">
        <v>74</v>
      </c>
      <c r="D607" s="11" t="s">
        <v>95</v>
      </c>
      <c r="E607" s="11" t="s">
        <v>105</v>
      </c>
      <c r="F607" s="11" t="s">
        <v>607</v>
      </c>
      <c r="G607" s="11" t="s">
        <v>78</v>
      </c>
      <c r="H607" s="11" t="s">
        <v>79</v>
      </c>
      <c r="I607" s="11" t="s">
        <v>78</v>
      </c>
      <c r="J607" s="12" t="n">
        <v>2084000</v>
      </c>
      <c r="K607" s="13" t="n">
        <f aca="false">IFERROR(J607/M607,"")</f>
        <v>0.160901791229154</v>
      </c>
      <c r="L607" s="12" t="n">
        <v>10868000</v>
      </c>
      <c r="M607" s="14" t="n">
        <f aca="false">L607+J607</f>
        <v>12952000</v>
      </c>
      <c r="N607" s="12" t="n">
        <v>2335000</v>
      </c>
      <c r="O607" s="12" t="n">
        <v>23769898</v>
      </c>
      <c r="P607" s="12" t="n">
        <v>686266</v>
      </c>
      <c r="Q607" s="13" t="n">
        <f aca="false">IFERROR(P607/P606-1,"")</f>
        <v>0.17277549541667</v>
      </c>
      <c r="R607" s="12" t="n">
        <v>782643</v>
      </c>
      <c r="S607" s="13" t="n">
        <f aca="false">IFERROR(R607/R606-1,"")</f>
        <v>0.181242727062797</v>
      </c>
      <c r="T607" s="12" t="n">
        <v>424914</v>
      </c>
      <c r="U607" s="13" t="n">
        <f aca="false">IFERROR(T607/P607,"")</f>
        <v>0.619168077684163</v>
      </c>
      <c r="V607" s="14" t="n">
        <f aca="false">T607-AV607</f>
        <v>-2099743</v>
      </c>
      <c r="W607" s="14" t="n">
        <f aca="false">V607-AA607*0.1</f>
        <v>-2099743</v>
      </c>
      <c r="X607" s="12" t="n">
        <v>3005889</v>
      </c>
      <c r="Y607" s="12" t="n">
        <v>166380</v>
      </c>
      <c r="Z607" s="15" t="n">
        <f aca="false">IFERROR(X607/Y607,"")</f>
        <v>18.0664082221421</v>
      </c>
      <c r="AA607" s="12" t="n">
        <v>0</v>
      </c>
      <c r="AB607" s="14" t="n">
        <f aca="false">W607-0.02*P607</f>
        <v>-2113468.32</v>
      </c>
      <c r="AC607" s="16" t="n">
        <v>14</v>
      </c>
      <c r="AD607" s="13" t="n">
        <f aca="false">IFERROR(AC607/AC606-1,"")</f>
        <v>0.0769230769230769</v>
      </c>
      <c r="AE607" s="17" t="n">
        <v>0.051</v>
      </c>
      <c r="AF607" s="17" t="n">
        <v>0.048</v>
      </c>
      <c r="AG607" s="13" t="n">
        <f aca="false">1-AF607</f>
        <v>0.952</v>
      </c>
      <c r="AH607" s="17" t="n">
        <v>1.159</v>
      </c>
      <c r="AI607" s="12" t="n">
        <v>31824</v>
      </c>
      <c r="AJ607" s="14" t="n">
        <f aca="false">IFERROR(AM607*U607*MIN(1/AE607,5),"")</f>
        <v>97890.4730818662</v>
      </c>
      <c r="AK607" s="18" t="n">
        <f aca="false">IFERROR(AJ607/AI607,"")</f>
        <v>3.07599525772581</v>
      </c>
      <c r="AL607" s="15" t="n">
        <f aca="false">IFERROR(AI607/(AM607*U607/12),"")</f>
        <v>19.5058818277763</v>
      </c>
      <c r="AM607" s="12" t="n">
        <v>31620</v>
      </c>
      <c r="AN607" s="12" t="n">
        <v>709836</v>
      </c>
      <c r="AO607" s="12" t="n">
        <v>1359661</v>
      </c>
      <c r="AP607" s="17" t="n">
        <v>0.121</v>
      </c>
      <c r="AQ607" s="16" t="n">
        <v>78</v>
      </c>
      <c r="AR607" s="16" t="n">
        <v>3</v>
      </c>
      <c r="AS607" s="13" t="n">
        <f aca="false">IFERROR(AR607/AR606-1,"")</f>
        <v>0.5</v>
      </c>
      <c r="AT607" s="11" t="s">
        <v>80</v>
      </c>
      <c r="AU607" s="14" t="n">
        <f aca="false">IFERROR(P607/AR607,"")</f>
        <v>228755.333333333</v>
      </c>
      <c r="AV607" s="12" t="n">
        <v>2524657</v>
      </c>
      <c r="AW607" s="12" t="n">
        <v>1137496</v>
      </c>
      <c r="AX607" s="12" t="n">
        <v>660021</v>
      </c>
      <c r="AY607" s="16" t="n">
        <v>9007</v>
      </c>
      <c r="AZ607" s="13" t="n">
        <f aca="false">IFERROR(AY607/AY606-1,"")</f>
        <v>0.108963309529672</v>
      </c>
      <c r="BA607" s="17" t="n">
        <v>0.947</v>
      </c>
      <c r="BB607" s="11" t="s">
        <v>81</v>
      </c>
      <c r="BC607" s="11" t="s">
        <v>100</v>
      </c>
      <c r="BD607" s="11" t="s">
        <v>157</v>
      </c>
      <c r="BE607" s="12" t="n">
        <v>695714</v>
      </c>
      <c r="BF607" s="13" t="n">
        <f aca="false">IFERROR(P607/BE607-1,"")</f>
        <v>-0.013580293051455</v>
      </c>
      <c r="BG607" s="17" t="n">
        <v>0.031</v>
      </c>
      <c r="BH607" s="17" t="n">
        <v>0.091</v>
      </c>
      <c r="BI607" s="14" t="n">
        <f aca="false">P607*(1+IFERROR(Q607,0))^4</f>
        <v>1298231.11882067</v>
      </c>
      <c r="BJ607" s="12" t="n">
        <v>-1418964</v>
      </c>
      <c r="BK607" s="11" t="s">
        <v>84</v>
      </c>
      <c r="BL607" s="11" t="s">
        <v>111</v>
      </c>
      <c r="BM607" s="14" t="n">
        <f aca="false">O607</f>
        <v>23769898</v>
      </c>
      <c r="BN607" s="11" t="s">
        <v>608</v>
      </c>
      <c r="BO607" s="13" t="n">
        <f aca="false">IFERROR(1-L607/M607,"")</f>
        <v>0.160901791229154</v>
      </c>
      <c r="BP607" s="11" t="s">
        <v>142</v>
      </c>
      <c r="BQ607" s="12" t="n">
        <v>3225781</v>
      </c>
      <c r="BR607" s="11" t="s">
        <v>88</v>
      </c>
      <c r="BS607" s="11" t="s">
        <v>89</v>
      </c>
      <c r="BT607" s="19" t="str">
        <f aca="false">IF(OR(Z607&lt;6,AH607&lt;0.9,S607&lt;0.02,AK607&lt;1),"REVIEW",IF(AND(S607&gt;0.25,AH607&gt;1.2),"ACCELERATING","STABLE"))</f>
        <v>STABLE</v>
      </c>
    </row>
    <row r="608" customFormat="false" ht="15" hidden="false" customHeight="false" outlineLevel="0" collapsed="false">
      <c r="A608" s="11" t="s">
        <v>606</v>
      </c>
      <c r="B608" s="11" t="s">
        <v>92</v>
      </c>
      <c r="C608" s="11" t="s">
        <v>74</v>
      </c>
      <c r="D608" s="11" t="s">
        <v>95</v>
      </c>
      <c r="E608" s="11" t="s">
        <v>105</v>
      </c>
      <c r="F608" s="11" t="s">
        <v>607</v>
      </c>
      <c r="G608" s="11" t="s">
        <v>78</v>
      </c>
      <c r="H608" s="11" t="s">
        <v>79</v>
      </c>
      <c r="I608" s="11" t="s">
        <v>78</v>
      </c>
      <c r="J608" s="12" t="n">
        <v>2084000</v>
      </c>
      <c r="K608" s="13" t="n">
        <f aca="false">IFERROR(J608/M608,"")</f>
        <v>0.160901791229154</v>
      </c>
      <c r="L608" s="12" t="n">
        <v>10868000</v>
      </c>
      <c r="M608" s="14" t="n">
        <f aca="false">L608+J608</f>
        <v>12952000</v>
      </c>
      <c r="N608" s="12" t="n">
        <v>2335000</v>
      </c>
      <c r="O608" s="12" t="n">
        <v>23769898</v>
      </c>
      <c r="P608" s="12" t="n">
        <v>876505</v>
      </c>
      <c r="Q608" s="13" t="n">
        <f aca="false">IFERROR(P608/P607-1,"")</f>
        <v>0.277208837389584</v>
      </c>
      <c r="R608" s="12" t="n">
        <v>1000573</v>
      </c>
      <c r="S608" s="13" t="n">
        <f aca="false">IFERROR(R608/R607-1,"")</f>
        <v>0.278453905548251</v>
      </c>
      <c r="T608" s="12" t="n">
        <v>544892</v>
      </c>
      <c r="U608" s="13" t="n">
        <f aca="false">IFERROR(T608/P608,"")</f>
        <v>0.621664451429256</v>
      </c>
      <c r="V608" s="14" t="n">
        <f aca="false">T608-AV608</f>
        <v>-1934523</v>
      </c>
      <c r="W608" s="14" t="n">
        <f aca="false">V608-AA608*0.1</f>
        <v>-1934523</v>
      </c>
      <c r="X608" s="12" t="n">
        <v>2571000</v>
      </c>
      <c r="Y608" s="12" t="n">
        <v>171690</v>
      </c>
      <c r="Z608" s="15" t="n">
        <f aca="false">IFERROR(X608/Y608,"")</f>
        <v>14.9746636379521</v>
      </c>
      <c r="AA608" s="12" t="n">
        <v>0</v>
      </c>
      <c r="AB608" s="14" t="n">
        <f aca="false">W608-0.02*P608</f>
        <v>-1952053.1</v>
      </c>
      <c r="AC608" s="16" t="n">
        <v>17</v>
      </c>
      <c r="AD608" s="13" t="n">
        <f aca="false">IFERROR(AC608/AC607-1,"")</f>
        <v>0.214285714285714</v>
      </c>
      <c r="AE608" s="17" t="n">
        <v>0.049</v>
      </c>
      <c r="AF608" s="17" t="n">
        <v>0.03</v>
      </c>
      <c r="AG608" s="13" t="n">
        <f aca="false">1-AF608</f>
        <v>0.97</v>
      </c>
      <c r="AH608" s="17" t="n">
        <v>1.154</v>
      </c>
      <c r="AI608" s="12" t="n">
        <v>31212</v>
      </c>
      <c r="AJ608" s="14" t="n">
        <f aca="false">IFERROR(AM608*U608*MIN(1/AE608,5),"")</f>
        <v>100212.309570396</v>
      </c>
      <c r="AK608" s="18" t="n">
        <f aca="false">IFERROR(AJ608/AI608,"")</f>
        <v>3.21069811516071</v>
      </c>
      <c r="AL608" s="15" t="n">
        <f aca="false">IFERROR(AI608/(AM608*U608/12),"")</f>
        <v>18.6875245968109</v>
      </c>
      <c r="AM608" s="12" t="n">
        <v>32240</v>
      </c>
      <c r="AN608" s="12" t="n">
        <v>1152751</v>
      </c>
      <c r="AO608" s="12" t="n">
        <v>2015058</v>
      </c>
      <c r="AP608" s="17" t="n">
        <v>0.121</v>
      </c>
      <c r="AQ608" s="16" t="n">
        <v>78</v>
      </c>
      <c r="AR608" s="16" t="n">
        <v>3</v>
      </c>
      <c r="AS608" s="13" t="n">
        <f aca="false">IFERROR(AR608/AR607-1,"")</f>
        <v>0</v>
      </c>
      <c r="AT608" s="11" t="s">
        <v>80</v>
      </c>
      <c r="AU608" s="14" t="n">
        <f aca="false">IFERROR(P608/AR608,"")</f>
        <v>292168.333333333</v>
      </c>
      <c r="AV608" s="12" t="n">
        <v>2479415</v>
      </c>
      <c r="AW608" s="12" t="n">
        <v>956637</v>
      </c>
      <c r="AX608" s="12" t="n">
        <v>836987</v>
      </c>
      <c r="AY608" s="16" t="n">
        <v>11200</v>
      </c>
      <c r="AZ608" s="13" t="n">
        <f aca="false">IFERROR(AY608/AY607-1,"")</f>
        <v>0.243477295436882</v>
      </c>
      <c r="BA608" s="17" t="n">
        <v>0.947</v>
      </c>
      <c r="BB608" s="11" t="s">
        <v>81</v>
      </c>
      <c r="BC608" s="11" t="s">
        <v>100</v>
      </c>
      <c r="BD608" s="11" t="s">
        <v>157</v>
      </c>
      <c r="BE608" s="12" t="n">
        <v>1012400</v>
      </c>
      <c r="BF608" s="13" t="n">
        <f aca="false">IFERROR(P608/BE608-1,"")</f>
        <v>-0.134230541288028</v>
      </c>
      <c r="BG608" s="17" t="n">
        <v>0.064</v>
      </c>
      <c r="BH608" s="17" t="n">
        <v>0.081</v>
      </c>
      <c r="BI608" s="14" t="n">
        <f aca="false">P608*(1+IFERROR(Q608,0))^4</f>
        <v>2332394.76196847</v>
      </c>
      <c r="BJ608" s="12" t="n">
        <v>-1901966</v>
      </c>
      <c r="BK608" s="11" t="s">
        <v>84</v>
      </c>
      <c r="BL608" s="11" t="s">
        <v>111</v>
      </c>
      <c r="BM608" s="14" t="n">
        <f aca="false">O608</f>
        <v>23769898</v>
      </c>
      <c r="BN608" s="11" t="s">
        <v>608</v>
      </c>
      <c r="BO608" s="13" t="n">
        <f aca="false">IFERROR(1-L608/M608,"")</f>
        <v>0.160901791229154</v>
      </c>
      <c r="BP608" s="11" t="s">
        <v>142</v>
      </c>
      <c r="BQ608" s="12" t="n">
        <v>2811721</v>
      </c>
      <c r="BR608" s="11" t="s">
        <v>88</v>
      </c>
      <c r="BS608" s="11" t="s">
        <v>89</v>
      </c>
      <c r="BT608" s="19" t="str">
        <f aca="false">IF(OR(Z608&lt;6,AH608&lt;0.9,S608&lt;0.02,AK608&lt;1),"REVIEW",IF(AND(S608&gt;0.25,AH608&gt;1.2),"ACCELERATING","STABLE"))</f>
        <v>STABLE</v>
      </c>
    </row>
    <row r="609" customFormat="false" ht="15" hidden="false" customHeight="false" outlineLevel="0" collapsed="false">
      <c r="A609" s="11" t="s">
        <v>606</v>
      </c>
      <c r="B609" s="11" t="s">
        <v>93</v>
      </c>
      <c r="C609" s="11" t="s">
        <v>74</v>
      </c>
      <c r="D609" s="11" t="s">
        <v>95</v>
      </c>
      <c r="E609" s="11" t="s">
        <v>105</v>
      </c>
      <c r="F609" s="11" t="s">
        <v>607</v>
      </c>
      <c r="G609" s="11" t="s">
        <v>78</v>
      </c>
      <c r="H609" s="11" t="s">
        <v>79</v>
      </c>
      <c r="I609" s="11" t="s">
        <v>78</v>
      </c>
      <c r="J609" s="12" t="n">
        <v>2084000</v>
      </c>
      <c r="K609" s="13" t="n">
        <f aca="false">IFERROR(J609/M609,"")</f>
        <v>0.160901791229154</v>
      </c>
      <c r="L609" s="12" t="n">
        <v>10868000</v>
      </c>
      <c r="M609" s="14" t="n">
        <f aca="false">L609+J609</f>
        <v>12952000</v>
      </c>
      <c r="N609" s="12" t="n">
        <v>2335000</v>
      </c>
      <c r="O609" s="12" t="n">
        <v>23769898</v>
      </c>
      <c r="P609" s="12" t="n">
        <v>1009709</v>
      </c>
      <c r="Q609" s="13" t="n">
        <f aca="false">IFERROR(P609/P608-1,"")</f>
        <v>0.151971751444658</v>
      </c>
      <c r="R609" s="12" t="n">
        <v>1172108</v>
      </c>
      <c r="S609" s="13" t="n">
        <f aca="false">IFERROR(R609/R608-1,"")</f>
        <v>0.171436766732662</v>
      </c>
      <c r="T609" s="12" t="n">
        <v>630221</v>
      </c>
      <c r="U609" s="13" t="n">
        <f aca="false">IFERROR(T609/P609,"")</f>
        <v>0.624161020650504</v>
      </c>
      <c r="V609" s="14" t="n">
        <f aca="false">T609-AV609</f>
        <v>-1938124</v>
      </c>
      <c r="W609" s="14" t="n">
        <f aca="false">V609-AA609*0.1</f>
        <v>-1938124</v>
      </c>
      <c r="X609" s="12" t="n">
        <v>2107437</v>
      </c>
      <c r="Y609" s="12" t="n">
        <v>177000</v>
      </c>
      <c r="Z609" s="15" t="n">
        <f aca="false">IFERROR(X609/Y609,"")</f>
        <v>11.9064237288136</v>
      </c>
      <c r="AA609" s="12" t="n">
        <v>0</v>
      </c>
      <c r="AB609" s="14" t="n">
        <f aca="false">W609-0.02*P609</f>
        <v>-1958318.18</v>
      </c>
      <c r="AC609" s="16" t="n">
        <v>20</v>
      </c>
      <c r="AD609" s="13" t="n">
        <f aca="false">IFERROR(AC609/AC608-1,"")</f>
        <v>0.176470588235294</v>
      </c>
      <c r="AE609" s="17" t="n">
        <v>0.048</v>
      </c>
      <c r="AF609" s="17" t="n">
        <v>0.039</v>
      </c>
      <c r="AG609" s="13" t="n">
        <f aca="false">1-AF609</f>
        <v>0.961</v>
      </c>
      <c r="AH609" s="17" t="n">
        <v>1.149</v>
      </c>
      <c r="AI609" s="12" t="n">
        <v>30600</v>
      </c>
      <c r="AJ609" s="14" t="n">
        <f aca="false">IFERROR(AM609*U609*MIN(1/AE609,5),"")</f>
        <v>102549.655692878</v>
      </c>
      <c r="AK609" s="18" t="n">
        <f aca="false">IFERROR(AJ609/AI609,"")</f>
        <v>3.35129593767575</v>
      </c>
      <c r="AL609" s="15" t="n">
        <f aca="false">IFERROR(AI609/(AM609*U609/12),"")</f>
        <v>17.9035218362758</v>
      </c>
      <c r="AM609" s="12" t="n">
        <v>32860</v>
      </c>
      <c r="AN609" s="12" t="n">
        <v>1572314</v>
      </c>
      <c r="AO609" s="12" t="n">
        <v>3291132</v>
      </c>
      <c r="AP609" s="17" t="n">
        <v>0.121</v>
      </c>
      <c r="AQ609" s="16" t="n">
        <v>78</v>
      </c>
      <c r="AR609" s="16" t="n">
        <v>3</v>
      </c>
      <c r="AS609" s="13" t="n">
        <f aca="false">IFERROR(AR609/AR608-1,"")</f>
        <v>0</v>
      </c>
      <c r="AT609" s="11" t="s">
        <v>80</v>
      </c>
      <c r="AU609" s="14" t="n">
        <f aca="false">IFERROR(P609/AR609,"")</f>
        <v>336569.666666667</v>
      </c>
      <c r="AV609" s="12" t="n">
        <v>2568345</v>
      </c>
      <c r="AW609" s="12" t="n">
        <v>785632</v>
      </c>
      <c r="AX609" s="12" t="n">
        <v>604137</v>
      </c>
      <c r="AY609" s="16" t="n">
        <v>13864</v>
      </c>
      <c r="AZ609" s="13" t="n">
        <f aca="false">IFERROR(AY609/AY608-1,"")</f>
        <v>0.237857142857143</v>
      </c>
      <c r="BA609" s="17" t="n">
        <v>0.961</v>
      </c>
      <c r="BB609" s="11" t="s">
        <v>81</v>
      </c>
      <c r="BC609" s="11" t="s">
        <v>100</v>
      </c>
      <c r="BD609" s="11" t="s">
        <v>157</v>
      </c>
      <c r="BE609" s="12" t="n">
        <v>996192</v>
      </c>
      <c r="BF609" s="13" t="n">
        <f aca="false">IFERROR(P609/BE609-1,"")</f>
        <v>0.0135686694934309</v>
      </c>
      <c r="BG609" s="17" t="n">
        <v>0.016</v>
      </c>
      <c r="BH609" s="17" t="n">
        <v>0.094</v>
      </c>
      <c r="BI609" s="14" t="n">
        <f aca="false">P609*(1+IFERROR(Q609,0))^4</f>
        <v>1778130.14736836</v>
      </c>
      <c r="BJ609" s="12" t="n">
        <v>-1158426</v>
      </c>
      <c r="BK609" s="11" t="s">
        <v>84</v>
      </c>
      <c r="BL609" s="11" t="s">
        <v>111</v>
      </c>
      <c r="BM609" s="14" t="n">
        <f aca="false">O609</f>
        <v>23769898</v>
      </c>
      <c r="BN609" s="11" t="s">
        <v>608</v>
      </c>
      <c r="BO609" s="13" t="n">
        <f aca="false">IFERROR(1-L609/M609,"")</f>
        <v>0.160901791229154</v>
      </c>
      <c r="BP609" s="11" t="s">
        <v>142</v>
      </c>
      <c r="BQ609" s="12" t="n">
        <v>2586089</v>
      </c>
      <c r="BR609" s="11" t="s">
        <v>88</v>
      </c>
      <c r="BS609" s="11" t="s">
        <v>89</v>
      </c>
      <c r="BT609" s="19" t="str">
        <f aca="false">IF(OR(Z609&lt;6,AH609&lt;0.9,S609&lt;0.02,AK609&lt;1),"REVIEW",IF(AND(S609&gt;0.25,AH609&gt;1.2),"ACCELERATING","STABLE"))</f>
        <v>STABLE</v>
      </c>
    </row>
    <row r="610" customFormat="false" ht="15" hidden="false" customHeight="false" outlineLevel="0" collapsed="false">
      <c r="A610" s="3" t="s">
        <v>609</v>
      </c>
      <c r="B610" s="3" t="s">
        <v>73</v>
      </c>
      <c r="C610" s="3" t="s">
        <v>74</v>
      </c>
      <c r="D610" s="3" t="s">
        <v>165</v>
      </c>
      <c r="E610" s="3" t="s">
        <v>105</v>
      </c>
      <c r="F610" s="3" t="s">
        <v>610</v>
      </c>
      <c r="G610" s="3" t="s">
        <v>78</v>
      </c>
      <c r="H610" s="3" t="s">
        <v>79</v>
      </c>
      <c r="I610" s="3" t="s">
        <v>78</v>
      </c>
      <c r="J610" s="4" t="n">
        <v>4772000</v>
      </c>
      <c r="K610" s="5" t="n">
        <f aca="false">IFERROR(J610/M610,"")</f>
        <v>0.157710357591381</v>
      </c>
      <c r="L610" s="4" t="n">
        <v>25486000</v>
      </c>
      <c r="M610" s="6" t="n">
        <f aca="false">L610+J610</f>
        <v>30258000</v>
      </c>
      <c r="N610" s="4" t="n">
        <v>4772000</v>
      </c>
      <c r="O610" s="4" t="n">
        <v>46432051</v>
      </c>
      <c r="P610" s="4" t="n">
        <v>805083</v>
      </c>
      <c r="Q610" s="7"/>
      <c r="R610" s="4" t="n">
        <v>902698</v>
      </c>
      <c r="S610" s="7"/>
      <c r="T610" s="4" t="n">
        <v>571265</v>
      </c>
      <c r="U610" s="5" t="n">
        <f aca="false">IFERROR(T610/P610,"")</f>
        <v>0.709572801810497</v>
      </c>
      <c r="V610" s="6" t="n">
        <f aca="false">T610-AV610</f>
        <v>-1188282</v>
      </c>
      <c r="W610" s="6" t="n">
        <f aca="false">V610-AA610*0.1</f>
        <v>-1188282</v>
      </c>
      <c r="X610" s="4" t="n">
        <v>3482181</v>
      </c>
      <c r="Y610" s="4" t="n">
        <v>101010</v>
      </c>
      <c r="Z610" s="8" t="n">
        <f aca="false">IFERROR(X610/Y610,"")</f>
        <v>34.4736263736264</v>
      </c>
      <c r="AA610" s="4" t="n">
        <v>0</v>
      </c>
      <c r="AB610" s="6" t="n">
        <f aca="false">W610-0.02*P610</f>
        <v>-1204383.66</v>
      </c>
      <c r="AC610" s="9" t="n">
        <v>49</v>
      </c>
      <c r="AD610" s="7"/>
      <c r="AE610" s="7" t="n">
        <v>0.149</v>
      </c>
      <c r="AF610" s="7" t="n">
        <v>0.121</v>
      </c>
      <c r="AG610" s="5" t="n">
        <f aca="false">1-AF610</f>
        <v>0.879</v>
      </c>
      <c r="AH610" s="7" t="n">
        <v>1.083</v>
      </c>
      <c r="AI610" s="4" t="n">
        <v>64978</v>
      </c>
      <c r="AJ610" s="6" t="n">
        <f aca="false">IFERROR(AM610*U610*MIN(1/AE610,5),"")</f>
        <v>141914.560362099</v>
      </c>
      <c r="AK610" s="10" t="n">
        <f aca="false">IFERROR(AJ610/AI610,"")</f>
        <v>2.18404014223428</v>
      </c>
      <c r="AL610" s="8" t="n">
        <f aca="false">IFERROR(AI610/(AM610*U610/12),"")</f>
        <v>27.4720225328</v>
      </c>
      <c r="AM610" s="4" t="n">
        <v>40000</v>
      </c>
      <c r="AN610" s="4" t="n">
        <v>1337648</v>
      </c>
      <c r="AO610" s="4" t="n">
        <v>2497778</v>
      </c>
      <c r="AP610" s="7" t="n">
        <v>0.323</v>
      </c>
      <c r="AQ610" s="9" t="n">
        <v>44</v>
      </c>
      <c r="AR610" s="9" t="n">
        <v>4</v>
      </c>
      <c r="AS610" s="7"/>
      <c r="AT610" s="3" t="s">
        <v>201</v>
      </c>
      <c r="AU610" s="6" t="n">
        <f aca="false">IFERROR(P610/AR610,"")</f>
        <v>201270.75</v>
      </c>
      <c r="AV610" s="4" t="n">
        <v>1759547</v>
      </c>
      <c r="AW610" s="4" t="n">
        <v>812455</v>
      </c>
      <c r="AX610" s="4" t="n">
        <v>523181</v>
      </c>
      <c r="AY610" s="9" t="n">
        <v>7585</v>
      </c>
      <c r="AZ610" s="7"/>
      <c r="BA610" s="7" t="n">
        <v>0.886</v>
      </c>
      <c r="BB610" s="3" t="s">
        <v>107</v>
      </c>
      <c r="BC610" s="3" t="s">
        <v>108</v>
      </c>
      <c r="BD610" s="3" t="s">
        <v>109</v>
      </c>
      <c r="BE610" s="4" t="n">
        <v>909750</v>
      </c>
      <c r="BF610" s="5" t="n">
        <f aca="false">IFERROR(P610/BE610-1,"")</f>
        <v>-0.115050288540808</v>
      </c>
      <c r="BG610" s="7" t="n">
        <v>-0.03</v>
      </c>
      <c r="BH610" s="7" t="n">
        <v>0.077</v>
      </c>
      <c r="BI610" s="6" t="n">
        <f aca="false">P610</f>
        <v>805083</v>
      </c>
      <c r="BJ610" s="4" t="n">
        <v>-678993</v>
      </c>
      <c r="BK610" s="3" t="s">
        <v>110</v>
      </c>
      <c r="BL610" s="3" t="s">
        <v>128</v>
      </c>
      <c r="BM610" s="6" t="n">
        <f aca="false">O610</f>
        <v>46432051</v>
      </c>
      <c r="BN610" s="3" t="s">
        <v>611</v>
      </c>
      <c r="BO610" s="5" t="n">
        <f aca="false">IFERROR(1-L610/M610,"")</f>
        <v>0.157710357591381</v>
      </c>
      <c r="BP610" s="3" t="s">
        <v>87</v>
      </c>
      <c r="BQ610" s="4" t="n">
        <v>1428233</v>
      </c>
      <c r="BR610" s="3" t="s">
        <v>88</v>
      </c>
      <c r="BS610" s="3" t="s">
        <v>89</v>
      </c>
      <c r="BT610" s="3" t="s">
        <v>90</v>
      </c>
    </row>
    <row r="611" customFormat="false" ht="15" hidden="false" customHeight="false" outlineLevel="0" collapsed="false">
      <c r="A611" s="11" t="s">
        <v>609</v>
      </c>
      <c r="B611" s="11" t="s">
        <v>91</v>
      </c>
      <c r="C611" s="11" t="s">
        <v>74</v>
      </c>
      <c r="D611" s="11" t="s">
        <v>165</v>
      </c>
      <c r="E611" s="11" t="s">
        <v>105</v>
      </c>
      <c r="F611" s="11" t="s">
        <v>610</v>
      </c>
      <c r="G611" s="11" t="s">
        <v>78</v>
      </c>
      <c r="H611" s="11" t="s">
        <v>79</v>
      </c>
      <c r="I611" s="11" t="s">
        <v>78</v>
      </c>
      <c r="J611" s="12" t="n">
        <v>4772000</v>
      </c>
      <c r="K611" s="13" t="n">
        <f aca="false">IFERROR(J611/M611,"")</f>
        <v>0.157710357591381</v>
      </c>
      <c r="L611" s="12" t="n">
        <v>25486000</v>
      </c>
      <c r="M611" s="14" t="n">
        <f aca="false">L611+J611</f>
        <v>30258000</v>
      </c>
      <c r="N611" s="12" t="n">
        <v>4772000</v>
      </c>
      <c r="O611" s="12" t="n">
        <v>46432051</v>
      </c>
      <c r="P611" s="12" t="n">
        <v>943055</v>
      </c>
      <c r="Q611" s="13" t="n">
        <f aca="false">IFERROR(P611/P610-1,"")</f>
        <v>0.171376118984005</v>
      </c>
      <c r="R611" s="12" t="n">
        <v>1071547</v>
      </c>
      <c r="S611" s="13" t="n">
        <f aca="false">IFERROR(R611/R610-1,"")</f>
        <v>0.187049267861455</v>
      </c>
      <c r="T611" s="12" t="n">
        <v>671875</v>
      </c>
      <c r="U611" s="13" t="n">
        <f aca="false">IFERROR(T611/P611,"")</f>
        <v>0.712445191425739</v>
      </c>
      <c r="V611" s="14" t="n">
        <f aca="false">T611-AV611</f>
        <v>-1130760</v>
      </c>
      <c r="W611" s="14" t="n">
        <f aca="false">V611-AA611*0.1</f>
        <v>-1130760</v>
      </c>
      <c r="X611" s="12" t="n">
        <v>3227436</v>
      </c>
      <c r="Y611" s="12" t="n">
        <v>104340</v>
      </c>
      <c r="Z611" s="15" t="n">
        <f aca="false">IFERROR(X611/Y611,"")</f>
        <v>30.931914893617</v>
      </c>
      <c r="AA611" s="12" t="n">
        <v>0</v>
      </c>
      <c r="AB611" s="14" t="n">
        <f aca="false">W611-0.02*P611</f>
        <v>-1149621.1</v>
      </c>
      <c r="AC611" s="16" t="n">
        <v>57</v>
      </c>
      <c r="AD611" s="13" t="n">
        <f aca="false">IFERROR(AC611/AC610-1,"")</f>
        <v>0.163265306122449</v>
      </c>
      <c r="AE611" s="17" t="n">
        <v>0.145</v>
      </c>
      <c r="AF611" s="17" t="n">
        <v>0.157</v>
      </c>
      <c r="AG611" s="13" t="n">
        <f aca="false">1-AF611</f>
        <v>0.843</v>
      </c>
      <c r="AH611" s="17" t="n">
        <v>1.078</v>
      </c>
      <c r="AI611" s="12" t="n">
        <v>63752</v>
      </c>
      <c r="AJ611" s="14" t="n">
        <f aca="false">IFERROR(AM611*U611*MIN(1/AE611,5),"")</f>
        <v>145338.819050851</v>
      </c>
      <c r="AK611" s="18" t="n">
        <f aca="false">IFERROR(AJ611/AI611,"")</f>
        <v>2.27975309089677</v>
      </c>
      <c r="AL611" s="15" t="n">
        <f aca="false">IFERROR(AI611/(AM611*U611/12),"")</f>
        <v>26.3186396103967</v>
      </c>
      <c r="AM611" s="12" t="n">
        <v>40800</v>
      </c>
      <c r="AN611" s="12" t="n">
        <v>1468590</v>
      </c>
      <c r="AO611" s="12" t="n">
        <v>3324638</v>
      </c>
      <c r="AP611" s="17" t="n">
        <v>0.323</v>
      </c>
      <c r="AQ611" s="16" t="n">
        <v>44</v>
      </c>
      <c r="AR611" s="16" t="n">
        <v>4</v>
      </c>
      <c r="AS611" s="13" t="n">
        <f aca="false">IFERROR(AR611/AR610-1,"")</f>
        <v>0</v>
      </c>
      <c r="AT611" s="11" t="s">
        <v>201</v>
      </c>
      <c r="AU611" s="14" t="n">
        <f aca="false">IFERROR(P611/AR611,"")</f>
        <v>235763.75</v>
      </c>
      <c r="AV611" s="12" t="n">
        <v>1802635</v>
      </c>
      <c r="AW611" s="12" t="n">
        <v>764780</v>
      </c>
      <c r="AX611" s="12" t="n">
        <v>481495</v>
      </c>
      <c r="AY611" s="16" t="n">
        <v>9390</v>
      </c>
      <c r="AZ611" s="13" t="n">
        <f aca="false">IFERROR(AY611/AY610-1,"")</f>
        <v>0.237969676994067</v>
      </c>
      <c r="BA611" s="17" t="n">
        <v>0.842</v>
      </c>
      <c r="BB611" s="11" t="s">
        <v>107</v>
      </c>
      <c r="BC611" s="11" t="s">
        <v>108</v>
      </c>
      <c r="BD611" s="11" t="s">
        <v>109</v>
      </c>
      <c r="BE611" s="12" t="n">
        <v>852192</v>
      </c>
      <c r="BF611" s="13" t="n">
        <f aca="false">IFERROR(P611/BE611-1,"")</f>
        <v>0.106622685967481</v>
      </c>
      <c r="BG611" s="17" t="n">
        <v>0.075</v>
      </c>
      <c r="BH611" s="17" t="n">
        <v>-0.053</v>
      </c>
      <c r="BI611" s="14" t="n">
        <f aca="false">P611*(1+IFERROR(Q611,0))^4</f>
        <v>1775507.39317451</v>
      </c>
      <c r="BJ611" s="12" t="n">
        <v>-950327</v>
      </c>
      <c r="BK611" s="11" t="s">
        <v>110</v>
      </c>
      <c r="BL611" s="11" t="s">
        <v>128</v>
      </c>
      <c r="BM611" s="14" t="n">
        <f aca="false">O611</f>
        <v>46432051</v>
      </c>
      <c r="BN611" s="11" t="s">
        <v>611</v>
      </c>
      <c r="BO611" s="13" t="n">
        <f aca="false">IFERROR(1-L611/M611,"")</f>
        <v>0.157710357591381</v>
      </c>
      <c r="BP611" s="11" t="s">
        <v>87</v>
      </c>
      <c r="BQ611" s="12" t="n">
        <v>1946137</v>
      </c>
      <c r="BR611" s="11" t="s">
        <v>88</v>
      </c>
      <c r="BS611" s="11" t="s">
        <v>89</v>
      </c>
      <c r="BT611" s="19" t="str">
        <f aca="false">IF(OR(Z611&lt;6,AH611&lt;0.9,S611&lt;0.02,AK611&lt;1),"REVIEW",IF(AND(S611&gt;0.25,AH611&gt;1.2),"ACCELERATING","STABLE"))</f>
        <v>STABLE</v>
      </c>
    </row>
    <row r="612" customFormat="false" ht="15" hidden="false" customHeight="false" outlineLevel="0" collapsed="false">
      <c r="A612" s="11" t="s">
        <v>609</v>
      </c>
      <c r="B612" s="11" t="s">
        <v>92</v>
      </c>
      <c r="C612" s="11" t="s">
        <v>74</v>
      </c>
      <c r="D612" s="11" t="s">
        <v>165</v>
      </c>
      <c r="E612" s="11" t="s">
        <v>105</v>
      </c>
      <c r="F612" s="11" t="s">
        <v>610</v>
      </c>
      <c r="G612" s="11" t="s">
        <v>78</v>
      </c>
      <c r="H612" s="11" t="s">
        <v>79</v>
      </c>
      <c r="I612" s="11" t="s">
        <v>78</v>
      </c>
      <c r="J612" s="12" t="n">
        <v>4772000</v>
      </c>
      <c r="K612" s="13" t="n">
        <f aca="false">IFERROR(J612/M612,"")</f>
        <v>0.157710357591381</v>
      </c>
      <c r="L612" s="12" t="n">
        <v>25486000</v>
      </c>
      <c r="M612" s="14" t="n">
        <f aca="false">L612+J612</f>
        <v>30258000</v>
      </c>
      <c r="N612" s="12" t="n">
        <v>4772000</v>
      </c>
      <c r="O612" s="12" t="n">
        <v>46432051</v>
      </c>
      <c r="P612" s="12" t="n">
        <v>1102422</v>
      </c>
      <c r="Q612" s="13" t="n">
        <f aca="false">IFERROR(P612/P611-1,"")</f>
        <v>0.168990143734989</v>
      </c>
      <c r="R612" s="12" t="n">
        <v>1349279</v>
      </c>
      <c r="S612" s="13" t="n">
        <f aca="false">IFERROR(R612/R611-1,"")</f>
        <v>0.259187884432507</v>
      </c>
      <c r="T612" s="12" t="n">
        <v>788583</v>
      </c>
      <c r="U612" s="13" t="n">
        <f aca="false">IFERROR(T612/P612,"")</f>
        <v>0.715318634787767</v>
      </c>
      <c r="V612" s="14" t="n">
        <f aca="false">T612-AV612</f>
        <v>-1235315</v>
      </c>
      <c r="W612" s="14" t="n">
        <f aca="false">V612-AA612*0.1</f>
        <v>-1235315</v>
      </c>
      <c r="X612" s="12" t="n">
        <v>2954709</v>
      </c>
      <c r="Y612" s="12" t="n">
        <v>107670</v>
      </c>
      <c r="Z612" s="15" t="n">
        <f aca="false">IFERROR(X612/Y612,"")</f>
        <v>27.4422680412371</v>
      </c>
      <c r="AA612" s="12" t="n">
        <v>0</v>
      </c>
      <c r="AB612" s="14" t="n">
        <f aca="false">W612-0.02*P612</f>
        <v>-1257363.44</v>
      </c>
      <c r="AC612" s="16" t="n">
        <v>61</v>
      </c>
      <c r="AD612" s="13" t="n">
        <f aca="false">IFERROR(AC612/AC611-1,"")</f>
        <v>0.0701754385964912</v>
      </c>
      <c r="AE612" s="17" t="n">
        <v>0.141</v>
      </c>
      <c r="AF612" s="17" t="n">
        <v>0.154</v>
      </c>
      <c r="AG612" s="13" t="n">
        <f aca="false">1-AF612</f>
        <v>0.846</v>
      </c>
      <c r="AH612" s="17" t="n">
        <v>1.073</v>
      </c>
      <c r="AI612" s="12" t="n">
        <v>62526</v>
      </c>
      <c r="AJ612" s="14" t="n">
        <f aca="false">IFERROR(AM612*U612*MIN(1/AE612,5),"")</f>
        <v>148786.276035856</v>
      </c>
      <c r="AK612" s="18" t="n">
        <f aca="false">IFERROR(AJ612/AI612,"")</f>
        <v>2.37959050692281</v>
      </c>
      <c r="AL612" s="15" t="n">
        <f aca="false">IFERROR(AI612/(AM612*U612/12),"")</f>
        <v>25.2144223241122</v>
      </c>
      <c r="AM612" s="12" t="n">
        <v>41600</v>
      </c>
      <c r="AN612" s="12" t="n">
        <v>1839611</v>
      </c>
      <c r="AO612" s="12" t="n">
        <v>3212416</v>
      </c>
      <c r="AP612" s="17" t="n">
        <v>0.323</v>
      </c>
      <c r="AQ612" s="16" t="n">
        <v>44</v>
      </c>
      <c r="AR612" s="16" t="n">
        <v>5</v>
      </c>
      <c r="AS612" s="13" t="n">
        <f aca="false">IFERROR(AR612/AR611-1,"")</f>
        <v>0.25</v>
      </c>
      <c r="AT612" s="11" t="s">
        <v>201</v>
      </c>
      <c r="AU612" s="14" t="n">
        <f aca="false">IFERROR(P612/AR612,"")</f>
        <v>220484.4</v>
      </c>
      <c r="AV612" s="12" t="n">
        <v>2023898</v>
      </c>
      <c r="AW612" s="12" t="n">
        <v>801079</v>
      </c>
      <c r="AX612" s="12" t="n">
        <v>444867</v>
      </c>
      <c r="AY612" s="16" t="n">
        <v>9912</v>
      </c>
      <c r="AZ612" s="13" t="n">
        <f aca="false">IFERROR(AY612/AY611-1,"")</f>
        <v>0.0555910543130991</v>
      </c>
      <c r="BA612" s="17" t="n">
        <v>0.853</v>
      </c>
      <c r="BB612" s="11" t="s">
        <v>107</v>
      </c>
      <c r="BC612" s="11" t="s">
        <v>108</v>
      </c>
      <c r="BD612" s="11" t="s">
        <v>109</v>
      </c>
      <c r="BE612" s="12" t="n">
        <v>1219191</v>
      </c>
      <c r="BF612" s="13" t="n">
        <f aca="false">IFERROR(P612/BE612-1,"")</f>
        <v>-0.0957758054316346</v>
      </c>
      <c r="BG612" s="17" t="n">
        <v>-0.012</v>
      </c>
      <c r="BH612" s="17" t="n">
        <v>0.092</v>
      </c>
      <c r="BI612" s="14" t="n">
        <f aca="false">P612*(1+IFERROR(Q612,0))^4</f>
        <v>2058691.48989425</v>
      </c>
      <c r="BJ612" s="12" t="n">
        <v>-897396</v>
      </c>
      <c r="BK612" s="11" t="s">
        <v>110</v>
      </c>
      <c r="BL612" s="11" t="s">
        <v>128</v>
      </c>
      <c r="BM612" s="14" t="n">
        <f aca="false">O612</f>
        <v>46432051</v>
      </c>
      <c r="BN612" s="11" t="s">
        <v>611</v>
      </c>
      <c r="BO612" s="13" t="n">
        <f aca="false">IFERROR(1-L612/M612,"")</f>
        <v>0.157710357591381</v>
      </c>
      <c r="BP612" s="11" t="s">
        <v>87</v>
      </c>
      <c r="BQ612" s="12" t="n">
        <v>1986813</v>
      </c>
      <c r="BR612" s="11" t="s">
        <v>88</v>
      </c>
      <c r="BS612" s="11" t="s">
        <v>89</v>
      </c>
      <c r="BT612" s="19" t="str">
        <f aca="false">IF(OR(Z612&lt;6,AH612&lt;0.9,S612&lt;0.02,AK612&lt;1),"REVIEW",IF(AND(S612&gt;0.25,AH612&gt;1.2),"ACCELERATING","STABLE"))</f>
        <v>STABLE</v>
      </c>
    </row>
    <row r="613" customFormat="false" ht="15" hidden="false" customHeight="false" outlineLevel="0" collapsed="false">
      <c r="A613" s="11" t="s">
        <v>609</v>
      </c>
      <c r="B613" s="11" t="s">
        <v>93</v>
      </c>
      <c r="C613" s="11" t="s">
        <v>74</v>
      </c>
      <c r="D613" s="11" t="s">
        <v>165</v>
      </c>
      <c r="E613" s="11" t="s">
        <v>105</v>
      </c>
      <c r="F613" s="11" t="s">
        <v>610</v>
      </c>
      <c r="G613" s="11" t="s">
        <v>78</v>
      </c>
      <c r="H613" s="11" t="s">
        <v>79</v>
      </c>
      <c r="I613" s="11" t="s">
        <v>78</v>
      </c>
      <c r="J613" s="12" t="n">
        <v>4772000</v>
      </c>
      <c r="K613" s="13" t="n">
        <f aca="false">IFERROR(J613/M613,"")</f>
        <v>0.157710357591381</v>
      </c>
      <c r="L613" s="12" t="n">
        <v>25486000</v>
      </c>
      <c r="M613" s="14" t="n">
        <f aca="false">L613+J613</f>
        <v>30258000</v>
      </c>
      <c r="N613" s="12" t="n">
        <v>4772000</v>
      </c>
      <c r="O613" s="12" t="n">
        <v>46432051</v>
      </c>
      <c r="P613" s="12" t="n">
        <v>1267393</v>
      </c>
      <c r="Q613" s="13" t="n">
        <f aca="false">IFERROR(P613/P612-1,"")</f>
        <v>0.149644147159618</v>
      </c>
      <c r="R613" s="12" t="n">
        <v>1532977</v>
      </c>
      <c r="S613" s="13" t="n">
        <f aca="false">IFERROR(R613/R612-1,"")</f>
        <v>0.13614530426991</v>
      </c>
      <c r="T613" s="12" t="n">
        <v>910230</v>
      </c>
      <c r="U613" s="13" t="n">
        <f aca="false">IFERROR(T613/P613,"")</f>
        <v>0.718190805851066</v>
      </c>
      <c r="V613" s="14" t="n">
        <f aca="false">T613-AV613</f>
        <v>-1186248</v>
      </c>
      <c r="W613" s="14" t="n">
        <f aca="false">V613-AA613*0.1</f>
        <v>-1186248</v>
      </c>
      <c r="X613" s="12" t="n">
        <v>2664000</v>
      </c>
      <c r="Y613" s="12" t="n">
        <v>111000</v>
      </c>
      <c r="Z613" s="15" t="n">
        <f aca="false">IFERROR(X613/Y613,"")</f>
        <v>24</v>
      </c>
      <c r="AA613" s="12" t="n">
        <v>0</v>
      </c>
      <c r="AB613" s="14" t="n">
        <f aca="false">W613-0.02*P613</f>
        <v>-1211595.86</v>
      </c>
      <c r="AC613" s="16" t="n">
        <v>77</v>
      </c>
      <c r="AD613" s="13" t="n">
        <f aca="false">IFERROR(AC613/AC612-1,"")</f>
        <v>0.262295081967213</v>
      </c>
      <c r="AE613" s="17" t="n">
        <v>0.137</v>
      </c>
      <c r="AF613" s="17" t="n">
        <v>0.124</v>
      </c>
      <c r="AG613" s="13" t="n">
        <f aca="false">1-AF613</f>
        <v>0.876</v>
      </c>
      <c r="AH613" s="17" t="n">
        <v>1.068</v>
      </c>
      <c r="AI613" s="12" t="n">
        <v>61300</v>
      </c>
      <c r="AJ613" s="14" t="n">
        <f aca="false">IFERROR(AM613*U613*MIN(1/AE613,5),"")</f>
        <v>152256.450840426</v>
      </c>
      <c r="AK613" s="18" t="n">
        <f aca="false">IFERROR(AJ613/AI613,"")</f>
        <v>2.48379202023533</v>
      </c>
      <c r="AL613" s="15" t="n">
        <f aca="false">IFERROR(AI613/(AM613*U613/12),"")</f>
        <v>24.1566119510744</v>
      </c>
      <c r="AM613" s="12" t="n">
        <v>42400</v>
      </c>
      <c r="AN613" s="12" t="n">
        <v>2082116</v>
      </c>
      <c r="AO613" s="12" t="n">
        <v>6123796</v>
      </c>
      <c r="AP613" s="17" t="n">
        <v>0.323</v>
      </c>
      <c r="AQ613" s="16" t="n">
        <v>44</v>
      </c>
      <c r="AR613" s="16" t="n">
        <v>5</v>
      </c>
      <c r="AS613" s="13" t="n">
        <f aca="false">IFERROR(AR613/AR612-1,"")</f>
        <v>0</v>
      </c>
      <c r="AT613" s="11" t="s">
        <v>201</v>
      </c>
      <c r="AU613" s="14" t="n">
        <f aca="false">IFERROR(P613/AR613,"")</f>
        <v>253478.6</v>
      </c>
      <c r="AV613" s="12" t="n">
        <v>2096478</v>
      </c>
      <c r="AW613" s="12" t="n">
        <v>1006068</v>
      </c>
      <c r="AX613" s="12" t="n">
        <v>405189</v>
      </c>
      <c r="AY613" s="16" t="n">
        <v>11646</v>
      </c>
      <c r="AZ613" s="13" t="n">
        <f aca="false">IFERROR(AY613/AY612-1,"")</f>
        <v>0.174939467312349</v>
      </c>
      <c r="BA613" s="17" t="n">
        <v>0.896</v>
      </c>
      <c r="BB613" s="11" t="s">
        <v>107</v>
      </c>
      <c r="BC613" s="11" t="s">
        <v>108</v>
      </c>
      <c r="BD613" s="11" t="s">
        <v>109</v>
      </c>
      <c r="BE613" s="12" t="n">
        <v>1536867</v>
      </c>
      <c r="BF613" s="13" t="n">
        <f aca="false">IFERROR(P613/BE613-1,"")</f>
        <v>-0.175339830967807</v>
      </c>
      <c r="BG613" s="17" t="n">
        <v>0</v>
      </c>
      <c r="BH613" s="17" t="n">
        <v>-0.044</v>
      </c>
      <c r="BI613" s="14" t="n">
        <f aca="false">P613*(1+IFERROR(Q613,0))^4</f>
        <v>2213935.86009963</v>
      </c>
      <c r="BJ613" s="12" t="n">
        <v>-672531</v>
      </c>
      <c r="BK613" s="11" t="s">
        <v>110</v>
      </c>
      <c r="BL613" s="11" t="s">
        <v>128</v>
      </c>
      <c r="BM613" s="14" t="n">
        <f aca="false">O613</f>
        <v>46432051</v>
      </c>
      <c r="BN613" s="11" t="s">
        <v>611</v>
      </c>
      <c r="BO613" s="13" t="n">
        <f aca="false">IFERROR(1-L613/M613,"")</f>
        <v>0.157710357591381</v>
      </c>
      <c r="BP613" s="11" t="s">
        <v>87</v>
      </c>
      <c r="BQ613" s="12" t="n">
        <v>2049336</v>
      </c>
      <c r="BR613" s="11" t="s">
        <v>88</v>
      </c>
      <c r="BS613" s="11" t="s">
        <v>89</v>
      </c>
      <c r="BT613" s="19" t="str">
        <f aca="false">IF(OR(Z613&lt;6,AH613&lt;0.9,S613&lt;0.02,AK613&lt;1),"REVIEW",IF(AND(S613&gt;0.25,AH613&gt;1.2),"ACCELERATING","STABLE"))</f>
        <v>STABLE</v>
      </c>
    </row>
    <row r="614" customFormat="false" ht="15" hidden="false" customHeight="false" outlineLevel="0" collapsed="false">
      <c r="A614" s="3" t="s">
        <v>612</v>
      </c>
      <c r="B614" s="3" t="s">
        <v>73</v>
      </c>
      <c r="C614" s="3" t="s">
        <v>74</v>
      </c>
      <c r="D614" s="3" t="s">
        <v>75</v>
      </c>
      <c r="E614" s="3" t="s">
        <v>105</v>
      </c>
      <c r="F614" s="3" t="s">
        <v>613</v>
      </c>
      <c r="G614" s="3" t="s">
        <v>78</v>
      </c>
      <c r="H614" s="3" t="s">
        <v>79</v>
      </c>
      <c r="I614" s="3" t="s">
        <v>78</v>
      </c>
      <c r="J614" s="4" t="n">
        <v>4717000</v>
      </c>
      <c r="K614" s="5" t="n">
        <f aca="false">IFERROR(J614/M614,"")</f>
        <v>0.180010685391543</v>
      </c>
      <c r="L614" s="4" t="n">
        <v>21487000</v>
      </c>
      <c r="M614" s="6" t="n">
        <f aca="false">L614+J614</f>
        <v>26204000</v>
      </c>
      <c r="N614" s="4" t="n">
        <v>4717000</v>
      </c>
      <c r="O614" s="4" t="n">
        <v>31613377</v>
      </c>
      <c r="P614" s="4" t="n">
        <v>1165224</v>
      </c>
      <c r="Q614" s="7"/>
      <c r="R614" s="4" t="n">
        <v>1464642</v>
      </c>
      <c r="S614" s="7"/>
      <c r="T614" s="4" t="n">
        <v>892446</v>
      </c>
      <c r="U614" s="5" t="n">
        <f aca="false">IFERROR(T614/P614,"")</f>
        <v>0.765900805338716</v>
      </c>
      <c r="V614" s="6" t="n">
        <f aca="false">T614-AV614</f>
        <v>-2314819</v>
      </c>
      <c r="W614" s="6" t="n">
        <f aca="false">V614-AA614*0.1</f>
        <v>-2314819</v>
      </c>
      <c r="X614" s="4" t="n">
        <v>5098072</v>
      </c>
      <c r="Y614" s="4" t="n">
        <v>211120</v>
      </c>
      <c r="Z614" s="8" t="n">
        <f aca="false">IFERROR(X614/Y614,"")</f>
        <v>24.1477453580902</v>
      </c>
      <c r="AA614" s="4" t="n">
        <v>0</v>
      </c>
      <c r="AB614" s="6" t="n">
        <f aca="false">W614-0.02*P614</f>
        <v>-2338123.48</v>
      </c>
      <c r="AC614" s="9" t="n">
        <v>36</v>
      </c>
      <c r="AD614" s="7"/>
      <c r="AE614" s="7" t="n">
        <v>0.135</v>
      </c>
      <c r="AF614" s="7" t="n">
        <v>0.094</v>
      </c>
      <c r="AG614" s="5" t="n">
        <f aca="false">1-AF614</f>
        <v>0.906</v>
      </c>
      <c r="AH614" s="7" t="n">
        <v>1.059</v>
      </c>
      <c r="AI614" s="4" t="n">
        <v>73564</v>
      </c>
      <c r="AJ614" s="6" t="n">
        <f aca="false">IFERROR(AM614*U614*MIN(1/AE614,5),"")</f>
        <v>199134.209388066</v>
      </c>
      <c r="AK614" s="10" t="n">
        <f aca="false">IFERROR(AJ614/AI614,"")</f>
        <v>2.70695189750511</v>
      </c>
      <c r="AL614" s="8" t="n">
        <f aca="false">IFERROR(AI614/(AM614*U614/12),"")</f>
        <v>22.1651519021448</v>
      </c>
      <c r="AM614" s="4" t="n">
        <v>52000</v>
      </c>
      <c r="AN614" s="4" t="n">
        <v>1966687</v>
      </c>
      <c r="AO614" s="4" t="n">
        <v>4403442</v>
      </c>
      <c r="AP614" s="7" t="n">
        <v>0.197</v>
      </c>
      <c r="AQ614" s="9" t="n">
        <v>34</v>
      </c>
      <c r="AR614" s="9" t="n">
        <v>1</v>
      </c>
      <c r="AS614" s="7"/>
      <c r="AT614" s="3" t="s">
        <v>201</v>
      </c>
      <c r="AU614" s="6" t="n">
        <f aca="false">IFERROR(P614/AR614,"")</f>
        <v>1165224</v>
      </c>
      <c r="AV614" s="4" t="n">
        <v>3207265</v>
      </c>
      <c r="AW614" s="4" t="n">
        <v>1504106</v>
      </c>
      <c r="AX614" s="4" t="n">
        <v>688362</v>
      </c>
      <c r="AY614" s="9" t="n">
        <v>12412</v>
      </c>
      <c r="AZ614" s="7"/>
      <c r="BA614" s="7" t="n">
        <v>0.882</v>
      </c>
      <c r="BB614" s="3" t="s">
        <v>107</v>
      </c>
      <c r="BC614" s="3" t="s">
        <v>126</v>
      </c>
      <c r="BD614" s="3" t="s">
        <v>109</v>
      </c>
      <c r="BE614" s="4" t="n">
        <v>1110125</v>
      </c>
      <c r="BF614" s="5" t="n">
        <f aca="false">IFERROR(P614/BE614-1,"")</f>
        <v>0.0496331494201103</v>
      </c>
      <c r="BG614" s="7" t="n">
        <v>0.045</v>
      </c>
      <c r="BH614" s="7" t="n">
        <v>-0.076</v>
      </c>
      <c r="BI614" s="6" t="n">
        <f aca="false">P614</f>
        <v>1165224</v>
      </c>
      <c r="BJ614" s="4" t="n">
        <v>-1345784</v>
      </c>
      <c r="BK614" s="3" t="s">
        <v>127</v>
      </c>
      <c r="BL614" s="3" t="s">
        <v>162</v>
      </c>
      <c r="BM614" s="6" t="n">
        <f aca="false">O614</f>
        <v>31613377</v>
      </c>
      <c r="BN614" s="3" t="s">
        <v>614</v>
      </c>
      <c r="BO614" s="5" t="n">
        <f aca="false">IFERROR(1-L614/M614,"")</f>
        <v>0.180010685391543</v>
      </c>
      <c r="BP614" s="3" t="s">
        <v>142</v>
      </c>
      <c r="BQ614" s="4" t="n">
        <v>3366829</v>
      </c>
      <c r="BR614" s="3" t="s">
        <v>88</v>
      </c>
      <c r="BS614" s="3" t="s">
        <v>89</v>
      </c>
      <c r="BT614" s="3" t="s">
        <v>90</v>
      </c>
    </row>
    <row r="615" customFormat="false" ht="15" hidden="false" customHeight="false" outlineLevel="0" collapsed="false">
      <c r="A615" s="11" t="s">
        <v>612</v>
      </c>
      <c r="B615" s="11" t="s">
        <v>91</v>
      </c>
      <c r="C615" s="11" t="s">
        <v>74</v>
      </c>
      <c r="D615" s="11" t="s">
        <v>75</v>
      </c>
      <c r="E615" s="11" t="s">
        <v>105</v>
      </c>
      <c r="F615" s="11" t="s">
        <v>613</v>
      </c>
      <c r="G615" s="11" t="s">
        <v>78</v>
      </c>
      <c r="H615" s="11" t="s">
        <v>79</v>
      </c>
      <c r="I615" s="11" t="s">
        <v>78</v>
      </c>
      <c r="J615" s="12" t="n">
        <v>4717000</v>
      </c>
      <c r="K615" s="13" t="n">
        <f aca="false">IFERROR(J615/M615,"")</f>
        <v>0.180010685391543</v>
      </c>
      <c r="L615" s="12" t="n">
        <v>21487000</v>
      </c>
      <c r="M615" s="14" t="n">
        <f aca="false">L615+J615</f>
        <v>26204000</v>
      </c>
      <c r="N615" s="12" t="n">
        <v>4717000</v>
      </c>
      <c r="O615" s="12" t="n">
        <v>31613377</v>
      </c>
      <c r="P615" s="12" t="n">
        <v>1297614</v>
      </c>
      <c r="Q615" s="13" t="n">
        <f aca="false">IFERROR(P615/P614-1,"")</f>
        <v>0.113617639183539</v>
      </c>
      <c r="R615" s="12" t="n">
        <v>1672137</v>
      </c>
      <c r="S615" s="13" t="n">
        <f aca="false">IFERROR(R615/R614-1,"")</f>
        <v>0.14166943184751</v>
      </c>
      <c r="T615" s="12" t="n">
        <v>997867</v>
      </c>
      <c r="U615" s="13" t="n">
        <f aca="false">IFERROR(T615/P615,"")</f>
        <v>0.769001413363296</v>
      </c>
      <c r="V615" s="14" t="n">
        <f aca="false">T615-AV615</f>
        <v>-2000512</v>
      </c>
      <c r="W615" s="14" t="n">
        <f aca="false">V615-AA615*0.1</f>
        <v>-2000512</v>
      </c>
      <c r="X615" s="12" t="n">
        <v>4565632</v>
      </c>
      <c r="Y615" s="12" t="n">
        <v>218080</v>
      </c>
      <c r="Z615" s="15" t="n">
        <f aca="false">IFERROR(X615/Y615,"")</f>
        <v>20.9355832721937</v>
      </c>
      <c r="AA615" s="12" t="n">
        <v>0</v>
      </c>
      <c r="AB615" s="14" t="n">
        <f aca="false">W615-0.02*P615</f>
        <v>-2026464.28</v>
      </c>
      <c r="AC615" s="16" t="n">
        <v>41</v>
      </c>
      <c r="AD615" s="13" t="n">
        <f aca="false">IFERROR(AC615/AC614-1,"")</f>
        <v>0.138888888888889</v>
      </c>
      <c r="AE615" s="17" t="n">
        <v>0.131</v>
      </c>
      <c r="AF615" s="17" t="n">
        <v>0.135</v>
      </c>
      <c r="AG615" s="13" t="n">
        <f aca="false">1-AF615</f>
        <v>0.865</v>
      </c>
      <c r="AH615" s="17" t="n">
        <v>1.054</v>
      </c>
      <c r="AI615" s="12" t="n">
        <v>72176</v>
      </c>
      <c r="AJ615" s="14" t="n">
        <f aca="false">IFERROR(AM615*U615*MIN(1/AE615,5),"")</f>
        <v>203939.174823946</v>
      </c>
      <c r="AK615" s="18" t="n">
        <f aca="false">IFERROR(AJ615/AI615,"")</f>
        <v>2.82558156206975</v>
      </c>
      <c r="AL615" s="15" t="n">
        <f aca="false">IFERROR(AI615/(AM615*U615/12),"")</f>
        <v>21.2345666483079</v>
      </c>
      <c r="AM615" s="12" t="n">
        <v>53040</v>
      </c>
      <c r="AN615" s="12" t="n">
        <v>2099950</v>
      </c>
      <c r="AO615" s="12" t="n">
        <v>4877361</v>
      </c>
      <c r="AP615" s="17" t="n">
        <v>0.197</v>
      </c>
      <c r="AQ615" s="16" t="n">
        <v>34</v>
      </c>
      <c r="AR615" s="16" t="n">
        <v>2</v>
      </c>
      <c r="AS615" s="13" t="n">
        <f aca="false">IFERROR(AR615/AR614-1,"")</f>
        <v>1</v>
      </c>
      <c r="AT615" s="11" t="s">
        <v>201</v>
      </c>
      <c r="AU615" s="14" t="n">
        <f aca="false">IFERROR(P615/AR615,"")</f>
        <v>648807</v>
      </c>
      <c r="AV615" s="12" t="n">
        <v>2998379</v>
      </c>
      <c r="AW615" s="12" t="n">
        <v>1204824</v>
      </c>
      <c r="AX615" s="12" t="n">
        <v>655314</v>
      </c>
      <c r="AY615" s="16" t="n">
        <v>14320</v>
      </c>
      <c r="AZ615" s="13" t="n">
        <f aca="false">IFERROR(AY615/AY614-1,"")</f>
        <v>0.153722204318401</v>
      </c>
      <c r="BA615" s="17" t="n">
        <v>0.88</v>
      </c>
      <c r="BB615" s="11" t="s">
        <v>107</v>
      </c>
      <c r="BC615" s="11" t="s">
        <v>126</v>
      </c>
      <c r="BD615" s="11" t="s">
        <v>109</v>
      </c>
      <c r="BE615" s="12" t="n">
        <v>1327162</v>
      </c>
      <c r="BF615" s="13" t="n">
        <f aca="false">IFERROR(P615/BE615-1,"")</f>
        <v>-0.0222640491514977</v>
      </c>
      <c r="BG615" s="17" t="n">
        <v>-0.005</v>
      </c>
      <c r="BH615" s="17" t="n">
        <v>0.032</v>
      </c>
      <c r="BI615" s="14" t="n">
        <f aca="false">P615*(1+IFERROR(Q615,0))^4</f>
        <v>1995675.50992722</v>
      </c>
      <c r="BJ615" s="12" t="n">
        <v>-1707459</v>
      </c>
      <c r="BK615" s="11" t="s">
        <v>127</v>
      </c>
      <c r="BL615" s="11" t="s">
        <v>162</v>
      </c>
      <c r="BM615" s="14" t="n">
        <f aca="false">O615</f>
        <v>31613377</v>
      </c>
      <c r="BN615" s="11" t="s">
        <v>614</v>
      </c>
      <c r="BO615" s="13" t="n">
        <f aca="false">IFERROR(1-L615/M615,"")</f>
        <v>0.180010685391543</v>
      </c>
      <c r="BP615" s="11" t="s">
        <v>142</v>
      </c>
      <c r="BQ615" s="12" t="n">
        <v>3369484</v>
      </c>
      <c r="BR615" s="11" t="s">
        <v>88</v>
      </c>
      <c r="BS615" s="11" t="s">
        <v>89</v>
      </c>
      <c r="BT615" s="19" t="str">
        <f aca="false">IF(OR(Z615&lt;6,AH615&lt;0.9,S615&lt;0.02,AK615&lt;1),"REVIEW",IF(AND(S615&gt;0.25,AH615&gt;1.2),"ACCELERATING","STABLE"))</f>
        <v>STABLE</v>
      </c>
    </row>
    <row r="616" customFormat="false" ht="15" hidden="false" customHeight="false" outlineLevel="0" collapsed="false">
      <c r="A616" s="11" t="s">
        <v>612</v>
      </c>
      <c r="B616" s="11" t="s">
        <v>92</v>
      </c>
      <c r="C616" s="11" t="s">
        <v>74</v>
      </c>
      <c r="D616" s="11" t="s">
        <v>75</v>
      </c>
      <c r="E616" s="11" t="s">
        <v>105</v>
      </c>
      <c r="F616" s="11" t="s">
        <v>613</v>
      </c>
      <c r="G616" s="11" t="s">
        <v>78</v>
      </c>
      <c r="H616" s="11" t="s">
        <v>79</v>
      </c>
      <c r="I616" s="11" t="s">
        <v>78</v>
      </c>
      <c r="J616" s="12" t="n">
        <v>4717000</v>
      </c>
      <c r="K616" s="13" t="n">
        <f aca="false">IFERROR(J616/M616,"")</f>
        <v>0.180010685391543</v>
      </c>
      <c r="L616" s="12" t="n">
        <v>21487000</v>
      </c>
      <c r="M616" s="14" t="n">
        <f aca="false">L616+J616</f>
        <v>26204000</v>
      </c>
      <c r="N616" s="12" t="n">
        <v>4717000</v>
      </c>
      <c r="O616" s="12" t="n">
        <v>31613377</v>
      </c>
      <c r="P616" s="12" t="n">
        <v>1401198</v>
      </c>
      <c r="Q616" s="13" t="n">
        <f aca="false">IFERROR(P616/P615-1,"")</f>
        <v>0.0798265123526718</v>
      </c>
      <c r="R616" s="12" t="n">
        <v>1810519</v>
      </c>
      <c r="S616" s="13" t="n">
        <f aca="false">IFERROR(R616/R615-1,"")</f>
        <v>0.0827575730935921</v>
      </c>
      <c r="T616" s="12" t="n">
        <v>1081868</v>
      </c>
      <c r="U616" s="13" t="n">
        <f aca="false">IFERROR(T616/P616,"")</f>
        <v>0.772102158295972</v>
      </c>
      <c r="V616" s="14" t="n">
        <f aca="false">T616-AV616</f>
        <v>-2606780</v>
      </c>
      <c r="W616" s="14" t="n">
        <f aca="false">V616-AA616*0.1</f>
        <v>-2606780</v>
      </c>
      <c r="X616" s="12" t="n">
        <v>3995608</v>
      </c>
      <c r="Y616" s="12" t="n">
        <v>225040</v>
      </c>
      <c r="Z616" s="15" t="n">
        <f aca="false">IFERROR(X616/Y616,"")</f>
        <v>17.7551013153217</v>
      </c>
      <c r="AA616" s="12" t="n">
        <v>0</v>
      </c>
      <c r="AB616" s="14" t="n">
        <f aca="false">W616-0.02*P616</f>
        <v>-2634803.96</v>
      </c>
      <c r="AC616" s="16" t="n">
        <v>42</v>
      </c>
      <c r="AD616" s="13" t="n">
        <f aca="false">IFERROR(AC616/AC615-1,"")</f>
        <v>0.024390243902439</v>
      </c>
      <c r="AE616" s="17" t="n">
        <v>0.128</v>
      </c>
      <c r="AF616" s="17" t="n">
        <v>0.103</v>
      </c>
      <c r="AG616" s="13" t="n">
        <f aca="false">1-AF616</f>
        <v>0.897</v>
      </c>
      <c r="AH616" s="17" t="n">
        <v>1.049</v>
      </c>
      <c r="AI616" s="12" t="n">
        <v>70788</v>
      </c>
      <c r="AJ616" s="14" t="n">
        <f aca="false">IFERROR(AM616*U616*MIN(1/AE616,5),"")</f>
        <v>208776.423603231</v>
      </c>
      <c r="AK616" s="18" t="n">
        <f aca="false">IFERROR(AJ616/AI616,"")</f>
        <v>2.94931942706717</v>
      </c>
      <c r="AL616" s="15" t="n">
        <f aca="false">IFERROR(AI616/(AM616*U616/12),"")</f>
        <v>20.3436763916971</v>
      </c>
      <c r="AM616" s="12" t="n">
        <v>54080</v>
      </c>
      <c r="AN616" s="12" t="n">
        <v>2349964</v>
      </c>
      <c r="AO616" s="12" t="n">
        <v>5366429</v>
      </c>
      <c r="AP616" s="17" t="n">
        <v>0.197</v>
      </c>
      <c r="AQ616" s="16" t="n">
        <v>34</v>
      </c>
      <c r="AR616" s="16" t="n">
        <v>2</v>
      </c>
      <c r="AS616" s="13" t="n">
        <f aca="false">IFERROR(AR616/AR615-1,"")</f>
        <v>0</v>
      </c>
      <c r="AT616" s="11" t="s">
        <v>201</v>
      </c>
      <c r="AU616" s="14" t="n">
        <f aca="false">IFERROR(P616/AR616,"")</f>
        <v>700599</v>
      </c>
      <c r="AV616" s="12" t="n">
        <v>3688648</v>
      </c>
      <c r="AW616" s="12" t="n">
        <v>1496629</v>
      </c>
      <c r="AX616" s="12" t="n">
        <v>931391</v>
      </c>
      <c r="AY616" s="16" t="n">
        <v>15609</v>
      </c>
      <c r="AZ616" s="13" t="n">
        <f aca="false">IFERROR(AY616/AY615-1,"")</f>
        <v>0.0900139664804469</v>
      </c>
      <c r="BA616" s="17" t="n">
        <v>0.878</v>
      </c>
      <c r="BB616" s="11" t="s">
        <v>107</v>
      </c>
      <c r="BC616" s="11" t="s">
        <v>126</v>
      </c>
      <c r="BD616" s="11" t="s">
        <v>109</v>
      </c>
      <c r="BE616" s="12" t="n">
        <v>1672980</v>
      </c>
      <c r="BF616" s="13" t="n">
        <f aca="false">IFERROR(P616/BE616-1,"")</f>
        <v>-0.162453824911236</v>
      </c>
      <c r="BG616" s="17" t="n">
        <v>0.055</v>
      </c>
      <c r="BH616" s="17" t="n">
        <v>-0.009</v>
      </c>
      <c r="BI616" s="14" t="n">
        <f aca="false">P616*(1+IFERROR(Q616,0))^4</f>
        <v>1905089.80858367</v>
      </c>
      <c r="BJ616" s="12" t="n">
        <v>-1984429</v>
      </c>
      <c r="BK616" s="11" t="s">
        <v>127</v>
      </c>
      <c r="BL616" s="11" t="s">
        <v>162</v>
      </c>
      <c r="BM616" s="14" t="n">
        <f aca="false">O616</f>
        <v>31613377</v>
      </c>
      <c r="BN616" s="11" t="s">
        <v>614</v>
      </c>
      <c r="BO616" s="13" t="n">
        <f aca="false">IFERROR(1-L616/M616,"")</f>
        <v>0.180010685391543</v>
      </c>
      <c r="BP616" s="11" t="s">
        <v>142</v>
      </c>
      <c r="BQ616" s="12" t="n">
        <v>3175959</v>
      </c>
      <c r="BR616" s="11" t="s">
        <v>88</v>
      </c>
      <c r="BS616" s="11" t="s">
        <v>89</v>
      </c>
      <c r="BT616" s="19" t="str">
        <f aca="false">IF(OR(Z616&lt;6,AH616&lt;0.9,S616&lt;0.02,AK616&lt;1),"REVIEW",IF(AND(S616&gt;0.25,AH616&gt;1.2),"ACCELERATING","STABLE"))</f>
        <v>STABLE</v>
      </c>
    </row>
    <row r="617" customFormat="false" ht="15" hidden="false" customHeight="false" outlineLevel="0" collapsed="false">
      <c r="A617" s="11" t="s">
        <v>612</v>
      </c>
      <c r="B617" s="11" t="s">
        <v>93</v>
      </c>
      <c r="C617" s="11" t="s">
        <v>74</v>
      </c>
      <c r="D617" s="11" t="s">
        <v>75</v>
      </c>
      <c r="E617" s="11" t="s">
        <v>105</v>
      </c>
      <c r="F617" s="11" t="s">
        <v>613</v>
      </c>
      <c r="G617" s="11" t="s">
        <v>78</v>
      </c>
      <c r="H617" s="11" t="s">
        <v>79</v>
      </c>
      <c r="I617" s="11" t="s">
        <v>78</v>
      </c>
      <c r="J617" s="12" t="n">
        <v>4717000</v>
      </c>
      <c r="K617" s="13" t="n">
        <f aca="false">IFERROR(J617/M617,"")</f>
        <v>0.180010685391543</v>
      </c>
      <c r="L617" s="12" t="n">
        <v>21487000</v>
      </c>
      <c r="M617" s="14" t="n">
        <f aca="false">L617+J617</f>
        <v>26204000</v>
      </c>
      <c r="N617" s="12" t="n">
        <v>4717000</v>
      </c>
      <c r="O617" s="12" t="n">
        <v>31613377</v>
      </c>
      <c r="P617" s="12" t="n">
        <v>1577381</v>
      </c>
      <c r="Q617" s="13" t="n">
        <f aca="false">IFERROR(P617/P616-1,"")</f>
        <v>0.125737404706544</v>
      </c>
      <c r="R617" s="12" t="n">
        <v>1970441</v>
      </c>
      <c r="S617" s="13" t="n">
        <f aca="false">IFERROR(R617/R616-1,"")</f>
        <v>0.0883293685401809</v>
      </c>
      <c r="T617" s="12" t="n">
        <v>1222791</v>
      </c>
      <c r="U617" s="13" t="n">
        <f aca="false">IFERROR(T617/P617,"")</f>
        <v>0.775203327541032</v>
      </c>
      <c r="V617" s="14" t="n">
        <f aca="false">T617-AV617</f>
        <v>-3012563</v>
      </c>
      <c r="W617" s="14" t="n">
        <f aca="false">V617-AA617*0.1</f>
        <v>-3012563</v>
      </c>
      <c r="X617" s="12" t="n">
        <v>3388000</v>
      </c>
      <c r="Y617" s="12" t="n">
        <v>232000</v>
      </c>
      <c r="Z617" s="15" t="n">
        <f aca="false">IFERROR(X617/Y617,"")</f>
        <v>14.6034482758621</v>
      </c>
      <c r="AA617" s="12" t="n">
        <v>0</v>
      </c>
      <c r="AB617" s="14" t="n">
        <f aca="false">W617-0.02*P617</f>
        <v>-3044110.62</v>
      </c>
      <c r="AC617" s="16" t="n">
        <v>46</v>
      </c>
      <c r="AD617" s="13" t="n">
        <f aca="false">IFERROR(AC617/AC616-1,"")</f>
        <v>0.0952380952380953</v>
      </c>
      <c r="AE617" s="17" t="n">
        <v>0.124</v>
      </c>
      <c r="AF617" s="17" t="n">
        <v>0.085</v>
      </c>
      <c r="AG617" s="13" t="n">
        <f aca="false">1-AF617</f>
        <v>0.915</v>
      </c>
      <c r="AH617" s="17" t="n">
        <v>1.044</v>
      </c>
      <c r="AI617" s="12" t="n">
        <v>69400</v>
      </c>
      <c r="AJ617" s="14" t="n">
        <f aca="false">IFERROR(AM617*U617*MIN(1/AE617,5),"")</f>
        <v>213646.037070308</v>
      </c>
      <c r="AK617" s="18" t="n">
        <f aca="false">IFERROR(AJ617/AI617,"")</f>
        <v>3.07847315663268</v>
      </c>
      <c r="AL617" s="15" t="n">
        <f aca="false">IFERROR(AI617/(AM617*U617/12),"")</f>
        <v>19.4901813162567</v>
      </c>
      <c r="AM617" s="12" t="n">
        <v>55120</v>
      </c>
      <c r="AN617" s="12" t="n">
        <v>2794142</v>
      </c>
      <c r="AO617" s="12" t="n">
        <v>5070340</v>
      </c>
      <c r="AP617" s="17" t="n">
        <v>0.197</v>
      </c>
      <c r="AQ617" s="16" t="n">
        <v>34</v>
      </c>
      <c r="AR617" s="16" t="n">
        <v>2</v>
      </c>
      <c r="AS617" s="13" t="n">
        <f aca="false">IFERROR(AR617/AR616-1,"")</f>
        <v>0</v>
      </c>
      <c r="AT617" s="11" t="s">
        <v>201</v>
      </c>
      <c r="AU617" s="14" t="n">
        <f aca="false">IFERROR(P617/AR617,"")</f>
        <v>788690.5</v>
      </c>
      <c r="AV617" s="12" t="n">
        <v>4235354</v>
      </c>
      <c r="AW617" s="12" t="n">
        <v>1817068</v>
      </c>
      <c r="AX617" s="12" t="n">
        <v>804788</v>
      </c>
      <c r="AY617" s="16" t="n">
        <v>17683</v>
      </c>
      <c r="AZ617" s="13" t="n">
        <f aca="false">IFERROR(AY617/AY616-1,"")</f>
        <v>0.132872060990454</v>
      </c>
      <c r="BA617" s="17" t="n">
        <v>0.866</v>
      </c>
      <c r="BB617" s="11" t="s">
        <v>107</v>
      </c>
      <c r="BC617" s="11" t="s">
        <v>126</v>
      </c>
      <c r="BD617" s="11" t="s">
        <v>109</v>
      </c>
      <c r="BE617" s="12" t="n">
        <v>1466780</v>
      </c>
      <c r="BF617" s="13" t="n">
        <f aca="false">IFERROR(P617/BE617-1,"")</f>
        <v>0.0754039460587137</v>
      </c>
      <c r="BG617" s="17" t="n">
        <v>-0.035</v>
      </c>
      <c r="BH617" s="17" t="n">
        <v>-0.002</v>
      </c>
      <c r="BI617" s="14" t="n">
        <f aca="false">P617*(1+IFERROR(Q617,0))^4</f>
        <v>2533290.48303445</v>
      </c>
      <c r="BJ617" s="12" t="n">
        <v>-1646713</v>
      </c>
      <c r="BK617" s="11" t="s">
        <v>127</v>
      </c>
      <c r="BL617" s="11" t="s">
        <v>162</v>
      </c>
      <c r="BM617" s="14" t="n">
        <f aca="false">O617</f>
        <v>31613377</v>
      </c>
      <c r="BN617" s="11" t="s">
        <v>614</v>
      </c>
      <c r="BO617" s="13" t="n">
        <f aca="false">IFERROR(1-L617/M617,"")</f>
        <v>0.180010685391543</v>
      </c>
      <c r="BP617" s="11" t="s">
        <v>142</v>
      </c>
      <c r="BQ617" s="12" t="n">
        <v>3718607</v>
      </c>
      <c r="BR617" s="11" t="s">
        <v>88</v>
      </c>
      <c r="BS617" s="11" t="s">
        <v>89</v>
      </c>
      <c r="BT617" s="19" t="str">
        <f aca="false">IF(OR(Z617&lt;6,AH617&lt;0.9,S617&lt;0.02,AK617&lt;1),"REVIEW",IF(AND(S617&gt;0.25,AH617&gt;1.2),"ACCELERATING","STABLE"))</f>
        <v>STABLE</v>
      </c>
    </row>
    <row r="618" customFormat="false" ht="15" hidden="false" customHeight="false" outlineLevel="0" collapsed="false">
      <c r="A618" s="3" t="s">
        <v>615</v>
      </c>
      <c r="B618" s="3" t="s">
        <v>73</v>
      </c>
      <c r="C618" s="3" t="s">
        <v>74</v>
      </c>
      <c r="D618" s="3" t="s">
        <v>165</v>
      </c>
      <c r="E618" s="3" t="s">
        <v>105</v>
      </c>
      <c r="F618" s="3" t="s">
        <v>616</v>
      </c>
      <c r="G618" s="3" t="s">
        <v>78</v>
      </c>
      <c r="H618" s="3" t="s">
        <v>79</v>
      </c>
      <c r="I618" s="3" t="s">
        <v>78</v>
      </c>
      <c r="J618" s="4" t="n">
        <v>3837000</v>
      </c>
      <c r="K618" s="5" t="n">
        <f aca="false">IFERROR(J618/M618,"")</f>
        <v>0.127921320220037</v>
      </c>
      <c r="L618" s="4" t="n">
        <v>26158000</v>
      </c>
      <c r="M618" s="6" t="n">
        <f aca="false">L618+J618</f>
        <v>29995000</v>
      </c>
      <c r="N618" s="4" t="n">
        <v>4681000</v>
      </c>
      <c r="O618" s="4" t="n">
        <v>34307824</v>
      </c>
      <c r="P618" s="4" t="n">
        <v>1171399</v>
      </c>
      <c r="Q618" s="7"/>
      <c r="R618" s="4" t="n">
        <v>1267717</v>
      </c>
      <c r="S618" s="7"/>
      <c r="T618" s="4" t="n">
        <v>902008</v>
      </c>
      <c r="U618" s="5" t="n">
        <f aca="false">IFERROR(T618/P618,"")</f>
        <v>0.770026267736271</v>
      </c>
      <c r="V618" s="6" t="n">
        <f aca="false">T618-AV618</f>
        <v>-1431019</v>
      </c>
      <c r="W618" s="6" t="n">
        <f aca="false">V618-AA618*0.1</f>
        <v>-1431019</v>
      </c>
      <c r="X618" s="4" t="n">
        <v>3103413</v>
      </c>
      <c r="Y618" s="4" t="n">
        <v>148330</v>
      </c>
      <c r="Z618" s="8" t="n">
        <f aca="false">IFERROR(X618/Y618,"")</f>
        <v>20.9223555585519</v>
      </c>
      <c r="AA618" s="4" t="n">
        <v>0</v>
      </c>
      <c r="AB618" s="6" t="n">
        <f aca="false">W618-0.02*P618</f>
        <v>-1454446.98</v>
      </c>
      <c r="AC618" s="9" t="n">
        <v>11</v>
      </c>
      <c r="AD618" s="7"/>
      <c r="AE618" s="7" t="n">
        <v>0.052</v>
      </c>
      <c r="AF618" s="7" t="n">
        <v>0.048</v>
      </c>
      <c r="AG618" s="5" t="n">
        <f aca="false">1-AF618</f>
        <v>0.952</v>
      </c>
      <c r="AH618" s="7" t="n">
        <v>1.156</v>
      </c>
      <c r="AI618" s="4" t="n">
        <v>40704</v>
      </c>
      <c r="AJ618" s="6" t="n">
        <f aca="false">IFERROR(AM618*U618*MIN(1/AE618,5),"")</f>
        <v>127054.334176485</v>
      </c>
      <c r="AK618" s="10" t="n">
        <f aca="false">IFERROR(AJ618/AI618,"")</f>
        <v>3.12142133884839</v>
      </c>
      <c r="AL618" s="8" t="n">
        <f aca="false">IFERROR(AI618/(AM618*U618/12),"")</f>
        <v>19.2220125022072</v>
      </c>
      <c r="AM618" s="4" t="n">
        <v>33000</v>
      </c>
      <c r="AN618" s="4" t="n">
        <v>1602033</v>
      </c>
      <c r="AO618" s="4" t="n">
        <v>2776983</v>
      </c>
      <c r="AP618" s="7" t="n">
        <v>0.286</v>
      </c>
      <c r="AQ618" s="9" t="n">
        <v>63</v>
      </c>
      <c r="AR618" s="9" t="n">
        <v>1</v>
      </c>
      <c r="AS618" s="7"/>
      <c r="AT618" s="3" t="s">
        <v>153</v>
      </c>
      <c r="AU618" s="6" t="n">
        <f aca="false">IFERROR(P618/AR618,"")</f>
        <v>1171399</v>
      </c>
      <c r="AV618" s="4" t="n">
        <v>2333027</v>
      </c>
      <c r="AW618" s="4" t="n">
        <v>1059976</v>
      </c>
      <c r="AX618" s="4" t="n">
        <v>584151</v>
      </c>
      <c r="AY618" s="9" t="n">
        <v>961</v>
      </c>
      <c r="AZ618" s="7"/>
      <c r="BA618" s="7" t="n">
        <v>0.946</v>
      </c>
      <c r="BB618" s="3" t="s">
        <v>99</v>
      </c>
      <c r="BC618" s="3" t="s">
        <v>108</v>
      </c>
      <c r="BD618" s="3" t="s">
        <v>83</v>
      </c>
      <c r="BE618" s="4" t="n">
        <v>1140384</v>
      </c>
      <c r="BF618" s="5" t="n">
        <f aca="false">IFERROR(P618/BE618-1,"")</f>
        <v>0.0271969792631255</v>
      </c>
      <c r="BG618" s="7" t="n">
        <v>0.072</v>
      </c>
      <c r="BH618" s="7" t="n">
        <v>-0.044</v>
      </c>
      <c r="BI618" s="6" t="n">
        <f aca="false">P618</f>
        <v>1171399</v>
      </c>
      <c r="BJ618" s="4" t="n">
        <v>-1063565</v>
      </c>
      <c r="BK618" s="3" t="s">
        <v>192</v>
      </c>
      <c r="BL618" s="3" t="s">
        <v>128</v>
      </c>
      <c r="BM618" s="6" t="n">
        <f aca="false">O618</f>
        <v>34307824</v>
      </c>
      <c r="BN618" s="3" t="s">
        <v>617</v>
      </c>
      <c r="BO618" s="5" t="n">
        <f aca="false">IFERROR(1-L618/M618,"")</f>
        <v>0.127921320220037</v>
      </c>
      <c r="BP618" s="3" t="s">
        <v>113</v>
      </c>
      <c r="BQ618" s="4" t="n">
        <v>2357207</v>
      </c>
      <c r="BR618" s="3" t="s">
        <v>88</v>
      </c>
      <c r="BS618" s="3" t="s">
        <v>89</v>
      </c>
      <c r="BT618" s="3" t="s">
        <v>90</v>
      </c>
    </row>
    <row r="619" customFormat="false" ht="15" hidden="false" customHeight="false" outlineLevel="0" collapsed="false">
      <c r="A619" s="11" t="s">
        <v>615</v>
      </c>
      <c r="B619" s="11" t="s">
        <v>91</v>
      </c>
      <c r="C619" s="11" t="s">
        <v>74</v>
      </c>
      <c r="D619" s="11" t="s">
        <v>165</v>
      </c>
      <c r="E619" s="11" t="s">
        <v>105</v>
      </c>
      <c r="F619" s="11" t="s">
        <v>616</v>
      </c>
      <c r="G619" s="11" t="s">
        <v>78</v>
      </c>
      <c r="H619" s="11" t="s">
        <v>79</v>
      </c>
      <c r="I619" s="11" t="s">
        <v>78</v>
      </c>
      <c r="J619" s="12" t="n">
        <v>3837000</v>
      </c>
      <c r="K619" s="13" t="n">
        <f aca="false">IFERROR(J619/M619,"")</f>
        <v>0.127921320220037</v>
      </c>
      <c r="L619" s="12" t="n">
        <v>26158000</v>
      </c>
      <c r="M619" s="14" t="n">
        <f aca="false">L619+J619</f>
        <v>29995000</v>
      </c>
      <c r="N619" s="12" t="n">
        <v>4681000</v>
      </c>
      <c r="O619" s="12" t="n">
        <v>34307824</v>
      </c>
      <c r="P619" s="12" t="n">
        <v>1405416</v>
      </c>
      <c r="Q619" s="13" t="n">
        <f aca="false">IFERROR(P619/P618-1,"")</f>
        <v>0.199775652873188</v>
      </c>
      <c r="R619" s="12" t="n">
        <v>1483394</v>
      </c>
      <c r="S619" s="13" t="n">
        <f aca="false">IFERROR(R619/R618-1,"")</f>
        <v>0.170130242001961</v>
      </c>
      <c r="T619" s="12" t="n">
        <v>1086588</v>
      </c>
      <c r="U619" s="13" t="n">
        <f aca="false">IFERROR(T619/P619,"")</f>
        <v>0.773143325534931</v>
      </c>
      <c r="V619" s="14" t="n">
        <f aca="false">T619-AV619</f>
        <v>-1575697</v>
      </c>
      <c r="W619" s="14" t="n">
        <f aca="false">V619-AA619*0.1</f>
        <v>-1575697</v>
      </c>
      <c r="X619" s="12" t="n">
        <v>2729328</v>
      </c>
      <c r="Y619" s="12" t="n">
        <v>153220</v>
      </c>
      <c r="Z619" s="15" t="n">
        <f aca="false">IFERROR(X619/Y619,"")</f>
        <v>17.8131314449811</v>
      </c>
      <c r="AA619" s="12" t="n">
        <v>0</v>
      </c>
      <c r="AB619" s="14" t="n">
        <f aca="false">W619-0.02*P619</f>
        <v>-1603805.32</v>
      </c>
      <c r="AC619" s="16" t="n">
        <v>12</v>
      </c>
      <c r="AD619" s="13" t="n">
        <f aca="false">IFERROR(AC619/AC618-1,"")</f>
        <v>0.0909090909090908</v>
      </c>
      <c r="AE619" s="17" t="n">
        <v>0.051</v>
      </c>
      <c r="AF619" s="17" t="n">
        <v>0.038</v>
      </c>
      <c r="AG619" s="13" t="n">
        <f aca="false">1-AF619</f>
        <v>0.962</v>
      </c>
      <c r="AH619" s="17" t="n">
        <v>1.151</v>
      </c>
      <c r="AI619" s="12" t="n">
        <v>39936</v>
      </c>
      <c r="AJ619" s="14" t="n">
        <f aca="false">IFERROR(AM619*U619*MIN(1/AE619,5),"")</f>
        <v>130120.021687529</v>
      </c>
      <c r="AK619" s="18" t="n">
        <f aca="false">IFERROR(AJ619/AI619,"")</f>
        <v>3.25821368408275</v>
      </c>
      <c r="AL619" s="15" t="n">
        <f aca="false">IFERROR(AI619/(AM619*U619/12),"")</f>
        <v>18.4149984677543</v>
      </c>
      <c r="AM619" s="12" t="n">
        <v>33660</v>
      </c>
      <c r="AN619" s="12" t="n">
        <v>1939659</v>
      </c>
      <c r="AO619" s="12" t="n">
        <v>2358926</v>
      </c>
      <c r="AP619" s="17" t="n">
        <v>0.286</v>
      </c>
      <c r="AQ619" s="16" t="n">
        <v>63</v>
      </c>
      <c r="AR619" s="16" t="n">
        <v>2</v>
      </c>
      <c r="AS619" s="13" t="n">
        <f aca="false">IFERROR(AR619/AR618-1,"")</f>
        <v>1</v>
      </c>
      <c r="AT619" s="11" t="s">
        <v>153</v>
      </c>
      <c r="AU619" s="14" t="n">
        <f aca="false">IFERROR(P619/AR619,"")</f>
        <v>702708</v>
      </c>
      <c r="AV619" s="12" t="n">
        <v>2662285</v>
      </c>
      <c r="AW619" s="12" t="n">
        <v>1226671</v>
      </c>
      <c r="AX619" s="12" t="n">
        <v>777375</v>
      </c>
      <c r="AY619" s="16" t="n">
        <v>1135</v>
      </c>
      <c r="AZ619" s="13" t="n">
        <f aca="false">IFERROR(AY619/AY618-1,"")</f>
        <v>0.181061394380853</v>
      </c>
      <c r="BA619" s="17" t="n">
        <v>0.957</v>
      </c>
      <c r="BB619" s="11" t="s">
        <v>99</v>
      </c>
      <c r="BC619" s="11" t="s">
        <v>108</v>
      </c>
      <c r="BD619" s="11" t="s">
        <v>83</v>
      </c>
      <c r="BE619" s="12" t="n">
        <v>1688387</v>
      </c>
      <c r="BF619" s="13" t="n">
        <f aca="false">IFERROR(P619/BE619-1,"")</f>
        <v>-0.167598423821079</v>
      </c>
      <c r="BG619" s="17" t="n">
        <v>0.049</v>
      </c>
      <c r="BH619" s="17" t="n">
        <v>0.026</v>
      </c>
      <c r="BI619" s="14" t="n">
        <f aca="false">P619*(1+IFERROR(Q619,0))^4</f>
        <v>2912091.86789113</v>
      </c>
      <c r="BJ619" s="12" t="n">
        <v>-1104047</v>
      </c>
      <c r="BK619" s="11" t="s">
        <v>192</v>
      </c>
      <c r="BL619" s="11" t="s">
        <v>128</v>
      </c>
      <c r="BM619" s="14" t="n">
        <f aca="false">O619</f>
        <v>34307824</v>
      </c>
      <c r="BN619" s="11" t="s">
        <v>617</v>
      </c>
      <c r="BO619" s="13" t="n">
        <f aca="false">IFERROR(1-L619/M619,"")</f>
        <v>0.127921320220037</v>
      </c>
      <c r="BP619" s="11" t="s">
        <v>113</v>
      </c>
      <c r="BQ619" s="12" t="n">
        <v>2512440</v>
      </c>
      <c r="BR619" s="11" t="s">
        <v>88</v>
      </c>
      <c r="BS619" s="11" t="s">
        <v>89</v>
      </c>
      <c r="BT619" s="19" t="str">
        <f aca="false">IF(OR(Z619&lt;6,AH619&lt;0.9,S619&lt;0.02,AK619&lt;1),"REVIEW",IF(AND(S619&gt;0.25,AH619&gt;1.2),"ACCELERATING","STABLE"))</f>
        <v>STABLE</v>
      </c>
    </row>
    <row r="620" customFormat="false" ht="15" hidden="false" customHeight="false" outlineLevel="0" collapsed="false">
      <c r="A620" s="11" t="s">
        <v>615</v>
      </c>
      <c r="B620" s="11" t="s">
        <v>92</v>
      </c>
      <c r="C620" s="11" t="s">
        <v>74</v>
      </c>
      <c r="D620" s="11" t="s">
        <v>165</v>
      </c>
      <c r="E620" s="11" t="s">
        <v>105</v>
      </c>
      <c r="F620" s="11" t="s">
        <v>616</v>
      </c>
      <c r="G620" s="11" t="s">
        <v>78</v>
      </c>
      <c r="H620" s="11" t="s">
        <v>79</v>
      </c>
      <c r="I620" s="11" t="s">
        <v>78</v>
      </c>
      <c r="J620" s="12" t="n">
        <v>3837000</v>
      </c>
      <c r="K620" s="13" t="n">
        <f aca="false">IFERROR(J620/M620,"")</f>
        <v>0.127921320220037</v>
      </c>
      <c r="L620" s="12" t="n">
        <v>26158000</v>
      </c>
      <c r="M620" s="14" t="n">
        <f aca="false">L620+J620</f>
        <v>29995000</v>
      </c>
      <c r="N620" s="12" t="n">
        <v>4681000</v>
      </c>
      <c r="O620" s="12" t="n">
        <v>34307824</v>
      </c>
      <c r="P620" s="12" t="n">
        <v>1613702</v>
      </c>
      <c r="Q620" s="13" t="n">
        <f aca="false">IFERROR(P620/P619-1,"")</f>
        <v>0.148202382782038</v>
      </c>
      <c r="R620" s="12" t="n">
        <v>1666999</v>
      </c>
      <c r="S620" s="13" t="n">
        <f aca="false">IFERROR(R620/R619-1,"")</f>
        <v>0.123773589484655</v>
      </c>
      <c r="T620" s="12" t="n">
        <v>1252654</v>
      </c>
      <c r="U620" s="13" t="n">
        <f aca="false">IFERROR(T620/P620,"")</f>
        <v>0.776261044480332</v>
      </c>
      <c r="V620" s="14" t="n">
        <f aca="false">T620-AV620</f>
        <v>-2053742</v>
      </c>
      <c r="W620" s="14" t="n">
        <f aca="false">V620-AA620*0.1</f>
        <v>-2053742</v>
      </c>
      <c r="X620" s="12" t="n">
        <v>2328837</v>
      </c>
      <c r="Y620" s="12" t="n">
        <v>158110</v>
      </c>
      <c r="Z620" s="15" t="n">
        <f aca="false">IFERROR(X620/Y620,"")</f>
        <v>14.7292201631775</v>
      </c>
      <c r="AA620" s="12" t="n">
        <v>0</v>
      </c>
      <c r="AB620" s="14" t="n">
        <f aca="false">W620-0.02*P620</f>
        <v>-2086016.04</v>
      </c>
      <c r="AC620" s="16" t="n">
        <v>14</v>
      </c>
      <c r="AD620" s="13" t="n">
        <f aca="false">IFERROR(AC620/AC619-1,"")</f>
        <v>0.166666666666667</v>
      </c>
      <c r="AE620" s="17" t="n">
        <v>0.049</v>
      </c>
      <c r="AF620" s="17" t="n">
        <v>0.041</v>
      </c>
      <c r="AG620" s="13" t="n">
        <f aca="false">1-AF620</f>
        <v>0.959</v>
      </c>
      <c r="AH620" s="17" t="n">
        <v>1.146</v>
      </c>
      <c r="AI620" s="12" t="n">
        <v>39168</v>
      </c>
      <c r="AJ620" s="14" t="n">
        <f aca="false">IFERROR(AM620*U620*MIN(1/AE620,5),"")</f>
        <v>133206.395232825</v>
      </c>
      <c r="AK620" s="18" t="n">
        <f aca="false">IFERROR(AJ620/AI620,"")</f>
        <v>3.40089857109949</v>
      </c>
      <c r="AL620" s="15" t="n">
        <f aca="false">IFERROR(AI620/(AM620*U620/12),"")</f>
        <v>17.6423961919577</v>
      </c>
      <c r="AM620" s="12" t="n">
        <v>34320</v>
      </c>
      <c r="AN620" s="12" t="n">
        <v>2041164</v>
      </c>
      <c r="AO620" s="12" t="n">
        <v>4439471</v>
      </c>
      <c r="AP620" s="17" t="n">
        <v>0.286</v>
      </c>
      <c r="AQ620" s="16" t="n">
        <v>63</v>
      </c>
      <c r="AR620" s="16" t="n">
        <v>2</v>
      </c>
      <c r="AS620" s="13" t="n">
        <f aca="false">IFERROR(AR620/AR619-1,"")</f>
        <v>0</v>
      </c>
      <c r="AT620" s="11" t="s">
        <v>153</v>
      </c>
      <c r="AU620" s="14" t="n">
        <f aca="false">IFERROR(P620/AR620,"")</f>
        <v>806851</v>
      </c>
      <c r="AV620" s="12" t="n">
        <v>3306396</v>
      </c>
      <c r="AW620" s="12" t="n">
        <v>1631388</v>
      </c>
      <c r="AX620" s="12" t="n">
        <v>1051449</v>
      </c>
      <c r="AY620" s="16" t="n">
        <v>1274</v>
      </c>
      <c r="AZ620" s="13" t="n">
        <f aca="false">IFERROR(AY620/AY619-1,"")</f>
        <v>0.122466960352423</v>
      </c>
      <c r="BA620" s="17" t="n">
        <v>0.96</v>
      </c>
      <c r="BB620" s="11" t="s">
        <v>99</v>
      </c>
      <c r="BC620" s="11" t="s">
        <v>108</v>
      </c>
      <c r="BD620" s="11" t="s">
        <v>83</v>
      </c>
      <c r="BE620" s="12" t="n">
        <v>1824698</v>
      </c>
      <c r="BF620" s="13" t="n">
        <f aca="false">IFERROR(P620/BE620-1,"")</f>
        <v>-0.115633381523956</v>
      </c>
      <c r="BG620" s="17" t="n">
        <v>-0.019</v>
      </c>
      <c r="BH620" s="17" t="n">
        <v>-0.029</v>
      </c>
      <c r="BI620" s="14" t="n">
        <f aca="false">P620*(1+IFERROR(Q620,0))^4</f>
        <v>2804769.08873481</v>
      </c>
      <c r="BJ620" s="12" t="n">
        <v>-1453130</v>
      </c>
      <c r="BK620" s="11" t="s">
        <v>192</v>
      </c>
      <c r="BL620" s="11" t="s">
        <v>128</v>
      </c>
      <c r="BM620" s="14" t="n">
        <f aca="false">O620</f>
        <v>34307824</v>
      </c>
      <c r="BN620" s="11" t="s">
        <v>617</v>
      </c>
      <c r="BO620" s="13" t="n">
        <f aca="false">IFERROR(1-L620/M620,"")</f>
        <v>0.127921320220037</v>
      </c>
      <c r="BP620" s="11" t="s">
        <v>113</v>
      </c>
      <c r="BQ620" s="12" t="n">
        <v>2021842</v>
      </c>
      <c r="BR620" s="11" t="s">
        <v>88</v>
      </c>
      <c r="BS620" s="11" t="s">
        <v>89</v>
      </c>
      <c r="BT620" s="19" t="str">
        <f aca="false">IF(OR(Z620&lt;6,AH620&lt;0.9,S620&lt;0.02,AK620&lt;1),"REVIEW",IF(AND(S620&gt;0.25,AH620&gt;1.2),"ACCELERATING","STABLE"))</f>
        <v>STABLE</v>
      </c>
    </row>
    <row r="621" customFormat="false" ht="15" hidden="false" customHeight="false" outlineLevel="0" collapsed="false">
      <c r="A621" s="11" t="s">
        <v>615</v>
      </c>
      <c r="B621" s="11" t="s">
        <v>93</v>
      </c>
      <c r="C621" s="11" t="s">
        <v>74</v>
      </c>
      <c r="D621" s="11" t="s">
        <v>165</v>
      </c>
      <c r="E621" s="11" t="s">
        <v>105</v>
      </c>
      <c r="F621" s="11" t="s">
        <v>616</v>
      </c>
      <c r="G621" s="11" t="s">
        <v>78</v>
      </c>
      <c r="H621" s="11" t="s">
        <v>79</v>
      </c>
      <c r="I621" s="11" t="s">
        <v>78</v>
      </c>
      <c r="J621" s="12" t="n">
        <v>3837000</v>
      </c>
      <c r="K621" s="13" t="n">
        <f aca="false">IFERROR(J621/M621,"")</f>
        <v>0.127921320220037</v>
      </c>
      <c r="L621" s="12" t="n">
        <v>26158000</v>
      </c>
      <c r="M621" s="14" t="n">
        <f aca="false">L621+J621</f>
        <v>29995000</v>
      </c>
      <c r="N621" s="12" t="n">
        <v>4681000</v>
      </c>
      <c r="O621" s="12" t="n">
        <v>34307824</v>
      </c>
      <c r="P621" s="12" t="n">
        <v>1839342</v>
      </c>
      <c r="Q621" s="13" t="n">
        <f aca="false">IFERROR(P621/P620-1,"")</f>
        <v>0.139827551803245</v>
      </c>
      <c r="R621" s="12" t="n">
        <v>1917548</v>
      </c>
      <c r="S621" s="13" t="n">
        <f aca="false">IFERROR(R621/R620-1,"")</f>
        <v>0.150299430293599</v>
      </c>
      <c r="T621" s="12" t="n">
        <v>1433543</v>
      </c>
      <c r="U621" s="13" t="n">
        <f aca="false">IFERROR(T621/P621,"")</f>
        <v>0.779378168932151</v>
      </c>
      <c r="V621" s="14" t="n">
        <f aca="false">T621-AV621</f>
        <v>-1957668</v>
      </c>
      <c r="W621" s="14" t="n">
        <f aca="false">V621-AA621*0.1</f>
        <v>-1957668</v>
      </c>
      <c r="X621" s="12" t="n">
        <v>1901940</v>
      </c>
      <c r="Y621" s="12" t="n">
        <v>163000</v>
      </c>
      <c r="Z621" s="15" t="n">
        <f aca="false">IFERROR(X621/Y621,"")</f>
        <v>11.6683435582822</v>
      </c>
      <c r="AA621" s="12" t="n">
        <v>0</v>
      </c>
      <c r="AB621" s="14" t="n">
        <f aca="false">W621-0.02*P621</f>
        <v>-1994454.84</v>
      </c>
      <c r="AC621" s="16" t="n">
        <v>16</v>
      </c>
      <c r="AD621" s="13" t="n">
        <f aca="false">IFERROR(AC621/AC620-1,"")</f>
        <v>0.142857142857143</v>
      </c>
      <c r="AE621" s="17" t="n">
        <v>0.048</v>
      </c>
      <c r="AF621" s="17" t="n">
        <v>0.031</v>
      </c>
      <c r="AG621" s="13" t="n">
        <f aca="false">1-AF621</f>
        <v>0.969</v>
      </c>
      <c r="AH621" s="17" t="n">
        <v>1.141</v>
      </c>
      <c r="AI621" s="12" t="n">
        <v>38400</v>
      </c>
      <c r="AJ621" s="14" t="n">
        <f aca="false">IFERROR(AM621*U621*MIN(1/AE621,5),"")</f>
        <v>136313.241746233</v>
      </c>
      <c r="AK621" s="18" t="n">
        <f aca="false">IFERROR(AJ621/AI621,"")</f>
        <v>3.54982400380816</v>
      </c>
      <c r="AL621" s="15" t="n">
        <f aca="false">IFERROR(AI621/(AM621*U621/12),"")</f>
        <v>16.9022464030988</v>
      </c>
      <c r="AM621" s="12" t="n">
        <v>34980</v>
      </c>
      <c r="AN621" s="12" t="n">
        <v>2433307</v>
      </c>
      <c r="AO621" s="12" t="n">
        <v>5542719</v>
      </c>
      <c r="AP621" s="17" t="n">
        <v>0.286</v>
      </c>
      <c r="AQ621" s="16" t="n">
        <v>63</v>
      </c>
      <c r="AR621" s="16" t="n">
        <v>2</v>
      </c>
      <c r="AS621" s="13" t="n">
        <f aca="false">IFERROR(AR621/AR620-1,"")</f>
        <v>0</v>
      </c>
      <c r="AT621" s="11" t="s">
        <v>153</v>
      </c>
      <c r="AU621" s="14" t="n">
        <f aca="false">IFERROR(P621/AR621,"")</f>
        <v>919671</v>
      </c>
      <c r="AV621" s="12" t="n">
        <v>3391211</v>
      </c>
      <c r="AW621" s="12" t="n">
        <v>1103675</v>
      </c>
      <c r="AX621" s="12" t="n">
        <v>753942</v>
      </c>
      <c r="AY621" s="16" t="n">
        <v>1467</v>
      </c>
      <c r="AZ621" s="13" t="n">
        <f aca="false">IFERROR(AY621/AY620-1,"")</f>
        <v>0.15149136577708</v>
      </c>
      <c r="BA621" s="17" t="n">
        <v>0.954</v>
      </c>
      <c r="BB621" s="11" t="s">
        <v>99</v>
      </c>
      <c r="BC621" s="11" t="s">
        <v>108</v>
      </c>
      <c r="BD621" s="11" t="s">
        <v>83</v>
      </c>
      <c r="BE621" s="12" t="n">
        <v>2263845</v>
      </c>
      <c r="BF621" s="13" t="n">
        <f aca="false">IFERROR(P621/BE621-1,"")</f>
        <v>-0.187514162851255</v>
      </c>
      <c r="BG621" s="17" t="n">
        <v>0.069</v>
      </c>
      <c r="BH621" s="17" t="n">
        <v>-0.017</v>
      </c>
      <c r="BI621" s="14" t="n">
        <f aca="false">P621*(1+IFERROR(Q621,0))^4</f>
        <v>3104696.05415031</v>
      </c>
      <c r="BJ621" s="12" t="n">
        <v>-1648585</v>
      </c>
      <c r="BK621" s="11" t="s">
        <v>192</v>
      </c>
      <c r="BL621" s="11" t="s">
        <v>128</v>
      </c>
      <c r="BM621" s="14" t="n">
        <f aca="false">O621</f>
        <v>34307824</v>
      </c>
      <c r="BN621" s="11" t="s">
        <v>617</v>
      </c>
      <c r="BO621" s="13" t="n">
        <f aca="false">IFERROR(1-L621/M621,"")</f>
        <v>0.127921320220037</v>
      </c>
      <c r="BP621" s="11" t="s">
        <v>113</v>
      </c>
      <c r="BQ621" s="12" t="n">
        <v>1978979</v>
      </c>
      <c r="BR621" s="11" t="s">
        <v>88</v>
      </c>
      <c r="BS621" s="11" t="s">
        <v>89</v>
      </c>
      <c r="BT621" s="19" t="str">
        <f aca="false">IF(OR(Z621&lt;6,AH621&lt;0.9,S621&lt;0.02,AK621&lt;1),"REVIEW",IF(AND(S621&gt;0.25,AH621&gt;1.2),"ACCELERATING","STABLE"))</f>
        <v>STABLE</v>
      </c>
    </row>
    <row r="622" customFormat="false" ht="15" hidden="false" customHeight="false" outlineLevel="0" collapsed="false">
      <c r="A622" s="3" t="s">
        <v>618</v>
      </c>
      <c r="B622" s="3" t="s">
        <v>73</v>
      </c>
      <c r="C622" s="3" t="s">
        <v>74</v>
      </c>
      <c r="D622" s="3" t="s">
        <v>210</v>
      </c>
      <c r="E622" s="3" t="s">
        <v>105</v>
      </c>
      <c r="F622" s="3" t="s">
        <v>619</v>
      </c>
      <c r="G622" s="3" t="s">
        <v>78</v>
      </c>
      <c r="H622" s="3" t="s">
        <v>79</v>
      </c>
      <c r="I622" s="3" t="s">
        <v>78</v>
      </c>
      <c r="J622" s="4" t="n">
        <v>2232000</v>
      </c>
      <c r="K622" s="5" t="n">
        <f aca="false">IFERROR(J622/M622,"")</f>
        <v>0.151168303420251</v>
      </c>
      <c r="L622" s="4" t="n">
        <v>12533000</v>
      </c>
      <c r="M622" s="6" t="n">
        <f aca="false">L622+J622</f>
        <v>14765000</v>
      </c>
      <c r="N622" s="4" t="n">
        <v>3691000</v>
      </c>
      <c r="O622" s="4" t="n">
        <v>8229497</v>
      </c>
      <c r="P622" s="4" t="n">
        <v>1359272</v>
      </c>
      <c r="Q622" s="7"/>
      <c r="R622" s="4" t="n">
        <v>1630741</v>
      </c>
      <c r="S622" s="7"/>
      <c r="T622" s="4" t="n">
        <v>682545</v>
      </c>
      <c r="U622" s="5" t="n">
        <f aca="false">IFERROR(T622/P622,"")</f>
        <v>0.502140116179837</v>
      </c>
      <c r="V622" s="6" t="n">
        <f aca="false">T622-AV622</f>
        <v>-1519691</v>
      </c>
      <c r="W622" s="6" t="n">
        <f aca="false">V622-AA622*0.1</f>
        <v>-1519691</v>
      </c>
      <c r="X622" s="4" t="n">
        <v>1736443</v>
      </c>
      <c r="Y622" s="4" t="n">
        <v>123820</v>
      </c>
      <c r="Z622" s="8" t="n">
        <f aca="false">IFERROR(X622/Y622,"")</f>
        <v>14.0239298982394</v>
      </c>
      <c r="AA622" s="4" t="n">
        <v>0</v>
      </c>
      <c r="AB622" s="6" t="n">
        <f aca="false">W622-0.02*P622</f>
        <v>-1546876.44</v>
      </c>
      <c r="AC622" s="9" t="n">
        <v>95</v>
      </c>
      <c r="AD622" s="7"/>
      <c r="AE622" s="7" t="n">
        <v>0.239</v>
      </c>
      <c r="AF622" s="7" t="n">
        <v>0.187</v>
      </c>
      <c r="AG622" s="5" t="n">
        <f aca="false">1-AF622</f>
        <v>0.813</v>
      </c>
      <c r="AH622" s="7" t="n">
        <v>0.841</v>
      </c>
      <c r="AI622" s="4" t="n">
        <v>54188</v>
      </c>
      <c r="AJ622" s="6" t="n">
        <f aca="false">IFERROR(AM622*U622*MIN(1/AE622,5),"")</f>
        <v>77737.1727977154</v>
      </c>
      <c r="AK622" s="10" t="n">
        <f aca="false">IFERROR(AJ622/AI622,"")</f>
        <v>1.4345828005779</v>
      </c>
      <c r="AL622" s="8" t="n">
        <f aca="false">IFERROR(AI622/(AM622*U622/12),"")</f>
        <v>34.9991683998263</v>
      </c>
      <c r="AM622" s="4" t="n">
        <v>37000</v>
      </c>
      <c r="AN622" s="4" t="n">
        <v>1872264</v>
      </c>
      <c r="AO622" s="4" t="n">
        <v>3955781</v>
      </c>
      <c r="AP622" s="7" t="n">
        <v>0.295</v>
      </c>
      <c r="AQ622" s="9" t="n">
        <v>50</v>
      </c>
      <c r="AR622" s="9" t="n">
        <v>5</v>
      </c>
      <c r="AS622" s="7"/>
      <c r="AT622" s="3" t="s">
        <v>170</v>
      </c>
      <c r="AU622" s="6" t="n">
        <f aca="false">IFERROR(P622/AR622,"")</f>
        <v>271854.4</v>
      </c>
      <c r="AV622" s="4" t="n">
        <v>2202236</v>
      </c>
      <c r="AW622" s="4" t="n">
        <v>715496</v>
      </c>
      <c r="AX622" s="4" t="n">
        <v>452783</v>
      </c>
      <c r="AY622" s="9" t="n">
        <v>47240</v>
      </c>
      <c r="AZ622" s="7"/>
      <c r="BA622" s="7" t="n">
        <v>0.746</v>
      </c>
      <c r="BB622" s="3" t="s">
        <v>119</v>
      </c>
      <c r="BC622" s="3" t="s">
        <v>120</v>
      </c>
      <c r="BD622" s="3" t="s">
        <v>157</v>
      </c>
      <c r="BE622" s="4" t="n">
        <v>1967185</v>
      </c>
      <c r="BF622" s="5" t="n">
        <f aca="false">IFERROR(P622/BE622-1,"")</f>
        <v>-0.309026858175515</v>
      </c>
      <c r="BG622" s="7" t="n">
        <v>0.157</v>
      </c>
      <c r="BH622" s="7" t="n">
        <v>0.264</v>
      </c>
      <c r="BI622" s="6" t="n">
        <f aca="false">P622</f>
        <v>1359272</v>
      </c>
      <c r="BJ622" s="4" t="n">
        <v>-1204788</v>
      </c>
      <c r="BK622" s="3" t="s">
        <v>121</v>
      </c>
      <c r="BL622" s="3" t="s">
        <v>140</v>
      </c>
      <c r="BM622" s="6" t="n">
        <f aca="false">O622</f>
        <v>8229497</v>
      </c>
      <c r="BN622" s="3" t="s">
        <v>620</v>
      </c>
      <c r="BO622" s="5" t="n">
        <f aca="false">IFERROR(1-L622/M622,"")</f>
        <v>0.151168303420251</v>
      </c>
      <c r="BP622" s="3" t="s">
        <v>142</v>
      </c>
      <c r="BQ622" s="4" t="n">
        <v>2290621</v>
      </c>
      <c r="BR622" s="3" t="s">
        <v>88</v>
      </c>
      <c r="BS622" s="3" t="s">
        <v>89</v>
      </c>
      <c r="BT622" s="3" t="s">
        <v>90</v>
      </c>
    </row>
    <row r="623" customFormat="false" ht="15" hidden="false" customHeight="false" outlineLevel="0" collapsed="false">
      <c r="A623" s="11" t="s">
        <v>618</v>
      </c>
      <c r="B623" s="11" t="s">
        <v>91</v>
      </c>
      <c r="C623" s="11" t="s">
        <v>74</v>
      </c>
      <c r="D623" s="11" t="s">
        <v>210</v>
      </c>
      <c r="E623" s="11" t="s">
        <v>105</v>
      </c>
      <c r="F623" s="11" t="s">
        <v>619</v>
      </c>
      <c r="G623" s="11" t="s">
        <v>78</v>
      </c>
      <c r="H623" s="11" t="s">
        <v>79</v>
      </c>
      <c r="I623" s="11" t="s">
        <v>78</v>
      </c>
      <c r="J623" s="12" t="n">
        <v>2232000</v>
      </c>
      <c r="K623" s="13" t="n">
        <f aca="false">IFERROR(J623/M623,"")</f>
        <v>0.151168303420251</v>
      </c>
      <c r="L623" s="12" t="n">
        <v>12533000</v>
      </c>
      <c r="M623" s="14" t="n">
        <f aca="false">L623+J623</f>
        <v>14765000</v>
      </c>
      <c r="N623" s="12" t="n">
        <v>3691000</v>
      </c>
      <c r="O623" s="12" t="n">
        <v>8229497</v>
      </c>
      <c r="P623" s="12" t="n">
        <v>1229416</v>
      </c>
      <c r="Q623" s="13" t="n">
        <f aca="false">IFERROR(P623/P622-1,"")</f>
        <v>-0.0955334914571918</v>
      </c>
      <c r="R623" s="12" t="n">
        <v>1467125</v>
      </c>
      <c r="S623" s="13" t="n">
        <f aca="false">IFERROR(R623/R622-1,"")</f>
        <v>-0.100332302922414</v>
      </c>
      <c r="T623" s="12" t="n">
        <v>605691</v>
      </c>
      <c r="U623" s="13" t="n">
        <f aca="false">IFERROR(T623/P623,"")</f>
        <v>0.492665623352877</v>
      </c>
      <c r="V623" s="14" t="n">
        <f aca="false">T623-AV623</f>
        <v>-1394830</v>
      </c>
      <c r="W623" s="14" t="n">
        <f aca="false">V623-AA623*0.1</f>
        <v>-1394830</v>
      </c>
      <c r="X623" s="12" t="n">
        <v>1387633</v>
      </c>
      <c r="Y623" s="12" t="n">
        <v>132880</v>
      </c>
      <c r="Z623" s="15" t="n">
        <f aca="false">IFERROR(X623/Y623,"")</f>
        <v>10.4427528597231</v>
      </c>
      <c r="AA623" s="12" t="n">
        <v>0</v>
      </c>
      <c r="AB623" s="14" t="n">
        <f aca="false">W623-0.02*P623</f>
        <v>-1419418.32</v>
      </c>
      <c r="AC623" s="16" t="n">
        <v>88</v>
      </c>
      <c r="AD623" s="13" t="n">
        <f aca="false">IFERROR(AC623/AC622-1,"")</f>
        <v>-0.0736842105263158</v>
      </c>
      <c r="AE623" s="17" t="n">
        <v>0.284</v>
      </c>
      <c r="AF623" s="17" t="n">
        <v>0.259</v>
      </c>
      <c r="AG623" s="13" t="n">
        <f aca="false">1-AF623</f>
        <v>0.741</v>
      </c>
      <c r="AH623" s="17" t="n">
        <v>0.801</v>
      </c>
      <c r="AI623" s="12" t="n">
        <v>59892</v>
      </c>
      <c r="AJ623" s="14" t="n">
        <f aca="false">IFERROR(AM623*U623*MIN(1/AE623,5),"")</f>
        <v>65469.0162863999</v>
      </c>
      <c r="AK623" s="18" t="n">
        <f aca="false">IFERROR(AJ623/AI623,"")</f>
        <v>1.09311788363053</v>
      </c>
      <c r="AL623" s="15" t="n">
        <f aca="false">IFERROR(AI623/(AM623*U623/12),"")</f>
        <v>38.6541303179722</v>
      </c>
      <c r="AM623" s="12" t="n">
        <v>37740</v>
      </c>
      <c r="AN623" s="12" t="n">
        <v>2005304</v>
      </c>
      <c r="AO623" s="12" t="n">
        <v>3213707</v>
      </c>
      <c r="AP623" s="17" t="n">
        <v>0.295</v>
      </c>
      <c r="AQ623" s="16" t="n">
        <v>50</v>
      </c>
      <c r="AR623" s="16" t="n">
        <v>5</v>
      </c>
      <c r="AS623" s="13" t="n">
        <f aca="false">IFERROR(AR623/AR622-1,"")</f>
        <v>0</v>
      </c>
      <c r="AT623" s="11" t="s">
        <v>170</v>
      </c>
      <c r="AU623" s="14" t="n">
        <f aca="false">IFERROR(P623/AR623,"")</f>
        <v>245883.2</v>
      </c>
      <c r="AV623" s="12" t="n">
        <v>2000521</v>
      </c>
      <c r="AW623" s="12" t="n">
        <v>981361</v>
      </c>
      <c r="AX623" s="12" t="n">
        <v>499382</v>
      </c>
      <c r="AY623" s="16" t="n">
        <v>42500</v>
      </c>
      <c r="AZ623" s="13" t="n">
        <f aca="false">IFERROR(AY623/AY622-1,"")</f>
        <v>-0.100338696020322</v>
      </c>
      <c r="BA623" s="17" t="n">
        <v>0.703</v>
      </c>
      <c r="BB623" s="11" t="s">
        <v>119</v>
      </c>
      <c r="BC623" s="11" t="s">
        <v>120</v>
      </c>
      <c r="BD623" s="11" t="s">
        <v>157</v>
      </c>
      <c r="BE623" s="12" t="n">
        <v>1979633</v>
      </c>
      <c r="BF623" s="13" t="n">
        <f aca="false">IFERROR(P623/BE623-1,"")</f>
        <v>-0.378967717753745</v>
      </c>
      <c r="BG623" s="17" t="n">
        <v>0.256</v>
      </c>
      <c r="BH623" s="17" t="n">
        <v>0.344</v>
      </c>
      <c r="BI623" s="14" t="n">
        <f aca="false">P623*(1+IFERROR(Q623,0))^4</f>
        <v>822751.761793543</v>
      </c>
      <c r="BJ623" s="12" t="n">
        <v>-1344072</v>
      </c>
      <c r="BK623" s="11" t="s">
        <v>121</v>
      </c>
      <c r="BL623" s="11" t="s">
        <v>140</v>
      </c>
      <c r="BM623" s="14" t="n">
        <f aca="false">O623</f>
        <v>8229497</v>
      </c>
      <c r="BN623" s="11" t="s">
        <v>620</v>
      </c>
      <c r="BO623" s="13" t="n">
        <f aca="false">IFERROR(1-L623/M623,"")</f>
        <v>0.151168303420251</v>
      </c>
      <c r="BP623" s="11" t="s">
        <v>142</v>
      </c>
      <c r="BQ623" s="12" t="n">
        <v>2056626</v>
      </c>
      <c r="BR623" s="11" t="s">
        <v>88</v>
      </c>
      <c r="BS623" s="11" t="s">
        <v>89</v>
      </c>
      <c r="BT623" s="19" t="str">
        <f aca="false">IF(OR(Z623&lt;6,AH623&lt;0.9,S623&lt;0.02,AK623&lt;1),"REVIEW",IF(AND(S623&gt;0.25,AH623&gt;1.2),"ACCELERATING","STABLE"))</f>
        <v>REVIEW</v>
      </c>
    </row>
    <row r="624" customFormat="false" ht="15" hidden="false" customHeight="false" outlineLevel="0" collapsed="false">
      <c r="A624" s="11" t="s">
        <v>618</v>
      </c>
      <c r="B624" s="11" t="s">
        <v>92</v>
      </c>
      <c r="C624" s="11" t="s">
        <v>74</v>
      </c>
      <c r="D624" s="11" t="s">
        <v>210</v>
      </c>
      <c r="E624" s="11" t="s">
        <v>105</v>
      </c>
      <c r="F624" s="11" t="s">
        <v>619</v>
      </c>
      <c r="G624" s="11" t="s">
        <v>78</v>
      </c>
      <c r="H624" s="11" t="s">
        <v>79</v>
      </c>
      <c r="I624" s="11" t="s">
        <v>78</v>
      </c>
      <c r="J624" s="12" t="n">
        <v>2232000</v>
      </c>
      <c r="K624" s="13" t="n">
        <f aca="false">IFERROR(J624/M624,"")</f>
        <v>0.151168303420251</v>
      </c>
      <c r="L624" s="12" t="n">
        <v>12533000</v>
      </c>
      <c r="M624" s="14" t="n">
        <f aca="false">L624+J624</f>
        <v>14765000</v>
      </c>
      <c r="N624" s="12" t="n">
        <v>3691000</v>
      </c>
      <c r="O624" s="12" t="n">
        <v>8229497</v>
      </c>
      <c r="P624" s="12" t="n">
        <v>1101904</v>
      </c>
      <c r="Q624" s="13" t="n">
        <f aca="false">IFERROR(P624/P623-1,"")</f>
        <v>-0.103717537432407</v>
      </c>
      <c r="R624" s="12" t="n">
        <v>1318797</v>
      </c>
      <c r="S624" s="13" t="n">
        <f aca="false">IFERROR(R624/R623-1,"")</f>
        <v>-0.101101133168612</v>
      </c>
      <c r="T624" s="12" t="n">
        <v>532431</v>
      </c>
      <c r="U624" s="13" t="n">
        <f aca="false">IFERROR(T624/P624,"")</f>
        <v>0.483191820703074</v>
      </c>
      <c r="V624" s="14" t="n">
        <f aca="false">T624-AV624</f>
        <v>-1306521</v>
      </c>
      <c r="W624" s="14" t="n">
        <f aca="false">V624-AA624*0.1</f>
        <v>-1306521</v>
      </c>
      <c r="X624" s="12" t="n">
        <v>979027</v>
      </c>
      <c r="Y624" s="12" t="n">
        <v>141940</v>
      </c>
      <c r="Z624" s="15" t="n">
        <f aca="false">IFERROR(X624/Y624,"")</f>
        <v>6.89747076229393</v>
      </c>
      <c r="AA624" s="12" t="n">
        <v>0</v>
      </c>
      <c r="AB624" s="14" t="n">
        <f aca="false">W624-0.02*P624</f>
        <v>-1328559.08</v>
      </c>
      <c r="AC624" s="16" t="n">
        <v>81</v>
      </c>
      <c r="AD624" s="13" t="n">
        <f aca="false">IFERROR(AC624/AC623-1,"")</f>
        <v>-0.0795454545454546</v>
      </c>
      <c r="AE624" s="17" t="n">
        <v>0.329</v>
      </c>
      <c r="AF624" s="17" t="n">
        <v>0.274</v>
      </c>
      <c r="AG624" s="13" t="n">
        <f aca="false">1-AF624</f>
        <v>0.726</v>
      </c>
      <c r="AH624" s="17" t="n">
        <v>0.761</v>
      </c>
      <c r="AI624" s="12" t="n">
        <v>65596</v>
      </c>
      <c r="AJ624" s="14" t="n">
        <f aca="false">IFERROR(AM624*U624*MIN(1/AE624,5),"")</f>
        <v>56514.3503363352</v>
      </c>
      <c r="AK624" s="18" t="n">
        <f aca="false">IFERROR(AJ624/AI624,"")</f>
        <v>0.861551776576852</v>
      </c>
      <c r="AL624" s="15" t="n">
        <f aca="false">IFERROR(AI624/(AM624*U624/12),"")</f>
        <v>42.3354290773551</v>
      </c>
      <c r="AM624" s="12" t="n">
        <v>38480</v>
      </c>
      <c r="AN624" s="12" t="n">
        <v>1336022</v>
      </c>
      <c r="AO624" s="12" t="n">
        <v>2536156</v>
      </c>
      <c r="AP624" s="17" t="n">
        <v>0.295</v>
      </c>
      <c r="AQ624" s="16" t="n">
        <v>50</v>
      </c>
      <c r="AR624" s="16" t="n">
        <v>4</v>
      </c>
      <c r="AS624" s="13" t="n">
        <f aca="false">IFERROR(AR624/AR623-1,"")</f>
        <v>-0.2</v>
      </c>
      <c r="AT624" s="11" t="s">
        <v>170</v>
      </c>
      <c r="AU624" s="14" t="n">
        <f aca="false">IFERROR(P624/AR624,"")</f>
        <v>275476</v>
      </c>
      <c r="AV624" s="12" t="n">
        <v>1838952</v>
      </c>
      <c r="AW624" s="12" t="n">
        <v>666977</v>
      </c>
      <c r="AX624" s="12" t="n">
        <v>620389</v>
      </c>
      <c r="AY624" s="16" t="n">
        <v>39355</v>
      </c>
      <c r="AZ624" s="13" t="n">
        <f aca="false">IFERROR(AY624/AY623-1,"")</f>
        <v>-0.074</v>
      </c>
      <c r="BA624" s="17" t="n">
        <v>0.725</v>
      </c>
      <c r="BB624" s="11" t="s">
        <v>119</v>
      </c>
      <c r="BC624" s="11" t="s">
        <v>120</v>
      </c>
      <c r="BD624" s="11" t="s">
        <v>157</v>
      </c>
      <c r="BE624" s="12" t="n">
        <v>1867816</v>
      </c>
      <c r="BF624" s="13" t="n">
        <f aca="false">IFERROR(P624/BE624-1,"")</f>
        <v>-0.410057521725909</v>
      </c>
      <c r="BG624" s="17" t="n">
        <v>0.269</v>
      </c>
      <c r="BH624" s="17" t="n">
        <v>0.182</v>
      </c>
      <c r="BI624" s="14" t="n">
        <f aca="false">P624*(1+IFERROR(Q624,0))^4</f>
        <v>711088.007788095</v>
      </c>
      <c r="BJ624" s="12" t="n">
        <v>-1626369</v>
      </c>
      <c r="BK624" s="11" t="s">
        <v>121</v>
      </c>
      <c r="BL624" s="11" t="s">
        <v>140</v>
      </c>
      <c r="BM624" s="14" t="n">
        <f aca="false">O624</f>
        <v>8229497</v>
      </c>
      <c r="BN624" s="11" t="s">
        <v>620</v>
      </c>
      <c r="BO624" s="13" t="n">
        <f aca="false">IFERROR(1-L624/M624,"")</f>
        <v>0.151168303420251</v>
      </c>
      <c r="BP624" s="11" t="s">
        <v>142</v>
      </c>
      <c r="BQ624" s="12" t="n">
        <v>2484386</v>
      </c>
      <c r="BR624" s="11" t="s">
        <v>88</v>
      </c>
      <c r="BS624" s="11" t="s">
        <v>89</v>
      </c>
      <c r="BT624" s="19" t="str">
        <f aca="false">IF(OR(Z624&lt;6,AH624&lt;0.9,S624&lt;0.02,AK624&lt;1),"REVIEW",IF(AND(S624&gt;0.25,AH624&gt;1.2),"ACCELERATING","STABLE"))</f>
        <v>REVIEW</v>
      </c>
    </row>
    <row r="625" customFormat="false" ht="15" hidden="false" customHeight="false" outlineLevel="0" collapsed="false">
      <c r="A625" s="11" t="s">
        <v>618</v>
      </c>
      <c r="B625" s="11" t="s">
        <v>93</v>
      </c>
      <c r="C625" s="11" t="s">
        <v>74</v>
      </c>
      <c r="D625" s="11" t="s">
        <v>210</v>
      </c>
      <c r="E625" s="11" t="s">
        <v>105</v>
      </c>
      <c r="F625" s="11" t="s">
        <v>619</v>
      </c>
      <c r="G625" s="11" t="s">
        <v>78</v>
      </c>
      <c r="H625" s="11" t="s">
        <v>79</v>
      </c>
      <c r="I625" s="11" t="s">
        <v>78</v>
      </c>
      <c r="J625" s="12" t="n">
        <v>2232000</v>
      </c>
      <c r="K625" s="13" t="n">
        <f aca="false">IFERROR(J625/M625,"")</f>
        <v>0.151168303420251</v>
      </c>
      <c r="L625" s="12" t="n">
        <v>12533000</v>
      </c>
      <c r="M625" s="14" t="n">
        <f aca="false">L625+J625</f>
        <v>14765000</v>
      </c>
      <c r="N625" s="12" t="n">
        <v>3691000</v>
      </c>
      <c r="O625" s="12" t="n">
        <v>8229497</v>
      </c>
      <c r="P625" s="12" t="n">
        <v>973544</v>
      </c>
      <c r="Q625" s="13" t="n">
        <f aca="false">IFERROR(P625/P624-1,"")</f>
        <v>-0.116489276742802</v>
      </c>
      <c r="R625" s="12" t="n">
        <v>1187509</v>
      </c>
      <c r="S625" s="13" t="n">
        <f aca="false">IFERROR(R625/R624-1,"")</f>
        <v>-0.0995513335259332</v>
      </c>
      <c r="T625" s="12" t="n">
        <v>461185</v>
      </c>
      <c r="U625" s="13" t="n">
        <f aca="false">IFERROR(T625/P625,"")</f>
        <v>0.473717674804631</v>
      </c>
      <c r="V625" s="14" t="n">
        <f aca="false">T625-AV625</f>
        <v>-1786501</v>
      </c>
      <c r="W625" s="14" t="n">
        <f aca="false">V625-AA625*0.1</f>
        <v>-1786501</v>
      </c>
      <c r="X625" s="12" t="n">
        <v>510625</v>
      </c>
      <c r="Y625" s="12" t="n">
        <v>151000</v>
      </c>
      <c r="Z625" s="15" t="n">
        <f aca="false">IFERROR(X625/Y625,"")</f>
        <v>3.38162251655629</v>
      </c>
      <c r="AA625" s="12" t="n">
        <v>0</v>
      </c>
      <c r="AB625" s="14" t="n">
        <f aca="false">W625-0.02*P625</f>
        <v>-1805971.88</v>
      </c>
      <c r="AC625" s="16" t="n">
        <v>74</v>
      </c>
      <c r="AD625" s="13" t="n">
        <f aca="false">IFERROR(AC625/AC624-1,"")</f>
        <v>-0.0864197530864198</v>
      </c>
      <c r="AE625" s="17" t="n">
        <v>0.374</v>
      </c>
      <c r="AF625" s="17" t="n">
        <v>0.328</v>
      </c>
      <c r="AG625" s="13" t="n">
        <f aca="false">1-AF625</f>
        <v>0.672</v>
      </c>
      <c r="AH625" s="17" t="n">
        <v>0.721</v>
      </c>
      <c r="AI625" s="12" t="n">
        <v>71300</v>
      </c>
      <c r="AJ625" s="14" t="n">
        <f aca="false">IFERROR(AM625*U625*MIN(1/AE625,5),"")</f>
        <v>49677.0246145391</v>
      </c>
      <c r="AK625" s="18" t="n">
        <f aca="false">IFERROR(AJ625/AI625,"")</f>
        <v>0.696732463037015</v>
      </c>
      <c r="AL625" s="15" t="n">
        <f aca="false">IFERROR(AI625/(AM625*U625/12),"")</f>
        <v>46.0514805890732</v>
      </c>
      <c r="AM625" s="12" t="n">
        <v>39220</v>
      </c>
      <c r="AN625" s="12" t="n">
        <v>1212286</v>
      </c>
      <c r="AO625" s="12" t="n">
        <v>4349580</v>
      </c>
      <c r="AP625" s="17" t="n">
        <v>0.295</v>
      </c>
      <c r="AQ625" s="16" t="n">
        <v>50</v>
      </c>
      <c r="AR625" s="16" t="n">
        <v>4</v>
      </c>
      <c r="AS625" s="13" t="n">
        <f aca="false">IFERROR(AR625/AR624-1,"")</f>
        <v>0</v>
      </c>
      <c r="AT625" s="11" t="s">
        <v>170</v>
      </c>
      <c r="AU625" s="14" t="n">
        <f aca="false">IFERROR(P625/AR625,"")</f>
        <v>243386</v>
      </c>
      <c r="AV625" s="12" t="n">
        <v>2247686</v>
      </c>
      <c r="AW625" s="12" t="n">
        <v>996385</v>
      </c>
      <c r="AX625" s="12" t="n">
        <v>530907</v>
      </c>
      <c r="AY625" s="16" t="n">
        <v>35718</v>
      </c>
      <c r="AZ625" s="13" t="n">
        <f aca="false">IFERROR(AY625/AY624-1,"")</f>
        <v>-0.0924151950196925</v>
      </c>
      <c r="BA625" s="17" t="n">
        <v>0.716</v>
      </c>
      <c r="BB625" s="11" t="s">
        <v>119</v>
      </c>
      <c r="BC625" s="11" t="s">
        <v>120</v>
      </c>
      <c r="BD625" s="11" t="s">
        <v>157</v>
      </c>
      <c r="BE625" s="12" t="n">
        <v>1338275</v>
      </c>
      <c r="BF625" s="13" t="n">
        <f aca="false">IFERROR(P625/BE625-1,"")</f>
        <v>-0.272538155461321</v>
      </c>
      <c r="BG625" s="17" t="n">
        <v>0.309</v>
      </c>
      <c r="BH625" s="17" t="n">
        <v>0.172</v>
      </c>
      <c r="BI625" s="14" t="n">
        <f aca="false">P625*(1+IFERROR(Q625,0))^4</f>
        <v>593202.379370698</v>
      </c>
      <c r="BJ625" s="12" t="n">
        <v>-1509820</v>
      </c>
      <c r="BK625" s="11" t="s">
        <v>121</v>
      </c>
      <c r="BL625" s="11" t="s">
        <v>140</v>
      </c>
      <c r="BM625" s="14" t="n">
        <f aca="false">O625</f>
        <v>8229497</v>
      </c>
      <c r="BN625" s="11" t="s">
        <v>620</v>
      </c>
      <c r="BO625" s="13" t="n">
        <f aca="false">IFERROR(1-L625/M625,"")</f>
        <v>0.151168303420251</v>
      </c>
      <c r="BP625" s="11" t="s">
        <v>142</v>
      </c>
      <c r="BQ625" s="12" t="n">
        <v>2618890</v>
      </c>
      <c r="BR625" s="11" t="s">
        <v>88</v>
      </c>
      <c r="BS625" s="11" t="s">
        <v>89</v>
      </c>
      <c r="BT625" s="19" t="str">
        <f aca="false">IF(OR(Z625&lt;6,AH625&lt;0.9,S625&lt;0.02,AK625&lt;1),"REVIEW",IF(AND(S625&gt;0.25,AH625&gt;1.2),"ACCELERATING","STABLE"))</f>
        <v>REVIEW</v>
      </c>
    </row>
    <row r="626" customFormat="false" ht="15" hidden="false" customHeight="false" outlineLevel="0" collapsed="false">
      <c r="A626" s="3" t="s">
        <v>621</v>
      </c>
      <c r="B626" s="3" t="s">
        <v>73</v>
      </c>
      <c r="C626" s="3" t="s">
        <v>74</v>
      </c>
      <c r="D626" s="3" t="s">
        <v>95</v>
      </c>
      <c r="E626" s="3" t="s">
        <v>187</v>
      </c>
      <c r="F626" s="3" t="s">
        <v>622</v>
      </c>
      <c r="G626" s="3" t="s">
        <v>78</v>
      </c>
      <c r="H626" s="3" t="s">
        <v>79</v>
      </c>
      <c r="I626" s="3" t="s">
        <v>78</v>
      </c>
      <c r="J626" s="4" t="n">
        <v>1731000</v>
      </c>
      <c r="K626" s="5" t="n">
        <f aca="false">IFERROR(J626/M626,"")</f>
        <v>0.138802020687996</v>
      </c>
      <c r="L626" s="4" t="n">
        <v>10740000</v>
      </c>
      <c r="M626" s="6" t="n">
        <f aca="false">L626+J626</f>
        <v>12471000</v>
      </c>
      <c r="N626" s="4" t="n">
        <v>2110000</v>
      </c>
      <c r="O626" s="4" t="n">
        <v>17591772</v>
      </c>
      <c r="P626" s="4" t="n">
        <v>690165</v>
      </c>
      <c r="Q626" s="7"/>
      <c r="R626" s="4" t="n">
        <v>787010</v>
      </c>
      <c r="S626" s="7"/>
      <c r="T626" s="4" t="n">
        <v>511173</v>
      </c>
      <c r="U626" s="5" t="n">
        <f aca="false">IFERROR(T626/P626,"")</f>
        <v>0.740653322031688</v>
      </c>
      <c r="V626" s="6" t="n">
        <f aca="false">T626-AV626</f>
        <v>-1056776</v>
      </c>
      <c r="W626" s="6" t="n">
        <f aca="false">V626-AA626*0.1</f>
        <v>-1056776</v>
      </c>
      <c r="X626" s="4" t="n">
        <v>3733149</v>
      </c>
      <c r="Y626" s="4" t="n">
        <v>108290</v>
      </c>
      <c r="Z626" s="8" t="n">
        <f aca="false">IFERROR(X626/Y626,"")</f>
        <v>34.4736263736264</v>
      </c>
      <c r="AA626" s="4" t="n">
        <v>0</v>
      </c>
      <c r="AB626" s="6" t="n">
        <f aca="false">W626-0.02*P626</f>
        <v>-1070579.3</v>
      </c>
      <c r="AC626" s="9" t="n">
        <v>43</v>
      </c>
      <c r="AD626" s="7"/>
      <c r="AE626" s="7" t="n">
        <v>0.142</v>
      </c>
      <c r="AF626" s="7" t="n">
        <v>0.095</v>
      </c>
      <c r="AG626" s="5" t="n">
        <f aca="false">1-AF626</f>
        <v>0.905</v>
      </c>
      <c r="AH626" s="7" t="n">
        <v>1.081</v>
      </c>
      <c r="AI626" s="4" t="n">
        <v>27454</v>
      </c>
      <c r="AJ626" s="6" t="n">
        <f aca="false">IFERROR(AM626*U626*MIN(1/AE626,5),"")</f>
        <v>96284.9318641194</v>
      </c>
      <c r="AK626" s="10" t="n">
        <f aca="false">IFERROR(AJ626/AI626,"")</f>
        <v>3.50713673286659</v>
      </c>
      <c r="AL626" s="8" t="n">
        <f aca="false">IFERROR(AI626/(AM626*U626/12),"")</f>
        <v>17.10797284797</v>
      </c>
      <c r="AM626" s="4" t="n">
        <v>26000</v>
      </c>
      <c r="AN626" s="4" t="n">
        <v>1125679</v>
      </c>
      <c r="AO626" s="4" t="n">
        <v>1729944</v>
      </c>
      <c r="AP626" s="7" t="n">
        <v>0.159</v>
      </c>
      <c r="AQ626" s="9" t="n">
        <v>28</v>
      </c>
      <c r="AR626" s="9" t="n">
        <v>2</v>
      </c>
      <c r="AS626" s="7"/>
      <c r="AT626" s="3" t="s">
        <v>80</v>
      </c>
      <c r="AU626" s="6" t="n">
        <f aca="false">IFERROR(P626/AR626,"")</f>
        <v>345082.5</v>
      </c>
      <c r="AV626" s="4" t="n">
        <v>1567949</v>
      </c>
      <c r="AW626" s="4" t="n">
        <v>610016</v>
      </c>
      <c r="AX626" s="4" t="n">
        <v>493343</v>
      </c>
      <c r="AY626" s="9" t="n">
        <v>16478</v>
      </c>
      <c r="AZ626" s="7"/>
      <c r="BA626" s="7" t="n">
        <v>0.849</v>
      </c>
      <c r="BB626" s="3" t="s">
        <v>107</v>
      </c>
      <c r="BC626" s="3" t="s">
        <v>100</v>
      </c>
      <c r="BD626" s="3" t="s">
        <v>175</v>
      </c>
      <c r="BE626" s="4" t="n">
        <v>841288</v>
      </c>
      <c r="BF626" s="5" t="n">
        <f aca="false">IFERROR(P626/BE626-1,"")</f>
        <v>-0.179632896225787</v>
      </c>
      <c r="BG626" s="7" t="n">
        <v>-0.023</v>
      </c>
      <c r="BH626" s="7" t="n">
        <v>-0.023</v>
      </c>
      <c r="BI626" s="6" t="n">
        <f aca="false">P626</f>
        <v>690165</v>
      </c>
      <c r="BJ626" s="4" t="n">
        <v>-658460</v>
      </c>
      <c r="BK626" s="3" t="s">
        <v>127</v>
      </c>
      <c r="BL626" s="3" t="s">
        <v>85</v>
      </c>
      <c r="BM626" s="6" t="n">
        <f aca="false">O626</f>
        <v>17591772</v>
      </c>
      <c r="BN626" s="3" t="s">
        <v>623</v>
      </c>
      <c r="BO626" s="5" t="n">
        <f aca="false">IFERROR(1-L626/M626,"")</f>
        <v>0.138802020687996</v>
      </c>
      <c r="BP626" s="3" t="s">
        <v>142</v>
      </c>
      <c r="BQ626" s="4" t="n">
        <v>1827625</v>
      </c>
      <c r="BR626" s="3" t="s">
        <v>88</v>
      </c>
      <c r="BS626" s="3" t="s">
        <v>89</v>
      </c>
      <c r="BT626" s="3" t="s">
        <v>90</v>
      </c>
    </row>
    <row r="627" customFormat="false" ht="15" hidden="false" customHeight="false" outlineLevel="0" collapsed="false">
      <c r="A627" s="11" t="s">
        <v>621</v>
      </c>
      <c r="B627" s="11" t="s">
        <v>91</v>
      </c>
      <c r="C627" s="11" t="s">
        <v>74</v>
      </c>
      <c r="D627" s="11" t="s">
        <v>95</v>
      </c>
      <c r="E627" s="11" t="s">
        <v>187</v>
      </c>
      <c r="F627" s="11" t="s">
        <v>622</v>
      </c>
      <c r="G627" s="11" t="s">
        <v>78</v>
      </c>
      <c r="H627" s="11" t="s">
        <v>79</v>
      </c>
      <c r="I627" s="11" t="s">
        <v>78</v>
      </c>
      <c r="J627" s="12" t="n">
        <v>1731000</v>
      </c>
      <c r="K627" s="13" t="n">
        <f aca="false">IFERROR(J627/M627,"")</f>
        <v>0.138802020687996</v>
      </c>
      <c r="L627" s="12" t="n">
        <v>10740000</v>
      </c>
      <c r="M627" s="14" t="n">
        <f aca="false">L627+J627</f>
        <v>12471000</v>
      </c>
      <c r="N627" s="12" t="n">
        <v>2110000</v>
      </c>
      <c r="O627" s="12" t="n">
        <v>17591772</v>
      </c>
      <c r="P627" s="12" t="n">
        <v>774309</v>
      </c>
      <c r="Q627" s="13" t="n">
        <f aca="false">IFERROR(P627/P626-1,"")</f>
        <v>0.121918671622004</v>
      </c>
      <c r="R627" s="12" t="n">
        <v>924900</v>
      </c>
      <c r="S627" s="13" t="n">
        <f aca="false">IFERROR(R627/R626-1,"")</f>
        <v>0.175207430655265</v>
      </c>
      <c r="T627" s="12" t="n">
        <v>575816</v>
      </c>
      <c r="U627" s="13" t="n">
        <f aca="false">IFERROR(T627/P627,"")</f>
        <v>0.743651436312893</v>
      </c>
      <c r="V627" s="14" t="n">
        <f aca="false">T627-AV627</f>
        <v>-1207343</v>
      </c>
      <c r="W627" s="14" t="n">
        <f aca="false">V627-AA627*0.1</f>
        <v>-1207343</v>
      </c>
      <c r="X627" s="12" t="n">
        <v>3460044</v>
      </c>
      <c r="Y627" s="12" t="n">
        <v>111860</v>
      </c>
      <c r="Z627" s="15" t="n">
        <f aca="false">IFERROR(X627/Y627,"")</f>
        <v>30.931914893617</v>
      </c>
      <c r="AA627" s="12" t="n">
        <v>0</v>
      </c>
      <c r="AB627" s="14" t="n">
        <f aca="false">W627-0.02*P627</f>
        <v>-1222829.18</v>
      </c>
      <c r="AC627" s="16" t="n">
        <v>49</v>
      </c>
      <c r="AD627" s="13" t="n">
        <f aca="false">IFERROR(AC627/AC626-1,"")</f>
        <v>0.13953488372093</v>
      </c>
      <c r="AE627" s="17" t="n">
        <v>0.138</v>
      </c>
      <c r="AF627" s="17" t="n">
        <v>0.151</v>
      </c>
      <c r="AG627" s="13" t="n">
        <f aca="false">1-AF627</f>
        <v>0.849</v>
      </c>
      <c r="AH627" s="17" t="n">
        <v>1.076</v>
      </c>
      <c r="AI627" s="12" t="n">
        <v>26936</v>
      </c>
      <c r="AJ627" s="14" t="n">
        <f aca="false">IFERROR(AM627*U627*MIN(1/AE627,5),"")</f>
        <v>98608.1804550896</v>
      </c>
      <c r="AK627" s="18" t="n">
        <f aca="false">IFERROR(AJ627/AI627,"")</f>
        <v>3.66083236022756</v>
      </c>
      <c r="AL627" s="15" t="n">
        <f aca="false">IFERROR(AI627/(AM627*U627/12),"")</f>
        <v>16.3897152603487</v>
      </c>
      <c r="AM627" s="12" t="n">
        <v>26520</v>
      </c>
      <c r="AN627" s="12" t="n">
        <v>939574</v>
      </c>
      <c r="AO627" s="12" t="n">
        <v>2353041</v>
      </c>
      <c r="AP627" s="17" t="n">
        <v>0.159</v>
      </c>
      <c r="AQ627" s="16" t="n">
        <v>28</v>
      </c>
      <c r="AR627" s="16" t="n">
        <v>2</v>
      </c>
      <c r="AS627" s="13" t="n">
        <f aca="false">IFERROR(AR627/AR626-1,"")</f>
        <v>0</v>
      </c>
      <c r="AT627" s="11" t="s">
        <v>80</v>
      </c>
      <c r="AU627" s="14" t="n">
        <f aca="false">IFERROR(P627/AR627,"")</f>
        <v>387154.5</v>
      </c>
      <c r="AV627" s="12" t="n">
        <v>1783159</v>
      </c>
      <c r="AW627" s="12" t="n">
        <v>787076</v>
      </c>
      <c r="AX627" s="12" t="n">
        <v>470624</v>
      </c>
      <c r="AY627" s="16" t="n">
        <v>16817</v>
      </c>
      <c r="AZ627" s="13" t="n">
        <f aca="false">IFERROR(AY627/AY626-1,"")</f>
        <v>0.0205728850588665</v>
      </c>
      <c r="BA627" s="17" t="n">
        <v>0.876</v>
      </c>
      <c r="BB627" s="11" t="s">
        <v>107</v>
      </c>
      <c r="BC627" s="11" t="s">
        <v>100</v>
      </c>
      <c r="BD627" s="11" t="s">
        <v>175</v>
      </c>
      <c r="BE627" s="12" t="n">
        <v>825652</v>
      </c>
      <c r="BF627" s="13" t="n">
        <f aca="false">IFERROR(P627/BE627-1,"")</f>
        <v>-0.062184794562358</v>
      </c>
      <c r="BG627" s="17" t="n">
        <v>0.048</v>
      </c>
      <c r="BH627" s="17" t="n">
        <v>0.011</v>
      </c>
      <c r="BI627" s="14" t="n">
        <f aca="false">P627*(1+IFERROR(Q627,0))^4</f>
        <v>1226760.57574531</v>
      </c>
      <c r="BJ627" s="12" t="n">
        <v>-906038</v>
      </c>
      <c r="BK627" s="11" t="s">
        <v>127</v>
      </c>
      <c r="BL627" s="11" t="s">
        <v>85</v>
      </c>
      <c r="BM627" s="14" t="n">
        <f aca="false">O627</f>
        <v>17591772</v>
      </c>
      <c r="BN627" s="11" t="s">
        <v>623</v>
      </c>
      <c r="BO627" s="13" t="n">
        <f aca="false">IFERROR(1-L627/M627,"")</f>
        <v>0.138802020687996</v>
      </c>
      <c r="BP627" s="11" t="s">
        <v>142</v>
      </c>
      <c r="BQ627" s="12" t="n">
        <v>2046651</v>
      </c>
      <c r="BR627" s="11" t="s">
        <v>88</v>
      </c>
      <c r="BS627" s="11" t="s">
        <v>89</v>
      </c>
      <c r="BT627" s="19" t="str">
        <f aca="false">IF(OR(Z627&lt;6,AH627&lt;0.9,S627&lt;0.02,AK627&lt;1),"REVIEW",IF(AND(S627&gt;0.25,AH627&gt;1.2),"ACCELERATING","STABLE"))</f>
        <v>STABLE</v>
      </c>
    </row>
    <row r="628" customFormat="false" ht="15" hidden="false" customHeight="false" outlineLevel="0" collapsed="false">
      <c r="A628" s="11" t="s">
        <v>621</v>
      </c>
      <c r="B628" s="11" t="s">
        <v>92</v>
      </c>
      <c r="C628" s="11" t="s">
        <v>74</v>
      </c>
      <c r="D628" s="11" t="s">
        <v>95</v>
      </c>
      <c r="E628" s="11" t="s">
        <v>187</v>
      </c>
      <c r="F628" s="11" t="s">
        <v>622</v>
      </c>
      <c r="G628" s="11" t="s">
        <v>78</v>
      </c>
      <c r="H628" s="11" t="s">
        <v>79</v>
      </c>
      <c r="I628" s="11" t="s">
        <v>78</v>
      </c>
      <c r="J628" s="12" t="n">
        <v>1731000</v>
      </c>
      <c r="K628" s="13" t="n">
        <f aca="false">IFERROR(J628/M628,"")</f>
        <v>0.138802020687996</v>
      </c>
      <c r="L628" s="12" t="n">
        <v>10740000</v>
      </c>
      <c r="M628" s="14" t="n">
        <f aca="false">L628+J628</f>
        <v>12471000</v>
      </c>
      <c r="N628" s="12" t="n">
        <v>2110000</v>
      </c>
      <c r="O628" s="12" t="n">
        <v>17591772</v>
      </c>
      <c r="P628" s="12" t="n">
        <v>879211</v>
      </c>
      <c r="Q628" s="13" t="n">
        <f aca="false">IFERROR(P628/P627-1,"")</f>
        <v>0.135478213478082</v>
      </c>
      <c r="R628" s="12" t="n">
        <v>932890</v>
      </c>
      <c r="S628" s="13" t="n">
        <f aca="false">IFERROR(R628/R627-1,"")</f>
        <v>0.00863877175910899</v>
      </c>
      <c r="T628" s="12" t="n">
        <v>656463</v>
      </c>
      <c r="U628" s="13" t="n">
        <f aca="false">IFERROR(T628/P628,"")</f>
        <v>0.746650121529417</v>
      </c>
      <c r="V628" s="14" t="n">
        <f aca="false">T628-AV628</f>
        <v>-1238124</v>
      </c>
      <c r="W628" s="14" t="n">
        <f aca="false">V628-AA628*0.1</f>
        <v>-1238124</v>
      </c>
      <c r="X628" s="12" t="n">
        <v>3167661</v>
      </c>
      <c r="Y628" s="12" t="n">
        <v>115430</v>
      </c>
      <c r="Z628" s="15" t="n">
        <f aca="false">IFERROR(X628/Y628,"")</f>
        <v>27.4422680412371</v>
      </c>
      <c r="AA628" s="12" t="n">
        <v>0</v>
      </c>
      <c r="AB628" s="14" t="n">
        <f aca="false">W628-0.02*P628</f>
        <v>-1255708.22</v>
      </c>
      <c r="AC628" s="16" t="n">
        <v>55</v>
      </c>
      <c r="AD628" s="13" t="n">
        <f aca="false">IFERROR(AC628/AC627-1,"")</f>
        <v>0.122448979591837</v>
      </c>
      <c r="AE628" s="17" t="n">
        <v>0.134</v>
      </c>
      <c r="AF628" s="17" t="n">
        <v>0.124</v>
      </c>
      <c r="AG628" s="13" t="n">
        <f aca="false">1-AF628</f>
        <v>0.876</v>
      </c>
      <c r="AH628" s="17" t="n">
        <v>1.071</v>
      </c>
      <c r="AI628" s="12" t="n">
        <v>26418</v>
      </c>
      <c r="AJ628" s="14" t="n">
        <f aca="false">IFERROR(AM628*U628*MIN(1/AE628,5),"")</f>
        <v>100947.096430777</v>
      </c>
      <c r="AK628" s="18" t="n">
        <f aca="false">IFERROR(AJ628/AI628,"")</f>
        <v>3.82114832427804</v>
      </c>
      <c r="AL628" s="15" t="n">
        <f aca="false">IFERROR(AI628/(AM628*U628/12),"")</f>
        <v>15.7020861029613</v>
      </c>
      <c r="AM628" s="12" t="n">
        <v>27040</v>
      </c>
      <c r="AN628" s="12" t="n">
        <v>1081314</v>
      </c>
      <c r="AO628" s="12" t="n">
        <v>1584631</v>
      </c>
      <c r="AP628" s="17" t="n">
        <v>0.159</v>
      </c>
      <c r="AQ628" s="16" t="n">
        <v>28</v>
      </c>
      <c r="AR628" s="16" t="n">
        <v>2</v>
      </c>
      <c r="AS628" s="13" t="n">
        <f aca="false">IFERROR(AR628/AR627-1,"")</f>
        <v>0</v>
      </c>
      <c r="AT628" s="11" t="s">
        <v>80</v>
      </c>
      <c r="AU628" s="14" t="n">
        <f aca="false">IFERROR(P628/AR628,"")</f>
        <v>439605.5</v>
      </c>
      <c r="AV628" s="12" t="n">
        <v>1894587</v>
      </c>
      <c r="AW628" s="12" t="n">
        <v>785821</v>
      </c>
      <c r="AX628" s="12" t="n">
        <v>489310</v>
      </c>
      <c r="AY628" s="16" t="n">
        <v>18780</v>
      </c>
      <c r="AZ628" s="13" t="n">
        <f aca="false">IFERROR(AY628/AY627-1,"")</f>
        <v>0.116727121365285</v>
      </c>
      <c r="BA628" s="17" t="n">
        <v>0.889</v>
      </c>
      <c r="BB628" s="11" t="s">
        <v>107</v>
      </c>
      <c r="BC628" s="11" t="s">
        <v>100</v>
      </c>
      <c r="BD628" s="11" t="s">
        <v>175</v>
      </c>
      <c r="BE628" s="12" t="n">
        <v>976084</v>
      </c>
      <c r="BF628" s="13" t="n">
        <f aca="false">IFERROR(P628/BE628-1,"")</f>
        <v>-0.0992465812368608</v>
      </c>
      <c r="BG628" s="17" t="n">
        <v>0.062</v>
      </c>
      <c r="BH628" s="17" t="n">
        <v>-0.057</v>
      </c>
      <c r="BI628" s="14" t="n">
        <f aca="false">P628*(1+IFERROR(Q628,0))^4</f>
        <v>1461532.02542092</v>
      </c>
      <c r="BJ628" s="12" t="n">
        <v>-1121874</v>
      </c>
      <c r="BK628" s="11" t="s">
        <v>127</v>
      </c>
      <c r="BL628" s="11" t="s">
        <v>85</v>
      </c>
      <c r="BM628" s="14" t="n">
        <f aca="false">O628</f>
        <v>17591772</v>
      </c>
      <c r="BN628" s="11" t="s">
        <v>623</v>
      </c>
      <c r="BO628" s="13" t="n">
        <f aca="false">IFERROR(1-L628/M628,"")</f>
        <v>0.138802020687996</v>
      </c>
      <c r="BP628" s="11" t="s">
        <v>142</v>
      </c>
      <c r="BQ628" s="12" t="n">
        <v>1827675</v>
      </c>
      <c r="BR628" s="11" t="s">
        <v>88</v>
      </c>
      <c r="BS628" s="11" t="s">
        <v>89</v>
      </c>
      <c r="BT628" s="19" t="str">
        <f aca="false">IF(OR(Z628&lt;6,AH628&lt;0.9,S628&lt;0.02,AK628&lt;1),"REVIEW",IF(AND(S628&gt;0.25,AH628&gt;1.2),"ACCELERATING","STABLE"))</f>
        <v>REVIEW</v>
      </c>
    </row>
    <row r="629" customFormat="false" ht="15" hidden="false" customHeight="false" outlineLevel="0" collapsed="false">
      <c r="A629" s="11" t="s">
        <v>621</v>
      </c>
      <c r="B629" s="11" t="s">
        <v>93</v>
      </c>
      <c r="C629" s="11" t="s">
        <v>74</v>
      </c>
      <c r="D629" s="11" t="s">
        <v>95</v>
      </c>
      <c r="E629" s="11" t="s">
        <v>187</v>
      </c>
      <c r="F629" s="11" t="s">
        <v>622</v>
      </c>
      <c r="G629" s="11" t="s">
        <v>78</v>
      </c>
      <c r="H629" s="11" t="s">
        <v>79</v>
      </c>
      <c r="I629" s="11" t="s">
        <v>78</v>
      </c>
      <c r="J629" s="12" t="n">
        <v>1731000</v>
      </c>
      <c r="K629" s="13" t="n">
        <f aca="false">IFERROR(J629/M629,"")</f>
        <v>0.138802020687996</v>
      </c>
      <c r="L629" s="12" t="n">
        <v>10740000</v>
      </c>
      <c r="M629" s="14" t="n">
        <f aca="false">L629+J629</f>
        <v>12471000</v>
      </c>
      <c r="N629" s="12" t="n">
        <v>2110000</v>
      </c>
      <c r="O629" s="12" t="n">
        <v>17591772</v>
      </c>
      <c r="P629" s="12" t="n">
        <v>926957</v>
      </c>
      <c r="Q629" s="13" t="n">
        <f aca="false">IFERROR(P629/P628-1,"")</f>
        <v>0.0543055080066104</v>
      </c>
      <c r="R629" s="12" t="n">
        <v>1105996</v>
      </c>
      <c r="S629" s="13" t="n">
        <f aca="false">IFERROR(R629/R628-1,"")</f>
        <v>0.185558854741717</v>
      </c>
      <c r="T629" s="12" t="n">
        <v>694892</v>
      </c>
      <c r="U629" s="13" t="n">
        <f aca="false">IFERROR(T629/P629,"")</f>
        <v>0.749648581325779</v>
      </c>
      <c r="V629" s="14" t="n">
        <f aca="false">T629-AV629</f>
        <v>-1506171</v>
      </c>
      <c r="W629" s="14" t="n">
        <f aca="false">V629-AA629*0.1</f>
        <v>-1506171</v>
      </c>
      <c r="X629" s="12" t="n">
        <v>2856000</v>
      </c>
      <c r="Y629" s="12" t="n">
        <v>119000</v>
      </c>
      <c r="Z629" s="15" t="n">
        <f aca="false">IFERROR(X629/Y629,"")</f>
        <v>24</v>
      </c>
      <c r="AA629" s="12" t="n">
        <v>0</v>
      </c>
      <c r="AB629" s="14" t="n">
        <f aca="false">W629-0.02*P629</f>
        <v>-1524710.14</v>
      </c>
      <c r="AC629" s="16" t="n">
        <v>60</v>
      </c>
      <c r="AD629" s="13" t="n">
        <f aca="false">IFERROR(AC629/AC628-1,"")</f>
        <v>0.0909090909090908</v>
      </c>
      <c r="AE629" s="17" t="n">
        <v>0.13</v>
      </c>
      <c r="AF629" s="17" t="n">
        <v>0.089</v>
      </c>
      <c r="AG629" s="13" t="n">
        <f aca="false">1-AF629</f>
        <v>0.911</v>
      </c>
      <c r="AH629" s="17" t="n">
        <v>1.066</v>
      </c>
      <c r="AI629" s="12" t="n">
        <v>25900</v>
      </c>
      <c r="AJ629" s="14" t="n">
        <f aca="false">IFERROR(AM629*U629*MIN(1/AE629,5),"")</f>
        <v>103301.574506692</v>
      </c>
      <c r="AK629" s="18" t="n">
        <f aca="false">IFERROR(AJ629/AI629,"")</f>
        <v>3.98847778018117</v>
      </c>
      <c r="AL629" s="15" t="n">
        <f aca="false">IFERROR(AI629/(AM629*U629/12),"")</f>
        <v>15.0433331478343</v>
      </c>
      <c r="AM629" s="12" t="n">
        <v>27560</v>
      </c>
      <c r="AN629" s="12" t="n">
        <v>1014796</v>
      </c>
      <c r="AO629" s="12" t="n">
        <v>3894578</v>
      </c>
      <c r="AP629" s="17" t="n">
        <v>0.159</v>
      </c>
      <c r="AQ629" s="16" t="n">
        <v>28</v>
      </c>
      <c r="AR629" s="16" t="n">
        <v>2</v>
      </c>
      <c r="AS629" s="13" t="n">
        <f aca="false">IFERROR(AR629/AR628-1,"")</f>
        <v>0</v>
      </c>
      <c r="AT629" s="11" t="s">
        <v>80</v>
      </c>
      <c r="AU629" s="14" t="n">
        <f aca="false">IFERROR(P629/AR629,"")</f>
        <v>463478.5</v>
      </c>
      <c r="AV629" s="12" t="n">
        <v>2201063</v>
      </c>
      <c r="AW629" s="12" t="n">
        <v>1090317</v>
      </c>
      <c r="AX629" s="12" t="n">
        <v>639735</v>
      </c>
      <c r="AY629" s="16" t="n">
        <v>22050</v>
      </c>
      <c r="AZ629" s="13" t="n">
        <f aca="false">IFERROR(AY629/AY628-1,"")</f>
        <v>0.174121405750799</v>
      </c>
      <c r="BA629" s="17" t="n">
        <v>0.878</v>
      </c>
      <c r="BB629" s="11" t="s">
        <v>107</v>
      </c>
      <c r="BC629" s="11" t="s">
        <v>100</v>
      </c>
      <c r="BD629" s="11" t="s">
        <v>175</v>
      </c>
      <c r="BE629" s="12" t="n">
        <v>906918</v>
      </c>
      <c r="BF629" s="13" t="n">
        <f aca="false">IFERROR(P629/BE629-1,"")</f>
        <v>0.0220957131736277</v>
      </c>
      <c r="BG629" s="17" t="n">
        <v>-0.033</v>
      </c>
      <c r="BH629" s="17" t="n">
        <v>-0.068</v>
      </c>
      <c r="BI629" s="14" t="n">
        <f aca="false">P629*(1+IFERROR(Q629,0))^4</f>
        <v>1145316.42778067</v>
      </c>
      <c r="BJ629" s="12" t="n">
        <v>-1072759</v>
      </c>
      <c r="BK629" s="11" t="s">
        <v>127</v>
      </c>
      <c r="BL629" s="11" t="s">
        <v>85</v>
      </c>
      <c r="BM629" s="14" t="n">
        <f aca="false">O629</f>
        <v>17591772</v>
      </c>
      <c r="BN629" s="11" t="s">
        <v>623</v>
      </c>
      <c r="BO629" s="13" t="n">
        <f aca="false">IFERROR(1-L629/M629,"")</f>
        <v>0.138802020687996</v>
      </c>
      <c r="BP629" s="11" t="s">
        <v>142</v>
      </c>
      <c r="BQ629" s="12" t="n">
        <v>1642838</v>
      </c>
      <c r="BR629" s="11" t="s">
        <v>88</v>
      </c>
      <c r="BS629" s="11" t="s">
        <v>89</v>
      </c>
      <c r="BT629" s="19" t="str">
        <f aca="false">IF(OR(Z629&lt;6,AH629&lt;0.9,S629&lt;0.02,AK629&lt;1),"REVIEW",IF(AND(S629&gt;0.25,AH629&gt;1.2),"ACCELERATING","STABLE"))</f>
        <v>STABLE</v>
      </c>
    </row>
    <row r="630" customFormat="false" ht="15" hidden="false" customHeight="false" outlineLevel="0" collapsed="false">
      <c r="A630" s="3" t="s">
        <v>624</v>
      </c>
      <c r="B630" s="3" t="s">
        <v>73</v>
      </c>
      <c r="C630" s="3" t="s">
        <v>74</v>
      </c>
      <c r="D630" s="3" t="s">
        <v>95</v>
      </c>
      <c r="E630" s="3" t="s">
        <v>105</v>
      </c>
      <c r="F630" s="3" t="s">
        <v>625</v>
      </c>
      <c r="G630" s="3" t="s">
        <v>78</v>
      </c>
      <c r="H630" s="3" t="s">
        <v>79</v>
      </c>
      <c r="I630" s="3" t="s">
        <v>78</v>
      </c>
      <c r="J630" s="4" t="n">
        <v>3800000</v>
      </c>
      <c r="K630" s="5" t="n">
        <f aca="false">IFERROR(J630/M630,"")</f>
        <v>0.198030121423732</v>
      </c>
      <c r="L630" s="4" t="n">
        <v>15389000</v>
      </c>
      <c r="M630" s="6" t="n">
        <f aca="false">L630+J630</f>
        <v>19189000</v>
      </c>
      <c r="N630" s="4" t="n">
        <v>3800000</v>
      </c>
      <c r="O630" s="4" t="n">
        <v>28506859</v>
      </c>
      <c r="P630" s="4" t="n">
        <v>937480</v>
      </c>
      <c r="Q630" s="7"/>
      <c r="R630" s="4" t="n">
        <v>973194</v>
      </c>
      <c r="S630" s="7"/>
      <c r="T630" s="4" t="n">
        <v>671024</v>
      </c>
      <c r="U630" s="5" t="n">
        <f aca="false">IFERROR(T630/P630,"")</f>
        <v>0.715774203183001</v>
      </c>
      <c r="V630" s="6" t="n">
        <f aca="false">T630-AV630</f>
        <v>-2484166</v>
      </c>
      <c r="W630" s="6" t="n">
        <f aca="false">V630-AA630*0.1</f>
        <v>-2605166</v>
      </c>
      <c r="X630" s="4" t="n">
        <v>6278750</v>
      </c>
      <c r="Y630" s="4" t="n">
        <v>227500</v>
      </c>
      <c r="Z630" s="8" t="n">
        <f aca="false">IFERROR(X630/Y630,"")</f>
        <v>27.5989010989011</v>
      </c>
      <c r="AA630" s="4" t="n">
        <v>1210000</v>
      </c>
      <c r="AB630" s="6" t="n">
        <f aca="false">W630-0.02*P630</f>
        <v>-2623915.6</v>
      </c>
      <c r="AC630" s="9" t="n">
        <v>49</v>
      </c>
      <c r="AD630" s="7"/>
      <c r="AE630" s="7" t="n">
        <v>0.104</v>
      </c>
      <c r="AF630" s="7" t="n">
        <v>0.071</v>
      </c>
      <c r="AG630" s="5" t="n">
        <f aca="false">1-AF630</f>
        <v>0.929</v>
      </c>
      <c r="AH630" s="7" t="n">
        <v>1.162</v>
      </c>
      <c r="AI630" s="4" t="n">
        <v>49290</v>
      </c>
      <c r="AJ630" s="6" t="n">
        <f aca="false">IFERROR(AM630*U630*MIN(1/AE630,5),"")</f>
        <v>135997.09860477</v>
      </c>
      <c r="AK630" s="10" t="n">
        <f aca="false">IFERROR(AJ630/AI630,"")</f>
        <v>2.75912149735789</v>
      </c>
      <c r="AL630" s="8" t="n">
        <f aca="false">IFERROR(AI630/(AM630*U630/12),"")</f>
        <v>21.7460521609706</v>
      </c>
      <c r="AM630" s="4" t="n">
        <v>38000</v>
      </c>
      <c r="AN630" s="4" t="n">
        <v>1212768</v>
      </c>
      <c r="AO630" s="4" t="n">
        <v>3751085</v>
      </c>
      <c r="AP630" s="7" t="n">
        <v>0.378</v>
      </c>
      <c r="AQ630" s="9" t="n">
        <v>58</v>
      </c>
      <c r="AR630" s="9" t="n">
        <v>3</v>
      </c>
      <c r="AS630" s="7"/>
      <c r="AT630" s="3" t="s">
        <v>80</v>
      </c>
      <c r="AU630" s="6" t="n">
        <f aca="false">IFERROR(P630/AR630,"")</f>
        <v>312493.333333333</v>
      </c>
      <c r="AV630" s="4" t="n">
        <v>3155190</v>
      </c>
      <c r="AW630" s="4" t="n">
        <v>957834</v>
      </c>
      <c r="AX630" s="4" t="n">
        <v>1065888</v>
      </c>
      <c r="AY630" s="9" t="n">
        <v>15513</v>
      </c>
      <c r="AZ630" s="7"/>
      <c r="BA630" s="7" t="n">
        <v>0.904</v>
      </c>
      <c r="BB630" s="3" t="s">
        <v>99</v>
      </c>
      <c r="BC630" s="3" t="s">
        <v>100</v>
      </c>
      <c r="BD630" s="3" t="s">
        <v>109</v>
      </c>
      <c r="BE630" s="4" t="n">
        <v>1000308</v>
      </c>
      <c r="BF630" s="5" t="n">
        <f aca="false">IFERROR(P630/BE630-1,"")</f>
        <v>-0.0628086549342802</v>
      </c>
      <c r="BG630" s="7" t="n">
        <v>-0.006</v>
      </c>
      <c r="BH630" s="7" t="n">
        <v>-0.018</v>
      </c>
      <c r="BI630" s="6" t="n">
        <f aca="false">P630</f>
        <v>937480</v>
      </c>
      <c r="BJ630" s="4" t="n">
        <v>-2651890</v>
      </c>
      <c r="BK630" s="3" t="s">
        <v>102</v>
      </c>
      <c r="BL630" s="3" t="s">
        <v>111</v>
      </c>
      <c r="BM630" s="6" t="n">
        <f aca="false">O630</f>
        <v>28506859</v>
      </c>
      <c r="BN630" s="3" t="s">
        <v>626</v>
      </c>
      <c r="BO630" s="5" t="n">
        <f aca="false">IFERROR(1-L630/M630,"")</f>
        <v>0.198030121423732</v>
      </c>
      <c r="BP630" s="3" t="s">
        <v>142</v>
      </c>
      <c r="BQ630" s="4" t="n">
        <v>2733748</v>
      </c>
      <c r="BR630" s="3" t="s">
        <v>88</v>
      </c>
      <c r="BS630" s="3" t="s">
        <v>89</v>
      </c>
      <c r="BT630" s="3" t="s">
        <v>90</v>
      </c>
    </row>
    <row r="631" customFormat="false" ht="15" hidden="false" customHeight="false" outlineLevel="0" collapsed="false">
      <c r="A631" s="11" t="s">
        <v>624</v>
      </c>
      <c r="B631" s="11" t="s">
        <v>91</v>
      </c>
      <c r="C631" s="11" t="s">
        <v>74</v>
      </c>
      <c r="D631" s="11" t="s">
        <v>95</v>
      </c>
      <c r="E631" s="11" t="s">
        <v>105</v>
      </c>
      <c r="F631" s="11" t="s">
        <v>625</v>
      </c>
      <c r="G631" s="11" t="s">
        <v>78</v>
      </c>
      <c r="H631" s="11" t="s">
        <v>79</v>
      </c>
      <c r="I631" s="11" t="s">
        <v>78</v>
      </c>
      <c r="J631" s="12" t="n">
        <v>3800000</v>
      </c>
      <c r="K631" s="13" t="n">
        <f aca="false">IFERROR(J631/M631,"")</f>
        <v>0.198030121423732</v>
      </c>
      <c r="L631" s="12" t="n">
        <v>15389000</v>
      </c>
      <c r="M631" s="14" t="n">
        <f aca="false">L631+J631</f>
        <v>19189000</v>
      </c>
      <c r="N631" s="12" t="n">
        <v>3800000</v>
      </c>
      <c r="O631" s="12" t="n">
        <v>28506859</v>
      </c>
      <c r="P631" s="12" t="n">
        <v>1193741</v>
      </c>
      <c r="Q631" s="13" t="n">
        <f aca="false">IFERROR(P631/P630-1,"")</f>
        <v>0.273350898152494</v>
      </c>
      <c r="R631" s="12" t="n">
        <v>1155911</v>
      </c>
      <c r="S631" s="13" t="n">
        <f aca="false">IFERROR(R631/R630-1,"")</f>
        <v>0.187749821721055</v>
      </c>
      <c r="T631" s="12" t="n">
        <v>857909</v>
      </c>
      <c r="U631" s="13" t="n">
        <f aca="false">IFERROR(T631/P631,"")</f>
        <v>0.718672643395846</v>
      </c>
      <c r="V631" s="14" t="n">
        <f aca="false">T631-AV631</f>
        <v>-2490437</v>
      </c>
      <c r="W631" s="14" t="n">
        <f aca="false">V631-AA631*0.1</f>
        <v>-2611437</v>
      </c>
      <c r="X631" s="12" t="n">
        <v>5705000</v>
      </c>
      <c r="Y631" s="12" t="n">
        <v>235000</v>
      </c>
      <c r="Z631" s="15" t="n">
        <f aca="false">IFERROR(X631/Y631,"")</f>
        <v>24.2765957446809</v>
      </c>
      <c r="AA631" s="12" t="n">
        <v>1210000</v>
      </c>
      <c r="AB631" s="14" t="n">
        <f aca="false">W631-0.02*P631</f>
        <v>-2635311.82</v>
      </c>
      <c r="AC631" s="16" t="n">
        <v>57</v>
      </c>
      <c r="AD631" s="13" t="n">
        <f aca="false">IFERROR(AC631/AC630-1,"")</f>
        <v>0.163265306122449</v>
      </c>
      <c r="AE631" s="17" t="n">
        <v>0.101</v>
      </c>
      <c r="AF631" s="17" t="n">
        <v>0.1</v>
      </c>
      <c r="AG631" s="13" t="n">
        <f aca="false">1-AF631</f>
        <v>0.9</v>
      </c>
      <c r="AH631" s="17" t="n">
        <v>1.157</v>
      </c>
      <c r="AI631" s="12" t="n">
        <v>48360</v>
      </c>
      <c r="AJ631" s="14" t="n">
        <f aca="false">IFERROR(AM631*U631*MIN(1/AE631,5),"")</f>
        <v>139278.758290115</v>
      </c>
      <c r="AK631" s="18" t="n">
        <f aca="false">IFERROR(AJ631/AI631,"")</f>
        <v>2.88004049400568</v>
      </c>
      <c r="AL631" s="15" t="n">
        <f aca="false">IFERROR(AI631/(AM631*U631/12),"")</f>
        <v>20.8330404120636</v>
      </c>
      <c r="AM631" s="12" t="n">
        <v>38760</v>
      </c>
      <c r="AN631" s="12" t="n">
        <v>1483852</v>
      </c>
      <c r="AO631" s="12" t="n">
        <v>2379476</v>
      </c>
      <c r="AP631" s="17" t="n">
        <v>0.378</v>
      </c>
      <c r="AQ631" s="16" t="n">
        <v>58</v>
      </c>
      <c r="AR631" s="16" t="n">
        <v>3</v>
      </c>
      <c r="AS631" s="13" t="n">
        <f aca="false">IFERROR(AR631/AR630-1,"")</f>
        <v>0</v>
      </c>
      <c r="AT631" s="11" t="s">
        <v>80</v>
      </c>
      <c r="AU631" s="14" t="n">
        <f aca="false">IFERROR(P631/AR631,"")</f>
        <v>397913.666666667</v>
      </c>
      <c r="AV631" s="12" t="n">
        <v>3348346</v>
      </c>
      <c r="AW631" s="12" t="n">
        <v>1514383</v>
      </c>
      <c r="AX631" s="12" t="n">
        <v>632081</v>
      </c>
      <c r="AY631" s="16" t="n">
        <v>16777</v>
      </c>
      <c r="AZ631" s="13" t="n">
        <f aca="false">IFERROR(AY631/AY630-1,"")</f>
        <v>0.0814800489911687</v>
      </c>
      <c r="BA631" s="17" t="n">
        <v>0.903</v>
      </c>
      <c r="BB631" s="11" t="s">
        <v>99</v>
      </c>
      <c r="BC631" s="11" t="s">
        <v>100</v>
      </c>
      <c r="BD631" s="11" t="s">
        <v>109</v>
      </c>
      <c r="BE631" s="12" t="n">
        <v>1367702</v>
      </c>
      <c r="BF631" s="13" t="n">
        <f aca="false">IFERROR(P631/BE631-1,"")</f>
        <v>-0.127192180752825</v>
      </c>
      <c r="BG631" s="17" t="n">
        <v>-0.002</v>
      </c>
      <c r="BH631" s="17" t="n">
        <v>-0.029</v>
      </c>
      <c r="BI631" s="14" t="n">
        <f aca="false">P631*(1+IFERROR(Q631,0))^4</f>
        <v>3138358.16687395</v>
      </c>
      <c r="BJ631" s="12" t="n">
        <v>-2332348</v>
      </c>
      <c r="BK631" s="11" t="s">
        <v>102</v>
      </c>
      <c r="BL631" s="11" t="s">
        <v>111</v>
      </c>
      <c r="BM631" s="14" t="n">
        <f aca="false">O631</f>
        <v>28506859</v>
      </c>
      <c r="BN631" s="11" t="s">
        <v>626</v>
      </c>
      <c r="BO631" s="13" t="n">
        <f aca="false">IFERROR(1-L631/M631,"")</f>
        <v>0.198030121423732</v>
      </c>
      <c r="BP631" s="11" t="s">
        <v>142</v>
      </c>
      <c r="BQ631" s="12" t="n">
        <v>3462774</v>
      </c>
      <c r="BR631" s="11" t="s">
        <v>88</v>
      </c>
      <c r="BS631" s="11" t="s">
        <v>89</v>
      </c>
      <c r="BT631" s="19" t="str">
        <f aca="false">IF(OR(Z631&lt;6,AH631&lt;0.9,S631&lt;0.02,AK631&lt;1),"REVIEW",IF(AND(S631&gt;0.25,AH631&gt;1.2),"ACCELERATING","STABLE"))</f>
        <v>STABLE</v>
      </c>
    </row>
    <row r="632" customFormat="false" ht="15" hidden="false" customHeight="false" outlineLevel="0" collapsed="false">
      <c r="A632" s="11" t="s">
        <v>624</v>
      </c>
      <c r="B632" s="11" t="s">
        <v>92</v>
      </c>
      <c r="C632" s="11" t="s">
        <v>74</v>
      </c>
      <c r="D632" s="11" t="s">
        <v>95</v>
      </c>
      <c r="E632" s="11" t="s">
        <v>105</v>
      </c>
      <c r="F632" s="11" t="s">
        <v>625</v>
      </c>
      <c r="G632" s="11" t="s">
        <v>78</v>
      </c>
      <c r="H632" s="11" t="s">
        <v>79</v>
      </c>
      <c r="I632" s="11" t="s">
        <v>78</v>
      </c>
      <c r="J632" s="12" t="n">
        <v>3800000</v>
      </c>
      <c r="K632" s="13" t="n">
        <f aca="false">IFERROR(J632/M632,"")</f>
        <v>0.198030121423732</v>
      </c>
      <c r="L632" s="12" t="n">
        <v>15389000</v>
      </c>
      <c r="M632" s="14" t="n">
        <f aca="false">L632+J632</f>
        <v>19189000</v>
      </c>
      <c r="N632" s="12" t="n">
        <v>3800000</v>
      </c>
      <c r="O632" s="12" t="n">
        <v>28506859</v>
      </c>
      <c r="P632" s="12" t="n">
        <v>1326028</v>
      </c>
      <c r="Q632" s="13" t="n">
        <f aca="false">IFERROR(P632/P631-1,"")</f>
        <v>0.110817170558773</v>
      </c>
      <c r="R632" s="12" t="n">
        <v>1327900</v>
      </c>
      <c r="S632" s="13" t="n">
        <f aca="false">IFERROR(R632/R631-1,"")</f>
        <v>0.148790867116932</v>
      </c>
      <c r="T632" s="12" t="n">
        <v>956823</v>
      </c>
      <c r="U632" s="13" t="n">
        <f aca="false">IFERROR(T632/P632,"")</f>
        <v>0.721570736062889</v>
      </c>
      <c r="V632" s="14" t="n">
        <f aca="false">T632-AV632</f>
        <v>-2560156</v>
      </c>
      <c r="W632" s="14" t="n">
        <f aca="false">V632-AA632*0.1</f>
        <v>-2681156</v>
      </c>
      <c r="X632" s="12" t="n">
        <v>5090750</v>
      </c>
      <c r="Y632" s="12" t="n">
        <v>242500</v>
      </c>
      <c r="Z632" s="15" t="n">
        <f aca="false">IFERROR(X632/Y632,"")</f>
        <v>20.9927835051546</v>
      </c>
      <c r="AA632" s="12" t="n">
        <v>1210000</v>
      </c>
      <c r="AB632" s="14" t="n">
        <f aca="false">W632-0.02*P632</f>
        <v>-2707676.56</v>
      </c>
      <c r="AC632" s="16" t="n">
        <v>58</v>
      </c>
      <c r="AD632" s="13" t="n">
        <f aca="false">IFERROR(AC632/AC631-1,"")</f>
        <v>0.0175438596491229</v>
      </c>
      <c r="AE632" s="17" t="n">
        <v>0.098</v>
      </c>
      <c r="AF632" s="17" t="n">
        <v>0.081</v>
      </c>
      <c r="AG632" s="13" t="n">
        <f aca="false">1-AF632</f>
        <v>0.919</v>
      </c>
      <c r="AH632" s="17" t="n">
        <v>1.152</v>
      </c>
      <c r="AI632" s="12" t="n">
        <v>47430</v>
      </c>
      <c r="AJ632" s="14" t="n">
        <f aca="false">IFERROR(AM632*U632*MIN(1/AE632,5),"")</f>
        <v>142582.377446027</v>
      </c>
      <c r="AK632" s="18" t="n">
        <f aca="false">IFERROR(AJ632/AI632,"")</f>
        <v>3.00616439903071</v>
      </c>
      <c r="AL632" s="15" t="n">
        <f aca="false">IFERROR(AI632/(AM632*U632/12),"")</f>
        <v>19.9589882773364</v>
      </c>
      <c r="AM632" s="12" t="n">
        <v>39520</v>
      </c>
      <c r="AN632" s="12" t="n">
        <v>1200363</v>
      </c>
      <c r="AO632" s="12" t="n">
        <v>2759868</v>
      </c>
      <c r="AP632" s="17" t="n">
        <v>0.378</v>
      </c>
      <c r="AQ632" s="16" t="n">
        <v>58</v>
      </c>
      <c r="AR632" s="16" t="n">
        <v>3</v>
      </c>
      <c r="AS632" s="13" t="n">
        <f aca="false">IFERROR(AR632/AR631-1,"")</f>
        <v>0</v>
      </c>
      <c r="AT632" s="11" t="s">
        <v>80</v>
      </c>
      <c r="AU632" s="14" t="n">
        <f aca="false">IFERROR(P632/AR632,"")</f>
        <v>442009.333333333</v>
      </c>
      <c r="AV632" s="12" t="n">
        <v>3516979</v>
      </c>
      <c r="AW632" s="12" t="n">
        <v>1669702</v>
      </c>
      <c r="AX632" s="12" t="n">
        <v>1172647</v>
      </c>
      <c r="AY632" s="16" t="n">
        <v>20015</v>
      </c>
      <c r="AZ632" s="13" t="n">
        <f aca="false">IFERROR(AY632/AY631-1,"")</f>
        <v>0.193002324611075</v>
      </c>
      <c r="BA632" s="17" t="n">
        <v>0.912</v>
      </c>
      <c r="BB632" s="11" t="s">
        <v>99</v>
      </c>
      <c r="BC632" s="11" t="s">
        <v>100</v>
      </c>
      <c r="BD632" s="11" t="s">
        <v>109</v>
      </c>
      <c r="BE632" s="12" t="n">
        <v>1242197</v>
      </c>
      <c r="BF632" s="13" t="n">
        <f aca="false">IFERROR(P632/BE632-1,"")</f>
        <v>0.0674860750750486</v>
      </c>
      <c r="BG632" s="17" t="n">
        <v>-0.053</v>
      </c>
      <c r="BH632" s="17" t="n">
        <v>-0.004</v>
      </c>
      <c r="BI632" s="14" t="n">
        <f aca="false">P632*(1+IFERROR(Q632,0))^4</f>
        <v>2018938.22963446</v>
      </c>
      <c r="BJ632" s="12" t="n">
        <v>-2161965</v>
      </c>
      <c r="BK632" s="11" t="s">
        <v>102</v>
      </c>
      <c r="BL632" s="11" t="s">
        <v>111</v>
      </c>
      <c r="BM632" s="14" t="n">
        <f aca="false">O632</f>
        <v>28506859</v>
      </c>
      <c r="BN632" s="11" t="s">
        <v>626</v>
      </c>
      <c r="BO632" s="13" t="n">
        <f aca="false">IFERROR(1-L632/M632,"")</f>
        <v>0.198030121423732</v>
      </c>
      <c r="BP632" s="11" t="s">
        <v>142</v>
      </c>
      <c r="BQ632" s="12" t="n">
        <v>4647714</v>
      </c>
      <c r="BR632" s="11" t="s">
        <v>88</v>
      </c>
      <c r="BS632" s="11" t="s">
        <v>89</v>
      </c>
      <c r="BT632" s="19" t="str">
        <f aca="false">IF(OR(Z632&lt;6,AH632&lt;0.9,S632&lt;0.02,AK632&lt;1),"REVIEW",IF(AND(S632&gt;0.25,AH632&gt;1.2),"ACCELERATING","STABLE"))</f>
        <v>STABLE</v>
      </c>
    </row>
    <row r="633" customFormat="false" ht="15" hidden="false" customHeight="false" outlineLevel="0" collapsed="false">
      <c r="A633" s="11" t="s">
        <v>624</v>
      </c>
      <c r="B633" s="11" t="s">
        <v>93</v>
      </c>
      <c r="C633" s="11" t="s">
        <v>74</v>
      </c>
      <c r="D633" s="11" t="s">
        <v>95</v>
      </c>
      <c r="E633" s="11" t="s">
        <v>105</v>
      </c>
      <c r="F633" s="11" t="s">
        <v>625</v>
      </c>
      <c r="G633" s="11" t="s">
        <v>78</v>
      </c>
      <c r="H633" s="11" t="s">
        <v>79</v>
      </c>
      <c r="I633" s="11" t="s">
        <v>78</v>
      </c>
      <c r="J633" s="12" t="n">
        <v>3800000</v>
      </c>
      <c r="K633" s="13" t="n">
        <f aca="false">IFERROR(J633/M633,"")</f>
        <v>0.198030121423732</v>
      </c>
      <c r="L633" s="12" t="n">
        <v>15389000</v>
      </c>
      <c r="M633" s="14" t="n">
        <f aca="false">L633+J633</f>
        <v>19189000</v>
      </c>
      <c r="N633" s="12" t="n">
        <v>3800000</v>
      </c>
      <c r="O633" s="12" t="n">
        <v>28506859</v>
      </c>
      <c r="P633" s="12" t="n">
        <v>1505712</v>
      </c>
      <c r="Q633" s="13" t="n">
        <f aca="false">IFERROR(P633/P632-1,"")</f>
        <v>0.135505434274389</v>
      </c>
      <c r="R633" s="12" t="n">
        <v>1686146</v>
      </c>
      <c r="S633" s="13" t="n">
        <f aca="false">IFERROR(R633/R632-1,"")</f>
        <v>0.269783869267264</v>
      </c>
      <c r="T633" s="12" t="n">
        <v>1090841</v>
      </c>
      <c r="U633" s="13" t="n">
        <f aca="false">IFERROR(T633/P633,"")</f>
        <v>0.724468557068018</v>
      </c>
      <c r="V633" s="14" t="n">
        <f aca="false">T633-AV633</f>
        <v>-2977429</v>
      </c>
      <c r="W633" s="14" t="n">
        <f aca="false">V633-AA633*0.1</f>
        <v>-3098429</v>
      </c>
      <c r="X633" s="12" t="n">
        <v>4436000</v>
      </c>
      <c r="Y633" s="12" t="n">
        <v>250000</v>
      </c>
      <c r="Z633" s="15" t="n">
        <f aca="false">IFERROR(X633/Y633,"")</f>
        <v>17.744</v>
      </c>
      <c r="AA633" s="12" t="n">
        <v>1210000</v>
      </c>
      <c r="AB633" s="14" t="n">
        <f aca="false">W633-0.02*P633</f>
        <v>-3128543.24</v>
      </c>
      <c r="AC633" s="16" t="n">
        <v>67</v>
      </c>
      <c r="AD633" s="13" t="n">
        <f aca="false">IFERROR(AC633/AC632-1,"")</f>
        <v>0.155172413793103</v>
      </c>
      <c r="AE633" s="17" t="n">
        <v>0.095</v>
      </c>
      <c r="AF633" s="17" t="n">
        <v>0.087</v>
      </c>
      <c r="AG633" s="13" t="n">
        <f aca="false">1-AF633</f>
        <v>0.913</v>
      </c>
      <c r="AH633" s="17" t="n">
        <v>1.147</v>
      </c>
      <c r="AI633" s="12" t="n">
        <v>46500</v>
      </c>
      <c r="AJ633" s="14" t="n">
        <f aca="false">IFERROR(AM633*U633*MIN(1/AE633,5),"")</f>
        <v>145907.967393499</v>
      </c>
      <c r="AK633" s="18" t="n">
        <f aca="false">IFERROR(AJ633/AI633,"")</f>
        <v>3.13780575039783</v>
      </c>
      <c r="AL633" s="15" t="n">
        <f aca="false">IFERROR(AI633/(AM633*U633/12),"")</f>
        <v>19.1216425657939</v>
      </c>
      <c r="AM633" s="12" t="n">
        <v>40280</v>
      </c>
      <c r="AN633" s="12" t="n">
        <v>1584786</v>
      </c>
      <c r="AO633" s="12" t="n">
        <v>5850770</v>
      </c>
      <c r="AP633" s="17" t="n">
        <v>0.378</v>
      </c>
      <c r="AQ633" s="16" t="n">
        <v>58</v>
      </c>
      <c r="AR633" s="16" t="n">
        <v>3</v>
      </c>
      <c r="AS633" s="13" t="n">
        <f aca="false">IFERROR(AR633/AR632-1,"")</f>
        <v>0</v>
      </c>
      <c r="AT633" s="11" t="s">
        <v>80</v>
      </c>
      <c r="AU633" s="14" t="n">
        <f aca="false">IFERROR(P633/AR633,"")</f>
        <v>501904</v>
      </c>
      <c r="AV633" s="12" t="n">
        <v>4068270</v>
      </c>
      <c r="AW633" s="12" t="n">
        <v>1472482</v>
      </c>
      <c r="AX633" s="12" t="n">
        <v>1281934</v>
      </c>
      <c r="AY633" s="16" t="n">
        <v>21933</v>
      </c>
      <c r="AZ633" s="13" t="n">
        <f aca="false">IFERROR(AY633/AY632-1,"")</f>
        <v>0.0958281289033225</v>
      </c>
      <c r="BA633" s="17" t="n">
        <v>0.914</v>
      </c>
      <c r="BB633" s="11" t="s">
        <v>99</v>
      </c>
      <c r="BC633" s="11" t="s">
        <v>100</v>
      </c>
      <c r="BD633" s="11" t="s">
        <v>109</v>
      </c>
      <c r="BE633" s="12" t="n">
        <v>1808955</v>
      </c>
      <c r="BF633" s="13" t="n">
        <f aca="false">IFERROR(P633/BE633-1,"")</f>
        <v>-0.167634352429994</v>
      </c>
      <c r="BG633" s="17" t="n">
        <v>0.051</v>
      </c>
      <c r="BH633" s="17" t="n">
        <v>0.092</v>
      </c>
      <c r="BI633" s="14" t="n">
        <f aca="false">P633*(1+IFERROR(Q633,0))^4</f>
        <v>2503218.61401566</v>
      </c>
      <c r="BJ633" s="12" t="n">
        <v>-2619950</v>
      </c>
      <c r="BK633" s="11" t="s">
        <v>102</v>
      </c>
      <c r="BL633" s="11" t="s">
        <v>111</v>
      </c>
      <c r="BM633" s="14" t="n">
        <f aca="false">O633</f>
        <v>28506859</v>
      </c>
      <c r="BN633" s="11" t="s">
        <v>626</v>
      </c>
      <c r="BO633" s="13" t="n">
        <f aca="false">IFERROR(1-L633/M633,"")</f>
        <v>0.198030121423732</v>
      </c>
      <c r="BP633" s="11" t="s">
        <v>142</v>
      </c>
      <c r="BQ633" s="12" t="n">
        <v>3280475</v>
      </c>
      <c r="BR633" s="11" t="s">
        <v>88</v>
      </c>
      <c r="BS633" s="11" t="s">
        <v>89</v>
      </c>
      <c r="BT633" s="19" t="str">
        <f aca="false">IF(OR(Z633&lt;6,AH633&lt;0.9,S633&lt;0.02,AK633&lt;1),"REVIEW",IF(AND(S633&gt;0.25,AH633&gt;1.2),"ACCELERATING","STABLE"))</f>
        <v>STABLE</v>
      </c>
    </row>
    <row r="634" customFormat="false" ht="15" hidden="false" customHeight="false" outlineLevel="0" collapsed="false">
      <c r="A634" s="3" t="s">
        <v>627</v>
      </c>
      <c r="B634" s="3" t="s">
        <v>73</v>
      </c>
      <c r="C634" s="3" t="s">
        <v>74</v>
      </c>
      <c r="D634" s="3" t="s">
        <v>210</v>
      </c>
      <c r="E634" s="3" t="s">
        <v>105</v>
      </c>
      <c r="F634" s="3" t="s">
        <v>628</v>
      </c>
      <c r="G634" s="3" t="s">
        <v>78</v>
      </c>
      <c r="H634" s="3" t="s">
        <v>79</v>
      </c>
      <c r="I634" s="3" t="s">
        <v>78</v>
      </c>
      <c r="J634" s="4" t="n">
        <v>2353000</v>
      </c>
      <c r="K634" s="5" t="n">
        <f aca="false">IFERROR(J634/M634,"")</f>
        <v>0.174684484038604</v>
      </c>
      <c r="L634" s="4" t="n">
        <v>11117000</v>
      </c>
      <c r="M634" s="6" t="n">
        <f aca="false">L634+J634</f>
        <v>13470000</v>
      </c>
      <c r="N634" s="4" t="n">
        <v>2979000</v>
      </c>
      <c r="O634" s="4" t="n">
        <v>15169496</v>
      </c>
      <c r="P634" s="4" t="n">
        <v>1166779</v>
      </c>
      <c r="Q634" s="7"/>
      <c r="R634" s="4" t="n">
        <v>1303029</v>
      </c>
      <c r="S634" s="7"/>
      <c r="T634" s="4" t="n">
        <v>687146</v>
      </c>
      <c r="U634" s="5" t="n">
        <f aca="false">IFERROR(T634/P634,"")</f>
        <v>0.588925580594097</v>
      </c>
      <c r="V634" s="6" t="n">
        <f aca="false">T634-AV634</f>
        <v>-2170140</v>
      </c>
      <c r="W634" s="6" t="n">
        <f aca="false">V634-AA634*0.1</f>
        <v>-2192540</v>
      </c>
      <c r="X634" s="4" t="n">
        <v>4974426</v>
      </c>
      <c r="Y634" s="4" t="n">
        <v>187460</v>
      </c>
      <c r="Z634" s="8" t="n">
        <f aca="false">IFERROR(X634/Y634,"")</f>
        <v>26.5359329990398</v>
      </c>
      <c r="AA634" s="4" t="n">
        <v>224000</v>
      </c>
      <c r="AB634" s="6" t="n">
        <f aca="false">W634-0.02*P634</f>
        <v>-2215875.58</v>
      </c>
      <c r="AC634" s="9" t="n">
        <v>35</v>
      </c>
      <c r="AD634" s="7"/>
      <c r="AE634" s="7" t="n">
        <v>0.1</v>
      </c>
      <c r="AF634" s="7" t="n">
        <v>0.095</v>
      </c>
      <c r="AG634" s="5" t="n">
        <f aca="false">1-AF634</f>
        <v>0.905</v>
      </c>
      <c r="AH634" s="7" t="n">
        <v>1.107</v>
      </c>
      <c r="AI634" s="4" t="n">
        <v>44414</v>
      </c>
      <c r="AJ634" s="6" t="n">
        <f aca="false">IFERROR(AM634*U634*MIN(1/AE634,5),"")</f>
        <v>144286.767245554</v>
      </c>
      <c r="AK634" s="10" t="n">
        <f aca="false">IFERROR(AJ634/AI634,"")</f>
        <v>3.24867760718588</v>
      </c>
      <c r="AL634" s="8" t="n">
        <f aca="false">IFERROR(AI634/(AM634*U634/12),"")</f>
        <v>18.4690533364356</v>
      </c>
      <c r="AM634" s="4" t="n">
        <v>49000</v>
      </c>
      <c r="AN634" s="4" t="n">
        <v>1648564</v>
      </c>
      <c r="AO634" s="4" t="n">
        <v>4525255</v>
      </c>
      <c r="AP634" s="7" t="n">
        <v>0.404</v>
      </c>
      <c r="AQ634" s="9" t="n">
        <v>58</v>
      </c>
      <c r="AR634" s="9" t="n">
        <v>6</v>
      </c>
      <c r="AS634" s="7"/>
      <c r="AT634" s="3" t="s">
        <v>134</v>
      </c>
      <c r="AU634" s="6" t="n">
        <f aca="false">IFERROR(P634/AR634,"")</f>
        <v>194463.166666667</v>
      </c>
      <c r="AV634" s="4" t="n">
        <v>2857286</v>
      </c>
      <c r="AW634" s="4" t="n">
        <v>1262895</v>
      </c>
      <c r="AX634" s="4" t="n">
        <v>566307</v>
      </c>
      <c r="AY634" s="9" t="n">
        <v>17098</v>
      </c>
      <c r="AZ634" s="7"/>
      <c r="BA634" s="7" t="n">
        <v>0.921</v>
      </c>
      <c r="BB634" s="3" t="s">
        <v>99</v>
      </c>
      <c r="BC634" s="3" t="s">
        <v>108</v>
      </c>
      <c r="BD634" s="3" t="s">
        <v>157</v>
      </c>
      <c r="BE634" s="4" t="n">
        <v>1433729</v>
      </c>
      <c r="BF634" s="5" t="n">
        <f aca="false">IFERROR(P634/BE634-1,"")</f>
        <v>-0.186192788176845</v>
      </c>
      <c r="BG634" s="7" t="n">
        <v>-0.022</v>
      </c>
      <c r="BH634" s="7" t="n">
        <v>-0.069</v>
      </c>
      <c r="BI634" s="6" t="n">
        <f aca="false">P634</f>
        <v>1166779</v>
      </c>
      <c r="BJ634" s="4" t="n">
        <v>-1839986</v>
      </c>
      <c r="BK634" s="3" t="s">
        <v>192</v>
      </c>
      <c r="BL634" s="3" t="s">
        <v>85</v>
      </c>
      <c r="BM634" s="6" t="n">
        <f aca="false">O634</f>
        <v>15169496</v>
      </c>
      <c r="BN634" s="3" t="s">
        <v>629</v>
      </c>
      <c r="BO634" s="5" t="n">
        <f aca="false">IFERROR(1-L634/M634,"")</f>
        <v>0.174684484038604</v>
      </c>
      <c r="BP634" s="3" t="s">
        <v>142</v>
      </c>
      <c r="BQ634" s="4" t="n">
        <v>3625597</v>
      </c>
      <c r="BR634" s="3" t="s">
        <v>88</v>
      </c>
      <c r="BS634" s="3" t="s">
        <v>89</v>
      </c>
      <c r="BT634" s="3" t="s">
        <v>90</v>
      </c>
    </row>
    <row r="635" customFormat="false" ht="15" hidden="false" customHeight="false" outlineLevel="0" collapsed="false">
      <c r="A635" s="11" t="s">
        <v>627</v>
      </c>
      <c r="B635" s="11" t="s">
        <v>91</v>
      </c>
      <c r="C635" s="11" t="s">
        <v>74</v>
      </c>
      <c r="D635" s="11" t="s">
        <v>210</v>
      </c>
      <c r="E635" s="11" t="s">
        <v>105</v>
      </c>
      <c r="F635" s="11" t="s">
        <v>628</v>
      </c>
      <c r="G635" s="11" t="s">
        <v>78</v>
      </c>
      <c r="H635" s="11" t="s">
        <v>79</v>
      </c>
      <c r="I635" s="11" t="s">
        <v>78</v>
      </c>
      <c r="J635" s="12" t="n">
        <v>2353000</v>
      </c>
      <c r="K635" s="13" t="n">
        <f aca="false">IFERROR(J635/M635,"")</f>
        <v>0.174684484038604</v>
      </c>
      <c r="L635" s="12" t="n">
        <v>11117000</v>
      </c>
      <c r="M635" s="14" t="n">
        <f aca="false">L635+J635</f>
        <v>13470000</v>
      </c>
      <c r="N635" s="12" t="n">
        <v>2979000</v>
      </c>
      <c r="O635" s="12" t="n">
        <v>15169496</v>
      </c>
      <c r="P635" s="12" t="n">
        <v>1418922</v>
      </c>
      <c r="Q635" s="13" t="n">
        <f aca="false">IFERROR(P635/P634-1,"")</f>
        <v>0.216101763915874</v>
      </c>
      <c r="R635" s="12" t="n">
        <v>1496190</v>
      </c>
      <c r="S635" s="13" t="n">
        <f aca="false">IFERROR(R635/R634-1,"")</f>
        <v>0.148239985449288</v>
      </c>
      <c r="T635" s="12" t="n">
        <v>839023</v>
      </c>
      <c r="U635" s="13" t="n">
        <f aca="false">IFERROR(T635/P635,"")</f>
        <v>0.591310163631264</v>
      </c>
      <c r="V635" s="14" t="n">
        <f aca="false">T635-AV635</f>
        <v>-2244088</v>
      </c>
      <c r="W635" s="14" t="n">
        <f aca="false">V635-AA635*0.1</f>
        <v>-2266488</v>
      </c>
      <c r="X635" s="12" t="n">
        <v>4501656</v>
      </c>
      <c r="Y635" s="12" t="n">
        <v>193640</v>
      </c>
      <c r="Z635" s="15" t="n">
        <f aca="false">IFERROR(X635/Y635,"")</f>
        <v>23.2475521586449</v>
      </c>
      <c r="AA635" s="12" t="n">
        <v>224000</v>
      </c>
      <c r="AB635" s="14" t="n">
        <f aca="false">W635-0.02*P635</f>
        <v>-2294866.44</v>
      </c>
      <c r="AC635" s="16" t="n">
        <v>40</v>
      </c>
      <c r="AD635" s="13" t="n">
        <f aca="false">IFERROR(AC635/AC634-1,"")</f>
        <v>0.142857142857143</v>
      </c>
      <c r="AE635" s="17" t="n">
        <v>0.098</v>
      </c>
      <c r="AF635" s="17" t="n">
        <v>0.104</v>
      </c>
      <c r="AG635" s="13" t="n">
        <f aca="false">1-AF635</f>
        <v>0.896</v>
      </c>
      <c r="AH635" s="17" t="n">
        <v>1.102</v>
      </c>
      <c r="AI635" s="12" t="n">
        <v>43576</v>
      </c>
      <c r="AJ635" s="14" t="n">
        <f aca="false">IFERROR(AM635*U635*MIN(1/AE635,5),"")</f>
        <v>147768.409891453</v>
      </c>
      <c r="AK635" s="18" t="n">
        <f aca="false">IFERROR(AJ635/AI635,"")</f>
        <v>3.39105034632488</v>
      </c>
      <c r="AL635" s="15" t="n">
        <f aca="false">IFERROR(AI635/(AM635*U635/12),"")</f>
        <v>17.6936329078765</v>
      </c>
      <c r="AM635" s="12" t="n">
        <v>49980</v>
      </c>
      <c r="AN635" s="12" t="n">
        <v>1479259</v>
      </c>
      <c r="AO635" s="12" t="n">
        <v>5575454</v>
      </c>
      <c r="AP635" s="17" t="n">
        <v>0.404</v>
      </c>
      <c r="AQ635" s="16" t="n">
        <v>58</v>
      </c>
      <c r="AR635" s="16" t="n">
        <v>7</v>
      </c>
      <c r="AS635" s="13" t="n">
        <f aca="false">IFERROR(AR635/AR634-1,"")</f>
        <v>0.166666666666667</v>
      </c>
      <c r="AT635" s="11" t="s">
        <v>134</v>
      </c>
      <c r="AU635" s="14" t="n">
        <f aca="false">IFERROR(P635/AR635,"")</f>
        <v>202703.142857143</v>
      </c>
      <c r="AV635" s="12" t="n">
        <v>3083111</v>
      </c>
      <c r="AW635" s="12" t="n">
        <v>1320916</v>
      </c>
      <c r="AX635" s="12" t="n">
        <v>954200</v>
      </c>
      <c r="AY635" s="16" t="n">
        <v>20190</v>
      </c>
      <c r="AZ635" s="13" t="n">
        <f aca="false">IFERROR(AY635/AY634-1,"")</f>
        <v>0.180839864311615</v>
      </c>
      <c r="BA635" s="17" t="n">
        <v>0.893</v>
      </c>
      <c r="BB635" s="11" t="s">
        <v>99</v>
      </c>
      <c r="BC635" s="11" t="s">
        <v>108</v>
      </c>
      <c r="BD635" s="11" t="s">
        <v>157</v>
      </c>
      <c r="BE635" s="12" t="n">
        <v>1488028</v>
      </c>
      <c r="BF635" s="13" t="n">
        <f aca="false">IFERROR(P635/BE635-1,"")</f>
        <v>-0.046441330405073</v>
      </c>
      <c r="BG635" s="17" t="n">
        <v>-0.055</v>
      </c>
      <c r="BH635" s="17" t="n">
        <v>-0.079</v>
      </c>
      <c r="BI635" s="14" t="n">
        <f aca="false">P635*(1+IFERROR(Q635,0))^4</f>
        <v>3103403.14562367</v>
      </c>
      <c r="BJ635" s="12" t="n">
        <v>-1792763</v>
      </c>
      <c r="BK635" s="11" t="s">
        <v>192</v>
      </c>
      <c r="BL635" s="11" t="s">
        <v>85</v>
      </c>
      <c r="BM635" s="14" t="n">
        <f aca="false">O635</f>
        <v>15169496</v>
      </c>
      <c r="BN635" s="11" t="s">
        <v>629</v>
      </c>
      <c r="BO635" s="13" t="n">
        <f aca="false">IFERROR(1-L635/M635,"")</f>
        <v>0.174684484038604</v>
      </c>
      <c r="BP635" s="11" t="s">
        <v>142</v>
      </c>
      <c r="BQ635" s="12" t="n">
        <v>3060256</v>
      </c>
      <c r="BR635" s="11" t="s">
        <v>88</v>
      </c>
      <c r="BS635" s="11" t="s">
        <v>89</v>
      </c>
      <c r="BT635" s="19" t="str">
        <f aca="false">IF(OR(Z635&lt;6,AH635&lt;0.9,S635&lt;0.02,AK635&lt;1),"REVIEW",IF(AND(S635&gt;0.25,AH635&gt;1.2),"ACCELERATING","STABLE"))</f>
        <v>STABLE</v>
      </c>
    </row>
    <row r="636" customFormat="false" ht="15" hidden="false" customHeight="false" outlineLevel="0" collapsed="false">
      <c r="A636" s="11" t="s">
        <v>627</v>
      </c>
      <c r="B636" s="11" t="s">
        <v>92</v>
      </c>
      <c r="C636" s="11" t="s">
        <v>74</v>
      </c>
      <c r="D636" s="11" t="s">
        <v>210</v>
      </c>
      <c r="E636" s="11" t="s">
        <v>105</v>
      </c>
      <c r="F636" s="11" t="s">
        <v>628</v>
      </c>
      <c r="G636" s="11" t="s">
        <v>78</v>
      </c>
      <c r="H636" s="11" t="s">
        <v>79</v>
      </c>
      <c r="I636" s="11" t="s">
        <v>78</v>
      </c>
      <c r="J636" s="12" t="n">
        <v>2353000</v>
      </c>
      <c r="K636" s="13" t="n">
        <f aca="false">IFERROR(J636/M636,"")</f>
        <v>0.174684484038604</v>
      </c>
      <c r="L636" s="12" t="n">
        <v>11117000</v>
      </c>
      <c r="M636" s="14" t="n">
        <f aca="false">L636+J636</f>
        <v>13470000</v>
      </c>
      <c r="N636" s="12" t="n">
        <v>2979000</v>
      </c>
      <c r="O636" s="12" t="n">
        <v>15169496</v>
      </c>
      <c r="P636" s="12" t="n">
        <v>1753837</v>
      </c>
      <c r="Q636" s="13" t="n">
        <f aca="false">IFERROR(P636/P635-1,"")</f>
        <v>0.23603482080058</v>
      </c>
      <c r="R636" s="12" t="n">
        <v>1839506</v>
      </c>
      <c r="S636" s="13" t="n">
        <f aca="false">IFERROR(R636/R635-1,"")</f>
        <v>0.229460162145182</v>
      </c>
      <c r="T636" s="12" t="n">
        <v>1041243</v>
      </c>
      <c r="U636" s="13" t="n">
        <f aca="false">IFERROR(T636/P636,"")</f>
        <v>0.593694282878055</v>
      </c>
      <c r="V636" s="14" t="n">
        <f aca="false">T636-AV636</f>
        <v>-2301591</v>
      </c>
      <c r="W636" s="14" t="n">
        <f aca="false">V636-AA636*0.1</f>
        <v>-2323991</v>
      </c>
      <c r="X636" s="12" t="n">
        <v>3995514</v>
      </c>
      <c r="Y636" s="12" t="n">
        <v>199820</v>
      </c>
      <c r="Z636" s="15" t="n">
        <f aca="false">IFERROR(X636/Y636,"")</f>
        <v>19.9955660094085</v>
      </c>
      <c r="AA636" s="12" t="n">
        <v>224000</v>
      </c>
      <c r="AB636" s="14" t="n">
        <f aca="false">W636-0.02*P636</f>
        <v>-2359067.74</v>
      </c>
      <c r="AC636" s="16" t="n">
        <v>44</v>
      </c>
      <c r="AD636" s="13" t="n">
        <f aca="false">IFERROR(AC636/AC635-1,"")</f>
        <v>0.1</v>
      </c>
      <c r="AE636" s="17" t="n">
        <v>0.095</v>
      </c>
      <c r="AF636" s="17" t="n">
        <v>0.074</v>
      </c>
      <c r="AG636" s="13" t="n">
        <f aca="false">1-AF636</f>
        <v>0.926</v>
      </c>
      <c r="AH636" s="17" t="n">
        <v>1.097</v>
      </c>
      <c r="AI636" s="12" t="n">
        <v>42738</v>
      </c>
      <c r="AJ636" s="14" t="n">
        <f aca="false">IFERROR(AM636*U636*MIN(1/AE636,5),"")</f>
        <v>151273.303277329</v>
      </c>
      <c r="AK636" s="18" t="n">
        <f aca="false">IFERROR(AJ636/AI636,"")</f>
        <v>3.53955035980459</v>
      </c>
      <c r="AL636" s="15" t="n">
        <f aca="false">IFERROR(AI636/(AM636*U636/12),"")</f>
        <v>16.951305646436</v>
      </c>
      <c r="AM636" s="12" t="n">
        <v>50960</v>
      </c>
      <c r="AN636" s="12" t="n">
        <v>2733518</v>
      </c>
      <c r="AO636" s="12" t="n">
        <v>5573869</v>
      </c>
      <c r="AP636" s="17" t="n">
        <v>0.404</v>
      </c>
      <c r="AQ636" s="16" t="n">
        <v>58</v>
      </c>
      <c r="AR636" s="16" t="n">
        <v>7</v>
      </c>
      <c r="AS636" s="13" t="n">
        <f aca="false">IFERROR(AR636/AR635-1,"")</f>
        <v>0</v>
      </c>
      <c r="AT636" s="11" t="s">
        <v>134</v>
      </c>
      <c r="AU636" s="14" t="n">
        <f aca="false">IFERROR(P636/AR636,"")</f>
        <v>250548.142857143</v>
      </c>
      <c r="AV636" s="12" t="n">
        <v>3342834</v>
      </c>
      <c r="AW636" s="12" t="n">
        <v>1048535</v>
      </c>
      <c r="AX636" s="12" t="n">
        <v>917076</v>
      </c>
      <c r="AY636" s="16" t="n">
        <v>25828</v>
      </c>
      <c r="AZ636" s="13" t="n">
        <f aca="false">IFERROR(AY636/AY635-1,"")</f>
        <v>0.279247152055473</v>
      </c>
      <c r="BA636" s="17" t="n">
        <v>0.912</v>
      </c>
      <c r="BB636" s="11" t="s">
        <v>99</v>
      </c>
      <c r="BC636" s="11" t="s">
        <v>108</v>
      </c>
      <c r="BD636" s="11" t="s">
        <v>157</v>
      </c>
      <c r="BE636" s="12" t="n">
        <v>1932131</v>
      </c>
      <c r="BF636" s="13" t="n">
        <f aca="false">IFERROR(P636/BE636-1,"")</f>
        <v>-0.0922784221152706</v>
      </c>
      <c r="BG636" s="17" t="n">
        <v>-0.03</v>
      </c>
      <c r="BH636" s="17" t="n">
        <v>0.089</v>
      </c>
      <c r="BI636" s="14" t="n">
        <f aca="false">P636*(1+IFERROR(Q636,0))^4</f>
        <v>4093662.64855695</v>
      </c>
      <c r="BJ636" s="12" t="n">
        <v>-1574922</v>
      </c>
      <c r="BK636" s="11" t="s">
        <v>192</v>
      </c>
      <c r="BL636" s="11" t="s">
        <v>85</v>
      </c>
      <c r="BM636" s="14" t="n">
        <f aca="false">O636</f>
        <v>15169496</v>
      </c>
      <c r="BN636" s="11" t="s">
        <v>629</v>
      </c>
      <c r="BO636" s="13" t="n">
        <f aca="false">IFERROR(1-L636/M636,"")</f>
        <v>0.174684484038604</v>
      </c>
      <c r="BP636" s="11" t="s">
        <v>142</v>
      </c>
      <c r="BQ636" s="12" t="n">
        <v>2607744</v>
      </c>
      <c r="BR636" s="11" t="s">
        <v>88</v>
      </c>
      <c r="BS636" s="11" t="s">
        <v>89</v>
      </c>
      <c r="BT636" s="19" t="str">
        <f aca="false">IF(OR(Z636&lt;6,AH636&lt;0.9,S636&lt;0.02,AK636&lt;1),"REVIEW",IF(AND(S636&gt;0.25,AH636&gt;1.2),"ACCELERATING","STABLE"))</f>
        <v>STABLE</v>
      </c>
    </row>
    <row r="637" customFormat="false" ht="15" hidden="false" customHeight="false" outlineLevel="0" collapsed="false">
      <c r="A637" s="11" t="s">
        <v>627</v>
      </c>
      <c r="B637" s="11" t="s">
        <v>93</v>
      </c>
      <c r="C637" s="11" t="s">
        <v>74</v>
      </c>
      <c r="D637" s="11" t="s">
        <v>210</v>
      </c>
      <c r="E637" s="11" t="s">
        <v>105</v>
      </c>
      <c r="F637" s="11" t="s">
        <v>628</v>
      </c>
      <c r="G637" s="11" t="s">
        <v>78</v>
      </c>
      <c r="H637" s="11" t="s">
        <v>79</v>
      </c>
      <c r="I637" s="11" t="s">
        <v>78</v>
      </c>
      <c r="J637" s="12" t="n">
        <v>2353000</v>
      </c>
      <c r="K637" s="13" t="n">
        <f aca="false">IFERROR(J637/M637,"")</f>
        <v>0.174684484038604</v>
      </c>
      <c r="L637" s="12" t="n">
        <v>11117000</v>
      </c>
      <c r="M637" s="14" t="n">
        <f aca="false">L637+J637</f>
        <v>13470000</v>
      </c>
      <c r="N637" s="12" t="n">
        <v>2979000</v>
      </c>
      <c r="O637" s="12" t="n">
        <v>15169496</v>
      </c>
      <c r="P637" s="12" t="n">
        <v>2140438</v>
      </c>
      <c r="Q637" s="13" t="n">
        <f aca="false">IFERROR(P637/P636-1,"")</f>
        <v>0.220431545234819</v>
      </c>
      <c r="R637" s="12" t="n">
        <v>2217645</v>
      </c>
      <c r="S637" s="13" t="n">
        <f aca="false">IFERROR(R637/R636-1,"")</f>
        <v>0.205565515959176</v>
      </c>
      <c r="T637" s="12" t="n">
        <v>1275869</v>
      </c>
      <c r="U637" s="13" t="n">
        <f aca="false">IFERROR(T637/P637,"")</f>
        <v>0.59607846618309</v>
      </c>
      <c r="V637" s="14" t="n">
        <f aca="false">T637-AV637</f>
        <v>-2465583</v>
      </c>
      <c r="W637" s="14" t="n">
        <f aca="false">V637-AA637*0.1</f>
        <v>-2487983</v>
      </c>
      <c r="X637" s="12" t="n">
        <v>3456000</v>
      </c>
      <c r="Y637" s="12" t="n">
        <v>206000</v>
      </c>
      <c r="Z637" s="15" t="n">
        <f aca="false">IFERROR(X637/Y637,"")</f>
        <v>16.7766990291262</v>
      </c>
      <c r="AA637" s="12" t="n">
        <v>224000</v>
      </c>
      <c r="AB637" s="14" t="n">
        <f aca="false">W637-0.02*P637</f>
        <v>-2530791.76</v>
      </c>
      <c r="AC637" s="16" t="n">
        <v>51</v>
      </c>
      <c r="AD637" s="13" t="n">
        <f aca="false">IFERROR(AC637/AC636-1,"")</f>
        <v>0.159090909090909</v>
      </c>
      <c r="AE637" s="17" t="n">
        <v>0.092</v>
      </c>
      <c r="AF637" s="17" t="n">
        <v>0.069</v>
      </c>
      <c r="AG637" s="13" t="n">
        <f aca="false">1-AF637</f>
        <v>0.931</v>
      </c>
      <c r="AH637" s="17" t="n">
        <v>1.092</v>
      </c>
      <c r="AI637" s="12" t="n">
        <v>41900</v>
      </c>
      <c r="AJ637" s="14" t="n">
        <f aca="false">IFERROR(AM637*U637*MIN(1/AE637,5),"")</f>
        <v>154801.577667748</v>
      </c>
      <c r="AK637" s="18" t="n">
        <f aca="false">IFERROR(AJ637/AI637,"")</f>
        <v>3.69454839302502</v>
      </c>
      <c r="AL637" s="15" t="n">
        <f aca="false">IFERROR(AI637/(AM637*U637/12),"")</f>
        <v>16.2401445636156</v>
      </c>
      <c r="AM637" s="12" t="n">
        <v>51940</v>
      </c>
      <c r="AN637" s="12" t="n">
        <v>2441826</v>
      </c>
      <c r="AO637" s="12" t="n">
        <v>4511969</v>
      </c>
      <c r="AP637" s="17" t="n">
        <v>0.404</v>
      </c>
      <c r="AQ637" s="16" t="n">
        <v>58</v>
      </c>
      <c r="AR637" s="16" t="n">
        <v>7</v>
      </c>
      <c r="AS637" s="13" t="n">
        <f aca="false">IFERROR(AR637/AR636-1,"")</f>
        <v>0</v>
      </c>
      <c r="AT637" s="11" t="s">
        <v>134</v>
      </c>
      <c r="AU637" s="14" t="n">
        <f aca="false">IFERROR(P637/AR637,"")</f>
        <v>305776.857142857</v>
      </c>
      <c r="AV637" s="12" t="n">
        <v>3741452</v>
      </c>
      <c r="AW637" s="12" t="n">
        <v>1138026</v>
      </c>
      <c r="AX637" s="12" t="n">
        <v>1195106</v>
      </c>
      <c r="AY637" s="16" t="n">
        <v>29759</v>
      </c>
      <c r="AZ637" s="13" t="n">
        <f aca="false">IFERROR(AY637/AY636-1,"")</f>
        <v>0.152199163698312</v>
      </c>
      <c r="BA637" s="17" t="n">
        <v>0.924</v>
      </c>
      <c r="BB637" s="11" t="s">
        <v>99</v>
      </c>
      <c r="BC637" s="11" t="s">
        <v>108</v>
      </c>
      <c r="BD637" s="11" t="s">
        <v>157</v>
      </c>
      <c r="BE637" s="12" t="n">
        <v>2214681</v>
      </c>
      <c r="BF637" s="13" t="n">
        <f aca="false">IFERROR(P637/BE637-1,"")</f>
        <v>-0.0335231123579423</v>
      </c>
      <c r="BG637" s="17" t="n">
        <v>0.032</v>
      </c>
      <c r="BH637" s="17" t="n">
        <v>0.082</v>
      </c>
      <c r="BI637" s="14" t="n">
        <f aca="false">P637*(1+IFERROR(Q637,0))^4</f>
        <v>4748499.0004064</v>
      </c>
      <c r="BJ637" s="12" t="n">
        <v>-2141889</v>
      </c>
      <c r="BK637" s="11" t="s">
        <v>192</v>
      </c>
      <c r="BL637" s="11" t="s">
        <v>85</v>
      </c>
      <c r="BM637" s="14" t="n">
        <f aca="false">O637</f>
        <v>15169496</v>
      </c>
      <c r="BN637" s="11" t="s">
        <v>629</v>
      </c>
      <c r="BO637" s="13" t="n">
        <f aca="false">IFERROR(1-L637/M637,"")</f>
        <v>0.174684484038604</v>
      </c>
      <c r="BP637" s="11" t="s">
        <v>142</v>
      </c>
      <c r="BQ637" s="12" t="n">
        <v>2592846</v>
      </c>
      <c r="BR637" s="11" t="s">
        <v>88</v>
      </c>
      <c r="BS637" s="11" t="s">
        <v>89</v>
      </c>
      <c r="BT637" s="19" t="str">
        <f aca="false">IF(OR(Z637&lt;6,AH637&lt;0.9,S637&lt;0.02,AK637&lt;1),"REVIEW",IF(AND(S637&gt;0.25,AH637&gt;1.2),"ACCELERATING","STABLE"))</f>
        <v>STABLE</v>
      </c>
    </row>
    <row r="638" customFormat="false" ht="15" hidden="false" customHeight="false" outlineLevel="0" collapsed="false">
      <c r="A638" s="3" t="s">
        <v>630</v>
      </c>
      <c r="B638" s="3" t="s">
        <v>73</v>
      </c>
      <c r="C638" s="3" t="s">
        <v>74</v>
      </c>
      <c r="D638" s="3" t="s">
        <v>151</v>
      </c>
      <c r="E638" s="3" t="s">
        <v>105</v>
      </c>
      <c r="F638" s="3" t="s">
        <v>631</v>
      </c>
      <c r="G638" s="3" t="s">
        <v>78</v>
      </c>
      <c r="H638" s="3" t="s">
        <v>79</v>
      </c>
      <c r="I638" s="3" t="s">
        <v>78</v>
      </c>
      <c r="J638" s="4" t="n">
        <v>1101000</v>
      </c>
      <c r="K638" s="5" t="n">
        <f aca="false">IFERROR(J638/M638,"")</f>
        <v>0.110608800482218</v>
      </c>
      <c r="L638" s="4" t="n">
        <v>8853000</v>
      </c>
      <c r="M638" s="6" t="n">
        <f aca="false">L638+J638</f>
        <v>9954000</v>
      </c>
      <c r="N638" s="4" t="n">
        <v>7331000</v>
      </c>
      <c r="O638" s="4" t="n">
        <v>14970744</v>
      </c>
      <c r="P638" s="4" t="n">
        <v>456483</v>
      </c>
      <c r="Q638" s="7"/>
      <c r="R638" s="4" t="n">
        <v>554197</v>
      </c>
      <c r="S638" s="7"/>
      <c r="T638" s="4" t="n">
        <v>301265</v>
      </c>
      <c r="U638" s="5" t="n">
        <f aca="false">IFERROR(T638/P638,"")</f>
        <v>0.659969812676485</v>
      </c>
      <c r="V638" s="6" t="n">
        <f aca="false">T638-AV638</f>
        <v>-1667678</v>
      </c>
      <c r="W638" s="6" t="n">
        <f aca="false">V638-AA638*0.1</f>
        <v>-1667678</v>
      </c>
      <c r="X638" s="4" t="n">
        <v>3390377</v>
      </c>
      <c r="Y638" s="4" t="n">
        <v>170170</v>
      </c>
      <c r="Z638" s="8" t="n">
        <f aca="false">IFERROR(X638/Y638,"")</f>
        <v>19.9234706470001</v>
      </c>
      <c r="AA638" s="4" t="n">
        <v>0</v>
      </c>
      <c r="AB638" s="6" t="n">
        <f aca="false">W638-0.02*P638</f>
        <v>-1676807.66</v>
      </c>
      <c r="AC638" s="9" t="n">
        <v>11</v>
      </c>
      <c r="AD638" s="7"/>
      <c r="AE638" s="7" t="n">
        <v>0.124</v>
      </c>
      <c r="AF638" s="7" t="n">
        <v>0.109</v>
      </c>
      <c r="AG638" s="5" t="n">
        <f aca="false">1-AF638</f>
        <v>0.891</v>
      </c>
      <c r="AH638" s="7" t="n">
        <v>1.087</v>
      </c>
      <c r="AI638" s="4" t="n">
        <v>50880</v>
      </c>
      <c r="AJ638" s="6" t="n">
        <f aca="false">IFERROR(AM638*U638*MIN(1/AE638,5),"")</f>
        <v>168292.302232504</v>
      </c>
      <c r="AK638" s="10" t="n">
        <f aca="false">IFERROR(AJ638/AI638,"")</f>
        <v>3.30763172626776</v>
      </c>
      <c r="AL638" s="8" t="n">
        <f aca="false">IFERROR(AI638/(AM638*U638/12),"")</f>
        <v>18.1398671210904</v>
      </c>
      <c r="AM638" s="4" t="n">
        <v>51000</v>
      </c>
      <c r="AN638" s="4" t="n">
        <v>774735</v>
      </c>
      <c r="AO638" s="4" t="n">
        <v>2188897</v>
      </c>
      <c r="AP638" s="7" t="n">
        <v>0.179</v>
      </c>
      <c r="AQ638" s="9" t="n">
        <v>71</v>
      </c>
      <c r="AR638" s="9" t="n">
        <v>1</v>
      </c>
      <c r="AS638" s="7"/>
      <c r="AT638" s="3" t="s">
        <v>98</v>
      </c>
      <c r="AU638" s="6" t="n">
        <f aca="false">IFERROR(P638/AR638,"")</f>
        <v>456483</v>
      </c>
      <c r="AV638" s="4" t="n">
        <v>1968943</v>
      </c>
      <c r="AW638" s="4" t="n">
        <v>898515</v>
      </c>
      <c r="AX638" s="4" t="n">
        <v>446746</v>
      </c>
      <c r="AY638" s="9" t="n">
        <v>24051</v>
      </c>
      <c r="AZ638" s="7"/>
      <c r="BA638" s="7" t="n">
        <v>0.879</v>
      </c>
      <c r="BB638" s="3" t="s">
        <v>107</v>
      </c>
      <c r="BC638" s="3" t="s">
        <v>82</v>
      </c>
      <c r="BD638" s="3" t="s">
        <v>83</v>
      </c>
      <c r="BE638" s="4" t="n">
        <v>496282</v>
      </c>
      <c r="BF638" s="5" t="n">
        <f aca="false">IFERROR(P638/BE638-1,"")</f>
        <v>-0.0801943250007052</v>
      </c>
      <c r="BG638" s="7" t="n">
        <v>0.085</v>
      </c>
      <c r="BH638" s="7" t="n">
        <v>0.021</v>
      </c>
      <c r="BI638" s="6" t="n">
        <f aca="false">P638</f>
        <v>456483</v>
      </c>
      <c r="BJ638" s="4" t="n">
        <v>-1767446</v>
      </c>
      <c r="BK638" s="3" t="s">
        <v>84</v>
      </c>
      <c r="BL638" s="3" t="s">
        <v>162</v>
      </c>
      <c r="BM638" s="6" t="n">
        <f aca="false">O638</f>
        <v>14970744</v>
      </c>
      <c r="BN638" s="3" t="s">
        <v>632</v>
      </c>
      <c r="BO638" s="5" t="n">
        <f aca="false">IFERROR(1-L638/M638,"")</f>
        <v>0.110608800482218</v>
      </c>
      <c r="BP638" s="3" t="s">
        <v>142</v>
      </c>
      <c r="BQ638" s="4" t="n">
        <v>2877349</v>
      </c>
      <c r="BR638" s="3" t="s">
        <v>88</v>
      </c>
      <c r="BS638" s="3" t="s">
        <v>89</v>
      </c>
      <c r="BT638" s="3" t="s">
        <v>90</v>
      </c>
    </row>
    <row r="639" customFormat="false" ht="15" hidden="false" customHeight="false" outlineLevel="0" collapsed="false">
      <c r="A639" s="11" t="s">
        <v>630</v>
      </c>
      <c r="B639" s="11" t="s">
        <v>91</v>
      </c>
      <c r="C639" s="11" t="s">
        <v>74</v>
      </c>
      <c r="D639" s="11" t="s">
        <v>151</v>
      </c>
      <c r="E639" s="11" t="s">
        <v>105</v>
      </c>
      <c r="F639" s="11" t="s">
        <v>631</v>
      </c>
      <c r="G639" s="11" t="s">
        <v>78</v>
      </c>
      <c r="H639" s="11" t="s">
        <v>79</v>
      </c>
      <c r="I639" s="11" t="s">
        <v>78</v>
      </c>
      <c r="J639" s="12" t="n">
        <v>1101000</v>
      </c>
      <c r="K639" s="13" t="n">
        <f aca="false">IFERROR(J639/M639,"")</f>
        <v>0.110608800482218</v>
      </c>
      <c r="L639" s="12" t="n">
        <v>8853000</v>
      </c>
      <c r="M639" s="14" t="n">
        <f aca="false">L639+J639</f>
        <v>9954000</v>
      </c>
      <c r="N639" s="12" t="n">
        <v>7331000</v>
      </c>
      <c r="O639" s="12" t="n">
        <v>14970744</v>
      </c>
      <c r="P639" s="12" t="n">
        <v>553960</v>
      </c>
      <c r="Q639" s="13" t="n">
        <f aca="false">IFERROR(P639/P638-1,"")</f>
        <v>0.213539167942727</v>
      </c>
      <c r="R639" s="12" t="n">
        <v>637913</v>
      </c>
      <c r="S639" s="13" t="n">
        <f aca="false">IFERROR(R639/R638-1,"")</f>
        <v>0.151058197716696</v>
      </c>
      <c r="T639" s="12" t="n">
        <v>367077</v>
      </c>
      <c r="U639" s="13" t="n">
        <f aca="false">IFERROR(T639/P639,"")</f>
        <v>0.662641706982454</v>
      </c>
      <c r="V639" s="14" t="n">
        <f aca="false">T639-AV639</f>
        <v>-1668728</v>
      </c>
      <c r="W639" s="14" t="n">
        <f aca="false">V639-AA639*0.1</f>
        <v>-1668728</v>
      </c>
      <c r="X639" s="12" t="n">
        <v>2961212</v>
      </c>
      <c r="Y639" s="12" t="n">
        <v>175780</v>
      </c>
      <c r="Z639" s="15" t="n">
        <f aca="false">IFERROR(X639/Y639,"")</f>
        <v>16.8461258391171</v>
      </c>
      <c r="AA639" s="12" t="n">
        <v>0</v>
      </c>
      <c r="AB639" s="14" t="n">
        <f aca="false">W639-0.02*P639</f>
        <v>-1679807.2</v>
      </c>
      <c r="AC639" s="16" t="n">
        <v>12</v>
      </c>
      <c r="AD639" s="13" t="n">
        <f aca="false">IFERROR(AC639/AC638-1,"")</f>
        <v>0.0909090909090908</v>
      </c>
      <c r="AE639" s="17" t="n">
        <v>0.121</v>
      </c>
      <c r="AF639" s="17" t="n">
        <v>0.075</v>
      </c>
      <c r="AG639" s="13" t="n">
        <f aca="false">1-AF639</f>
        <v>0.925</v>
      </c>
      <c r="AH639" s="17" t="n">
        <v>1.082</v>
      </c>
      <c r="AI639" s="12" t="n">
        <v>49920</v>
      </c>
      <c r="AJ639" s="14" t="n">
        <f aca="false">IFERROR(AM639*U639*MIN(1/AE639,5),"")</f>
        <v>172353.107986136</v>
      </c>
      <c r="AK639" s="18" t="n">
        <f aca="false">IFERROR(AJ639/AI639,"")</f>
        <v>3.4525862977992</v>
      </c>
      <c r="AL639" s="15" t="n">
        <f aca="false">IFERROR(AI639/(AM639*U639/12),"")</f>
        <v>17.3782766960079</v>
      </c>
      <c r="AM639" s="12" t="n">
        <v>52020</v>
      </c>
      <c r="AN639" s="12" t="n">
        <v>856443</v>
      </c>
      <c r="AO639" s="12" t="n">
        <v>2347547</v>
      </c>
      <c r="AP639" s="17" t="n">
        <v>0.179</v>
      </c>
      <c r="AQ639" s="16" t="n">
        <v>71</v>
      </c>
      <c r="AR639" s="16" t="n">
        <v>2</v>
      </c>
      <c r="AS639" s="13" t="n">
        <f aca="false">IFERROR(AR639/AR638-1,"")</f>
        <v>1</v>
      </c>
      <c r="AT639" s="11" t="s">
        <v>98</v>
      </c>
      <c r="AU639" s="14" t="n">
        <f aca="false">IFERROR(P639/AR639,"")</f>
        <v>276980</v>
      </c>
      <c r="AV639" s="12" t="n">
        <v>2035805</v>
      </c>
      <c r="AW639" s="12" t="n">
        <v>995581</v>
      </c>
      <c r="AX639" s="12" t="n">
        <v>505261</v>
      </c>
      <c r="AY639" s="16" t="n">
        <v>28644</v>
      </c>
      <c r="AZ639" s="13" t="n">
        <f aca="false">IFERROR(AY639/AY638-1,"")</f>
        <v>0.190969190470251</v>
      </c>
      <c r="BA639" s="17" t="n">
        <v>0.898</v>
      </c>
      <c r="BB639" s="11" t="s">
        <v>107</v>
      </c>
      <c r="BC639" s="11" t="s">
        <v>82</v>
      </c>
      <c r="BD639" s="11" t="s">
        <v>83</v>
      </c>
      <c r="BE639" s="12" t="n">
        <v>625825</v>
      </c>
      <c r="BF639" s="13" t="n">
        <f aca="false">IFERROR(P639/BE639-1,"")</f>
        <v>-0.114832421204011</v>
      </c>
      <c r="BG639" s="17" t="n">
        <v>0.034</v>
      </c>
      <c r="BH639" s="17" t="n">
        <v>0.011</v>
      </c>
      <c r="BI639" s="14" t="n">
        <f aca="false">P639*(1+IFERROR(Q639,0))^4</f>
        <v>1201416.51884021</v>
      </c>
      <c r="BJ639" s="12" t="n">
        <v>-1468725</v>
      </c>
      <c r="BK639" s="11" t="s">
        <v>84</v>
      </c>
      <c r="BL639" s="11" t="s">
        <v>162</v>
      </c>
      <c r="BM639" s="14" t="n">
        <f aca="false">O639</f>
        <v>14970744</v>
      </c>
      <c r="BN639" s="11" t="s">
        <v>632</v>
      </c>
      <c r="BO639" s="13" t="n">
        <f aca="false">IFERROR(1-L639/M639,"")</f>
        <v>0.110608800482218</v>
      </c>
      <c r="BP639" s="11" t="s">
        <v>142</v>
      </c>
      <c r="BQ639" s="12" t="n">
        <v>2143875</v>
      </c>
      <c r="BR639" s="11" t="s">
        <v>88</v>
      </c>
      <c r="BS639" s="11" t="s">
        <v>89</v>
      </c>
      <c r="BT639" s="19" t="str">
        <f aca="false">IF(OR(Z639&lt;6,AH639&lt;0.9,S639&lt;0.02,AK639&lt;1),"REVIEW",IF(AND(S639&gt;0.25,AH639&gt;1.2),"ACCELERATING","STABLE"))</f>
        <v>STABLE</v>
      </c>
    </row>
    <row r="640" customFormat="false" ht="15" hidden="false" customHeight="false" outlineLevel="0" collapsed="false">
      <c r="A640" s="11" t="s">
        <v>630</v>
      </c>
      <c r="B640" s="11" t="s">
        <v>92</v>
      </c>
      <c r="C640" s="11" t="s">
        <v>74</v>
      </c>
      <c r="D640" s="11" t="s">
        <v>151</v>
      </c>
      <c r="E640" s="11" t="s">
        <v>105</v>
      </c>
      <c r="F640" s="11" t="s">
        <v>631</v>
      </c>
      <c r="G640" s="11" t="s">
        <v>78</v>
      </c>
      <c r="H640" s="11" t="s">
        <v>79</v>
      </c>
      <c r="I640" s="11" t="s">
        <v>78</v>
      </c>
      <c r="J640" s="12" t="n">
        <v>1101000</v>
      </c>
      <c r="K640" s="13" t="n">
        <f aca="false">IFERROR(J640/M640,"")</f>
        <v>0.110608800482218</v>
      </c>
      <c r="L640" s="12" t="n">
        <v>8853000</v>
      </c>
      <c r="M640" s="14" t="n">
        <f aca="false">L640+J640</f>
        <v>9954000</v>
      </c>
      <c r="N640" s="12" t="n">
        <v>7331000</v>
      </c>
      <c r="O640" s="12" t="n">
        <v>14970744</v>
      </c>
      <c r="P640" s="12" t="n">
        <v>655368</v>
      </c>
      <c r="Q640" s="13" t="n">
        <f aca="false">IFERROR(P640/P639-1,"")</f>
        <v>0.183060148747202</v>
      </c>
      <c r="R640" s="12" t="n">
        <v>804937</v>
      </c>
      <c r="S640" s="13" t="n">
        <f aca="false">IFERROR(R640/R639-1,"")</f>
        <v>0.261828807376554</v>
      </c>
      <c r="T640" s="12" t="n">
        <v>436026</v>
      </c>
      <c r="U640" s="13" t="n">
        <f aca="false">IFERROR(T640/P640,"")</f>
        <v>0.665314754458564</v>
      </c>
      <c r="V640" s="14" t="n">
        <f aca="false">T640-AV640</f>
        <v>-1946299</v>
      </c>
      <c r="W640" s="14" t="n">
        <f aca="false">V640-AA640*0.1</f>
        <v>-1946299</v>
      </c>
      <c r="X640" s="12" t="n">
        <v>2501753</v>
      </c>
      <c r="Y640" s="12" t="n">
        <v>181390</v>
      </c>
      <c r="Z640" s="15" t="n">
        <f aca="false">IFERROR(X640/Y640,"")</f>
        <v>13.7921219471856</v>
      </c>
      <c r="AA640" s="12" t="n">
        <v>0</v>
      </c>
      <c r="AB640" s="14" t="n">
        <f aca="false">W640-0.02*P640</f>
        <v>-1959406.36</v>
      </c>
      <c r="AC640" s="16" t="n">
        <v>14</v>
      </c>
      <c r="AD640" s="13" t="n">
        <f aca="false">IFERROR(AC640/AC639-1,"")</f>
        <v>0.166666666666667</v>
      </c>
      <c r="AE640" s="17" t="n">
        <v>0.117</v>
      </c>
      <c r="AF640" s="17" t="n">
        <v>0.123</v>
      </c>
      <c r="AG640" s="13" t="n">
        <f aca="false">1-AF640</f>
        <v>0.877</v>
      </c>
      <c r="AH640" s="17" t="n">
        <v>1.077</v>
      </c>
      <c r="AI640" s="12" t="n">
        <v>48960</v>
      </c>
      <c r="AJ640" s="14" t="n">
        <f aca="false">IFERROR(AM640*U640*MIN(1/AE640,5),"")</f>
        <v>176441.472882411</v>
      </c>
      <c r="AK640" s="18" t="n">
        <f aca="false">IFERROR(AJ640/AI640,"")</f>
        <v>3.60378825331722</v>
      </c>
      <c r="AL640" s="15" t="n">
        <f aca="false">IFERROR(AI640/(AM640*U640/12),"")</f>
        <v>16.6491468927929</v>
      </c>
      <c r="AM640" s="12" t="n">
        <v>53040</v>
      </c>
      <c r="AN640" s="12" t="n">
        <v>911923</v>
      </c>
      <c r="AO640" s="12" t="n">
        <v>1842521</v>
      </c>
      <c r="AP640" s="17" t="n">
        <v>0.179</v>
      </c>
      <c r="AQ640" s="16" t="n">
        <v>71</v>
      </c>
      <c r="AR640" s="16" t="n">
        <v>2</v>
      </c>
      <c r="AS640" s="13" t="n">
        <f aca="false">IFERROR(AR640/AR639-1,"")</f>
        <v>0</v>
      </c>
      <c r="AT640" s="11" t="s">
        <v>98</v>
      </c>
      <c r="AU640" s="14" t="n">
        <f aca="false">IFERROR(P640/AR640,"")</f>
        <v>327684</v>
      </c>
      <c r="AV640" s="12" t="n">
        <v>2382325</v>
      </c>
      <c r="AW640" s="12" t="n">
        <v>717139</v>
      </c>
      <c r="AX640" s="12" t="n">
        <v>598512</v>
      </c>
      <c r="AY640" s="16" t="n">
        <v>32487</v>
      </c>
      <c r="AZ640" s="13" t="n">
        <f aca="false">IFERROR(AY640/AY639-1,"")</f>
        <v>0.1341642228739</v>
      </c>
      <c r="BA640" s="17" t="n">
        <v>0.914</v>
      </c>
      <c r="BB640" s="11" t="s">
        <v>107</v>
      </c>
      <c r="BC640" s="11" t="s">
        <v>82</v>
      </c>
      <c r="BD640" s="11" t="s">
        <v>83</v>
      </c>
      <c r="BE640" s="12" t="n">
        <v>661609</v>
      </c>
      <c r="BF640" s="13" t="n">
        <f aca="false">IFERROR(P640/BE640-1,"")</f>
        <v>-0.00943306393957766</v>
      </c>
      <c r="BG640" s="17" t="n">
        <v>0.052</v>
      </c>
      <c r="BH640" s="17" t="n">
        <v>0.016</v>
      </c>
      <c r="BI640" s="14" t="n">
        <f aca="false">P640*(1+IFERROR(Q640,0))^4</f>
        <v>1283844.82191613</v>
      </c>
      <c r="BJ640" s="12" t="n">
        <v>-1351914</v>
      </c>
      <c r="BK640" s="11" t="s">
        <v>84</v>
      </c>
      <c r="BL640" s="11" t="s">
        <v>162</v>
      </c>
      <c r="BM640" s="14" t="n">
        <f aca="false">O640</f>
        <v>14970744</v>
      </c>
      <c r="BN640" s="11" t="s">
        <v>632</v>
      </c>
      <c r="BO640" s="13" t="n">
        <f aca="false">IFERROR(1-L640/M640,"")</f>
        <v>0.110608800482218</v>
      </c>
      <c r="BP640" s="11" t="s">
        <v>142</v>
      </c>
      <c r="BQ640" s="12" t="n">
        <v>2798302</v>
      </c>
      <c r="BR640" s="11" t="s">
        <v>88</v>
      </c>
      <c r="BS640" s="11" t="s">
        <v>89</v>
      </c>
      <c r="BT640" s="19" t="str">
        <f aca="false">IF(OR(Z640&lt;6,AH640&lt;0.9,S640&lt;0.02,AK640&lt;1),"REVIEW",IF(AND(S640&gt;0.25,AH640&gt;1.2),"ACCELERATING","STABLE"))</f>
        <v>STABLE</v>
      </c>
    </row>
    <row r="641" customFormat="false" ht="15" hidden="false" customHeight="false" outlineLevel="0" collapsed="false">
      <c r="A641" s="11" t="s">
        <v>630</v>
      </c>
      <c r="B641" s="11" t="s">
        <v>93</v>
      </c>
      <c r="C641" s="11" t="s">
        <v>74</v>
      </c>
      <c r="D641" s="11" t="s">
        <v>151</v>
      </c>
      <c r="E641" s="11" t="s">
        <v>105</v>
      </c>
      <c r="F641" s="11" t="s">
        <v>631</v>
      </c>
      <c r="G641" s="11" t="s">
        <v>78</v>
      </c>
      <c r="H641" s="11" t="s">
        <v>79</v>
      </c>
      <c r="I641" s="11" t="s">
        <v>78</v>
      </c>
      <c r="J641" s="12" t="n">
        <v>1101000</v>
      </c>
      <c r="K641" s="13" t="n">
        <f aca="false">IFERROR(J641/M641,"")</f>
        <v>0.110608800482218</v>
      </c>
      <c r="L641" s="12" t="n">
        <v>8853000</v>
      </c>
      <c r="M641" s="14" t="n">
        <f aca="false">L641+J641</f>
        <v>9954000</v>
      </c>
      <c r="N641" s="12" t="n">
        <v>7331000</v>
      </c>
      <c r="O641" s="12" t="n">
        <v>14970744</v>
      </c>
      <c r="P641" s="12" t="n">
        <v>760768</v>
      </c>
      <c r="Q641" s="13" t="n">
        <f aca="false">IFERROR(P641/P640-1,"")</f>
        <v>0.160825673514728</v>
      </c>
      <c r="R641" s="12" t="n">
        <v>866718</v>
      </c>
      <c r="S641" s="13" t="n">
        <f aca="false">IFERROR(R641/R640-1,"")</f>
        <v>0.0767525905754114</v>
      </c>
      <c r="T641" s="12" t="n">
        <v>508183</v>
      </c>
      <c r="U641" s="13" t="n">
        <f aca="false">IFERROR(T641/P641,"")</f>
        <v>0.667986823841171</v>
      </c>
      <c r="V641" s="14" t="n">
        <f aca="false">T641-AV641</f>
        <v>-2144044</v>
      </c>
      <c r="W641" s="14" t="n">
        <f aca="false">V641-AA641*0.1</f>
        <v>-2144044</v>
      </c>
      <c r="X641" s="12" t="n">
        <v>2012000</v>
      </c>
      <c r="Y641" s="12" t="n">
        <v>187000</v>
      </c>
      <c r="Z641" s="15" t="n">
        <f aca="false">IFERROR(X641/Y641,"")</f>
        <v>10.7593582887701</v>
      </c>
      <c r="AA641" s="12" t="n">
        <v>0</v>
      </c>
      <c r="AB641" s="14" t="n">
        <f aca="false">W641-0.02*P641</f>
        <v>-2159259.36</v>
      </c>
      <c r="AC641" s="16" t="n">
        <v>17</v>
      </c>
      <c r="AD641" s="13" t="n">
        <f aca="false">IFERROR(AC641/AC640-1,"")</f>
        <v>0.214285714285714</v>
      </c>
      <c r="AE641" s="17" t="n">
        <v>0.114</v>
      </c>
      <c r="AF641" s="17" t="n">
        <v>0.083</v>
      </c>
      <c r="AG641" s="13" t="n">
        <f aca="false">1-AF641</f>
        <v>0.917</v>
      </c>
      <c r="AH641" s="17" t="n">
        <v>1.072</v>
      </c>
      <c r="AI641" s="12" t="n">
        <v>48000</v>
      </c>
      <c r="AJ641" s="14" t="n">
        <f aca="false">IFERROR(AM641*U641*MIN(1/AE641,5),"")</f>
        <v>180556.838484269</v>
      </c>
      <c r="AK641" s="18" t="n">
        <f aca="false">IFERROR(AJ641/AI641,"")</f>
        <v>3.76160080175559</v>
      </c>
      <c r="AL641" s="15" t="n">
        <f aca="false">IFERROR(AI641/(AM641*U641/12),"")</f>
        <v>15.95065589416</v>
      </c>
      <c r="AM641" s="12" t="n">
        <v>54060</v>
      </c>
      <c r="AN641" s="12" t="n">
        <v>808022</v>
      </c>
      <c r="AO641" s="12" t="n">
        <v>3033299</v>
      </c>
      <c r="AP641" s="17" t="n">
        <v>0.179</v>
      </c>
      <c r="AQ641" s="16" t="n">
        <v>71</v>
      </c>
      <c r="AR641" s="16" t="n">
        <v>2</v>
      </c>
      <c r="AS641" s="13" t="n">
        <f aca="false">IFERROR(AR641/AR640-1,"")</f>
        <v>0</v>
      </c>
      <c r="AT641" s="11" t="s">
        <v>98</v>
      </c>
      <c r="AU641" s="14" t="n">
        <f aca="false">IFERROR(P641/AR641,"")</f>
        <v>380384</v>
      </c>
      <c r="AV641" s="12" t="n">
        <v>2652227</v>
      </c>
      <c r="AW641" s="12" t="n">
        <v>1136720</v>
      </c>
      <c r="AX641" s="12" t="n">
        <v>604418</v>
      </c>
      <c r="AY641" s="16" t="n">
        <v>39492</v>
      </c>
      <c r="AZ641" s="13" t="n">
        <f aca="false">IFERROR(AY641/AY640-1,"")</f>
        <v>0.215624711423031</v>
      </c>
      <c r="BA641" s="17" t="n">
        <v>0.89</v>
      </c>
      <c r="BB641" s="11" t="s">
        <v>107</v>
      </c>
      <c r="BC641" s="11" t="s">
        <v>82</v>
      </c>
      <c r="BD641" s="11" t="s">
        <v>83</v>
      </c>
      <c r="BE641" s="12" t="n">
        <v>709409</v>
      </c>
      <c r="BF641" s="13" t="n">
        <f aca="false">IFERROR(P641/BE641-1,"")</f>
        <v>0.0723968824754127</v>
      </c>
      <c r="BG641" s="17" t="n">
        <v>0.04</v>
      </c>
      <c r="BH641" s="17" t="n">
        <v>-0.051</v>
      </c>
      <c r="BI641" s="14" t="n">
        <f aca="false">P641*(1+IFERROR(Q641,0))^4</f>
        <v>1381402.5561792</v>
      </c>
      <c r="BJ641" s="12" t="n">
        <v>-2159071</v>
      </c>
      <c r="BK641" s="11" t="s">
        <v>84</v>
      </c>
      <c r="BL641" s="11" t="s">
        <v>162</v>
      </c>
      <c r="BM641" s="14" t="n">
        <f aca="false">O641</f>
        <v>14970744</v>
      </c>
      <c r="BN641" s="11" t="s">
        <v>632</v>
      </c>
      <c r="BO641" s="13" t="n">
        <f aca="false">IFERROR(1-L641/M641,"")</f>
        <v>0.110608800482218</v>
      </c>
      <c r="BP641" s="11" t="s">
        <v>142</v>
      </c>
      <c r="BQ641" s="12" t="n">
        <v>2461337</v>
      </c>
      <c r="BR641" s="11" t="s">
        <v>88</v>
      </c>
      <c r="BS641" s="11" t="s">
        <v>89</v>
      </c>
      <c r="BT641" s="19" t="str">
        <f aca="false">IF(OR(Z641&lt;6,AH641&lt;0.9,S641&lt;0.02,AK641&lt;1),"REVIEW",IF(AND(S641&gt;0.25,AH641&gt;1.2),"ACCELERATING","STABLE"))</f>
        <v>STABLE</v>
      </c>
    </row>
    <row r="642" customFormat="false" ht="15" hidden="false" customHeight="false" outlineLevel="0" collapsed="false">
      <c r="A642" s="3" t="s">
        <v>633</v>
      </c>
      <c r="B642" s="3" t="s">
        <v>73</v>
      </c>
      <c r="C642" s="3" t="s">
        <v>74</v>
      </c>
      <c r="D642" s="3" t="s">
        <v>115</v>
      </c>
      <c r="E642" s="3" t="s">
        <v>105</v>
      </c>
      <c r="F642" s="3" t="s">
        <v>634</v>
      </c>
      <c r="G642" s="3" t="s">
        <v>78</v>
      </c>
      <c r="H642" s="3" t="s">
        <v>79</v>
      </c>
      <c r="I642" s="3" t="s">
        <v>78</v>
      </c>
      <c r="J642" s="4" t="n">
        <v>5922000</v>
      </c>
      <c r="K642" s="5" t="n">
        <f aca="false">IFERROR(J642/M642,"")</f>
        <v>0.195898114455839</v>
      </c>
      <c r="L642" s="4" t="n">
        <v>24308000</v>
      </c>
      <c r="M642" s="6" t="n">
        <f aca="false">L642+J642</f>
        <v>30230000</v>
      </c>
      <c r="N642" s="4" t="n">
        <v>5922000</v>
      </c>
      <c r="O642" s="4" t="n">
        <v>27054401</v>
      </c>
      <c r="P642" s="4" t="n">
        <v>416721</v>
      </c>
      <c r="Q642" s="7"/>
      <c r="R642" s="4" t="n">
        <v>426867</v>
      </c>
      <c r="S642" s="7"/>
      <c r="T642" s="4" t="n">
        <v>233006</v>
      </c>
      <c r="U642" s="5" t="n">
        <f aca="false">IFERROR(T642/P642,"")</f>
        <v>0.559141487949971</v>
      </c>
      <c r="V642" s="6" t="n">
        <f aca="false">T642-AV642</f>
        <v>-2236629</v>
      </c>
      <c r="W642" s="6" t="n">
        <f aca="false">V642-AA642*0.1</f>
        <v>-2236629</v>
      </c>
      <c r="X642" s="4" t="n">
        <v>6901620</v>
      </c>
      <c r="Y642" s="4" t="n">
        <v>200200</v>
      </c>
      <c r="Z642" s="8" t="n">
        <f aca="false">IFERROR(X642/Y642,"")</f>
        <v>34.4736263736264</v>
      </c>
      <c r="AA642" s="4" t="n">
        <v>0</v>
      </c>
      <c r="AB642" s="6" t="n">
        <f aca="false">W642-0.02*P642</f>
        <v>-2244963.42</v>
      </c>
      <c r="AC642" s="9" t="n">
        <v>20</v>
      </c>
      <c r="AD642" s="7"/>
      <c r="AE642" s="7" t="n">
        <v>0.153</v>
      </c>
      <c r="AF642" s="7" t="n">
        <v>0.139</v>
      </c>
      <c r="AG642" s="5" t="n">
        <f aca="false">1-AF642</f>
        <v>0.861</v>
      </c>
      <c r="AH642" s="7" t="n">
        <v>1.117</v>
      </c>
      <c r="AI642" s="4" t="n">
        <v>10600</v>
      </c>
      <c r="AJ642" s="6" t="n">
        <f aca="false">IFERROR(AM642*U642*MIN(1/AE642,5),"")</f>
        <v>30752.7818372484</v>
      </c>
      <c r="AK642" s="10" t="n">
        <f aca="false">IFERROR(AJ642/AI642,"")</f>
        <v>2.90120583370268</v>
      </c>
      <c r="AL642" s="8" t="n">
        <f aca="false">IFERROR(AI642/(AM642*U642/12),"")</f>
        <v>20.6810558916548</v>
      </c>
      <c r="AM642" s="4" t="n">
        <v>11000</v>
      </c>
      <c r="AN642" s="4" t="n">
        <v>636317</v>
      </c>
      <c r="AO642" s="4" t="n">
        <v>785598</v>
      </c>
      <c r="AP642" s="7" t="n">
        <v>0.186</v>
      </c>
      <c r="AQ642" s="9" t="n">
        <v>69</v>
      </c>
      <c r="AR642" s="9" t="n">
        <v>17</v>
      </c>
      <c r="AS642" s="7"/>
      <c r="AT642" s="3" t="s">
        <v>98</v>
      </c>
      <c r="AU642" s="6" t="n">
        <f aca="false">IFERROR(P642/AR642,"")</f>
        <v>24513</v>
      </c>
      <c r="AV642" s="4" t="n">
        <v>2469635</v>
      </c>
      <c r="AW642" s="4" t="n">
        <v>1124908</v>
      </c>
      <c r="AX642" s="4" t="n">
        <v>642290</v>
      </c>
      <c r="AY642" s="9" t="n">
        <v>4497</v>
      </c>
      <c r="AZ642" s="7"/>
      <c r="BA642" s="7" t="n">
        <v>0.848</v>
      </c>
      <c r="BB642" s="3" t="s">
        <v>107</v>
      </c>
      <c r="BC642" s="3" t="s">
        <v>126</v>
      </c>
      <c r="BD642" s="3" t="s">
        <v>83</v>
      </c>
      <c r="BE642" s="4" t="n">
        <v>479184</v>
      </c>
      <c r="BF642" s="5" t="n">
        <f aca="false">IFERROR(P642/BE642-1,"")</f>
        <v>-0.130352849844736</v>
      </c>
      <c r="BG642" s="7" t="n">
        <v>-0.006</v>
      </c>
      <c r="BH642" s="7" t="n">
        <v>0.047</v>
      </c>
      <c r="BI642" s="6" t="n">
        <f aca="false">P642</f>
        <v>416721</v>
      </c>
      <c r="BJ642" s="4" t="n">
        <v>-1892483</v>
      </c>
      <c r="BK642" s="3" t="s">
        <v>110</v>
      </c>
      <c r="BL642" s="3" t="s">
        <v>128</v>
      </c>
      <c r="BM642" s="6" t="n">
        <f aca="false">O642</f>
        <v>27054401</v>
      </c>
      <c r="BN642" s="3" t="s">
        <v>635</v>
      </c>
      <c r="BO642" s="5" t="n">
        <f aca="false">IFERROR(1-L642/M642,"")</f>
        <v>0.195898114455839</v>
      </c>
      <c r="BP642" s="3" t="s">
        <v>142</v>
      </c>
      <c r="BQ642" s="4" t="n">
        <v>2648183</v>
      </c>
      <c r="BR642" s="3" t="s">
        <v>88</v>
      </c>
      <c r="BS642" s="3" t="s">
        <v>89</v>
      </c>
      <c r="BT642" s="3" t="s">
        <v>90</v>
      </c>
    </row>
    <row r="643" customFormat="false" ht="15" hidden="false" customHeight="false" outlineLevel="0" collapsed="false">
      <c r="A643" s="11" t="s">
        <v>633</v>
      </c>
      <c r="B643" s="11" t="s">
        <v>91</v>
      </c>
      <c r="C643" s="11" t="s">
        <v>74</v>
      </c>
      <c r="D643" s="11" t="s">
        <v>115</v>
      </c>
      <c r="E643" s="11" t="s">
        <v>105</v>
      </c>
      <c r="F643" s="11" t="s">
        <v>634</v>
      </c>
      <c r="G643" s="11" t="s">
        <v>78</v>
      </c>
      <c r="H643" s="11" t="s">
        <v>79</v>
      </c>
      <c r="I643" s="11" t="s">
        <v>78</v>
      </c>
      <c r="J643" s="12" t="n">
        <v>5922000</v>
      </c>
      <c r="K643" s="13" t="n">
        <f aca="false">IFERROR(J643/M643,"")</f>
        <v>0.195898114455839</v>
      </c>
      <c r="L643" s="12" t="n">
        <v>24308000</v>
      </c>
      <c r="M643" s="14" t="n">
        <f aca="false">L643+J643</f>
        <v>30230000</v>
      </c>
      <c r="N643" s="12" t="n">
        <v>5922000</v>
      </c>
      <c r="O643" s="12" t="n">
        <v>27054401</v>
      </c>
      <c r="P643" s="12" t="n">
        <v>513186</v>
      </c>
      <c r="Q643" s="13" t="n">
        <f aca="false">IFERROR(P643/P642-1,"")</f>
        <v>0.231485814249822</v>
      </c>
      <c r="R643" s="12" t="n">
        <v>526393</v>
      </c>
      <c r="S643" s="13" t="n">
        <f aca="false">IFERROR(R643/R642-1,"")</f>
        <v>0.233154589134321</v>
      </c>
      <c r="T643" s="12" t="n">
        <v>288105</v>
      </c>
      <c r="U643" s="13" t="n">
        <f aca="false">IFERROR(T643/P643,"")</f>
        <v>0.561404636915271</v>
      </c>
      <c r="V643" s="14" t="n">
        <f aca="false">T643-AV643</f>
        <v>-2673026</v>
      </c>
      <c r="W643" s="14" t="n">
        <f aca="false">V643-AA643*0.1</f>
        <v>-2673026</v>
      </c>
      <c r="X643" s="12" t="n">
        <v>6396720</v>
      </c>
      <c r="Y643" s="12" t="n">
        <v>206800</v>
      </c>
      <c r="Z643" s="15" t="n">
        <f aca="false">IFERROR(X643/Y643,"")</f>
        <v>30.931914893617</v>
      </c>
      <c r="AA643" s="12" t="n">
        <v>0</v>
      </c>
      <c r="AB643" s="14" t="n">
        <f aca="false">W643-0.02*P643</f>
        <v>-2683289.72</v>
      </c>
      <c r="AC643" s="16" t="n">
        <v>23</v>
      </c>
      <c r="AD643" s="13" t="n">
        <f aca="false">IFERROR(AC643/AC642-1,"")</f>
        <v>0.15</v>
      </c>
      <c r="AE643" s="17" t="n">
        <v>0.148</v>
      </c>
      <c r="AF643" s="17" t="n">
        <v>0.16</v>
      </c>
      <c r="AG643" s="13" t="n">
        <f aca="false">1-AF643</f>
        <v>0.84</v>
      </c>
      <c r="AH643" s="17" t="n">
        <v>1.112</v>
      </c>
      <c r="AI643" s="12" t="n">
        <v>10400</v>
      </c>
      <c r="AJ643" s="14" t="n">
        <f aca="false">IFERROR(AM643*U643*MIN(1/AE643,5),"")</f>
        <v>31494.8001309467</v>
      </c>
      <c r="AK643" s="18" t="n">
        <f aca="false">IFERROR(AJ643/AI643,"")</f>
        <v>3.02834616643718</v>
      </c>
      <c r="AL643" s="15" t="n">
        <f aca="false">IFERROR(AI643/(AM643*U643/12),"")</f>
        <v>19.812794410683</v>
      </c>
      <c r="AM643" s="12" t="n">
        <v>11220</v>
      </c>
      <c r="AN643" s="12" t="n">
        <v>487483</v>
      </c>
      <c r="AO643" s="12" t="n">
        <v>1202723</v>
      </c>
      <c r="AP643" s="17" t="n">
        <v>0.186</v>
      </c>
      <c r="AQ643" s="16" t="n">
        <v>69</v>
      </c>
      <c r="AR643" s="16" t="n">
        <v>18</v>
      </c>
      <c r="AS643" s="13" t="n">
        <f aca="false">IFERROR(AR643/AR642-1,"")</f>
        <v>0.0588235294117647</v>
      </c>
      <c r="AT643" s="11" t="s">
        <v>98</v>
      </c>
      <c r="AU643" s="14" t="n">
        <f aca="false">IFERROR(P643/AR643,"")</f>
        <v>28510.3333333333</v>
      </c>
      <c r="AV643" s="12" t="n">
        <v>2961131</v>
      </c>
      <c r="AW643" s="12" t="n">
        <v>1286605</v>
      </c>
      <c r="AX643" s="12" t="n">
        <v>981261</v>
      </c>
      <c r="AY643" s="16" t="n">
        <v>5570</v>
      </c>
      <c r="AZ643" s="13" t="n">
        <f aca="false">IFERROR(AY643/AY642-1,"")</f>
        <v>0.238603513453413</v>
      </c>
      <c r="BA643" s="17" t="n">
        <v>0.875</v>
      </c>
      <c r="BB643" s="11" t="s">
        <v>107</v>
      </c>
      <c r="BC643" s="11" t="s">
        <v>126</v>
      </c>
      <c r="BD643" s="11" t="s">
        <v>83</v>
      </c>
      <c r="BE643" s="12" t="n">
        <v>516986</v>
      </c>
      <c r="BF643" s="13" t="n">
        <f aca="false">IFERROR(P643/BE643-1,"")</f>
        <v>-0.00735029575268964</v>
      </c>
      <c r="BG643" s="17" t="n">
        <v>0.031</v>
      </c>
      <c r="BH643" s="17" t="n">
        <v>0.046</v>
      </c>
      <c r="BI643" s="14" t="n">
        <f aca="false">P643*(1+IFERROR(Q643,0))^4</f>
        <v>1180300.12728309</v>
      </c>
      <c r="BJ643" s="12" t="n">
        <v>-2117653</v>
      </c>
      <c r="BK643" s="11" t="s">
        <v>110</v>
      </c>
      <c r="BL643" s="11" t="s">
        <v>128</v>
      </c>
      <c r="BM643" s="14" t="n">
        <f aca="false">O643</f>
        <v>27054401</v>
      </c>
      <c r="BN643" s="11" t="s">
        <v>635</v>
      </c>
      <c r="BO643" s="13" t="n">
        <f aca="false">IFERROR(1-L643/M643,"")</f>
        <v>0.195898114455839</v>
      </c>
      <c r="BP643" s="11" t="s">
        <v>142</v>
      </c>
      <c r="BQ643" s="12" t="n">
        <v>2492544</v>
      </c>
      <c r="BR643" s="11" t="s">
        <v>88</v>
      </c>
      <c r="BS643" s="11" t="s">
        <v>89</v>
      </c>
      <c r="BT643" s="19" t="str">
        <f aca="false">IF(OR(Z643&lt;6,AH643&lt;0.9,S643&lt;0.02,AK643&lt;1),"REVIEW",IF(AND(S643&gt;0.25,AH643&gt;1.2),"ACCELERATING","STABLE"))</f>
        <v>STABLE</v>
      </c>
    </row>
    <row r="644" customFormat="false" ht="15" hidden="false" customHeight="false" outlineLevel="0" collapsed="false">
      <c r="A644" s="11" t="s">
        <v>633</v>
      </c>
      <c r="B644" s="11" t="s">
        <v>92</v>
      </c>
      <c r="C644" s="11" t="s">
        <v>74</v>
      </c>
      <c r="D644" s="11" t="s">
        <v>115</v>
      </c>
      <c r="E644" s="11" t="s">
        <v>105</v>
      </c>
      <c r="F644" s="11" t="s">
        <v>634</v>
      </c>
      <c r="G644" s="11" t="s">
        <v>78</v>
      </c>
      <c r="H644" s="11" t="s">
        <v>79</v>
      </c>
      <c r="I644" s="11" t="s">
        <v>78</v>
      </c>
      <c r="J644" s="12" t="n">
        <v>5922000</v>
      </c>
      <c r="K644" s="13" t="n">
        <f aca="false">IFERROR(J644/M644,"")</f>
        <v>0.195898114455839</v>
      </c>
      <c r="L644" s="12" t="n">
        <v>24308000</v>
      </c>
      <c r="M644" s="14" t="n">
        <f aca="false">L644+J644</f>
        <v>30230000</v>
      </c>
      <c r="N644" s="12" t="n">
        <v>5922000</v>
      </c>
      <c r="O644" s="12" t="n">
        <v>27054401</v>
      </c>
      <c r="P644" s="12" t="n">
        <v>624440</v>
      </c>
      <c r="Q644" s="13" t="n">
        <f aca="false">IFERROR(P644/P643-1,"")</f>
        <v>0.216790793201685</v>
      </c>
      <c r="R644" s="12" t="n">
        <v>648724</v>
      </c>
      <c r="S644" s="13" t="n">
        <f aca="false">IFERROR(R644/R643-1,"")</f>
        <v>0.232394807681713</v>
      </c>
      <c r="T644" s="12" t="n">
        <v>351977</v>
      </c>
      <c r="U644" s="13" t="n">
        <f aca="false">IFERROR(T644/P644,"")</f>
        <v>0.563668246749087</v>
      </c>
      <c r="V644" s="14" t="n">
        <f aca="false">T644-AV644</f>
        <v>-1941193</v>
      </c>
      <c r="W644" s="14" t="n">
        <f aca="false">V644-AA644*0.1</f>
        <v>-1941193</v>
      </c>
      <c r="X644" s="12" t="n">
        <v>5856180</v>
      </c>
      <c r="Y644" s="12" t="n">
        <v>213400</v>
      </c>
      <c r="Z644" s="15" t="n">
        <f aca="false">IFERROR(X644/Y644,"")</f>
        <v>27.4422680412371</v>
      </c>
      <c r="AA644" s="12" t="n">
        <v>0</v>
      </c>
      <c r="AB644" s="14" t="n">
        <f aca="false">W644-0.02*P644</f>
        <v>-1953681.8</v>
      </c>
      <c r="AC644" s="16" t="n">
        <v>30</v>
      </c>
      <c r="AD644" s="13" t="n">
        <f aca="false">IFERROR(AC644/AC643-1,"")</f>
        <v>0.304347826086957</v>
      </c>
      <c r="AE644" s="17" t="n">
        <v>0.144</v>
      </c>
      <c r="AF644" s="17" t="n">
        <v>0.143</v>
      </c>
      <c r="AG644" s="13" t="n">
        <f aca="false">1-AF644</f>
        <v>0.857</v>
      </c>
      <c r="AH644" s="17" t="n">
        <v>1.107</v>
      </c>
      <c r="AI644" s="12" t="n">
        <v>10200</v>
      </c>
      <c r="AJ644" s="14" t="n">
        <f aca="false">IFERROR(AM644*U644*MIN(1/AE644,5),"")</f>
        <v>32241.8237140478</v>
      </c>
      <c r="AK644" s="18" t="n">
        <f aca="false">IFERROR(AJ644/AI644,"")</f>
        <v>3.16096310922037</v>
      </c>
      <c r="AL644" s="15" t="n">
        <f aca="false">IFERROR(AI644/(AM644*U644/12),"")</f>
        <v>18.9815565467952</v>
      </c>
      <c r="AM644" s="12" t="n">
        <v>11440</v>
      </c>
      <c r="AN644" s="12" t="n">
        <v>810023</v>
      </c>
      <c r="AO644" s="12" t="n">
        <v>1308087</v>
      </c>
      <c r="AP644" s="17" t="n">
        <v>0.186</v>
      </c>
      <c r="AQ644" s="16" t="n">
        <v>69</v>
      </c>
      <c r="AR644" s="16" t="n">
        <v>19</v>
      </c>
      <c r="AS644" s="13" t="n">
        <f aca="false">IFERROR(AR644/AR643-1,"")</f>
        <v>0.0555555555555556</v>
      </c>
      <c r="AT644" s="11" t="s">
        <v>98</v>
      </c>
      <c r="AU644" s="14" t="n">
        <f aca="false">IFERROR(P644/AR644,"")</f>
        <v>32865.2631578947</v>
      </c>
      <c r="AV644" s="12" t="n">
        <v>2293170</v>
      </c>
      <c r="AW644" s="12" t="n">
        <v>1070824</v>
      </c>
      <c r="AX644" s="12" t="n">
        <v>480145</v>
      </c>
      <c r="AY644" s="16" t="n">
        <v>6748</v>
      </c>
      <c r="AZ644" s="13" t="n">
        <f aca="false">IFERROR(AY644/AY643-1,"")</f>
        <v>0.21149012567325</v>
      </c>
      <c r="BA644" s="17" t="n">
        <v>0.873</v>
      </c>
      <c r="BB644" s="11" t="s">
        <v>107</v>
      </c>
      <c r="BC644" s="11" t="s">
        <v>126</v>
      </c>
      <c r="BD644" s="11" t="s">
        <v>83</v>
      </c>
      <c r="BE644" s="12" t="n">
        <v>699798</v>
      </c>
      <c r="BF644" s="13" t="n">
        <f aca="false">IFERROR(P644/BE644-1,"")</f>
        <v>-0.10768536063264</v>
      </c>
      <c r="BG644" s="17" t="n">
        <v>-0.035</v>
      </c>
      <c r="BH644" s="17" t="n">
        <v>-0.039</v>
      </c>
      <c r="BI644" s="14" t="n">
        <f aca="false">P644*(1+IFERROR(Q644,0))^4</f>
        <v>1368845.31848588</v>
      </c>
      <c r="BJ644" s="12" t="n">
        <v>-1297936</v>
      </c>
      <c r="BK644" s="11" t="s">
        <v>110</v>
      </c>
      <c r="BL644" s="11" t="s">
        <v>128</v>
      </c>
      <c r="BM644" s="14" t="n">
        <f aca="false">O644</f>
        <v>27054401</v>
      </c>
      <c r="BN644" s="11" t="s">
        <v>635</v>
      </c>
      <c r="BO644" s="13" t="n">
        <f aca="false">IFERROR(1-L644/M644,"")</f>
        <v>0.195898114455839</v>
      </c>
      <c r="BP644" s="11" t="s">
        <v>142</v>
      </c>
      <c r="BQ644" s="12" t="n">
        <v>2734656</v>
      </c>
      <c r="BR644" s="11" t="s">
        <v>88</v>
      </c>
      <c r="BS644" s="11" t="s">
        <v>89</v>
      </c>
      <c r="BT644" s="19" t="str">
        <f aca="false">IF(OR(Z644&lt;6,AH644&lt;0.9,S644&lt;0.02,AK644&lt;1),"REVIEW",IF(AND(S644&gt;0.25,AH644&gt;1.2),"ACCELERATING","STABLE"))</f>
        <v>STABLE</v>
      </c>
    </row>
    <row r="645" customFormat="false" ht="15" hidden="false" customHeight="false" outlineLevel="0" collapsed="false">
      <c r="A645" s="11" t="s">
        <v>633</v>
      </c>
      <c r="B645" s="11" t="s">
        <v>93</v>
      </c>
      <c r="C645" s="11" t="s">
        <v>74</v>
      </c>
      <c r="D645" s="11" t="s">
        <v>115</v>
      </c>
      <c r="E645" s="11" t="s">
        <v>105</v>
      </c>
      <c r="F645" s="11" t="s">
        <v>634</v>
      </c>
      <c r="G645" s="11" t="s">
        <v>78</v>
      </c>
      <c r="H645" s="11" t="s">
        <v>79</v>
      </c>
      <c r="I645" s="11" t="s">
        <v>78</v>
      </c>
      <c r="J645" s="12" t="n">
        <v>5922000</v>
      </c>
      <c r="K645" s="13" t="n">
        <f aca="false">IFERROR(J645/M645,"")</f>
        <v>0.195898114455839</v>
      </c>
      <c r="L645" s="12" t="n">
        <v>24308000</v>
      </c>
      <c r="M645" s="14" t="n">
        <f aca="false">L645+J645</f>
        <v>30230000</v>
      </c>
      <c r="N645" s="12" t="n">
        <v>5922000</v>
      </c>
      <c r="O645" s="12" t="n">
        <v>27054401</v>
      </c>
      <c r="P645" s="12" t="n">
        <v>741595</v>
      </c>
      <c r="Q645" s="13" t="n">
        <f aca="false">IFERROR(P645/P644-1,"")</f>
        <v>0.18761610402921</v>
      </c>
      <c r="R645" s="12" t="n">
        <v>788152</v>
      </c>
      <c r="S645" s="13" t="n">
        <f aca="false">IFERROR(R645/R644-1,"")</f>
        <v>0.214926532701118</v>
      </c>
      <c r="T645" s="12" t="n">
        <v>419692</v>
      </c>
      <c r="U645" s="13" t="n">
        <f aca="false">IFERROR(T645/P645,"")</f>
        <v>0.565931539452127</v>
      </c>
      <c r="V645" s="14" t="n">
        <f aca="false">T645-AV645</f>
        <v>-2316055</v>
      </c>
      <c r="W645" s="14" t="n">
        <f aca="false">V645-AA645*0.1</f>
        <v>-2316055</v>
      </c>
      <c r="X645" s="12" t="n">
        <v>5280000</v>
      </c>
      <c r="Y645" s="12" t="n">
        <v>220000</v>
      </c>
      <c r="Z645" s="15" t="n">
        <f aca="false">IFERROR(X645/Y645,"")</f>
        <v>24</v>
      </c>
      <c r="AA645" s="12" t="n">
        <v>0</v>
      </c>
      <c r="AB645" s="14" t="n">
        <f aca="false">W645-0.02*P645</f>
        <v>-2330886.9</v>
      </c>
      <c r="AC645" s="16" t="n">
        <v>35</v>
      </c>
      <c r="AD645" s="13" t="n">
        <f aca="false">IFERROR(AC645/AC644-1,"")</f>
        <v>0.166666666666667</v>
      </c>
      <c r="AE645" s="17" t="n">
        <v>0.14</v>
      </c>
      <c r="AF645" s="17" t="n">
        <v>0.09</v>
      </c>
      <c r="AG645" s="13" t="n">
        <f aca="false">1-AF645</f>
        <v>0.91</v>
      </c>
      <c r="AH645" s="17" t="n">
        <v>1.102</v>
      </c>
      <c r="AI645" s="12" t="n">
        <v>10000</v>
      </c>
      <c r="AJ645" s="14" t="n">
        <f aca="false">IFERROR(AM645*U645*MIN(1/AE645,5),"")</f>
        <v>32993.808750059</v>
      </c>
      <c r="AK645" s="18" t="n">
        <f aca="false">IFERROR(AJ645/AI645,"")</f>
        <v>3.2993808750059</v>
      </c>
      <c r="AL645" s="15" t="n">
        <f aca="false">IFERROR(AI645/(AM645*U645/12),"")</f>
        <v>18.1852299789101</v>
      </c>
      <c r="AM645" s="12" t="n">
        <v>11660</v>
      </c>
      <c r="AN645" s="12" t="n">
        <v>999954</v>
      </c>
      <c r="AO645" s="12" t="n">
        <v>1452800</v>
      </c>
      <c r="AP645" s="17" t="n">
        <v>0.186</v>
      </c>
      <c r="AQ645" s="16" t="n">
        <v>69</v>
      </c>
      <c r="AR645" s="16" t="n">
        <v>21</v>
      </c>
      <c r="AS645" s="13" t="n">
        <f aca="false">IFERROR(AR645/AR644-1,"")</f>
        <v>0.105263157894737</v>
      </c>
      <c r="AT645" s="11" t="s">
        <v>98</v>
      </c>
      <c r="AU645" s="14" t="n">
        <f aca="false">IFERROR(P645/AR645,"")</f>
        <v>35314.0476190476</v>
      </c>
      <c r="AV645" s="12" t="n">
        <v>2735747</v>
      </c>
      <c r="AW645" s="12" t="n">
        <v>1117688</v>
      </c>
      <c r="AX645" s="12" t="n">
        <v>694536</v>
      </c>
      <c r="AY645" s="16" t="n">
        <v>7914</v>
      </c>
      <c r="AZ645" s="13" t="n">
        <f aca="false">IFERROR(AY645/AY644-1,"")</f>
        <v>0.172791938352104</v>
      </c>
      <c r="BA645" s="17" t="n">
        <v>0.884</v>
      </c>
      <c r="BB645" s="11" t="s">
        <v>107</v>
      </c>
      <c r="BC645" s="11" t="s">
        <v>126</v>
      </c>
      <c r="BD645" s="11" t="s">
        <v>83</v>
      </c>
      <c r="BE645" s="12" t="n">
        <v>773582</v>
      </c>
      <c r="BF645" s="13" t="n">
        <f aca="false">IFERROR(P645/BE645-1,"")</f>
        <v>-0.0413492040921325</v>
      </c>
      <c r="BG645" s="17" t="n">
        <v>-0.051</v>
      </c>
      <c r="BH645" s="17" t="n">
        <v>0.02</v>
      </c>
      <c r="BI645" s="14" t="n">
        <f aca="false">P645*(1+IFERROR(Q645,0))^4</f>
        <v>1475268.62066117</v>
      </c>
      <c r="BJ645" s="12" t="n">
        <v>-1874753</v>
      </c>
      <c r="BK645" s="11" t="s">
        <v>110</v>
      </c>
      <c r="BL645" s="11" t="s">
        <v>128</v>
      </c>
      <c r="BM645" s="14" t="n">
        <f aca="false">O645</f>
        <v>27054401</v>
      </c>
      <c r="BN645" s="11" t="s">
        <v>635</v>
      </c>
      <c r="BO645" s="13" t="n">
        <f aca="false">IFERROR(1-L645/M645,"")</f>
        <v>0.195898114455839</v>
      </c>
      <c r="BP645" s="11" t="s">
        <v>142</v>
      </c>
      <c r="BQ645" s="12" t="n">
        <v>4332674</v>
      </c>
      <c r="BR645" s="11" t="s">
        <v>88</v>
      </c>
      <c r="BS645" s="11" t="s">
        <v>89</v>
      </c>
      <c r="BT645" s="19" t="str">
        <f aca="false">IF(OR(Z645&lt;6,AH645&lt;0.9,S645&lt;0.02,AK645&lt;1),"REVIEW",IF(AND(S645&gt;0.25,AH645&gt;1.2),"ACCELERATING","STABLE"))</f>
        <v>STABLE</v>
      </c>
    </row>
    <row r="646" customFormat="false" ht="15" hidden="false" customHeight="false" outlineLevel="0" collapsed="false">
      <c r="A646" s="3" t="s">
        <v>636</v>
      </c>
      <c r="B646" s="3" t="s">
        <v>73</v>
      </c>
      <c r="C646" s="3" t="s">
        <v>74</v>
      </c>
      <c r="D646" s="3" t="s">
        <v>165</v>
      </c>
      <c r="E646" s="3" t="s">
        <v>105</v>
      </c>
      <c r="F646" s="3" t="s">
        <v>637</v>
      </c>
      <c r="G646" s="3" t="s">
        <v>78</v>
      </c>
      <c r="H646" s="3" t="s">
        <v>79</v>
      </c>
      <c r="I646" s="3" t="s">
        <v>78</v>
      </c>
      <c r="J646" s="4" t="n">
        <v>4197000</v>
      </c>
      <c r="K646" s="5" t="n">
        <f aca="false">IFERROR(J646/M646,"")</f>
        <v>0.141213283536893</v>
      </c>
      <c r="L646" s="4" t="n">
        <v>25524000</v>
      </c>
      <c r="M646" s="6" t="n">
        <f aca="false">L646+J646</f>
        <v>29721000</v>
      </c>
      <c r="N646" s="4" t="n">
        <v>4197000</v>
      </c>
      <c r="O646" s="4" t="n">
        <v>52886595</v>
      </c>
      <c r="P646" s="4" t="n">
        <v>905090</v>
      </c>
      <c r="Q646" s="7"/>
      <c r="R646" s="4" t="n">
        <v>1136683</v>
      </c>
      <c r="S646" s="7"/>
      <c r="T646" s="4" t="n">
        <v>520435</v>
      </c>
      <c r="U646" s="5" t="n">
        <f aca="false">IFERROR(T646/P646,"")</f>
        <v>0.575009115115624</v>
      </c>
      <c r="V646" s="6" t="n">
        <f aca="false">T646-AV646</f>
        <v>-1386597</v>
      </c>
      <c r="W646" s="6" t="n">
        <f aca="false">V646-AA646*0.1</f>
        <v>-1386597</v>
      </c>
      <c r="X646" s="4" t="n">
        <v>3206479</v>
      </c>
      <c r="Y646" s="4" t="n">
        <v>140140</v>
      </c>
      <c r="Z646" s="8" t="n">
        <f aca="false">IFERROR(X646/Y646,"")</f>
        <v>22.8805408876837</v>
      </c>
      <c r="AA646" s="4" t="n">
        <v>0</v>
      </c>
      <c r="AB646" s="6" t="n">
        <f aca="false">W646-0.02*P646</f>
        <v>-1404698.8</v>
      </c>
      <c r="AC646" s="9" t="n">
        <v>36</v>
      </c>
      <c r="AD646" s="7"/>
      <c r="AE646" s="7" t="n">
        <v>0.112</v>
      </c>
      <c r="AF646" s="7" t="n">
        <v>0.082</v>
      </c>
      <c r="AG646" s="5" t="n">
        <f aca="false">1-AF646</f>
        <v>0.918</v>
      </c>
      <c r="AH646" s="7" t="n">
        <v>1.173</v>
      </c>
      <c r="AI646" s="4" t="n">
        <v>25970</v>
      </c>
      <c r="AJ646" s="6" t="n">
        <f aca="false">IFERROR(AM646*U646*MIN(1/AE646,5),"")</f>
        <v>46000.7292092499</v>
      </c>
      <c r="AK646" s="10" t="n">
        <f aca="false">IFERROR(AJ646/AI646,"")</f>
        <v>1.77130262646322</v>
      </c>
      <c r="AL646" s="8" t="n">
        <f aca="false">IFERROR(AI646/(AM646*U646/12),"")</f>
        <v>33.8733760700183</v>
      </c>
      <c r="AM646" s="4" t="n">
        <v>16000</v>
      </c>
      <c r="AN646" s="4" t="n">
        <v>1535239</v>
      </c>
      <c r="AO646" s="4" t="n">
        <v>3983537</v>
      </c>
      <c r="AP646" s="7" t="n">
        <v>0.13</v>
      </c>
      <c r="AQ646" s="9" t="n">
        <v>89</v>
      </c>
      <c r="AR646" s="9" t="n">
        <v>2</v>
      </c>
      <c r="AS646" s="7"/>
      <c r="AT646" s="3" t="s">
        <v>201</v>
      </c>
      <c r="AU646" s="6" t="n">
        <f aca="false">IFERROR(P646/AR646,"")</f>
        <v>452545</v>
      </c>
      <c r="AV646" s="4" t="n">
        <v>1907032</v>
      </c>
      <c r="AW646" s="4" t="n">
        <v>659251</v>
      </c>
      <c r="AX646" s="4" t="n">
        <v>600211</v>
      </c>
      <c r="AY646" s="9" t="n">
        <v>825</v>
      </c>
      <c r="AZ646" s="7"/>
      <c r="BA646" s="7" t="n">
        <v>0.913</v>
      </c>
      <c r="BB646" s="3" t="s">
        <v>161</v>
      </c>
      <c r="BC646" s="3" t="s">
        <v>126</v>
      </c>
      <c r="BD646" s="3" t="s">
        <v>83</v>
      </c>
      <c r="BE646" s="4" t="n">
        <v>1089934</v>
      </c>
      <c r="BF646" s="5" t="n">
        <f aca="false">IFERROR(P646/BE646-1,"")</f>
        <v>-0.169591920244712</v>
      </c>
      <c r="BG646" s="7" t="n">
        <v>0.052</v>
      </c>
      <c r="BH646" s="7" t="n">
        <v>-0.075</v>
      </c>
      <c r="BI646" s="6" t="n">
        <f aca="false">P646</f>
        <v>905090</v>
      </c>
      <c r="BJ646" s="4" t="n">
        <v>-1379420</v>
      </c>
      <c r="BK646" s="3" t="s">
        <v>84</v>
      </c>
      <c r="BL646" s="3" t="s">
        <v>111</v>
      </c>
      <c r="BM646" s="6" t="n">
        <f aca="false">O646</f>
        <v>52886595</v>
      </c>
      <c r="BN646" s="3" t="s">
        <v>638</v>
      </c>
      <c r="BO646" s="5" t="n">
        <f aca="false">IFERROR(1-L646/M646,"")</f>
        <v>0.141213283536893</v>
      </c>
      <c r="BP646" s="3" t="s">
        <v>130</v>
      </c>
      <c r="BQ646" s="4" t="n">
        <v>2196464</v>
      </c>
      <c r="BR646" s="3" t="s">
        <v>88</v>
      </c>
      <c r="BS646" s="3" t="s">
        <v>89</v>
      </c>
      <c r="BT646" s="3" t="s">
        <v>90</v>
      </c>
    </row>
    <row r="647" customFormat="false" ht="15" hidden="false" customHeight="false" outlineLevel="0" collapsed="false">
      <c r="A647" s="11" t="s">
        <v>636</v>
      </c>
      <c r="B647" s="11" t="s">
        <v>91</v>
      </c>
      <c r="C647" s="11" t="s">
        <v>74</v>
      </c>
      <c r="D647" s="11" t="s">
        <v>165</v>
      </c>
      <c r="E647" s="11" t="s">
        <v>105</v>
      </c>
      <c r="F647" s="11" t="s">
        <v>637</v>
      </c>
      <c r="G647" s="11" t="s">
        <v>78</v>
      </c>
      <c r="H647" s="11" t="s">
        <v>79</v>
      </c>
      <c r="I647" s="11" t="s">
        <v>78</v>
      </c>
      <c r="J647" s="12" t="n">
        <v>4197000</v>
      </c>
      <c r="K647" s="13" t="n">
        <f aca="false">IFERROR(J647/M647,"")</f>
        <v>0.141213283536893</v>
      </c>
      <c r="L647" s="12" t="n">
        <v>25524000</v>
      </c>
      <c r="M647" s="14" t="n">
        <f aca="false">L647+J647</f>
        <v>29721000</v>
      </c>
      <c r="N647" s="12" t="n">
        <v>4197000</v>
      </c>
      <c r="O647" s="12" t="n">
        <v>52886595</v>
      </c>
      <c r="P647" s="12" t="n">
        <v>1061341</v>
      </c>
      <c r="Q647" s="13" t="n">
        <f aca="false">IFERROR(P647/P646-1,"")</f>
        <v>0.172635870465921</v>
      </c>
      <c r="R647" s="12" t="n">
        <v>1356317</v>
      </c>
      <c r="S647" s="13" t="n">
        <f aca="false">IFERROR(R647/R646-1,"")</f>
        <v>0.193223616434837</v>
      </c>
      <c r="T647" s="12" t="n">
        <v>612752</v>
      </c>
      <c r="U647" s="13" t="n">
        <f aca="false">IFERROR(T647/P647,"")</f>
        <v>0.577337538076829</v>
      </c>
      <c r="V647" s="14" t="n">
        <f aca="false">T647-AV647</f>
        <v>-1456079</v>
      </c>
      <c r="W647" s="14" t="n">
        <f aca="false">V647-AA647*0.1</f>
        <v>-1456079</v>
      </c>
      <c r="X647" s="12" t="n">
        <v>2853049</v>
      </c>
      <c r="Y647" s="12" t="n">
        <v>144760</v>
      </c>
      <c r="Z647" s="15" t="n">
        <f aca="false">IFERROR(X647/Y647,"")</f>
        <v>19.7088214976513</v>
      </c>
      <c r="AA647" s="12" t="n">
        <v>0</v>
      </c>
      <c r="AB647" s="14" t="n">
        <f aca="false">W647-0.02*P647</f>
        <v>-1477305.82</v>
      </c>
      <c r="AC647" s="16" t="n">
        <v>42</v>
      </c>
      <c r="AD647" s="13" t="n">
        <f aca="false">IFERROR(AC647/AC646-1,"")</f>
        <v>0.166666666666667</v>
      </c>
      <c r="AE647" s="17" t="n">
        <v>0.109</v>
      </c>
      <c r="AF647" s="17" t="n">
        <v>0.066</v>
      </c>
      <c r="AG647" s="13" t="n">
        <f aca="false">1-AF647</f>
        <v>0.934</v>
      </c>
      <c r="AH647" s="17" t="n">
        <v>1.168</v>
      </c>
      <c r="AI647" s="12" t="n">
        <v>25480</v>
      </c>
      <c r="AJ647" s="14" t="n">
        <f aca="false">IFERROR(AM647*U647*MIN(1/AE647,5),"")</f>
        <v>47110.7431070693</v>
      </c>
      <c r="AK647" s="18" t="n">
        <f aca="false">IFERROR(AJ647/AI647,"")</f>
        <v>1.84893026322878</v>
      </c>
      <c r="AL647" s="15" t="n">
        <f aca="false">IFERROR(AI647/(AM647*U647/12),"")</f>
        <v>32.4511968857183</v>
      </c>
      <c r="AM647" s="12" t="n">
        <v>16320</v>
      </c>
      <c r="AN647" s="12" t="n">
        <v>1447252</v>
      </c>
      <c r="AO647" s="12" t="n">
        <v>4144798</v>
      </c>
      <c r="AP647" s="17" t="n">
        <v>0.13</v>
      </c>
      <c r="AQ647" s="16" t="n">
        <v>89</v>
      </c>
      <c r="AR647" s="16" t="n">
        <v>2</v>
      </c>
      <c r="AS647" s="13" t="n">
        <f aca="false">IFERROR(AR647/AR646-1,"")</f>
        <v>0</v>
      </c>
      <c r="AT647" s="11" t="s">
        <v>201</v>
      </c>
      <c r="AU647" s="14" t="n">
        <f aca="false">IFERROR(P647/AR647,"")</f>
        <v>530670.5</v>
      </c>
      <c r="AV647" s="12" t="n">
        <v>2068831</v>
      </c>
      <c r="AW647" s="12" t="n">
        <v>893815</v>
      </c>
      <c r="AX647" s="12" t="n">
        <v>484996</v>
      </c>
      <c r="AY647" s="16" t="n">
        <v>883</v>
      </c>
      <c r="AZ647" s="13" t="n">
        <f aca="false">IFERROR(AY647/AY646-1,"")</f>
        <v>0.0703030303030303</v>
      </c>
      <c r="BA647" s="17" t="n">
        <v>0.919</v>
      </c>
      <c r="BB647" s="11" t="s">
        <v>161</v>
      </c>
      <c r="BC647" s="11" t="s">
        <v>126</v>
      </c>
      <c r="BD647" s="11" t="s">
        <v>83</v>
      </c>
      <c r="BE647" s="12" t="n">
        <v>1179155</v>
      </c>
      <c r="BF647" s="13" t="n">
        <f aca="false">IFERROR(P647/BE647-1,"")</f>
        <v>-0.0999139214098231</v>
      </c>
      <c r="BG647" s="17" t="n">
        <v>0.07</v>
      </c>
      <c r="BH647" s="17" t="n">
        <v>0.071</v>
      </c>
      <c r="BI647" s="14" t="n">
        <f aca="false">P647*(1+IFERROR(Q647,0))^4</f>
        <v>2006816.39914308</v>
      </c>
      <c r="BJ647" s="12" t="n">
        <v>-1459769</v>
      </c>
      <c r="BK647" s="11" t="s">
        <v>84</v>
      </c>
      <c r="BL647" s="11" t="s">
        <v>111</v>
      </c>
      <c r="BM647" s="14" t="n">
        <f aca="false">O647</f>
        <v>52886595</v>
      </c>
      <c r="BN647" s="11" t="s">
        <v>638</v>
      </c>
      <c r="BO647" s="13" t="n">
        <f aca="false">IFERROR(1-L647/M647,"")</f>
        <v>0.141213283536893</v>
      </c>
      <c r="BP647" s="11" t="s">
        <v>130</v>
      </c>
      <c r="BQ647" s="12" t="n">
        <v>2377581</v>
      </c>
      <c r="BR647" s="11" t="s">
        <v>88</v>
      </c>
      <c r="BS647" s="11" t="s">
        <v>89</v>
      </c>
      <c r="BT647" s="19" t="str">
        <f aca="false">IF(OR(Z647&lt;6,AH647&lt;0.9,S647&lt;0.02,AK647&lt;1),"REVIEW",IF(AND(S647&gt;0.25,AH647&gt;1.2),"ACCELERATING","STABLE"))</f>
        <v>STABLE</v>
      </c>
    </row>
    <row r="648" customFormat="false" ht="15" hidden="false" customHeight="false" outlineLevel="0" collapsed="false">
      <c r="A648" s="11" t="s">
        <v>636</v>
      </c>
      <c r="B648" s="11" t="s">
        <v>92</v>
      </c>
      <c r="C648" s="11" t="s">
        <v>74</v>
      </c>
      <c r="D648" s="11" t="s">
        <v>165</v>
      </c>
      <c r="E648" s="11" t="s">
        <v>105</v>
      </c>
      <c r="F648" s="11" t="s">
        <v>637</v>
      </c>
      <c r="G648" s="11" t="s">
        <v>78</v>
      </c>
      <c r="H648" s="11" t="s">
        <v>79</v>
      </c>
      <c r="I648" s="11" t="s">
        <v>78</v>
      </c>
      <c r="J648" s="12" t="n">
        <v>4197000</v>
      </c>
      <c r="K648" s="13" t="n">
        <f aca="false">IFERROR(J648/M648,"")</f>
        <v>0.141213283536893</v>
      </c>
      <c r="L648" s="12" t="n">
        <v>25524000</v>
      </c>
      <c r="M648" s="14" t="n">
        <f aca="false">L648+J648</f>
        <v>29721000</v>
      </c>
      <c r="N648" s="12" t="n">
        <v>4197000</v>
      </c>
      <c r="O648" s="12" t="n">
        <v>52886595</v>
      </c>
      <c r="P648" s="12" t="n">
        <v>1322675</v>
      </c>
      <c r="Q648" s="13" t="n">
        <f aca="false">IFERROR(P648/P647-1,"")</f>
        <v>0.246230005248078</v>
      </c>
      <c r="R648" s="12" t="n">
        <v>1647071</v>
      </c>
      <c r="S648" s="13" t="n">
        <f aca="false">IFERROR(R648/R647-1,"")</f>
        <v>0.214370239405685</v>
      </c>
      <c r="T648" s="12" t="n">
        <v>766709</v>
      </c>
      <c r="U648" s="13" t="n">
        <f aca="false">IFERROR(T648/P648,"")</f>
        <v>0.579665450696505</v>
      </c>
      <c r="V648" s="14" t="n">
        <f aca="false">T648-AV648</f>
        <v>-1531119</v>
      </c>
      <c r="W648" s="14" t="n">
        <f aca="false">V648-AA648*0.1</f>
        <v>-1531119</v>
      </c>
      <c r="X648" s="12" t="n">
        <v>2474671</v>
      </c>
      <c r="Y648" s="12" t="n">
        <v>149380</v>
      </c>
      <c r="Z648" s="15" t="n">
        <f aca="false">IFERROR(X648/Y648,"")</f>
        <v>16.5662806265899</v>
      </c>
      <c r="AA648" s="12" t="n">
        <v>0</v>
      </c>
      <c r="AB648" s="14" t="n">
        <f aca="false">W648-0.02*P648</f>
        <v>-1557572.5</v>
      </c>
      <c r="AC648" s="16" t="n">
        <v>47</v>
      </c>
      <c r="AD648" s="13" t="n">
        <f aca="false">IFERROR(AC648/AC647-1,"")</f>
        <v>0.119047619047619</v>
      </c>
      <c r="AE648" s="17" t="n">
        <v>0.106</v>
      </c>
      <c r="AF648" s="17" t="n">
        <v>0.106</v>
      </c>
      <c r="AG648" s="13" t="n">
        <f aca="false">1-AF648</f>
        <v>0.894</v>
      </c>
      <c r="AH648" s="17" t="n">
        <v>1.163</v>
      </c>
      <c r="AI648" s="12" t="n">
        <v>24990</v>
      </c>
      <c r="AJ648" s="14" t="n">
        <f aca="false">IFERROR(AM648*U648*MIN(1/AE648,5),"")</f>
        <v>48228.1654979492</v>
      </c>
      <c r="AK648" s="18" t="n">
        <f aca="false">IFERROR(AJ648/AI648,"")</f>
        <v>1.92989857934971</v>
      </c>
      <c r="AL648" s="15" t="n">
        <f aca="false">IFERROR(AI648/(AM648*U648/12),"")</f>
        <v>31.0897166524768</v>
      </c>
      <c r="AM648" s="12" t="n">
        <v>16640</v>
      </c>
      <c r="AN648" s="12" t="n">
        <v>1527344</v>
      </c>
      <c r="AO648" s="12" t="n">
        <v>2552504</v>
      </c>
      <c r="AP648" s="17" t="n">
        <v>0.13</v>
      </c>
      <c r="AQ648" s="16" t="n">
        <v>89</v>
      </c>
      <c r="AR648" s="16" t="n">
        <v>3</v>
      </c>
      <c r="AS648" s="13" t="n">
        <f aca="false">IFERROR(AR648/AR647-1,"")</f>
        <v>0.5</v>
      </c>
      <c r="AT648" s="11" t="s">
        <v>201</v>
      </c>
      <c r="AU648" s="14" t="n">
        <f aca="false">IFERROR(P648/AR648,"")</f>
        <v>440891.666666667</v>
      </c>
      <c r="AV648" s="12" t="n">
        <v>2297828</v>
      </c>
      <c r="AW648" s="12" t="n">
        <v>985378</v>
      </c>
      <c r="AX648" s="12" t="n">
        <v>472092</v>
      </c>
      <c r="AY648" s="16" t="n">
        <v>1032</v>
      </c>
      <c r="AZ648" s="13" t="n">
        <f aca="false">IFERROR(AY648/AY647-1,"")</f>
        <v>0.168742921857305</v>
      </c>
      <c r="BA648" s="17" t="n">
        <v>0.921</v>
      </c>
      <c r="BB648" s="11" t="s">
        <v>161</v>
      </c>
      <c r="BC648" s="11" t="s">
        <v>126</v>
      </c>
      <c r="BD648" s="11" t="s">
        <v>83</v>
      </c>
      <c r="BE648" s="12" t="n">
        <v>1306259</v>
      </c>
      <c r="BF648" s="13" t="n">
        <f aca="false">IFERROR(P648/BE648-1,"")</f>
        <v>0.0125671861399614</v>
      </c>
      <c r="BG648" s="17" t="n">
        <v>0.072</v>
      </c>
      <c r="BH648" s="17" t="n">
        <v>0.016</v>
      </c>
      <c r="BI648" s="14" t="n">
        <f aca="false">P648*(1+IFERROR(Q648,0))^4</f>
        <v>3190406.04032618</v>
      </c>
      <c r="BJ648" s="12" t="n">
        <v>-1621203</v>
      </c>
      <c r="BK648" s="11" t="s">
        <v>84</v>
      </c>
      <c r="BL648" s="11" t="s">
        <v>111</v>
      </c>
      <c r="BM648" s="14" t="n">
        <f aca="false">O648</f>
        <v>52886595</v>
      </c>
      <c r="BN648" s="11" t="s">
        <v>638</v>
      </c>
      <c r="BO648" s="13" t="n">
        <f aca="false">IFERROR(1-L648/M648,"")</f>
        <v>0.141213283536893</v>
      </c>
      <c r="BP648" s="11" t="s">
        <v>130</v>
      </c>
      <c r="BQ648" s="12" t="n">
        <v>2016957</v>
      </c>
      <c r="BR648" s="11" t="s">
        <v>88</v>
      </c>
      <c r="BS648" s="11" t="s">
        <v>89</v>
      </c>
      <c r="BT648" s="19" t="str">
        <f aca="false">IF(OR(Z648&lt;6,AH648&lt;0.9,S648&lt;0.02,AK648&lt;1),"REVIEW",IF(AND(S648&gt;0.25,AH648&gt;1.2),"ACCELERATING","STABLE"))</f>
        <v>STABLE</v>
      </c>
    </row>
    <row r="649" customFormat="false" ht="15" hidden="false" customHeight="false" outlineLevel="0" collapsed="false">
      <c r="A649" s="11" t="s">
        <v>636</v>
      </c>
      <c r="B649" s="11" t="s">
        <v>93</v>
      </c>
      <c r="C649" s="11" t="s">
        <v>74</v>
      </c>
      <c r="D649" s="11" t="s">
        <v>165</v>
      </c>
      <c r="E649" s="11" t="s">
        <v>105</v>
      </c>
      <c r="F649" s="11" t="s">
        <v>637</v>
      </c>
      <c r="G649" s="11" t="s">
        <v>78</v>
      </c>
      <c r="H649" s="11" t="s">
        <v>79</v>
      </c>
      <c r="I649" s="11" t="s">
        <v>78</v>
      </c>
      <c r="J649" s="12" t="n">
        <v>4197000</v>
      </c>
      <c r="K649" s="13" t="n">
        <f aca="false">IFERROR(J649/M649,"")</f>
        <v>0.141213283536893</v>
      </c>
      <c r="L649" s="12" t="n">
        <v>25524000</v>
      </c>
      <c r="M649" s="14" t="n">
        <f aca="false">L649+J649</f>
        <v>29721000</v>
      </c>
      <c r="N649" s="12" t="n">
        <v>4197000</v>
      </c>
      <c r="O649" s="12" t="n">
        <v>52886595</v>
      </c>
      <c r="P649" s="12" t="n">
        <v>1495907</v>
      </c>
      <c r="Q649" s="13" t="n">
        <f aca="false">IFERROR(P649/P648-1,"")</f>
        <v>0.130970949023759</v>
      </c>
      <c r="R649" s="12" t="n">
        <v>1773412</v>
      </c>
      <c r="S649" s="13" t="n">
        <f aca="false">IFERROR(R649/R648-1,"")</f>
        <v>0.0767064686343211</v>
      </c>
      <c r="T649" s="12" t="n">
        <v>870607</v>
      </c>
      <c r="U649" s="13" t="n">
        <f aca="false">IFERROR(T649/P649,"")</f>
        <v>0.581992730831529</v>
      </c>
      <c r="V649" s="14" t="n">
        <f aca="false">T649-AV649</f>
        <v>-1459828</v>
      </c>
      <c r="W649" s="14" t="n">
        <f aca="false">V649-AA649*0.1</f>
        <v>-1459828</v>
      </c>
      <c r="X649" s="12" t="n">
        <v>2071345</v>
      </c>
      <c r="Y649" s="12" t="n">
        <v>154000</v>
      </c>
      <c r="Z649" s="15" t="n">
        <f aca="false">IFERROR(X649/Y649,"")</f>
        <v>13.4502922077922</v>
      </c>
      <c r="AA649" s="12" t="n">
        <v>0</v>
      </c>
      <c r="AB649" s="14" t="n">
        <f aca="false">W649-0.02*P649</f>
        <v>-1489746.14</v>
      </c>
      <c r="AC649" s="16" t="n">
        <v>54</v>
      </c>
      <c r="AD649" s="13" t="n">
        <f aca="false">IFERROR(AC649/AC648-1,"")</f>
        <v>0.148936170212766</v>
      </c>
      <c r="AE649" s="17" t="n">
        <v>0.103</v>
      </c>
      <c r="AF649" s="17" t="n">
        <v>0.065</v>
      </c>
      <c r="AG649" s="13" t="n">
        <f aca="false">1-AF649</f>
        <v>0.935</v>
      </c>
      <c r="AH649" s="17" t="n">
        <v>1.158</v>
      </c>
      <c r="AI649" s="12" t="n">
        <v>24500</v>
      </c>
      <c r="AJ649" s="14" t="n">
        <f aca="false">IFERROR(AM649*U649*MIN(1/AE649,5),"")</f>
        <v>49352.9835745137</v>
      </c>
      <c r="AK649" s="18" t="n">
        <f aca="false">IFERROR(AJ649/AI649,"")</f>
        <v>2.01440749283729</v>
      </c>
      <c r="AL649" s="15" t="n">
        <f aca="false">IFERROR(AI649/(AM649*U649/12),"")</f>
        <v>29.7854332915978</v>
      </c>
      <c r="AM649" s="12" t="n">
        <v>16960</v>
      </c>
      <c r="AN649" s="12" t="n">
        <v>2444045</v>
      </c>
      <c r="AO649" s="12" t="n">
        <v>7041958</v>
      </c>
      <c r="AP649" s="17" t="n">
        <v>0.13</v>
      </c>
      <c r="AQ649" s="16" t="n">
        <v>89</v>
      </c>
      <c r="AR649" s="16" t="n">
        <v>3</v>
      </c>
      <c r="AS649" s="13" t="n">
        <f aca="false">IFERROR(AR649/AR648-1,"")</f>
        <v>0</v>
      </c>
      <c r="AT649" s="11" t="s">
        <v>201</v>
      </c>
      <c r="AU649" s="14" t="n">
        <f aca="false">IFERROR(P649/AR649,"")</f>
        <v>498635.666666667</v>
      </c>
      <c r="AV649" s="12" t="n">
        <v>2330435</v>
      </c>
      <c r="AW649" s="12" t="n">
        <v>895513</v>
      </c>
      <c r="AX649" s="12" t="n">
        <v>626808</v>
      </c>
      <c r="AY649" s="16" t="n">
        <v>1304</v>
      </c>
      <c r="AZ649" s="13" t="n">
        <f aca="false">IFERROR(AY649/AY648-1,"")</f>
        <v>0.263565891472868</v>
      </c>
      <c r="BA649" s="17" t="n">
        <v>0.887</v>
      </c>
      <c r="BB649" s="11" t="s">
        <v>161</v>
      </c>
      <c r="BC649" s="11" t="s">
        <v>126</v>
      </c>
      <c r="BD649" s="11" t="s">
        <v>83</v>
      </c>
      <c r="BE649" s="12" t="n">
        <v>1363913</v>
      </c>
      <c r="BF649" s="13" t="n">
        <f aca="false">IFERROR(P649/BE649-1,"")</f>
        <v>0.0967759673820838</v>
      </c>
      <c r="BG649" s="17" t="n">
        <v>-0.033</v>
      </c>
      <c r="BH649" s="17" t="n">
        <v>-0.056</v>
      </c>
      <c r="BI649" s="14" t="n">
        <f aca="false">P649*(1+IFERROR(Q649,0))^4</f>
        <v>2447430.6369935</v>
      </c>
      <c r="BJ649" s="12" t="n">
        <v>-1017178</v>
      </c>
      <c r="BK649" s="11" t="s">
        <v>84</v>
      </c>
      <c r="BL649" s="11" t="s">
        <v>111</v>
      </c>
      <c r="BM649" s="14" t="n">
        <f aca="false">O649</f>
        <v>52886595</v>
      </c>
      <c r="BN649" s="11" t="s">
        <v>638</v>
      </c>
      <c r="BO649" s="13" t="n">
        <f aca="false">IFERROR(1-L649/M649,"")</f>
        <v>0.141213283536893</v>
      </c>
      <c r="BP649" s="11" t="s">
        <v>130</v>
      </c>
      <c r="BQ649" s="12" t="n">
        <v>3054004</v>
      </c>
      <c r="BR649" s="11" t="s">
        <v>88</v>
      </c>
      <c r="BS649" s="11" t="s">
        <v>89</v>
      </c>
      <c r="BT649" s="19" t="str">
        <f aca="false">IF(OR(Z649&lt;6,AH649&lt;0.9,S649&lt;0.02,AK649&lt;1),"REVIEW",IF(AND(S649&gt;0.25,AH649&gt;1.2),"ACCELERATING","STABLE"))</f>
        <v>STABLE</v>
      </c>
    </row>
    <row r="650" customFormat="false" ht="15" hidden="false" customHeight="false" outlineLevel="0" collapsed="false">
      <c r="A650" s="3" t="s">
        <v>639</v>
      </c>
      <c r="B650" s="3" t="s">
        <v>73</v>
      </c>
      <c r="C650" s="3" t="s">
        <v>74</v>
      </c>
      <c r="D650" s="3" t="s">
        <v>210</v>
      </c>
      <c r="E650" s="3" t="s">
        <v>105</v>
      </c>
      <c r="F650" s="3" t="s">
        <v>640</v>
      </c>
      <c r="G650" s="3" t="s">
        <v>78</v>
      </c>
      <c r="H650" s="3" t="s">
        <v>79</v>
      </c>
      <c r="I650" s="3" t="s">
        <v>78</v>
      </c>
      <c r="J650" s="4" t="n">
        <v>2347000</v>
      </c>
      <c r="K650" s="5" t="n">
        <f aca="false">IFERROR(J650/M650,"")</f>
        <v>0.105711197189442</v>
      </c>
      <c r="L650" s="4" t="n">
        <v>19855000</v>
      </c>
      <c r="M650" s="6" t="n">
        <f aca="false">L650+J650</f>
        <v>22202000</v>
      </c>
      <c r="N650" s="4" t="n">
        <v>7186000</v>
      </c>
      <c r="O650" s="4" t="n">
        <v>34584935</v>
      </c>
      <c r="P650" s="4" t="n">
        <v>677743</v>
      </c>
      <c r="Q650" s="7"/>
      <c r="R650" s="4" t="n">
        <v>704044</v>
      </c>
      <c r="S650" s="7"/>
      <c r="T650" s="4" t="n">
        <v>406203</v>
      </c>
      <c r="U650" s="5" t="n">
        <f aca="false">IFERROR(T650/P650,"")</f>
        <v>0.599346655000494</v>
      </c>
      <c r="V650" s="6" t="n">
        <f aca="false">T650-AV650</f>
        <v>-2473322</v>
      </c>
      <c r="W650" s="6" t="n">
        <f aca="false">V650-AA650*0.1</f>
        <v>-2473322</v>
      </c>
      <c r="X650" s="4" t="n">
        <v>5622136</v>
      </c>
      <c r="Y650" s="4" t="n">
        <v>196560</v>
      </c>
      <c r="Z650" s="8" t="n">
        <f aca="false">IFERROR(X650/Y650,"")</f>
        <v>28.6026455026455</v>
      </c>
      <c r="AA650" s="4" t="n">
        <v>0</v>
      </c>
      <c r="AB650" s="6" t="n">
        <f aca="false">W650-0.02*P650</f>
        <v>-2486876.86</v>
      </c>
      <c r="AC650" s="9" t="n">
        <v>48</v>
      </c>
      <c r="AD650" s="7"/>
      <c r="AE650" s="7" t="n">
        <v>0.124</v>
      </c>
      <c r="AF650" s="7" t="n">
        <v>0.108</v>
      </c>
      <c r="AG650" s="5" t="n">
        <f aca="false">1-AF650</f>
        <v>0.892</v>
      </c>
      <c r="AH650" s="7" t="n">
        <v>1.102</v>
      </c>
      <c r="AI650" s="4" t="n">
        <v>62010</v>
      </c>
      <c r="AJ650" s="6" t="n">
        <f aca="false">IFERROR(AM650*U650*MIN(1/AE650,5),"")</f>
        <v>134852.997375111</v>
      </c>
      <c r="AK650" s="10" t="n">
        <f aca="false">IFERROR(AJ650/AI650,"")</f>
        <v>2.17469758708452</v>
      </c>
      <c r="AL650" s="8" t="n">
        <f aca="false">IFERROR(AI650/(AM650*U650/12),"")</f>
        <v>27.5900430277472</v>
      </c>
      <c r="AM650" s="4" t="n">
        <v>45000</v>
      </c>
      <c r="AN650" s="4" t="n">
        <v>911729</v>
      </c>
      <c r="AO650" s="4" t="n">
        <v>2034925</v>
      </c>
      <c r="AP650" s="7" t="n">
        <v>0.176</v>
      </c>
      <c r="AQ650" s="9" t="n">
        <v>49</v>
      </c>
      <c r="AR650" s="9" t="n">
        <v>1</v>
      </c>
      <c r="AS650" s="7"/>
      <c r="AT650" s="3" t="s">
        <v>218</v>
      </c>
      <c r="AU650" s="6" t="n">
        <f aca="false">IFERROR(P650/AR650,"")</f>
        <v>677743</v>
      </c>
      <c r="AV650" s="4" t="n">
        <v>2879525</v>
      </c>
      <c r="AW650" s="4" t="n">
        <v>1417276</v>
      </c>
      <c r="AX650" s="4" t="n">
        <v>611572</v>
      </c>
      <c r="AY650" s="9" t="n">
        <v>19927</v>
      </c>
      <c r="AZ650" s="7"/>
      <c r="BA650" s="7" t="n">
        <v>0.901</v>
      </c>
      <c r="BB650" s="3" t="s">
        <v>99</v>
      </c>
      <c r="BC650" s="3" t="s">
        <v>108</v>
      </c>
      <c r="BD650" s="3" t="s">
        <v>157</v>
      </c>
      <c r="BE650" s="4" t="n">
        <v>835424</v>
      </c>
      <c r="BF650" s="5" t="n">
        <f aca="false">IFERROR(P650/BE650-1,"")</f>
        <v>-0.188743679855977</v>
      </c>
      <c r="BG650" s="7" t="n">
        <v>0.072</v>
      </c>
      <c r="BH650" s="7" t="n">
        <v>0.06</v>
      </c>
      <c r="BI650" s="6" t="n">
        <f aca="false">P650</f>
        <v>677743</v>
      </c>
      <c r="BJ650" s="4" t="n">
        <v>-1265081</v>
      </c>
      <c r="BK650" s="3" t="s">
        <v>192</v>
      </c>
      <c r="BL650" s="3" t="s">
        <v>162</v>
      </c>
      <c r="BM650" s="6" t="n">
        <f aca="false">O650</f>
        <v>34584935</v>
      </c>
      <c r="BN650" s="3" t="s">
        <v>641</v>
      </c>
      <c r="BO650" s="5" t="n">
        <f aca="false">IFERROR(1-L650/M650,"")</f>
        <v>0.105711197189442</v>
      </c>
      <c r="BP650" s="3" t="s">
        <v>142</v>
      </c>
      <c r="BQ650" s="4" t="n">
        <v>3205531</v>
      </c>
      <c r="BR650" s="3" t="s">
        <v>88</v>
      </c>
      <c r="BS650" s="3" t="s">
        <v>89</v>
      </c>
      <c r="BT650" s="3" t="s">
        <v>90</v>
      </c>
    </row>
    <row r="651" customFormat="false" ht="15" hidden="false" customHeight="false" outlineLevel="0" collapsed="false">
      <c r="A651" s="11" t="s">
        <v>639</v>
      </c>
      <c r="B651" s="11" t="s">
        <v>91</v>
      </c>
      <c r="C651" s="11" t="s">
        <v>74</v>
      </c>
      <c r="D651" s="11" t="s">
        <v>210</v>
      </c>
      <c r="E651" s="11" t="s">
        <v>105</v>
      </c>
      <c r="F651" s="11" t="s">
        <v>640</v>
      </c>
      <c r="G651" s="11" t="s">
        <v>78</v>
      </c>
      <c r="H651" s="11" t="s">
        <v>79</v>
      </c>
      <c r="I651" s="11" t="s">
        <v>78</v>
      </c>
      <c r="J651" s="12" t="n">
        <v>2347000</v>
      </c>
      <c r="K651" s="13" t="n">
        <f aca="false">IFERROR(J651/M651,"")</f>
        <v>0.105711197189442</v>
      </c>
      <c r="L651" s="12" t="n">
        <v>19855000</v>
      </c>
      <c r="M651" s="14" t="n">
        <f aca="false">L651+J651</f>
        <v>22202000</v>
      </c>
      <c r="N651" s="12" t="n">
        <v>7186000</v>
      </c>
      <c r="O651" s="12" t="n">
        <v>34584935</v>
      </c>
      <c r="P651" s="12" t="n">
        <v>810157</v>
      </c>
      <c r="Q651" s="13" t="n">
        <f aca="false">IFERROR(P651/P650-1,"")</f>
        <v>0.195374943009371</v>
      </c>
      <c r="R651" s="12" t="n">
        <v>853373</v>
      </c>
      <c r="S651" s="13" t="n">
        <f aca="false">IFERROR(R651/R650-1,"")</f>
        <v>0.212101800455653</v>
      </c>
      <c r="T651" s="12" t="n">
        <v>487532</v>
      </c>
      <c r="U651" s="13" t="n">
        <f aca="false">IFERROR(T651/P651,"")</f>
        <v>0.601774717739895</v>
      </c>
      <c r="V651" s="14" t="n">
        <f aca="false">T651-AV651</f>
        <v>-2620840</v>
      </c>
      <c r="W651" s="14" t="n">
        <f aca="false">V651-AA651*0.1</f>
        <v>-2620840</v>
      </c>
      <c r="X651" s="12" t="n">
        <v>5126416</v>
      </c>
      <c r="Y651" s="12" t="n">
        <v>203040</v>
      </c>
      <c r="Z651" s="15" t="n">
        <f aca="false">IFERROR(X651/Y651,"")</f>
        <v>25.2483057525611</v>
      </c>
      <c r="AA651" s="12" t="n">
        <v>0</v>
      </c>
      <c r="AB651" s="14" t="n">
        <f aca="false">W651-0.02*P651</f>
        <v>-2637043.14</v>
      </c>
      <c r="AC651" s="16" t="n">
        <v>52</v>
      </c>
      <c r="AD651" s="13" t="n">
        <f aca="false">IFERROR(AC651/AC650-1,"")</f>
        <v>0.0833333333333333</v>
      </c>
      <c r="AE651" s="17" t="n">
        <v>0.121</v>
      </c>
      <c r="AF651" s="17" t="n">
        <v>0.085</v>
      </c>
      <c r="AG651" s="13" t="n">
        <f aca="false">1-AF651</f>
        <v>0.915</v>
      </c>
      <c r="AH651" s="17" t="n">
        <v>1.097</v>
      </c>
      <c r="AI651" s="12" t="n">
        <v>60840</v>
      </c>
      <c r="AJ651" s="14" t="n">
        <f aca="false">IFERROR(AM651*U651*MIN(1/AE651,5),"")</f>
        <v>138107.297721306</v>
      </c>
      <c r="AK651" s="18" t="n">
        <f aca="false">IFERROR(AJ651/AI651,"")</f>
        <v>2.27000818082357</v>
      </c>
      <c r="AL651" s="15" t="n">
        <f aca="false">IFERROR(AI651/(AM651*U651/12),"")</f>
        <v>26.4316228050913</v>
      </c>
      <c r="AM651" s="12" t="n">
        <v>45900</v>
      </c>
      <c r="AN651" s="12" t="n">
        <v>1215087</v>
      </c>
      <c r="AO651" s="12" t="n">
        <v>3403465</v>
      </c>
      <c r="AP651" s="17" t="n">
        <v>0.176</v>
      </c>
      <c r="AQ651" s="16" t="n">
        <v>49</v>
      </c>
      <c r="AR651" s="16" t="n">
        <v>2</v>
      </c>
      <c r="AS651" s="13" t="n">
        <f aca="false">IFERROR(AR651/AR650-1,"")</f>
        <v>1</v>
      </c>
      <c r="AT651" s="11" t="s">
        <v>218</v>
      </c>
      <c r="AU651" s="14" t="n">
        <f aca="false">IFERROR(P651/AR651,"")</f>
        <v>405078.5</v>
      </c>
      <c r="AV651" s="12" t="n">
        <v>3108372</v>
      </c>
      <c r="AW651" s="12" t="n">
        <v>1399124</v>
      </c>
      <c r="AX651" s="12" t="n">
        <v>737473</v>
      </c>
      <c r="AY651" s="16" t="n">
        <v>21212</v>
      </c>
      <c r="AZ651" s="13" t="n">
        <f aca="false">IFERROR(AY651/AY650-1,"")</f>
        <v>0.0644853716063631</v>
      </c>
      <c r="BA651" s="17" t="n">
        <v>0.898</v>
      </c>
      <c r="BB651" s="11" t="s">
        <v>99</v>
      </c>
      <c r="BC651" s="11" t="s">
        <v>108</v>
      </c>
      <c r="BD651" s="11" t="s">
        <v>157</v>
      </c>
      <c r="BE651" s="12" t="n">
        <v>797307</v>
      </c>
      <c r="BF651" s="13" t="n">
        <f aca="false">IFERROR(P651/BE651-1,"")</f>
        <v>0.0161167530198532</v>
      </c>
      <c r="BG651" s="17" t="n">
        <v>0.087</v>
      </c>
      <c r="BH651" s="17" t="n">
        <v>0.04</v>
      </c>
      <c r="BI651" s="14" t="n">
        <f aca="false">P651*(1+IFERROR(Q651,0))^4</f>
        <v>1654191.48557929</v>
      </c>
      <c r="BJ651" s="12" t="n">
        <v>-1898891</v>
      </c>
      <c r="BK651" s="11" t="s">
        <v>192</v>
      </c>
      <c r="BL651" s="11" t="s">
        <v>162</v>
      </c>
      <c r="BM651" s="14" t="n">
        <f aca="false">O651</f>
        <v>34584935</v>
      </c>
      <c r="BN651" s="11" t="s">
        <v>641</v>
      </c>
      <c r="BO651" s="13" t="n">
        <f aca="false">IFERROR(1-L651/M651,"")</f>
        <v>0.105711197189442</v>
      </c>
      <c r="BP651" s="11" t="s">
        <v>142</v>
      </c>
      <c r="BQ651" s="12" t="n">
        <v>3028082</v>
      </c>
      <c r="BR651" s="11" t="s">
        <v>88</v>
      </c>
      <c r="BS651" s="11" t="s">
        <v>89</v>
      </c>
      <c r="BT651" s="19" t="str">
        <f aca="false">IF(OR(Z651&lt;6,AH651&lt;0.9,S651&lt;0.02,AK651&lt;1),"REVIEW",IF(AND(S651&gt;0.25,AH651&gt;1.2),"ACCELERATING","STABLE"))</f>
        <v>STABLE</v>
      </c>
    </row>
    <row r="652" customFormat="false" ht="15" hidden="false" customHeight="false" outlineLevel="0" collapsed="false">
      <c r="A652" s="11" t="s">
        <v>639</v>
      </c>
      <c r="B652" s="11" t="s">
        <v>92</v>
      </c>
      <c r="C652" s="11" t="s">
        <v>74</v>
      </c>
      <c r="D652" s="11" t="s">
        <v>210</v>
      </c>
      <c r="E652" s="11" t="s">
        <v>105</v>
      </c>
      <c r="F652" s="11" t="s">
        <v>640</v>
      </c>
      <c r="G652" s="11" t="s">
        <v>78</v>
      </c>
      <c r="H652" s="11" t="s">
        <v>79</v>
      </c>
      <c r="I652" s="11" t="s">
        <v>78</v>
      </c>
      <c r="J652" s="12" t="n">
        <v>2347000</v>
      </c>
      <c r="K652" s="13" t="n">
        <f aca="false">IFERROR(J652/M652,"")</f>
        <v>0.105711197189442</v>
      </c>
      <c r="L652" s="12" t="n">
        <v>19855000</v>
      </c>
      <c r="M652" s="14" t="n">
        <f aca="false">L652+J652</f>
        <v>22202000</v>
      </c>
      <c r="N652" s="12" t="n">
        <v>7186000</v>
      </c>
      <c r="O652" s="12" t="n">
        <v>34584935</v>
      </c>
      <c r="P652" s="12" t="n">
        <v>937723</v>
      </c>
      <c r="Q652" s="13" t="n">
        <f aca="false">IFERROR(P652/P651-1,"")</f>
        <v>0.157458369180295</v>
      </c>
      <c r="R652" s="12" t="n">
        <v>974575</v>
      </c>
      <c r="S652" s="13" t="n">
        <f aca="false">IFERROR(R652/R651-1,"")</f>
        <v>0.142026991714057</v>
      </c>
      <c r="T652" s="12" t="n">
        <v>566572</v>
      </c>
      <c r="U652" s="13" t="n">
        <f aca="false">IFERROR(T652/P652,"")</f>
        <v>0.604199747686684</v>
      </c>
      <c r="V652" s="14" t="n">
        <f aca="false">T652-AV652</f>
        <v>-1947014</v>
      </c>
      <c r="W652" s="14" t="n">
        <f aca="false">V652-AA652*0.1</f>
        <v>-1947014</v>
      </c>
      <c r="X652" s="12" t="n">
        <v>4595704</v>
      </c>
      <c r="Y652" s="12" t="n">
        <v>209520</v>
      </c>
      <c r="Z652" s="15" t="n">
        <f aca="false">IFERROR(X652/Y652,"")</f>
        <v>21.9344406261932</v>
      </c>
      <c r="AA652" s="12" t="n">
        <v>0</v>
      </c>
      <c r="AB652" s="14" t="n">
        <f aca="false">W652-0.02*P652</f>
        <v>-1965768.46</v>
      </c>
      <c r="AC652" s="16" t="n">
        <v>62</v>
      </c>
      <c r="AD652" s="13" t="n">
        <f aca="false">IFERROR(AC652/AC651-1,"")</f>
        <v>0.192307692307692</v>
      </c>
      <c r="AE652" s="17" t="n">
        <v>0.117</v>
      </c>
      <c r="AF652" s="17" t="n">
        <v>0.107</v>
      </c>
      <c r="AG652" s="13" t="n">
        <f aca="false">1-AF652</f>
        <v>0.893</v>
      </c>
      <c r="AH652" s="17" t="n">
        <v>1.092</v>
      </c>
      <c r="AI652" s="12" t="n">
        <v>59670</v>
      </c>
      <c r="AJ652" s="14" t="n">
        <f aca="false">IFERROR(AM652*U652*MIN(1/AE652,5),"")</f>
        <v>141382.740958684</v>
      </c>
      <c r="AK652" s="18" t="n">
        <f aca="false">IFERROR(AJ652/AI652,"")</f>
        <v>2.3694107752419</v>
      </c>
      <c r="AL652" s="15" t="n">
        <f aca="false">IFERROR(AI652/(AM652*U652/12),"")</f>
        <v>25.3227513890556</v>
      </c>
      <c r="AM652" s="12" t="n">
        <v>46800</v>
      </c>
      <c r="AN652" s="12" t="n">
        <v>1376884</v>
      </c>
      <c r="AO652" s="12" t="n">
        <v>2339171</v>
      </c>
      <c r="AP652" s="17" t="n">
        <v>0.176</v>
      </c>
      <c r="AQ652" s="16" t="n">
        <v>49</v>
      </c>
      <c r="AR652" s="16" t="n">
        <v>2</v>
      </c>
      <c r="AS652" s="13" t="n">
        <f aca="false">IFERROR(AR652/AR651-1,"")</f>
        <v>0</v>
      </c>
      <c r="AT652" s="11" t="s">
        <v>218</v>
      </c>
      <c r="AU652" s="14" t="n">
        <f aca="false">IFERROR(P652/AR652,"")</f>
        <v>468861.5</v>
      </c>
      <c r="AV652" s="12" t="n">
        <v>2513586</v>
      </c>
      <c r="AW652" s="12" t="n">
        <v>987505</v>
      </c>
      <c r="AX652" s="12" t="n">
        <v>834572</v>
      </c>
      <c r="AY652" s="16" t="n">
        <v>23785</v>
      </c>
      <c r="AZ652" s="13" t="n">
        <f aca="false">IFERROR(AY652/AY651-1,"")</f>
        <v>0.121299264567226</v>
      </c>
      <c r="BA652" s="17" t="n">
        <v>0.915</v>
      </c>
      <c r="BB652" s="11" t="s">
        <v>99</v>
      </c>
      <c r="BC652" s="11" t="s">
        <v>108</v>
      </c>
      <c r="BD652" s="11" t="s">
        <v>157</v>
      </c>
      <c r="BE652" s="12" t="n">
        <v>925402</v>
      </c>
      <c r="BF652" s="13" t="n">
        <f aca="false">IFERROR(P652/BE652-1,"")</f>
        <v>0.0133142137146882</v>
      </c>
      <c r="BG652" s="17" t="n">
        <v>-0.029</v>
      </c>
      <c r="BH652" s="17" t="n">
        <v>0.079</v>
      </c>
      <c r="BI652" s="14" t="n">
        <f aca="false">P652*(1+IFERROR(Q652,0))^4</f>
        <v>1683046.38875886</v>
      </c>
      <c r="BJ652" s="12" t="n">
        <v>-1943728</v>
      </c>
      <c r="BK652" s="11" t="s">
        <v>192</v>
      </c>
      <c r="BL652" s="11" t="s">
        <v>162</v>
      </c>
      <c r="BM652" s="14" t="n">
        <f aca="false">O652</f>
        <v>34584935</v>
      </c>
      <c r="BN652" s="11" t="s">
        <v>641</v>
      </c>
      <c r="BO652" s="13" t="n">
        <f aca="false">IFERROR(1-L652/M652,"")</f>
        <v>0.105711197189442</v>
      </c>
      <c r="BP652" s="11" t="s">
        <v>142</v>
      </c>
      <c r="BQ652" s="12" t="n">
        <v>2637790</v>
      </c>
      <c r="BR652" s="11" t="s">
        <v>88</v>
      </c>
      <c r="BS652" s="11" t="s">
        <v>89</v>
      </c>
      <c r="BT652" s="19" t="str">
        <f aca="false">IF(OR(Z652&lt;6,AH652&lt;0.9,S652&lt;0.02,AK652&lt;1),"REVIEW",IF(AND(S652&gt;0.25,AH652&gt;1.2),"ACCELERATING","STABLE"))</f>
        <v>STABLE</v>
      </c>
    </row>
    <row r="653" customFormat="false" ht="15" hidden="false" customHeight="false" outlineLevel="0" collapsed="false">
      <c r="A653" s="11" t="s">
        <v>639</v>
      </c>
      <c r="B653" s="11" t="s">
        <v>93</v>
      </c>
      <c r="C653" s="11" t="s">
        <v>74</v>
      </c>
      <c r="D653" s="11" t="s">
        <v>210</v>
      </c>
      <c r="E653" s="11" t="s">
        <v>105</v>
      </c>
      <c r="F653" s="11" t="s">
        <v>640</v>
      </c>
      <c r="G653" s="11" t="s">
        <v>78</v>
      </c>
      <c r="H653" s="11" t="s">
        <v>79</v>
      </c>
      <c r="I653" s="11" t="s">
        <v>78</v>
      </c>
      <c r="J653" s="12" t="n">
        <v>2347000</v>
      </c>
      <c r="K653" s="13" t="n">
        <f aca="false">IFERROR(J653/M653,"")</f>
        <v>0.105711197189442</v>
      </c>
      <c r="L653" s="12" t="n">
        <v>19855000</v>
      </c>
      <c r="M653" s="14" t="n">
        <f aca="false">L653+J653</f>
        <v>22202000</v>
      </c>
      <c r="N653" s="12" t="n">
        <v>7186000</v>
      </c>
      <c r="O653" s="12" t="n">
        <v>34584935</v>
      </c>
      <c r="P653" s="12" t="n">
        <v>1005276</v>
      </c>
      <c r="Q653" s="13" t="n">
        <f aca="false">IFERROR(P653/P652-1,"")</f>
        <v>0.0720393975619666</v>
      </c>
      <c r="R653" s="12" t="n">
        <v>1115841</v>
      </c>
      <c r="S653" s="13" t="n">
        <f aca="false">IFERROR(R653/R652-1,"")</f>
        <v>0.144951389067029</v>
      </c>
      <c r="T653" s="12" t="n">
        <v>609827</v>
      </c>
      <c r="U653" s="13" t="n">
        <f aca="false">IFERROR(T653/P653,"")</f>
        <v>0.60662643890832</v>
      </c>
      <c r="V653" s="14" t="n">
        <f aca="false">T653-AV653</f>
        <v>-2369415</v>
      </c>
      <c r="W653" s="14" t="n">
        <f aca="false">V653-AA653*0.1</f>
        <v>-2369415</v>
      </c>
      <c r="X653" s="12" t="n">
        <v>4030000</v>
      </c>
      <c r="Y653" s="12" t="n">
        <v>216000</v>
      </c>
      <c r="Z653" s="15" t="n">
        <f aca="false">IFERROR(X653/Y653,"")</f>
        <v>18.6574074074074</v>
      </c>
      <c r="AA653" s="12" t="n">
        <v>0</v>
      </c>
      <c r="AB653" s="14" t="n">
        <f aca="false">W653-0.02*P653</f>
        <v>-2389520.52</v>
      </c>
      <c r="AC653" s="16" t="n">
        <v>71</v>
      </c>
      <c r="AD653" s="13" t="n">
        <f aca="false">IFERROR(AC653/AC652-1,"")</f>
        <v>0.145161290322581</v>
      </c>
      <c r="AE653" s="17" t="n">
        <v>0.114</v>
      </c>
      <c r="AF653" s="17" t="n">
        <v>0.083</v>
      </c>
      <c r="AG653" s="13" t="n">
        <f aca="false">1-AF653</f>
        <v>0.917</v>
      </c>
      <c r="AH653" s="17" t="n">
        <v>1.087</v>
      </c>
      <c r="AI653" s="12" t="n">
        <v>58500</v>
      </c>
      <c r="AJ653" s="14" t="n">
        <f aca="false">IFERROR(AM653*U653*MIN(1/AE653,5),"")</f>
        <v>144680.405679634</v>
      </c>
      <c r="AK653" s="18" t="n">
        <f aca="false">IFERROR(AJ653/AI653,"")</f>
        <v>2.473169327857</v>
      </c>
      <c r="AL653" s="15" t="n">
        <f aca="false">IFERROR(AI653/(AM653*U653/12),"")</f>
        <v>24.2603688005423</v>
      </c>
      <c r="AM653" s="12" t="n">
        <v>47700</v>
      </c>
      <c r="AN653" s="12" t="n">
        <v>1516487</v>
      </c>
      <c r="AO653" s="12" t="n">
        <v>2824709</v>
      </c>
      <c r="AP653" s="17" t="n">
        <v>0.176</v>
      </c>
      <c r="AQ653" s="16" t="n">
        <v>49</v>
      </c>
      <c r="AR653" s="16" t="n">
        <v>2</v>
      </c>
      <c r="AS653" s="13" t="n">
        <f aca="false">IFERROR(AR653/AR652-1,"")</f>
        <v>0</v>
      </c>
      <c r="AT653" s="11" t="s">
        <v>218</v>
      </c>
      <c r="AU653" s="14" t="n">
        <f aca="false">IFERROR(P653/AR653,"")</f>
        <v>502638</v>
      </c>
      <c r="AV653" s="12" t="n">
        <v>2979242</v>
      </c>
      <c r="AW653" s="12" t="n">
        <v>1007717</v>
      </c>
      <c r="AX653" s="12" t="n">
        <v>825724</v>
      </c>
      <c r="AY653" s="16" t="n">
        <v>28981</v>
      </c>
      <c r="AZ653" s="13" t="n">
        <f aca="false">IFERROR(AY653/AY652-1,"")</f>
        <v>0.218457010721043</v>
      </c>
      <c r="BA653" s="17" t="n">
        <v>0.916</v>
      </c>
      <c r="BB653" s="11" t="s">
        <v>99</v>
      </c>
      <c r="BC653" s="11" t="s">
        <v>108</v>
      </c>
      <c r="BD653" s="11" t="s">
        <v>157</v>
      </c>
      <c r="BE653" s="12" t="n">
        <v>1143244</v>
      </c>
      <c r="BF653" s="13" t="n">
        <f aca="false">IFERROR(P653/BE653-1,"")</f>
        <v>-0.120681149430918</v>
      </c>
      <c r="BG653" s="17" t="n">
        <v>-0.004</v>
      </c>
      <c r="BH653" s="17" t="n">
        <v>0.021</v>
      </c>
      <c r="BI653" s="14" t="n">
        <f aca="false">P653*(1+IFERROR(Q653,0))^4</f>
        <v>1327786.65181603</v>
      </c>
      <c r="BJ653" s="12" t="n">
        <v>-2550161</v>
      </c>
      <c r="BK653" s="11" t="s">
        <v>192</v>
      </c>
      <c r="BL653" s="11" t="s">
        <v>162</v>
      </c>
      <c r="BM653" s="14" t="n">
        <f aca="false">O653</f>
        <v>34584935</v>
      </c>
      <c r="BN653" s="11" t="s">
        <v>641</v>
      </c>
      <c r="BO653" s="13" t="n">
        <f aca="false">IFERROR(1-L653/M653,"")</f>
        <v>0.105711197189442</v>
      </c>
      <c r="BP653" s="11" t="s">
        <v>142</v>
      </c>
      <c r="BQ653" s="12" t="n">
        <v>4157927</v>
      </c>
      <c r="BR653" s="11" t="s">
        <v>88</v>
      </c>
      <c r="BS653" s="11" t="s">
        <v>89</v>
      </c>
      <c r="BT653" s="19" t="str">
        <f aca="false">IF(OR(Z653&lt;6,AH653&lt;0.9,S653&lt;0.02,AK653&lt;1),"REVIEW",IF(AND(S653&gt;0.25,AH653&gt;1.2),"ACCELERATING","STABLE"))</f>
        <v>STABLE</v>
      </c>
    </row>
    <row r="654" customFormat="false" ht="15" hidden="false" customHeight="false" outlineLevel="0" collapsed="false">
      <c r="A654" s="3" t="s">
        <v>642</v>
      </c>
      <c r="B654" s="3" t="s">
        <v>73</v>
      </c>
      <c r="C654" s="3" t="s">
        <v>74</v>
      </c>
      <c r="D654" s="3" t="s">
        <v>132</v>
      </c>
      <c r="E654" s="3" t="s">
        <v>187</v>
      </c>
      <c r="F654" s="3" t="s">
        <v>643</v>
      </c>
      <c r="G654" s="3" t="s">
        <v>78</v>
      </c>
      <c r="H654" s="3" t="s">
        <v>644</v>
      </c>
      <c r="I654" s="3" t="s">
        <v>78</v>
      </c>
      <c r="J654" s="4" t="n">
        <v>3140000</v>
      </c>
      <c r="K654" s="5" t="n">
        <f aca="false">IFERROR(J654/M654,"")</f>
        <v>0.14025370734322</v>
      </c>
      <c r="L654" s="4" t="n">
        <v>19248000</v>
      </c>
      <c r="M654" s="6" t="n">
        <f aca="false">L654+J654</f>
        <v>22388000</v>
      </c>
      <c r="N654" s="4" t="n">
        <v>6610000</v>
      </c>
      <c r="O654" s="4" t="n">
        <v>21514814</v>
      </c>
      <c r="P654" s="4" t="n">
        <v>192746</v>
      </c>
      <c r="Q654" s="7"/>
      <c r="R654" s="4" t="n">
        <v>211781</v>
      </c>
      <c r="S654" s="7"/>
      <c r="T654" s="4" t="n">
        <v>127878</v>
      </c>
      <c r="U654" s="5" t="n">
        <f aca="false">IFERROR(T654/P654,"")</f>
        <v>0.663453456881077</v>
      </c>
      <c r="V654" s="6" t="n">
        <f aca="false">T654-AV654</f>
        <v>-2391651</v>
      </c>
      <c r="W654" s="6" t="n">
        <f aca="false">V654-AA654*0.1</f>
        <v>-2391651</v>
      </c>
      <c r="X654" s="4" t="n">
        <v>6637782</v>
      </c>
      <c r="Y654" s="4" t="n">
        <v>220220</v>
      </c>
      <c r="Z654" s="8" t="n">
        <f aca="false">IFERROR(X654/Y654,"")</f>
        <v>30.1415947688675</v>
      </c>
      <c r="AA654" s="4" t="n">
        <v>0</v>
      </c>
      <c r="AB654" s="6" t="n">
        <f aca="false">W654-0.02*P654</f>
        <v>-2395505.92</v>
      </c>
      <c r="AC654" s="9" t="n">
        <v>40</v>
      </c>
      <c r="AD654" s="7"/>
      <c r="AE654" s="7" t="n">
        <v>0.086</v>
      </c>
      <c r="AF654" s="7" t="n">
        <v>0.056</v>
      </c>
      <c r="AG654" s="5" t="n">
        <f aca="false">1-AF654</f>
        <v>0.944</v>
      </c>
      <c r="AH654" s="7" t="n">
        <v>1.102</v>
      </c>
      <c r="AI654" s="4" t="n">
        <v>58088</v>
      </c>
      <c r="AJ654" s="6" t="n">
        <f aca="false">IFERROR(AM654*U654*MIN(1/AE654,5),"")</f>
        <v>132690.691376215</v>
      </c>
      <c r="AK654" s="10" t="n">
        <f aca="false">IFERROR(AJ654/AI654,"")</f>
        <v>2.28430469935641</v>
      </c>
      <c r="AL654" s="8" t="n">
        <f aca="false">IFERROR(AI654/(AM654*U654/12),"")</f>
        <v>26.2661982076667</v>
      </c>
      <c r="AM654" s="4" t="n">
        <v>40000</v>
      </c>
      <c r="AN654" s="4" t="n">
        <v>304838</v>
      </c>
      <c r="AO654" s="4" t="n">
        <v>336497</v>
      </c>
      <c r="AP654" s="7" t="n">
        <v>0.393</v>
      </c>
      <c r="AQ654" s="9" t="n">
        <v>42</v>
      </c>
      <c r="AR654" s="9" t="n">
        <v>2</v>
      </c>
      <c r="AS654" s="7"/>
      <c r="AT654" s="3" t="s">
        <v>134</v>
      </c>
      <c r="AU654" s="6" t="n">
        <f aca="false">IFERROR(P654/AR654,"")</f>
        <v>96373</v>
      </c>
      <c r="AV654" s="4" t="n">
        <v>2519529</v>
      </c>
      <c r="AW654" s="4" t="n">
        <v>888158</v>
      </c>
      <c r="AX654" s="4" t="n">
        <v>479008</v>
      </c>
      <c r="AY654" s="9" t="n">
        <v>13428</v>
      </c>
      <c r="AZ654" s="7"/>
      <c r="BA654" s="7" t="n">
        <v>0.912</v>
      </c>
      <c r="BB654" s="3" t="s">
        <v>107</v>
      </c>
      <c r="BC654" s="3" t="s">
        <v>100</v>
      </c>
      <c r="BD654" s="3" t="s">
        <v>109</v>
      </c>
      <c r="BE654" s="4" t="n">
        <v>221614</v>
      </c>
      <c r="BF654" s="5" t="n">
        <f aca="false">IFERROR(P654/BE654-1,"")</f>
        <v>-0.130262528540616</v>
      </c>
      <c r="BG654" s="7" t="n">
        <v>0.025</v>
      </c>
      <c r="BH654" s="7" t="n">
        <v>0.004</v>
      </c>
      <c r="BI654" s="6" t="n">
        <f aca="false">P654</f>
        <v>192746</v>
      </c>
      <c r="BJ654" s="4" t="n">
        <v>-1640871</v>
      </c>
      <c r="BK654" s="3" t="s">
        <v>102</v>
      </c>
      <c r="BL654" s="3" t="s">
        <v>85</v>
      </c>
      <c r="BM654" s="6" t="n">
        <f aca="false">O654</f>
        <v>21514814</v>
      </c>
      <c r="BN654" s="3" t="s">
        <v>645</v>
      </c>
      <c r="BO654" s="5" t="n">
        <f aca="false">IFERROR(1-L654/M654,"")</f>
        <v>0.14025370734322</v>
      </c>
      <c r="BP654" s="3" t="s">
        <v>113</v>
      </c>
      <c r="BQ654" s="4" t="n">
        <v>3086620</v>
      </c>
      <c r="BR654" s="3" t="s">
        <v>88</v>
      </c>
      <c r="BS654" s="3" t="s">
        <v>89</v>
      </c>
      <c r="BT654" s="3" t="s">
        <v>90</v>
      </c>
    </row>
    <row r="655" customFormat="false" ht="15" hidden="false" customHeight="false" outlineLevel="0" collapsed="false">
      <c r="A655" s="11" t="s">
        <v>642</v>
      </c>
      <c r="B655" s="11" t="s">
        <v>91</v>
      </c>
      <c r="C655" s="11" t="s">
        <v>74</v>
      </c>
      <c r="D655" s="11" t="s">
        <v>132</v>
      </c>
      <c r="E655" s="11" t="s">
        <v>187</v>
      </c>
      <c r="F655" s="11" t="s">
        <v>643</v>
      </c>
      <c r="G655" s="11" t="s">
        <v>78</v>
      </c>
      <c r="H655" s="11" t="s">
        <v>644</v>
      </c>
      <c r="I655" s="11" t="s">
        <v>78</v>
      </c>
      <c r="J655" s="12" t="n">
        <v>3140000</v>
      </c>
      <c r="K655" s="13" t="n">
        <f aca="false">IFERROR(J655/M655,"")</f>
        <v>0.14025370734322</v>
      </c>
      <c r="L655" s="12" t="n">
        <v>19248000</v>
      </c>
      <c r="M655" s="14" t="n">
        <f aca="false">L655+J655</f>
        <v>22388000</v>
      </c>
      <c r="N655" s="12" t="n">
        <v>6610000</v>
      </c>
      <c r="O655" s="12" t="n">
        <v>21514814</v>
      </c>
      <c r="P655" s="12" t="n">
        <v>216970</v>
      </c>
      <c r="Q655" s="13" t="n">
        <f aca="false">IFERROR(P655/P654-1,"")</f>
        <v>0.125678353895801</v>
      </c>
      <c r="R655" s="12" t="n">
        <v>229884</v>
      </c>
      <c r="S655" s="13" t="n">
        <f aca="false">IFERROR(R655/R654-1,"")</f>
        <v>0.085479811692267</v>
      </c>
      <c r="T655" s="12" t="n">
        <v>144533</v>
      </c>
      <c r="U655" s="13" t="n">
        <f aca="false">IFERROR(T655/P655,"")</f>
        <v>0.666142784716781</v>
      </c>
      <c r="V655" s="14" t="n">
        <f aca="false">T655-AV655</f>
        <v>-2502086</v>
      </c>
      <c r="W655" s="14" t="n">
        <f aca="false">V655-AA655*0.1</f>
        <v>-2502086</v>
      </c>
      <c r="X655" s="12" t="n">
        <v>6082392</v>
      </c>
      <c r="Y655" s="12" t="n">
        <v>227480</v>
      </c>
      <c r="Z655" s="15" t="n">
        <f aca="false">IFERROR(X655/Y655,"")</f>
        <v>26.7381396166696</v>
      </c>
      <c r="AA655" s="12" t="n">
        <v>0</v>
      </c>
      <c r="AB655" s="14" t="n">
        <f aca="false">W655-0.02*P655</f>
        <v>-2506425.4</v>
      </c>
      <c r="AC655" s="16" t="n">
        <v>41</v>
      </c>
      <c r="AD655" s="13" t="n">
        <f aca="false">IFERROR(AC655/AC654-1,"")</f>
        <v>0.0249999999999999</v>
      </c>
      <c r="AE655" s="17" t="n">
        <v>0.084</v>
      </c>
      <c r="AF655" s="17" t="n">
        <v>0.058</v>
      </c>
      <c r="AG655" s="13" t="n">
        <f aca="false">1-AF655</f>
        <v>0.942</v>
      </c>
      <c r="AH655" s="17" t="n">
        <v>1.097</v>
      </c>
      <c r="AI655" s="12" t="n">
        <v>56992</v>
      </c>
      <c r="AJ655" s="14" t="n">
        <f aca="false">IFERROR(AM655*U655*MIN(1/AE655,5),"")</f>
        <v>135893.128082223</v>
      </c>
      <c r="AK655" s="18" t="n">
        <f aca="false">IFERROR(AJ655/AI655,"")</f>
        <v>2.38442462244216</v>
      </c>
      <c r="AL655" s="15" t="n">
        <f aca="false">IFERROR(AI655/(AM655*U655/12),"")</f>
        <v>25.163303312372</v>
      </c>
      <c r="AM655" s="12" t="n">
        <v>40800</v>
      </c>
      <c r="AN655" s="12" t="n">
        <v>303831</v>
      </c>
      <c r="AO655" s="12" t="n">
        <v>541890</v>
      </c>
      <c r="AP655" s="17" t="n">
        <v>0.393</v>
      </c>
      <c r="AQ655" s="16" t="n">
        <v>42</v>
      </c>
      <c r="AR655" s="16" t="n">
        <v>2</v>
      </c>
      <c r="AS655" s="13" t="n">
        <f aca="false">IFERROR(AR655/AR654-1,"")</f>
        <v>0</v>
      </c>
      <c r="AT655" s="11" t="s">
        <v>134</v>
      </c>
      <c r="AU655" s="14" t="n">
        <f aca="false">IFERROR(P655/AR655,"")</f>
        <v>108485</v>
      </c>
      <c r="AV655" s="12" t="n">
        <v>2646619</v>
      </c>
      <c r="AW655" s="12" t="n">
        <v>805621</v>
      </c>
      <c r="AX655" s="12" t="n">
        <v>667435</v>
      </c>
      <c r="AY655" s="16" t="n">
        <v>14309</v>
      </c>
      <c r="AZ655" s="13" t="n">
        <f aca="false">IFERROR(AY655/AY654-1,"")</f>
        <v>0.0656091748585046</v>
      </c>
      <c r="BA655" s="17" t="n">
        <v>0.931</v>
      </c>
      <c r="BB655" s="11" t="s">
        <v>107</v>
      </c>
      <c r="BC655" s="11" t="s">
        <v>100</v>
      </c>
      <c r="BD655" s="11" t="s">
        <v>109</v>
      </c>
      <c r="BE655" s="12" t="n">
        <v>249240</v>
      </c>
      <c r="BF655" s="13" t="n">
        <f aca="false">IFERROR(P655/BE655-1,"")</f>
        <v>-0.129473599743219</v>
      </c>
      <c r="BG655" s="17" t="n">
        <v>-0.005</v>
      </c>
      <c r="BH655" s="17" t="n">
        <v>0.084</v>
      </c>
      <c r="BI655" s="14" t="n">
        <f aca="false">P655*(1+IFERROR(Q655,0))^4</f>
        <v>348382.995312272</v>
      </c>
      <c r="BJ655" s="12" t="n">
        <v>-2473532</v>
      </c>
      <c r="BK655" s="11" t="s">
        <v>102</v>
      </c>
      <c r="BL655" s="11" t="s">
        <v>85</v>
      </c>
      <c r="BM655" s="14" t="n">
        <f aca="false">O655</f>
        <v>21514814</v>
      </c>
      <c r="BN655" s="11" t="s">
        <v>645</v>
      </c>
      <c r="BO655" s="13" t="n">
        <f aca="false">IFERROR(1-L655/M655,"")</f>
        <v>0.14025370734322</v>
      </c>
      <c r="BP655" s="11" t="s">
        <v>113</v>
      </c>
      <c r="BQ655" s="12" t="n">
        <v>3992356</v>
      </c>
      <c r="BR655" s="11" t="s">
        <v>88</v>
      </c>
      <c r="BS655" s="11" t="s">
        <v>89</v>
      </c>
      <c r="BT655" s="19" t="str">
        <f aca="false">IF(OR(Z655&lt;6,AH655&lt;0.9,S655&lt;0.02,AK655&lt;1),"REVIEW",IF(AND(S655&gt;0.25,AH655&gt;1.2),"ACCELERATING","STABLE"))</f>
        <v>STABLE</v>
      </c>
    </row>
    <row r="656" customFormat="false" ht="15" hidden="false" customHeight="false" outlineLevel="0" collapsed="false">
      <c r="A656" s="11" t="s">
        <v>642</v>
      </c>
      <c r="B656" s="11" t="s">
        <v>92</v>
      </c>
      <c r="C656" s="11" t="s">
        <v>74</v>
      </c>
      <c r="D656" s="11" t="s">
        <v>132</v>
      </c>
      <c r="E656" s="11" t="s">
        <v>187</v>
      </c>
      <c r="F656" s="11" t="s">
        <v>643</v>
      </c>
      <c r="G656" s="11" t="s">
        <v>78</v>
      </c>
      <c r="H656" s="11" t="s">
        <v>644</v>
      </c>
      <c r="I656" s="11" t="s">
        <v>78</v>
      </c>
      <c r="J656" s="12" t="n">
        <v>3140000</v>
      </c>
      <c r="K656" s="13" t="n">
        <f aca="false">IFERROR(J656/M656,"")</f>
        <v>0.14025370734322</v>
      </c>
      <c r="L656" s="12" t="n">
        <v>19248000</v>
      </c>
      <c r="M656" s="14" t="n">
        <f aca="false">L656+J656</f>
        <v>22388000</v>
      </c>
      <c r="N656" s="12" t="n">
        <v>6610000</v>
      </c>
      <c r="O656" s="12" t="n">
        <v>21514814</v>
      </c>
      <c r="P656" s="12" t="n">
        <v>227020</v>
      </c>
      <c r="Q656" s="13" t="n">
        <f aca="false">IFERROR(P656/P655-1,"")</f>
        <v>0.0463197677098217</v>
      </c>
      <c r="R656" s="12" t="n">
        <v>233726</v>
      </c>
      <c r="S656" s="13" t="n">
        <f aca="false">IFERROR(R656/R655-1,"")</f>
        <v>0.0167127768787736</v>
      </c>
      <c r="T656" s="12" t="n">
        <v>151837</v>
      </c>
      <c r="U656" s="13" t="n">
        <f aca="false">IFERROR(T656/P656,"")</f>
        <v>0.668826535107039</v>
      </c>
      <c r="V656" s="14" t="n">
        <f aca="false">T656-AV656</f>
        <v>-2914847</v>
      </c>
      <c r="W656" s="14" t="n">
        <f aca="false">V656-AA656*0.1</f>
        <v>-2914847</v>
      </c>
      <c r="X656" s="12" t="n">
        <v>5487798</v>
      </c>
      <c r="Y656" s="12" t="n">
        <v>234740</v>
      </c>
      <c r="Z656" s="15" t="n">
        <f aca="false">IFERROR(X656/Y656,"")</f>
        <v>23.3781971542984</v>
      </c>
      <c r="AA656" s="12" t="n">
        <v>0</v>
      </c>
      <c r="AB656" s="14" t="n">
        <f aca="false">W656-0.02*P656</f>
        <v>-2919387.4</v>
      </c>
      <c r="AC656" s="16" t="n">
        <v>43</v>
      </c>
      <c r="AD656" s="13" t="n">
        <f aca="false">IFERROR(AC656/AC655-1,"")</f>
        <v>0.0487804878048781</v>
      </c>
      <c r="AE656" s="17" t="n">
        <v>0.081</v>
      </c>
      <c r="AF656" s="17" t="n">
        <v>0.086</v>
      </c>
      <c r="AG656" s="13" t="n">
        <f aca="false">1-AF656</f>
        <v>0.914</v>
      </c>
      <c r="AH656" s="17" t="n">
        <v>1.092</v>
      </c>
      <c r="AI656" s="12" t="n">
        <v>55896</v>
      </c>
      <c r="AJ656" s="14" t="n">
        <f aca="false">IFERROR(AM656*U656*MIN(1/AE656,5),"")</f>
        <v>139115.919302264</v>
      </c>
      <c r="AK656" s="18" t="n">
        <f aca="false">IFERROR(AJ656/AI656,"")</f>
        <v>2.48883496676442</v>
      </c>
      <c r="AL656" s="15" t="n">
        <f aca="false">IFERROR(AI656/(AM656*U656/12),"")</f>
        <v>24.1076651530665</v>
      </c>
      <c r="AM656" s="12" t="n">
        <v>41600</v>
      </c>
      <c r="AN656" s="12" t="n">
        <v>244892</v>
      </c>
      <c r="AO656" s="12" t="n">
        <v>507420</v>
      </c>
      <c r="AP656" s="17" t="n">
        <v>0.393</v>
      </c>
      <c r="AQ656" s="16" t="n">
        <v>42</v>
      </c>
      <c r="AR656" s="16" t="n">
        <v>3</v>
      </c>
      <c r="AS656" s="13" t="n">
        <f aca="false">IFERROR(AR656/AR655-1,"")</f>
        <v>0.5</v>
      </c>
      <c r="AT656" s="11" t="s">
        <v>134</v>
      </c>
      <c r="AU656" s="14" t="n">
        <f aca="false">IFERROR(P656/AR656,"")</f>
        <v>75673.3333333333</v>
      </c>
      <c r="AV656" s="12" t="n">
        <v>3066684</v>
      </c>
      <c r="AW656" s="12" t="n">
        <v>1038826</v>
      </c>
      <c r="AX656" s="12" t="n">
        <v>981074</v>
      </c>
      <c r="AY656" s="16" t="n">
        <v>16688</v>
      </c>
      <c r="AZ656" s="13" t="n">
        <f aca="false">IFERROR(AY656/AY655-1,"")</f>
        <v>0.166258997833531</v>
      </c>
      <c r="BA656" s="17" t="n">
        <v>0.923</v>
      </c>
      <c r="BB656" s="11" t="s">
        <v>107</v>
      </c>
      <c r="BC656" s="11" t="s">
        <v>100</v>
      </c>
      <c r="BD656" s="11" t="s">
        <v>109</v>
      </c>
      <c r="BE656" s="12" t="n">
        <v>226299</v>
      </c>
      <c r="BF656" s="13" t="n">
        <f aca="false">IFERROR(P656/BE656-1,"")</f>
        <v>0.00318605031396513</v>
      </c>
      <c r="BG656" s="17" t="n">
        <v>-0.035</v>
      </c>
      <c r="BH656" s="17" t="n">
        <v>-0.004</v>
      </c>
      <c r="BI656" s="14" t="n">
        <f aca="false">P656*(1+IFERROR(Q656,0))^4</f>
        <v>272095.801612556</v>
      </c>
      <c r="BJ656" s="12" t="n">
        <v>-1513203</v>
      </c>
      <c r="BK656" s="11" t="s">
        <v>102</v>
      </c>
      <c r="BL656" s="11" t="s">
        <v>85</v>
      </c>
      <c r="BM656" s="14" t="n">
        <f aca="false">O656</f>
        <v>21514814</v>
      </c>
      <c r="BN656" s="11" t="s">
        <v>645</v>
      </c>
      <c r="BO656" s="13" t="n">
        <f aca="false">IFERROR(1-L656/M656,"")</f>
        <v>0.14025370734322</v>
      </c>
      <c r="BP656" s="11" t="s">
        <v>113</v>
      </c>
      <c r="BQ656" s="12" t="n">
        <v>2837454</v>
      </c>
      <c r="BR656" s="11" t="s">
        <v>88</v>
      </c>
      <c r="BS656" s="11" t="s">
        <v>89</v>
      </c>
      <c r="BT656" s="19" t="str">
        <f aca="false">IF(OR(Z656&lt;6,AH656&lt;0.9,S656&lt;0.02,AK656&lt;1),"REVIEW",IF(AND(S656&gt;0.25,AH656&gt;1.2),"ACCELERATING","STABLE"))</f>
        <v>REVIEW</v>
      </c>
    </row>
    <row r="657" customFormat="false" ht="15" hidden="false" customHeight="false" outlineLevel="0" collapsed="false">
      <c r="A657" s="11" t="s">
        <v>642</v>
      </c>
      <c r="B657" s="11" t="s">
        <v>93</v>
      </c>
      <c r="C657" s="11" t="s">
        <v>74</v>
      </c>
      <c r="D657" s="11" t="s">
        <v>132</v>
      </c>
      <c r="E657" s="11" t="s">
        <v>187</v>
      </c>
      <c r="F657" s="11" t="s">
        <v>643</v>
      </c>
      <c r="G657" s="11" t="s">
        <v>78</v>
      </c>
      <c r="H657" s="11" t="s">
        <v>644</v>
      </c>
      <c r="I657" s="11" t="s">
        <v>78</v>
      </c>
      <c r="J657" s="12" t="n">
        <v>3140000</v>
      </c>
      <c r="K657" s="13" t="n">
        <f aca="false">IFERROR(J657/M657,"")</f>
        <v>0.14025370734322</v>
      </c>
      <c r="L657" s="12" t="n">
        <v>19248000</v>
      </c>
      <c r="M657" s="14" t="n">
        <f aca="false">L657+J657</f>
        <v>22388000</v>
      </c>
      <c r="N657" s="12" t="n">
        <v>6610000</v>
      </c>
      <c r="O657" s="12" t="n">
        <v>21514814</v>
      </c>
      <c r="P657" s="12" t="n">
        <v>245951</v>
      </c>
      <c r="Q657" s="13" t="n">
        <f aca="false">IFERROR(P657/P656-1,"")</f>
        <v>0.0833891287111268</v>
      </c>
      <c r="R657" s="12" t="n">
        <v>283223</v>
      </c>
      <c r="S657" s="13" t="n">
        <f aca="false">IFERROR(R657/R656-1,"")</f>
        <v>0.211773615258893</v>
      </c>
      <c r="T657" s="12" t="n">
        <v>165160</v>
      </c>
      <c r="U657" s="13" t="n">
        <f aca="false">IFERROR(T657/P657,"")</f>
        <v>0.671515871047485</v>
      </c>
      <c r="V657" s="14" t="n">
        <f aca="false">T657-AV657</f>
        <v>-2694391</v>
      </c>
      <c r="W657" s="14" t="n">
        <f aca="false">V657-AA657*0.1</f>
        <v>-2694391</v>
      </c>
      <c r="X657" s="12" t="n">
        <v>4854000</v>
      </c>
      <c r="Y657" s="12" t="n">
        <v>242000</v>
      </c>
      <c r="Z657" s="15" t="n">
        <f aca="false">IFERROR(X657/Y657,"")</f>
        <v>20.0578512396694</v>
      </c>
      <c r="AA657" s="12" t="n">
        <v>0</v>
      </c>
      <c r="AB657" s="14" t="n">
        <f aca="false">W657-0.02*P657</f>
        <v>-2699310.02</v>
      </c>
      <c r="AC657" s="16" t="n">
        <v>50</v>
      </c>
      <c r="AD657" s="13" t="n">
        <f aca="false">IFERROR(AC657/AC656-1,"")</f>
        <v>0.162790697674419</v>
      </c>
      <c r="AE657" s="17" t="n">
        <v>0.079</v>
      </c>
      <c r="AF657" s="17" t="n">
        <v>0.057</v>
      </c>
      <c r="AG657" s="13" t="n">
        <f aca="false">1-AF657</f>
        <v>0.943</v>
      </c>
      <c r="AH657" s="17" t="n">
        <v>1.087</v>
      </c>
      <c r="AI657" s="12" t="n">
        <v>54800</v>
      </c>
      <c r="AJ657" s="14" t="n">
        <f aca="false">IFERROR(AM657*U657*MIN(1/AE657,5),"")</f>
        <v>142361.364662067</v>
      </c>
      <c r="AK657" s="18" t="n">
        <f aca="false">IFERROR(AJ657/AI657,"")</f>
        <v>2.59783512157056</v>
      </c>
      <c r="AL657" s="15" t="n">
        <f aca="false">IFERROR(AI657/(AM657*U657/12),"")</f>
        <v>23.0961539867573</v>
      </c>
      <c r="AM657" s="12" t="n">
        <v>42400</v>
      </c>
      <c r="AN657" s="12" t="n">
        <v>303424</v>
      </c>
      <c r="AO657" s="12" t="n">
        <v>820719</v>
      </c>
      <c r="AP657" s="17" t="n">
        <v>0.393</v>
      </c>
      <c r="AQ657" s="16" t="n">
        <v>42</v>
      </c>
      <c r="AR657" s="16" t="n">
        <v>3</v>
      </c>
      <c r="AS657" s="13" t="n">
        <f aca="false">IFERROR(AR657/AR656-1,"")</f>
        <v>0</v>
      </c>
      <c r="AT657" s="11" t="s">
        <v>134</v>
      </c>
      <c r="AU657" s="14" t="n">
        <f aca="false">IFERROR(P657/AR657,"")</f>
        <v>81983.6666666667</v>
      </c>
      <c r="AV657" s="12" t="n">
        <v>2859551</v>
      </c>
      <c r="AW657" s="12" t="n">
        <v>1059597</v>
      </c>
      <c r="AX657" s="12" t="n">
        <v>548380</v>
      </c>
      <c r="AY657" s="16" t="n">
        <v>17346</v>
      </c>
      <c r="AZ657" s="13" t="n">
        <f aca="false">IFERROR(AY657/AY656-1,"")</f>
        <v>0.0394295302013423</v>
      </c>
      <c r="BA657" s="17" t="n">
        <v>0.928</v>
      </c>
      <c r="BB657" s="11" t="s">
        <v>107</v>
      </c>
      <c r="BC657" s="11" t="s">
        <v>100</v>
      </c>
      <c r="BD657" s="11" t="s">
        <v>109</v>
      </c>
      <c r="BE657" s="12" t="n">
        <v>298433</v>
      </c>
      <c r="BF657" s="13" t="n">
        <f aca="false">IFERROR(P657/BE657-1,"")</f>
        <v>-0.175858567919768</v>
      </c>
      <c r="BG657" s="17" t="n">
        <v>-0.033</v>
      </c>
      <c r="BH657" s="17" t="n">
        <v>0.03</v>
      </c>
      <c r="BI657" s="14" t="n">
        <f aca="false">P657*(1+IFERROR(Q657,0))^4</f>
        <v>338833.612461496</v>
      </c>
      <c r="BJ657" s="12" t="n">
        <v>-1786056</v>
      </c>
      <c r="BK657" s="11" t="s">
        <v>102</v>
      </c>
      <c r="BL657" s="11" t="s">
        <v>85</v>
      </c>
      <c r="BM657" s="14" t="n">
        <f aca="false">O657</f>
        <v>21514814</v>
      </c>
      <c r="BN657" s="11" t="s">
        <v>645</v>
      </c>
      <c r="BO657" s="13" t="n">
        <f aca="false">IFERROR(1-L657/M657,"")</f>
        <v>0.14025370734322</v>
      </c>
      <c r="BP657" s="11" t="s">
        <v>113</v>
      </c>
      <c r="BQ657" s="12" t="n">
        <v>4596985</v>
      </c>
      <c r="BR657" s="11" t="s">
        <v>88</v>
      </c>
      <c r="BS657" s="11" t="s">
        <v>89</v>
      </c>
      <c r="BT657" s="19" t="str">
        <f aca="false">IF(OR(Z657&lt;6,AH657&lt;0.9,S657&lt;0.02,AK657&lt;1),"REVIEW",IF(AND(S657&gt;0.25,AH657&gt;1.2),"ACCELERATING","STABLE"))</f>
        <v>STABLE</v>
      </c>
    </row>
    <row r="658" customFormat="false" ht="15" hidden="false" customHeight="false" outlineLevel="0" collapsed="false">
      <c r="A658" s="3" t="s">
        <v>646</v>
      </c>
      <c r="B658" s="3" t="s">
        <v>73</v>
      </c>
      <c r="C658" s="3" t="s">
        <v>74</v>
      </c>
      <c r="D658" s="3" t="s">
        <v>151</v>
      </c>
      <c r="E658" s="3" t="s">
        <v>105</v>
      </c>
      <c r="F658" s="3" t="s">
        <v>647</v>
      </c>
      <c r="G658" s="3" t="s">
        <v>78</v>
      </c>
      <c r="H658" s="3" t="s">
        <v>644</v>
      </c>
      <c r="I658" s="3" t="s">
        <v>78</v>
      </c>
      <c r="J658" s="4" t="n">
        <v>908000</v>
      </c>
      <c r="K658" s="5" t="n">
        <f aca="false">IFERROR(J658/M658,"")</f>
        <v>0.0935889507318079</v>
      </c>
      <c r="L658" s="4" t="n">
        <v>8794000</v>
      </c>
      <c r="M658" s="6" t="n">
        <f aca="false">L658+J658</f>
        <v>9702000</v>
      </c>
      <c r="N658" s="4" t="n">
        <v>2746000</v>
      </c>
      <c r="O658" s="4" t="n">
        <v>18834212</v>
      </c>
      <c r="P658" s="4" t="n">
        <v>1294641</v>
      </c>
      <c r="Q658" s="7"/>
      <c r="R658" s="4" t="n">
        <v>1585583</v>
      </c>
      <c r="S658" s="7"/>
      <c r="T658" s="4" t="n">
        <v>873568</v>
      </c>
      <c r="U658" s="5" t="n">
        <f aca="false">IFERROR(T658/P658,"")</f>
        <v>0.67475694034099</v>
      </c>
      <c r="V658" s="6" t="n">
        <f aca="false">T658-AV658</f>
        <v>-2145166</v>
      </c>
      <c r="W658" s="6" t="n">
        <f aca="false">V658-AA658*0.1</f>
        <v>-2145166</v>
      </c>
      <c r="X658" s="4" t="n">
        <v>6901620</v>
      </c>
      <c r="Y658" s="4" t="n">
        <v>200200</v>
      </c>
      <c r="Z658" s="8" t="n">
        <f aca="false">IFERROR(X658/Y658,"")</f>
        <v>34.4736263736264</v>
      </c>
      <c r="AA658" s="4" t="n">
        <v>0</v>
      </c>
      <c r="AB658" s="6" t="n">
        <f aca="false">W658-0.02*P658</f>
        <v>-2171058.82</v>
      </c>
      <c r="AC658" s="9" t="n">
        <v>26</v>
      </c>
      <c r="AD658" s="7"/>
      <c r="AE658" s="7" t="n">
        <v>0.095</v>
      </c>
      <c r="AF658" s="7" t="n">
        <v>0.059</v>
      </c>
      <c r="AG658" s="5" t="n">
        <f aca="false">1-AF658</f>
        <v>0.941</v>
      </c>
      <c r="AH658" s="7" t="n">
        <v>1.082</v>
      </c>
      <c r="AI658" s="4" t="n">
        <v>16006</v>
      </c>
      <c r="AJ658" s="6" t="n">
        <f aca="false">IFERROR(AM658*U658*MIN(1/AE658,5),"")</f>
        <v>53980.5552272792</v>
      </c>
      <c r="AK658" s="10" t="n">
        <f aca="false">IFERROR(AJ658/AI658,"")</f>
        <v>3.37252000670244</v>
      </c>
      <c r="AL658" s="8" t="n">
        <f aca="false">IFERROR(AI658/(AM658*U658/12),"")</f>
        <v>17.7908507231263</v>
      </c>
      <c r="AM658" s="4" t="n">
        <v>16000</v>
      </c>
      <c r="AN658" s="4" t="n">
        <v>2132543</v>
      </c>
      <c r="AO658" s="4" t="n">
        <v>4517298</v>
      </c>
      <c r="AP658" s="7" t="n">
        <v>0.328</v>
      </c>
      <c r="AQ658" s="9" t="n">
        <v>66</v>
      </c>
      <c r="AR658" s="9" t="n">
        <v>3</v>
      </c>
      <c r="AS658" s="7"/>
      <c r="AT658" s="3" t="s">
        <v>153</v>
      </c>
      <c r="AU658" s="6" t="n">
        <f aca="false">IFERROR(P658/AR658,"")</f>
        <v>431547</v>
      </c>
      <c r="AV658" s="4" t="n">
        <v>3018734</v>
      </c>
      <c r="AW658" s="4" t="n">
        <v>1493590</v>
      </c>
      <c r="AX658" s="4" t="n">
        <v>707427</v>
      </c>
      <c r="AY658" s="9" t="n">
        <v>27313</v>
      </c>
      <c r="AZ658" s="7"/>
      <c r="BA658" s="7" t="n">
        <v>0.906</v>
      </c>
      <c r="BB658" s="3" t="s">
        <v>99</v>
      </c>
      <c r="BC658" s="3" t="s">
        <v>82</v>
      </c>
      <c r="BD658" s="3" t="s">
        <v>109</v>
      </c>
      <c r="BE658" s="4" t="n">
        <v>1425774</v>
      </c>
      <c r="BF658" s="5" t="n">
        <f aca="false">IFERROR(P658/BE658-1,"")</f>
        <v>-0.0919732019240076</v>
      </c>
      <c r="BG658" s="7" t="n">
        <v>0.067</v>
      </c>
      <c r="BH658" s="7" t="n">
        <v>0.006</v>
      </c>
      <c r="BI658" s="6" t="n">
        <f aca="false">P658</f>
        <v>1294641</v>
      </c>
      <c r="BJ658" s="4" t="n">
        <v>-1830094</v>
      </c>
      <c r="BK658" s="3" t="s">
        <v>110</v>
      </c>
      <c r="BL658" s="3" t="s">
        <v>128</v>
      </c>
      <c r="BM658" s="6" t="n">
        <f aca="false">O658</f>
        <v>18834212</v>
      </c>
      <c r="BN658" s="3" t="s">
        <v>648</v>
      </c>
      <c r="BO658" s="5" t="n">
        <f aca="false">IFERROR(1-L658/M658,"")</f>
        <v>0.0935889507318078</v>
      </c>
      <c r="BP658" s="3" t="s">
        <v>142</v>
      </c>
      <c r="BQ658" s="4" t="n">
        <v>2897273</v>
      </c>
      <c r="BR658" s="3" t="s">
        <v>88</v>
      </c>
      <c r="BS658" s="3" t="s">
        <v>89</v>
      </c>
      <c r="BT658" s="3" t="s">
        <v>90</v>
      </c>
    </row>
    <row r="659" customFormat="false" ht="15" hidden="false" customHeight="false" outlineLevel="0" collapsed="false">
      <c r="A659" s="11" t="s">
        <v>646</v>
      </c>
      <c r="B659" s="11" t="s">
        <v>91</v>
      </c>
      <c r="C659" s="11" t="s">
        <v>74</v>
      </c>
      <c r="D659" s="11" t="s">
        <v>151</v>
      </c>
      <c r="E659" s="11" t="s">
        <v>105</v>
      </c>
      <c r="F659" s="11" t="s">
        <v>647</v>
      </c>
      <c r="G659" s="11" t="s">
        <v>78</v>
      </c>
      <c r="H659" s="11" t="s">
        <v>644</v>
      </c>
      <c r="I659" s="11" t="s">
        <v>78</v>
      </c>
      <c r="J659" s="12" t="n">
        <v>908000</v>
      </c>
      <c r="K659" s="13" t="n">
        <f aca="false">IFERROR(J659/M659,"")</f>
        <v>0.0935889507318079</v>
      </c>
      <c r="L659" s="12" t="n">
        <v>8794000</v>
      </c>
      <c r="M659" s="14" t="n">
        <f aca="false">L659+J659</f>
        <v>9702000</v>
      </c>
      <c r="N659" s="12" t="n">
        <v>2746000</v>
      </c>
      <c r="O659" s="12" t="n">
        <v>18834212</v>
      </c>
      <c r="P659" s="12" t="n">
        <v>1533921</v>
      </c>
      <c r="Q659" s="13" t="n">
        <f aca="false">IFERROR(P659/P658-1,"")</f>
        <v>0.184823437539828</v>
      </c>
      <c r="R659" s="12" t="n">
        <v>1767185</v>
      </c>
      <c r="S659" s="13" t="n">
        <f aca="false">IFERROR(R659/R658-1,"")</f>
        <v>0.114533266312769</v>
      </c>
      <c r="T659" s="12" t="n">
        <v>1039214</v>
      </c>
      <c r="U659" s="13" t="n">
        <f aca="false">IFERROR(T659/P659,"")</f>
        <v>0.67748860599731</v>
      </c>
      <c r="V659" s="14" t="n">
        <f aca="false">T659-AV659</f>
        <v>-2182704</v>
      </c>
      <c r="W659" s="14" t="n">
        <f aca="false">V659-AA659*0.1</f>
        <v>-2182704</v>
      </c>
      <c r="X659" s="12" t="n">
        <v>6396720</v>
      </c>
      <c r="Y659" s="12" t="n">
        <v>206800</v>
      </c>
      <c r="Z659" s="15" t="n">
        <f aca="false">IFERROR(X659/Y659,"")</f>
        <v>30.931914893617</v>
      </c>
      <c r="AA659" s="12" t="n">
        <v>0</v>
      </c>
      <c r="AB659" s="14" t="n">
        <f aca="false">W659-0.02*P659</f>
        <v>-2213382.42</v>
      </c>
      <c r="AC659" s="16" t="n">
        <v>28</v>
      </c>
      <c r="AD659" s="13" t="n">
        <f aca="false">IFERROR(AC659/AC658-1,"")</f>
        <v>0.0769230769230769</v>
      </c>
      <c r="AE659" s="17" t="n">
        <v>0.092</v>
      </c>
      <c r="AF659" s="17" t="n">
        <v>0.097</v>
      </c>
      <c r="AG659" s="13" t="n">
        <f aca="false">1-AF659</f>
        <v>0.903</v>
      </c>
      <c r="AH659" s="17" t="n">
        <v>1.077</v>
      </c>
      <c r="AI659" s="12" t="n">
        <v>15704</v>
      </c>
      <c r="AJ659" s="14" t="n">
        <f aca="false">IFERROR(AM659*U659*MIN(1/AE659,5),"")</f>
        <v>55283.0702493805</v>
      </c>
      <c r="AK659" s="18" t="n">
        <f aca="false">IFERROR(AJ659/AI659,"")</f>
        <v>3.52031776931868</v>
      </c>
      <c r="AL659" s="15" t="n">
        <f aca="false">IFERROR(AI659/(AM659*U659/12),"")</f>
        <v>17.0439158995616</v>
      </c>
      <c r="AM659" s="12" t="n">
        <v>16320</v>
      </c>
      <c r="AN659" s="12" t="n">
        <v>2583897</v>
      </c>
      <c r="AO659" s="12" t="n">
        <v>4529009</v>
      </c>
      <c r="AP659" s="17" t="n">
        <v>0.328</v>
      </c>
      <c r="AQ659" s="16" t="n">
        <v>66</v>
      </c>
      <c r="AR659" s="16" t="n">
        <v>4</v>
      </c>
      <c r="AS659" s="13" t="n">
        <f aca="false">IFERROR(AR659/AR658-1,"")</f>
        <v>0.333333333333333</v>
      </c>
      <c r="AT659" s="11" t="s">
        <v>153</v>
      </c>
      <c r="AU659" s="14" t="n">
        <f aca="false">IFERROR(P659/AR659,"")</f>
        <v>383480.25</v>
      </c>
      <c r="AV659" s="12" t="n">
        <v>3221918</v>
      </c>
      <c r="AW659" s="12" t="n">
        <v>1059843</v>
      </c>
      <c r="AX659" s="12" t="n">
        <v>813306</v>
      </c>
      <c r="AY659" s="16" t="n">
        <v>30817</v>
      </c>
      <c r="AZ659" s="13" t="n">
        <f aca="false">IFERROR(AY659/AY658-1,"")</f>
        <v>0.128290557609929</v>
      </c>
      <c r="BA659" s="17" t="n">
        <v>0.925</v>
      </c>
      <c r="BB659" s="11" t="s">
        <v>99</v>
      </c>
      <c r="BC659" s="11" t="s">
        <v>82</v>
      </c>
      <c r="BD659" s="11" t="s">
        <v>109</v>
      </c>
      <c r="BE659" s="12" t="n">
        <v>1733491</v>
      </c>
      <c r="BF659" s="13" t="n">
        <f aca="false">IFERROR(P659/BE659-1,"")</f>
        <v>-0.11512606641742</v>
      </c>
      <c r="BG659" s="17" t="n">
        <v>0.058</v>
      </c>
      <c r="BH659" s="17" t="n">
        <v>0.047</v>
      </c>
      <c r="BI659" s="14" t="n">
        <f aca="false">P659*(1+IFERROR(Q659,0))^4</f>
        <v>3022856.55900001</v>
      </c>
      <c r="BJ659" s="12" t="n">
        <v>-1457181</v>
      </c>
      <c r="BK659" s="11" t="s">
        <v>110</v>
      </c>
      <c r="BL659" s="11" t="s">
        <v>128</v>
      </c>
      <c r="BM659" s="14" t="n">
        <f aca="false">O659</f>
        <v>18834212</v>
      </c>
      <c r="BN659" s="11" t="s">
        <v>648</v>
      </c>
      <c r="BO659" s="13" t="n">
        <f aca="false">IFERROR(1-L659/M659,"")</f>
        <v>0.0935889507318078</v>
      </c>
      <c r="BP659" s="11" t="s">
        <v>142</v>
      </c>
      <c r="BQ659" s="12" t="n">
        <v>2795183</v>
      </c>
      <c r="BR659" s="11" t="s">
        <v>88</v>
      </c>
      <c r="BS659" s="11" t="s">
        <v>89</v>
      </c>
      <c r="BT659" s="19" t="str">
        <f aca="false">IF(OR(Z659&lt;6,AH659&lt;0.9,S659&lt;0.02,AK659&lt;1),"REVIEW",IF(AND(S659&gt;0.25,AH659&gt;1.2),"ACCELERATING","STABLE"))</f>
        <v>STABLE</v>
      </c>
    </row>
    <row r="660" customFormat="false" ht="15" hidden="false" customHeight="false" outlineLevel="0" collapsed="false">
      <c r="A660" s="11" t="s">
        <v>646</v>
      </c>
      <c r="B660" s="11" t="s">
        <v>92</v>
      </c>
      <c r="C660" s="11" t="s">
        <v>74</v>
      </c>
      <c r="D660" s="11" t="s">
        <v>151</v>
      </c>
      <c r="E660" s="11" t="s">
        <v>105</v>
      </c>
      <c r="F660" s="11" t="s">
        <v>647</v>
      </c>
      <c r="G660" s="11" t="s">
        <v>78</v>
      </c>
      <c r="H660" s="11" t="s">
        <v>644</v>
      </c>
      <c r="I660" s="11" t="s">
        <v>78</v>
      </c>
      <c r="J660" s="12" t="n">
        <v>908000</v>
      </c>
      <c r="K660" s="13" t="n">
        <f aca="false">IFERROR(J660/M660,"")</f>
        <v>0.0935889507318079</v>
      </c>
      <c r="L660" s="12" t="n">
        <v>8794000</v>
      </c>
      <c r="M660" s="14" t="n">
        <f aca="false">L660+J660</f>
        <v>9702000</v>
      </c>
      <c r="N660" s="12" t="n">
        <v>2746000</v>
      </c>
      <c r="O660" s="12" t="n">
        <v>18834212</v>
      </c>
      <c r="P660" s="12" t="n">
        <v>1886371</v>
      </c>
      <c r="Q660" s="13" t="n">
        <f aca="false">IFERROR(P660/P659-1,"")</f>
        <v>0.229770633559355</v>
      </c>
      <c r="R660" s="12" t="n">
        <v>2172716</v>
      </c>
      <c r="S660" s="13" t="n">
        <f aca="false">IFERROR(R660/R659-1,"")</f>
        <v>0.229478520924521</v>
      </c>
      <c r="T660" s="12" t="n">
        <v>1283148</v>
      </c>
      <c r="U660" s="13" t="n">
        <f aca="false">IFERROR(T660/P660,"")</f>
        <v>0.680220380826465</v>
      </c>
      <c r="V660" s="14" t="n">
        <f aca="false">T660-AV660</f>
        <v>-2207369</v>
      </c>
      <c r="W660" s="14" t="n">
        <f aca="false">V660-AA660*0.1</f>
        <v>-2207369</v>
      </c>
      <c r="X660" s="12" t="n">
        <v>5856180</v>
      </c>
      <c r="Y660" s="12" t="n">
        <v>213400</v>
      </c>
      <c r="Z660" s="15" t="n">
        <f aca="false">IFERROR(X660/Y660,"")</f>
        <v>27.4422680412371</v>
      </c>
      <c r="AA660" s="12" t="n">
        <v>0</v>
      </c>
      <c r="AB660" s="14" t="n">
        <f aca="false">W660-0.02*P660</f>
        <v>-2245096.42</v>
      </c>
      <c r="AC660" s="16" t="n">
        <v>32</v>
      </c>
      <c r="AD660" s="13" t="n">
        <f aca="false">IFERROR(AC660/AC659-1,"")</f>
        <v>0.142857142857143</v>
      </c>
      <c r="AE660" s="17" t="n">
        <v>0.09</v>
      </c>
      <c r="AF660" s="17" t="n">
        <v>0.078</v>
      </c>
      <c r="AG660" s="13" t="n">
        <f aca="false">1-AF660</f>
        <v>0.922</v>
      </c>
      <c r="AH660" s="17" t="n">
        <v>1.072</v>
      </c>
      <c r="AI660" s="12" t="n">
        <v>15402</v>
      </c>
      <c r="AJ660" s="14" t="n">
        <f aca="false">IFERROR(AM660*U660*MIN(1/AE660,5),"")</f>
        <v>56594.3356847619</v>
      </c>
      <c r="AK660" s="18" t="n">
        <f aca="false">IFERROR(AJ660/AI660,"")</f>
        <v>3.67447965749655</v>
      </c>
      <c r="AL660" s="15" t="n">
        <f aca="false">IFERROR(AI660/(AM660*U660/12),"")</f>
        <v>16.3288426097529</v>
      </c>
      <c r="AM660" s="12" t="n">
        <v>16640</v>
      </c>
      <c r="AN660" s="12" t="n">
        <v>2941814</v>
      </c>
      <c r="AO660" s="12" t="n">
        <v>7224441</v>
      </c>
      <c r="AP660" s="17" t="n">
        <v>0.328</v>
      </c>
      <c r="AQ660" s="16" t="n">
        <v>66</v>
      </c>
      <c r="AR660" s="16" t="n">
        <v>4</v>
      </c>
      <c r="AS660" s="13" t="n">
        <f aca="false">IFERROR(AR660/AR659-1,"")</f>
        <v>0</v>
      </c>
      <c r="AT660" s="11" t="s">
        <v>153</v>
      </c>
      <c r="AU660" s="14" t="n">
        <f aca="false">IFERROR(P660/AR660,"")</f>
        <v>471592.75</v>
      </c>
      <c r="AV660" s="12" t="n">
        <v>3490517</v>
      </c>
      <c r="AW660" s="12" t="n">
        <v>1325017</v>
      </c>
      <c r="AX660" s="12" t="n">
        <v>686432</v>
      </c>
      <c r="AY660" s="16" t="n">
        <v>34450</v>
      </c>
      <c r="AZ660" s="13" t="n">
        <f aca="false">IFERROR(AY660/AY659-1,"")</f>
        <v>0.117889476587598</v>
      </c>
      <c r="BA660" s="17" t="n">
        <v>0.907</v>
      </c>
      <c r="BB660" s="11" t="s">
        <v>99</v>
      </c>
      <c r="BC660" s="11" t="s">
        <v>82</v>
      </c>
      <c r="BD660" s="11" t="s">
        <v>109</v>
      </c>
      <c r="BE660" s="12" t="n">
        <v>2046543</v>
      </c>
      <c r="BF660" s="13" t="n">
        <f aca="false">IFERROR(P660/BE660-1,"")</f>
        <v>-0.0782646638746413</v>
      </c>
      <c r="BG660" s="17" t="n">
        <v>0.047</v>
      </c>
      <c r="BH660" s="17" t="n">
        <v>-0.009</v>
      </c>
      <c r="BI660" s="14" t="n">
        <f aca="false">P660*(1+IFERROR(Q660,0))^4</f>
        <v>4314431.55262434</v>
      </c>
      <c r="BJ660" s="12" t="n">
        <v>-1845381</v>
      </c>
      <c r="BK660" s="11" t="s">
        <v>110</v>
      </c>
      <c r="BL660" s="11" t="s">
        <v>128</v>
      </c>
      <c r="BM660" s="14" t="n">
        <f aca="false">O660</f>
        <v>18834212</v>
      </c>
      <c r="BN660" s="11" t="s">
        <v>648</v>
      </c>
      <c r="BO660" s="13" t="n">
        <f aca="false">IFERROR(1-L660/M660,"")</f>
        <v>0.0935889507318078</v>
      </c>
      <c r="BP660" s="11" t="s">
        <v>142</v>
      </c>
      <c r="BQ660" s="12" t="n">
        <v>2888114</v>
      </c>
      <c r="BR660" s="11" t="s">
        <v>88</v>
      </c>
      <c r="BS660" s="11" t="s">
        <v>89</v>
      </c>
      <c r="BT660" s="19" t="str">
        <f aca="false">IF(OR(Z660&lt;6,AH660&lt;0.9,S660&lt;0.02,AK660&lt;1),"REVIEW",IF(AND(S660&gt;0.25,AH660&gt;1.2),"ACCELERATING","STABLE"))</f>
        <v>STABLE</v>
      </c>
    </row>
    <row r="661" customFormat="false" ht="15" hidden="false" customHeight="false" outlineLevel="0" collapsed="false">
      <c r="A661" s="11" t="s">
        <v>646</v>
      </c>
      <c r="B661" s="11" t="s">
        <v>93</v>
      </c>
      <c r="C661" s="11" t="s">
        <v>74</v>
      </c>
      <c r="D661" s="11" t="s">
        <v>151</v>
      </c>
      <c r="E661" s="11" t="s">
        <v>105</v>
      </c>
      <c r="F661" s="11" t="s">
        <v>647</v>
      </c>
      <c r="G661" s="11" t="s">
        <v>78</v>
      </c>
      <c r="H661" s="11" t="s">
        <v>644</v>
      </c>
      <c r="I661" s="11" t="s">
        <v>78</v>
      </c>
      <c r="J661" s="12" t="n">
        <v>908000</v>
      </c>
      <c r="K661" s="13" t="n">
        <f aca="false">IFERROR(J661/M661,"")</f>
        <v>0.0935889507318079</v>
      </c>
      <c r="L661" s="12" t="n">
        <v>8794000</v>
      </c>
      <c r="M661" s="14" t="n">
        <f aca="false">L661+J661</f>
        <v>9702000</v>
      </c>
      <c r="N661" s="12" t="n">
        <v>2746000</v>
      </c>
      <c r="O661" s="12" t="n">
        <v>18834212</v>
      </c>
      <c r="P661" s="12" t="n">
        <v>2047095</v>
      </c>
      <c r="Q661" s="13" t="n">
        <f aca="false">IFERROR(P661/P660-1,"")</f>
        <v>0.0852027517386558</v>
      </c>
      <c r="R661" s="12" t="n">
        <v>2570247</v>
      </c>
      <c r="S661" s="13" t="n">
        <f aca="false">IFERROR(R661/R660-1,"")</f>
        <v>0.182965007851924</v>
      </c>
      <c r="T661" s="12" t="n">
        <v>1398069</v>
      </c>
      <c r="U661" s="13" t="n">
        <f aca="false">IFERROR(T661/P661,"")</f>
        <v>0.68295267195709</v>
      </c>
      <c r="V661" s="14" t="n">
        <f aca="false">T661-AV661</f>
        <v>-2229905</v>
      </c>
      <c r="W661" s="14" t="n">
        <f aca="false">V661-AA661*0.1</f>
        <v>-2229905</v>
      </c>
      <c r="X661" s="12" t="n">
        <v>5280000</v>
      </c>
      <c r="Y661" s="12" t="n">
        <v>220000</v>
      </c>
      <c r="Z661" s="15" t="n">
        <f aca="false">IFERROR(X661/Y661,"")</f>
        <v>24</v>
      </c>
      <c r="AA661" s="12" t="n">
        <v>0</v>
      </c>
      <c r="AB661" s="14" t="n">
        <f aca="false">W661-0.02*P661</f>
        <v>-2270846.9</v>
      </c>
      <c r="AC661" s="16" t="n">
        <v>36</v>
      </c>
      <c r="AD661" s="13" t="n">
        <f aca="false">IFERROR(AC661/AC660-1,"")</f>
        <v>0.125</v>
      </c>
      <c r="AE661" s="17" t="n">
        <v>0.087</v>
      </c>
      <c r="AF661" s="17" t="n">
        <v>0.08</v>
      </c>
      <c r="AG661" s="13" t="n">
        <f aca="false">1-AF661</f>
        <v>0.92</v>
      </c>
      <c r="AH661" s="17" t="n">
        <v>1.067</v>
      </c>
      <c r="AI661" s="12" t="n">
        <v>15100</v>
      </c>
      <c r="AJ661" s="14" t="n">
        <f aca="false">IFERROR(AM661*U661*MIN(1/AE661,5),"")</f>
        <v>57914.3865819613</v>
      </c>
      <c r="AK661" s="18" t="n">
        <f aca="false">IFERROR(AJ661/AI661,"")</f>
        <v>3.83538983986499</v>
      </c>
      <c r="AL661" s="15" t="n">
        <f aca="false">IFERROR(AI661/(AM661*U661/12),"")</f>
        <v>15.6437813377824</v>
      </c>
      <c r="AM661" s="12" t="n">
        <v>16960</v>
      </c>
      <c r="AN661" s="12" t="n">
        <v>3803055</v>
      </c>
      <c r="AO661" s="12" t="n">
        <v>5718132</v>
      </c>
      <c r="AP661" s="17" t="n">
        <v>0.328</v>
      </c>
      <c r="AQ661" s="16" t="n">
        <v>66</v>
      </c>
      <c r="AR661" s="16" t="n">
        <v>5</v>
      </c>
      <c r="AS661" s="13" t="n">
        <f aca="false">IFERROR(AR661/AR660-1,"")</f>
        <v>0.25</v>
      </c>
      <c r="AT661" s="11" t="s">
        <v>153</v>
      </c>
      <c r="AU661" s="14" t="n">
        <f aca="false">IFERROR(P661/AR661,"")</f>
        <v>409419</v>
      </c>
      <c r="AV661" s="12" t="n">
        <v>3627974</v>
      </c>
      <c r="AW661" s="12" t="n">
        <v>1571932</v>
      </c>
      <c r="AX661" s="12" t="n">
        <v>1064449</v>
      </c>
      <c r="AY661" s="16" t="n">
        <v>40740</v>
      </c>
      <c r="AZ661" s="13" t="n">
        <f aca="false">IFERROR(AY661/AY660-1,"")</f>
        <v>0.182583454281567</v>
      </c>
      <c r="BA661" s="17" t="n">
        <v>0.906</v>
      </c>
      <c r="BB661" s="11" t="s">
        <v>99</v>
      </c>
      <c r="BC661" s="11" t="s">
        <v>82</v>
      </c>
      <c r="BD661" s="11" t="s">
        <v>109</v>
      </c>
      <c r="BE661" s="12" t="n">
        <v>2290934</v>
      </c>
      <c r="BF661" s="13" t="n">
        <f aca="false">IFERROR(P661/BE661-1,"")</f>
        <v>-0.106436501444389</v>
      </c>
      <c r="BG661" s="17" t="n">
        <v>0.032</v>
      </c>
      <c r="BH661" s="17" t="n">
        <v>0.079</v>
      </c>
      <c r="BI661" s="14" t="n">
        <f aca="false">P661*(1+IFERROR(Q661,0))^4</f>
        <v>2839105.5772123</v>
      </c>
      <c r="BJ661" s="12" t="n">
        <v>-1878313</v>
      </c>
      <c r="BK661" s="11" t="s">
        <v>110</v>
      </c>
      <c r="BL661" s="11" t="s">
        <v>128</v>
      </c>
      <c r="BM661" s="14" t="n">
        <f aca="false">O661</f>
        <v>18834212</v>
      </c>
      <c r="BN661" s="11" t="s">
        <v>648</v>
      </c>
      <c r="BO661" s="13" t="n">
        <f aca="false">IFERROR(1-L661/M661,"")</f>
        <v>0.0935889507318078</v>
      </c>
      <c r="BP661" s="11" t="s">
        <v>142</v>
      </c>
      <c r="BQ661" s="12" t="n">
        <v>3867314</v>
      </c>
      <c r="BR661" s="11" t="s">
        <v>88</v>
      </c>
      <c r="BS661" s="11" t="s">
        <v>89</v>
      </c>
      <c r="BT661" s="19" t="str">
        <f aca="false">IF(OR(Z661&lt;6,AH661&lt;0.9,S661&lt;0.02,AK661&lt;1),"REVIEW",IF(AND(S661&gt;0.25,AH661&gt;1.2),"ACCELERATING","STABLE"))</f>
        <v>STABLE</v>
      </c>
    </row>
    <row r="662" customFormat="false" ht="15" hidden="false" customHeight="false" outlineLevel="0" collapsed="false">
      <c r="A662" s="3" t="s">
        <v>649</v>
      </c>
      <c r="B662" s="3" t="s">
        <v>73</v>
      </c>
      <c r="C662" s="3" t="s">
        <v>74</v>
      </c>
      <c r="D662" s="3" t="s">
        <v>132</v>
      </c>
      <c r="E662" s="3" t="s">
        <v>105</v>
      </c>
      <c r="F662" s="3" t="s">
        <v>650</v>
      </c>
      <c r="G662" s="3" t="s">
        <v>78</v>
      </c>
      <c r="H662" s="3" t="s">
        <v>644</v>
      </c>
      <c r="I662" s="3" t="s">
        <v>78</v>
      </c>
      <c r="J662" s="4" t="n">
        <v>2397000</v>
      </c>
      <c r="K662" s="5" t="n">
        <f aca="false">IFERROR(J662/M662,"")</f>
        <v>0.157686994276692</v>
      </c>
      <c r="L662" s="4" t="n">
        <v>12804000</v>
      </c>
      <c r="M662" s="6" t="n">
        <f aca="false">L662+J662</f>
        <v>15201000</v>
      </c>
      <c r="N662" s="4" t="n">
        <v>2773000</v>
      </c>
      <c r="O662" s="4" t="n">
        <v>23835862</v>
      </c>
      <c r="P662" s="4" t="n">
        <v>1137185</v>
      </c>
      <c r="Q662" s="7"/>
      <c r="R662" s="4" t="n">
        <v>1272141</v>
      </c>
      <c r="S662" s="7"/>
      <c r="T662" s="4" t="n">
        <v>951007</v>
      </c>
      <c r="U662" s="5" t="n">
        <f aca="false">IFERROR(T662/P662,"")</f>
        <v>0.836281695590427</v>
      </c>
      <c r="V662" s="6" t="n">
        <f aca="false">T662-AV662</f>
        <v>-1520249</v>
      </c>
      <c r="W662" s="6" t="n">
        <f aca="false">V662-AA662*0.1</f>
        <v>-1537649</v>
      </c>
      <c r="X662" s="4" t="n">
        <v>5162667</v>
      </c>
      <c r="Y662" s="4" t="n">
        <v>161070</v>
      </c>
      <c r="Z662" s="8" t="n">
        <f aca="false">IFERROR(X662/Y662,"")</f>
        <v>32.0523188675731</v>
      </c>
      <c r="AA662" s="4" t="n">
        <v>174000</v>
      </c>
      <c r="AB662" s="6" t="n">
        <f aca="false">W662-0.02*P662</f>
        <v>-1560392.7</v>
      </c>
      <c r="AC662" s="9" t="n">
        <v>20</v>
      </c>
      <c r="AD662" s="7"/>
      <c r="AE662" s="7" t="n">
        <v>0.125</v>
      </c>
      <c r="AF662" s="7" t="n">
        <v>0.13</v>
      </c>
      <c r="AG662" s="5" t="n">
        <f aca="false">1-AF662</f>
        <v>0.87</v>
      </c>
      <c r="AH662" s="7" t="n">
        <v>1.176</v>
      </c>
      <c r="AI662" s="4" t="n">
        <v>43778</v>
      </c>
      <c r="AJ662" s="6" t="n">
        <f aca="false">IFERROR(AM662*U662*MIN(1/AE662,5),"")</f>
        <v>87809.5780369949</v>
      </c>
      <c r="AK662" s="10" t="n">
        <f aca="false">IFERROR(AJ662/AI662,"")</f>
        <v>2.00579236230515</v>
      </c>
      <c r="AL662" s="8" t="n">
        <f aca="false">IFERROR(AI662/(AM662*U662/12),"")</f>
        <v>29.9133654747021</v>
      </c>
      <c r="AM662" s="4" t="n">
        <v>21000</v>
      </c>
      <c r="AN662" s="4" t="n">
        <v>1303577</v>
      </c>
      <c r="AO662" s="4" t="n">
        <v>4659225</v>
      </c>
      <c r="AP662" s="7" t="n">
        <v>0.327</v>
      </c>
      <c r="AQ662" s="9" t="n">
        <v>86</v>
      </c>
      <c r="AR662" s="9" t="n">
        <v>2</v>
      </c>
      <c r="AS662" s="7"/>
      <c r="AT662" s="3" t="s">
        <v>201</v>
      </c>
      <c r="AU662" s="6" t="n">
        <f aca="false">IFERROR(P662/AR662,"")</f>
        <v>568592.5</v>
      </c>
      <c r="AV662" s="4" t="n">
        <v>2471256</v>
      </c>
      <c r="AW662" s="4" t="n">
        <v>827831</v>
      </c>
      <c r="AX662" s="4" t="n">
        <v>794046</v>
      </c>
      <c r="AY662" s="9" t="n">
        <v>15303</v>
      </c>
      <c r="AZ662" s="7"/>
      <c r="BA662" s="7" t="n">
        <v>0.896</v>
      </c>
      <c r="BB662" s="3" t="s">
        <v>99</v>
      </c>
      <c r="BC662" s="3" t="s">
        <v>82</v>
      </c>
      <c r="BD662" s="3" t="s">
        <v>83</v>
      </c>
      <c r="BE662" s="4" t="n">
        <v>1350323</v>
      </c>
      <c r="BF662" s="5" t="n">
        <f aca="false">IFERROR(P662/BE662-1,"")</f>
        <v>-0.157842234783826</v>
      </c>
      <c r="BG662" s="7" t="n">
        <v>0.011</v>
      </c>
      <c r="BH662" s="7" t="n">
        <v>-0.05</v>
      </c>
      <c r="BI662" s="6" t="n">
        <f aca="false">P662</f>
        <v>1137185</v>
      </c>
      <c r="BJ662" s="4" t="n">
        <v>-1080248</v>
      </c>
      <c r="BK662" s="3" t="s">
        <v>127</v>
      </c>
      <c r="BL662" s="3" t="s">
        <v>128</v>
      </c>
      <c r="BM662" s="6" t="n">
        <f aca="false">O662</f>
        <v>23835862</v>
      </c>
      <c r="BN662" s="3" t="s">
        <v>651</v>
      </c>
      <c r="BO662" s="5" t="n">
        <f aca="false">IFERROR(1-L662/M662,"")</f>
        <v>0.157686994276692</v>
      </c>
      <c r="BP662" s="3" t="s">
        <v>198</v>
      </c>
      <c r="BQ662" s="4" t="n">
        <v>3213609</v>
      </c>
      <c r="BR662" s="3" t="s">
        <v>88</v>
      </c>
      <c r="BS662" s="3" t="s">
        <v>89</v>
      </c>
      <c r="BT662" s="3" t="s">
        <v>90</v>
      </c>
    </row>
    <row r="663" customFormat="false" ht="15" hidden="false" customHeight="false" outlineLevel="0" collapsed="false">
      <c r="A663" s="11" t="s">
        <v>649</v>
      </c>
      <c r="B663" s="11" t="s">
        <v>91</v>
      </c>
      <c r="C663" s="11" t="s">
        <v>74</v>
      </c>
      <c r="D663" s="11" t="s">
        <v>132</v>
      </c>
      <c r="E663" s="11" t="s">
        <v>105</v>
      </c>
      <c r="F663" s="11" t="s">
        <v>650</v>
      </c>
      <c r="G663" s="11" t="s">
        <v>78</v>
      </c>
      <c r="H663" s="11" t="s">
        <v>644</v>
      </c>
      <c r="I663" s="11" t="s">
        <v>78</v>
      </c>
      <c r="J663" s="12" t="n">
        <v>2397000</v>
      </c>
      <c r="K663" s="13" t="n">
        <f aca="false">IFERROR(J663/M663,"")</f>
        <v>0.157686994276692</v>
      </c>
      <c r="L663" s="12" t="n">
        <v>12804000</v>
      </c>
      <c r="M663" s="14" t="n">
        <f aca="false">L663+J663</f>
        <v>15201000</v>
      </c>
      <c r="N663" s="12" t="n">
        <v>2773000</v>
      </c>
      <c r="O663" s="12" t="n">
        <v>23835862</v>
      </c>
      <c r="P663" s="12" t="n">
        <v>1366568</v>
      </c>
      <c r="Q663" s="13" t="n">
        <f aca="false">IFERROR(P663/P662-1,"")</f>
        <v>0.201711243113478</v>
      </c>
      <c r="R663" s="12" t="n">
        <v>1484552</v>
      </c>
      <c r="S663" s="13" t="n">
        <f aca="false">IFERROR(R663/R662-1,"")</f>
        <v>0.166971271266314</v>
      </c>
      <c r="T663" s="12" t="n">
        <v>1147462</v>
      </c>
      <c r="U663" s="13" t="n">
        <f aca="false">IFERROR(T663/P663,"")</f>
        <v>0.839666961322086</v>
      </c>
      <c r="V663" s="14" t="n">
        <f aca="false">T663-AV663</f>
        <v>-2111740</v>
      </c>
      <c r="W663" s="14" t="n">
        <f aca="false">V663-AA663*0.1</f>
        <v>-2129140</v>
      </c>
      <c r="X663" s="12" t="n">
        <v>4756452</v>
      </c>
      <c r="Y663" s="12" t="n">
        <v>166380</v>
      </c>
      <c r="Z663" s="15" t="n">
        <f aca="false">IFERROR(X663/Y663,"")</f>
        <v>28.5878831590335</v>
      </c>
      <c r="AA663" s="12" t="n">
        <v>174000</v>
      </c>
      <c r="AB663" s="14" t="n">
        <f aca="false">W663-0.02*P663</f>
        <v>-2156471.36</v>
      </c>
      <c r="AC663" s="16" t="n">
        <v>21</v>
      </c>
      <c r="AD663" s="13" t="n">
        <f aca="false">IFERROR(AC663/AC662-1,"")</f>
        <v>0.05</v>
      </c>
      <c r="AE663" s="17" t="n">
        <v>0.122</v>
      </c>
      <c r="AF663" s="17" t="n">
        <v>0.076</v>
      </c>
      <c r="AG663" s="13" t="n">
        <f aca="false">1-AF663</f>
        <v>0.924</v>
      </c>
      <c r="AH663" s="17" t="n">
        <v>1.171</v>
      </c>
      <c r="AI663" s="12" t="n">
        <v>42952</v>
      </c>
      <c r="AJ663" s="14" t="n">
        <f aca="false">IFERROR(AM663*U663*MIN(1/AE663,5),"")</f>
        <v>89928.3315575954</v>
      </c>
      <c r="AK663" s="18" t="n">
        <f aca="false">IFERROR(AJ663/AI663,"")</f>
        <v>2.09369369430051</v>
      </c>
      <c r="AL663" s="15" t="n">
        <f aca="false">IFERROR(AI663/(AM663*U663/12),"")</f>
        <v>28.6574870829163</v>
      </c>
      <c r="AM663" s="12" t="n">
        <v>21420</v>
      </c>
      <c r="AN663" s="12" t="n">
        <v>2212086</v>
      </c>
      <c r="AO663" s="12" t="n">
        <v>3525605</v>
      </c>
      <c r="AP663" s="17" t="n">
        <v>0.327</v>
      </c>
      <c r="AQ663" s="16" t="n">
        <v>86</v>
      </c>
      <c r="AR663" s="16" t="n">
        <v>2</v>
      </c>
      <c r="AS663" s="13" t="n">
        <f aca="false">IFERROR(AR663/AR662-1,"")</f>
        <v>0</v>
      </c>
      <c r="AT663" s="11" t="s">
        <v>201</v>
      </c>
      <c r="AU663" s="14" t="n">
        <f aca="false">IFERROR(P663/AR663,"")</f>
        <v>683284</v>
      </c>
      <c r="AV663" s="12" t="n">
        <v>3259202</v>
      </c>
      <c r="AW663" s="12" t="n">
        <v>1153210</v>
      </c>
      <c r="AX663" s="12" t="n">
        <v>937111</v>
      </c>
      <c r="AY663" s="16" t="n">
        <v>16702</v>
      </c>
      <c r="AZ663" s="13" t="n">
        <f aca="false">IFERROR(AY663/AY662-1,"")</f>
        <v>0.0914199830098674</v>
      </c>
      <c r="BA663" s="17" t="n">
        <v>0.89</v>
      </c>
      <c r="BB663" s="11" t="s">
        <v>99</v>
      </c>
      <c r="BC663" s="11" t="s">
        <v>82</v>
      </c>
      <c r="BD663" s="11" t="s">
        <v>83</v>
      </c>
      <c r="BE663" s="12" t="n">
        <v>1685435</v>
      </c>
      <c r="BF663" s="13" t="n">
        <f aca="false">IFERROR(P663/BE663-1,"")</f>
        <v>-0.189189734400911</v>
      </c>
      <c r="BG663" s="17" t="n">
        <v>0.032</v>
      </c>
      <c r="BH663" s="17" t="n">
        <v>0.005</v>
      </c>
      <c r="BI663" s="14" t="n">
        <f aca="false">P663*(1+IFERROR(Q663,0))^4</f>
        <v>2849913.93308483</v>
      </c>
      <c r="BJ663" s="12" t="n">
        <v>-1031684</v>
      </c>
      <c r="BK663" s="11" t="s">
        <v>127</v>
      </c>
      <c r="BL663" s="11" t="s">
        <v>128</v>
      </c>
      <c r="BM663" s="14" t="n">
        <f aca="false">O663</f>
        <v>23835862</v>
      </c>
      <c r="BN663" s="11" t="s">
        <v>651</v>
      </c>
      <c r="BO663" s="13" t="n">
        <f aca="false">IFERROR(1-L663/M663,"")</f>
        <v>0.157686994276692</v>
      </c>
      <c r="BP663" s="11" t="s">
        <v>198</v>
      </c>
      <c r="BQ663" s="12" t="n">
        <v>3189486</v>
      </c>
      <c r="BR663" s="11" t="s">
        <v>88</v>
      </c>
      <c r="BS663" s="11" t="s">
        <v>89</v>
      </c>
      <c r="BT663" s="19" t="str">
        <f aca="false">IF(OR(Z663&lt;6,AH663&lt;0.9,S663&lt;0.02,AK663&lt;1),"REVIEW",IF(AND(S663&gt;0.25,AH663&gt;1.2),"ACCELERATING","STABLE"))</f>
        <v>STABLE</v>
      </c>
    </row>
    <row r="664" customFormat="false" ht="15" hidden="false" customHeight="false" outlineLevel="0" collapsed="false">
      <c r="A664" s="11" t="s">
        <v>649</v>
      </c>
      <c r="B664" s="11" t="s">
        <v>92</v>
      </c>
      <c r="C664" s="11" t="s">
        <v>74</v>
      </c>
      <c r="D664" s="11" t="s">
        <v>132</v>
      </c>
      <c r="E664" s="11" t="s">
        <v>105</v>
      </c>
      <c r="F664" s="11" t="s">
        <v>650</v>
      </c>
      <c r="G664" s="11" t="s">
        <v>78</v>
      </c>
      <c r="H664" s="11" t="s">
        <v>644</v>
      </c>
      <c r="I664" s="11" t="s">
        <v>78</v>
      </c>
      <c r="J664" s="12" t="n">
        <v>2397000</v>
      </c>
      <c r="K664" s="13" t="n">
        <f aca="false">IFERROR(J664/M664,"")</f>
        <v>0.157686994276692</v>
      </c>
      <c r="L664" s="12" t="n">
        <v>12804000</v>
      </c>
      <c r="M664" s="14" t="n">
        <f aca="false">L664+J664</f>
        <v>15201000</v>
      </c>
      <c r="N664" s="12" t="n">
        <v>2773000</v>
      </c>
      <c r="O664" s="12" t="n">
        <v>23835862</v>
      </c>
      <c r="P664" s="12" t="n">
        <v>1753297</v>
      </c>
      <c r="Q664" s="13" t="n">
        <f aca="false">IFERROR(P664/P663-1,"")</f>
        <v>0.282992869729132</v>
      </c>
      <c r="R664" s="12" t="n">
        <v>1775286</v>
      </c>
      <c r="S664" s="13" t="n">
        <f aca="false">IFERROR(R664/R663-1,"")</f>
        <v>0.195839552942571</v>
      </c>
      <c r="T664" s="12" t="n">
        <v>1478122</v>
      </c>
      <c r="U664" s="13" t="n">
        <f aca="false">IFERROR(T664/P664,"")</f>
        <v>0.84305283132293</v>
      </c>
      <c r="V664" s="14" t="n">
        <f aca="false">T664-AV664</f>
        <v>-1593440</v>
      </c>
      <c r="W664" s="14" t="n">
        <f aca="false">V664-AA664*0.1</f>
        <v>-1610840</v>
      </c>
      <c r="X664" s="12" t="n">
        <v>4321563</v>
      </c>
      <c r="Y664" s="12" t="n">
        <v>171690</v>
      </c>
      <c r="Z664" s="15" t="n">
        <f aca="false">IFERROR(X664/Y664,"")</f>
        <v>25.1707321334964</v>
      </c>
      <c r="AA664" s="12" t="n">
        <v>174000</v>
      </c>
      <c r="AB664" s="14" t="n">
        <f aca="false">W664-0.02*P664</f>
        <v>-1645905.94</v>
      </c>
      <c r="AC664" s="16" t="n">
        <v>26</v>
      </c>
      <c r="AD664" s="13" t="n">
        <f aca="false">IFERROR(AC664/AC663-1,"")</f>
        <v>0.238095238095238</v>
      </c>
      <c r="AE664" s="17" t="n">
        <v>0.118</v>
      </c>
      <c r="AF664" s="17" t="n">
        <v>0.101</v>
      </c>
      <c r="AG664" s="13" t="n">
        <f aca="false">1-AF664</f>
        <v>0.899</v>
      </c>
      <c r="AH664" s="17" t="n">
        <v>1.166</v>
      </c>
      <c r="AI664" s="12" t="n">
        <v>42126</v>
      </c>
      <c r="AJ664" s="14" t="n">
        <f aca="false">IFERROR(AM664*U664*MIN(1/AE664,5),"")</f>
        <v>92061.369180464</v>
      </c>
      <c r="AK664" s="18" t="n">
        <f aca="false">IFERROR(AJ664/AI664,"")</f>
        <v>2.18538121778626</v>
      </c>
      <c r="AL664" s="15" t="n">
        <f aca="false">IFERROR(AI664/(AM664*U664/12),"")</f>
        <v>27.4551641204177</v>
      </c>
      <c r="AM664" s="12" t="n">
        <v>21840</v>
      </c>
      <c r="AN664" s="12" t="n">
        <v>1785519</v>
      </c>
      <c r="AO664" s="12" t="n">
        <v>2947959</v>
      </c>
      <c r="AP664" s="17" t="n">
        <v>0.327</v>
      </c>
      <c r="AQ664" s="16" t="n">
        <v>86</v>
      </c>
      <c r="AR664" s="16" t="n">
        <v>3</v>
      </c>
      <c r="AS664" s="13" t="n">
        <f aca="false">IFERROR(AR664/AR663-1,"")</f>
        <v>0.5</v>
      </c>
      <c r="AT664" s="11" t="s">
        <v>201</v>
      </c>
      <c r="AU664" s="14" t="n">
        <f aca="false">IFERROR(P664/AR664,"")</f>
        <v>584432.333333333</v>
      </c>
      <c r="AV664" s="12" t="n">
        <v>3071562</v>
      </c>
      <c r="AW664" s="12" t="n">
        <v>1316490</v>
      </c>
      <c r="AX664" s="12" t="n">
        <v>910337</v>
      </c>
      <c r="AY664" s="16" t="n">
        <v>20005</v>
      </c>
      <c r="AZ664" s="13" t="n">
        <f aca="false">IFERROR(AY664/AY663-1,"")</f>
        <v>0.197760747215902</v>
      </c>
      <c r="BA664" s="17" t="n">
        <v>0.916</v>
      </c>
      <c r="BB664" s="11" t="s">
        <v>99</v>
      </c>
      <c r="BC664" s="11" t="s">
        <v>82</v>
      </c>
      <c r="BD664" s="11" t="s">
        <v>83</v>
      </c>
      <c r="BE664" s="12" t="n">
        <v>1963548</v>
      </c>
      <c r="BF664" s="13" t="n">
        <f aca="false">IFERROR(P664/BE664-1,"")</f>
        <v>-0.107077086987433</v>
      </c>
      <c r="BG664" s="17" t="n">
        <v>0.002</v>
      </c>
      <c r="BH664" s="17" t="n">
        <v>-0.004</v>
      </c>
      <c r="BI664" s="14" t="n">
        <f aca="false">P664*(1+IFERROR(Q664,0))^4</f>
        <v>4750643.71546838</v>
      </c>
      <c r="BJ664" s="12" t="n">
        <v>-1526829</v>
      </c>
      <c r="BK664" s="11" t="s">
        <v>127</v>
      </c>
      <c r="BL664" s="11" t="s">
        <v>128</v>
      </c>
      <c r="BM664" s="14" t="n">
        <f aca="false">O664</f>
        <v>23835862</v>
      </c>
      <c r="BN664" s="11" t="s">
        <v>651</v>
      </c>
      <c r="BO664" s="13" t="n">
        <f aca="false">IFERROR(1-L664/M664,"")</f>
        <v>0.157686994276692</v>
      </c>
      <c r="BP664" s="11" t="s">
        <v>198</v>
      </c>
      <c r="BQ664" s="12" t="n">
        <v>2909037</v>
      </c>
      <c r="BR664" s="11" t="s">
        <v>88</v>
      </c>
      <c r="BS664" s="11" t="s">
        <v>89</v>
      </c>
      <c r="BT664" s="19" t="str">
        <f aca="false">IF(OR(Z664&lt;6,AH664&lt;0.9,S664&lt;0.02,AK664&lt;1),"REVIEW",IF(AND(S664&gt;0.25,AH664&gt;1.2),"ACCELERATING","STABLE"))</f>
        <v>STABLE</v>
      </c>
    </row>
    <row r="665" customFormat="false" ht="15" hidden="false" customHeight="false" outlineLevel="0" collapsed="false">
      <c r="A665" s="11" t="s">
        <v>649</v>
      </c>
      <c r="B665" s="11" t="s">
        <v>93</v>
      </c>
      <c r="C665" s="11" t="s">
        <v>74</v>
      </c>
      <c r="D665" s="11" t="s">
        <v>132</v>
      </c>
      <c r="E665" s="11" t="s">
        <v>105</v>
      </c>
      <c r="F665" s="11" t="s">
        <v>650</v>
      </c>
      <c r="G665" s="11" t="s">
        <v>78</v>
      </c>
      <c r="H665" s="11" t="s">
        <v>644</v>
      </c>
      <c r="I665" s="11" t="s">
        <v>78</v>
      </c>
      <c r="J665" s="12" t="n">
        <v>2397000</v>
      </c>
      <c r="K665" s="13" t="n">
        <f aca="false">IFERROR(J665/M665,"")</f>
        <v>0.157686994276692</v>
      </c>
      <c r="L665" s="12" t="n">
        <v>12804000</v>
      </c>
      <c r="M665" s="14" t="n">
        <f aca="false">L665+J665</f>
        <v>15201000</v>
      </c>
      <c r="N665" s="12" t="n">
        <v>2773000</v>
      </c>
      <c r="O665" s="12" t="n">
        <v>23835862</v>
      </c>
      <c r="P665" s="12" t="n">
        <v>2062398</v>
      </c>
      <c r="Q665" s="13" t="n">
        <f aca="false">IFERROR(P665/P664-1,"")</f>
        <v>0.176296999310442</v>
      </c>
      <c r="R665" s="12" t="n">
        <v>2183729</v>
      </c>
      <c r="S665" s="13" t="n">
        <f aca="false">IFERROR(R665/R664-1,"")</f>
        <v>0.23007166169282</v>
      </c>
      <c r="T665" s="12" t="n">
        <v>1745694</v>
      </c>
      <c r="U665" s="13" t="n">
        <f aca="false">IFERROR(T665/P665,"")</f>
        <v>0.846438951162676</v>
      </c>
      <c r="V665" s="14" t="n">
        <f aca="false">T665-AV665</f>
        <v>-2126334</v>
      </c>
      <c r="W665" s="14" t="n">
        <f aca="false">V665-AA665*0.1</f>
        <v>-2143734</v>
      </c>
      <c r="X665" s="12" t="n">
        <v>3858000</v>
      </c>
      <c r="Y665" s="12" t="n">
        <v>177000</v>
      </c>
      <c r="Z665" s="15" t="n">
        <f aca="false">IFERROR(X665/Y665,"")</f>
        <v>21.7966101694915</v>
      </c>
      <c r="AA665" s="12" t="n">
        <v>174000</v>
      </c>
      <c r="AB665" s="14" t="n">
        <f aca="false">W665-0.02*P665</f>
        <v>-2184981.96</v>
      </c>
      <c r="AC665" s="16" t="n">
        <v>29</v>
      </c>
      <c r="AD665" s="13" t="n">
        <f aca="false">IFERROR(AC665/AC664-1,"")</f>
        <v>0.115384615384615</v>
      </c>
      <c r="AE665" s="17" t="n">
        <v>0.115</v>
      </c>
      <c r="AF665" s="17" t="n">
        <v>0.095</v>
      </c>
      <c r="AG665" s="13" t="n">
        <f aca="false">1-AF665</f>
        <v>0.905</v>
      </c>
      <c r="AH665" s="17" t="n">
        <v>1.161</v>
      </c>
      <c r="AI665" s="12" t="n">
        <v>41300</v>
      </c>
      <c r="AJ665" s="14" t="n">
        <f aca="false">IFERROR(AM665*U665*MIN(1/AE665,5),"")</f>
        <v>94208.6552644058</v>
      </c>
      <c r="AK665" s="18" t="n">
        <f aca="false">IFERROR(AJ665/AI665,"")</f>
        <v>2.28108124126891</v>
      </c>
      <c r="AL665" s="15" t="n">
        <f aca="false">IFERROR(AI665/(AM665*U665/12),"")</f>
        <v>26.3033156884073</v>
      </c>
      <c r="AM665" s="12" t="n">
        <v>22260</v>
      </c>
      <c r="AN665" s="12" t="n">
        <v>2299381</v>
      </c>
      <c r="AO665" s="12" t="n">
        <v>3282362</v>
      </c>
      <c r="AP665" s="17" t="n">
        <v>0.327</v>
      </c>
      <c r="AQ665" s="16" t="n">
        <v>86</v>
      </c>
      <c r="AR665" s="16" t="n">
        <v>3</v>
      </c>
      <c r="AS665" s="13" t="n">
        <f aca="false">IFERROR(AR665/AR664-1,"")</f>
        <v>0</v>
      </c>
      <c r="AT665" s="11" t="s">
        <v>201</v>
      </c>
      <c r="AU665" s="14" t="n">
        <f aca="false">IFERROR(P665/AR665,"")</f>
        <v>687466</v>
      </c>
      <c r="AV665" s="12" t="n">
        <v>3872028</v>
      </c>
      <c r="AW665" s="12" t="n">
        <v>1673555</v>
      </c>
      <c r="AX665" s="12" t="n">
        <v>947171</v>
      </c>
      <c r="AY665" s="16" t="n">
        <v>23462</v>
      </c>
      <c r="AZ665" s="13" t="n">
        <f aca="false">IFERROR(AY665/AY664-1,"")</f>
        <v>0.172806798300425</v>
      </c>
      <c r="BA665" s="17" t="n">
        <v>0.874</v>
      </c>
      <c r="BB665" s="11" t="s">
        <v>99</v>
      </c>
      <c r="BC665" s="11" t="s">
        <v>82</v>
      </c>
      <c r="BD665" s="11" t="s">
        <v>83</v>
      </c>
      <c r="BE665" s="12" t="n">
        <v>2109161</v>
      </c>
      <c r="BF665" s="13" t="n">
        <f aca="false">IFERROR(P665/BE665-1,"")</f>
        <v>-0.0221713752530035</v>
      </c>
      <c r="BG665" s="17" t="n">
        <v>0.005</v>
      </c>
      <c r="BH665" s="17" t="n">
        <v>0.057</v>
      </c>
      <c r="BI665" s="14" t="n">
        <f aca="false">P665*(1+IFERROR(Q665,0))^4</f>
        <v>3948575.39970754</v>
      </c>
      <c r="BJ665" s="12" t="n">
        <v>-1906513</v>
      </c>
      <c r="BK665" s="11" t="s">
        <v>127</v>
      </c>
      <c r="BL665" s="11" t="s">
        <v>128</v>
      </c>
      <c r="BM665" s="14" t="n">
        <f aca="false">O665</f>
        <v>23835862</v>
      </c>
      <c r="BN665" s="11" t="s">
        <v>651</v>
      </c>
      <c r="BO665" s="13" t="n">
        <f aca="false">IFERROR(1-L665/M665,"")</f>
        <v>0.157686994276692</v>
      </c>
      <c r="BP665" s="11" t="s">
        <v>198</v>
      </c>
      <c r="BQ665" s="12" t="n">
        <v>2546987</v>
      </c>
      <c r="BR665" s="11" t="s">
        <v>88</v>
      </c>
      <c r="BS665" s="11" t="s">
        <v>89</v>
      </c>
      <c r="BT665" s="19" t="str">
        <f aca="false">IF(OR(Z665&lt;6,AH665&lt;0.9,S665&lt;0.02,AK665&lt;1),"REVIEW",IF(AND(S665&gt;0.25,AH665&gt;1.2),"ACCELERATING","STABLE"))</f>
        <v>STABLE</v>
      </c>
    </row>
    <row r="666" customFormat="false" ht="15" hidden="false" customHeight="false" outlineLevel="0" collapsed="false">
      <c r="A666" s="3" t="s">
        <v>652</v>
      </c>
      <c r="B666" s="3" t="s">
        <v>73</v>
      </c>
      <c r="C666" s="3" t="s">
        <v>74</v>
      </c>
      <c r="D666" s="3" t="s">
        <v>75</v>
      </c>
      <c r="E666" s="3" t="s">
        <v>105</v>
      </c>
      <c r="F666" s="3" t="s">
        <v>653</v>
      </c>
      <c r="G666" s="3" t="s">
        <v>78</v>
      </c>
      <c r="H666" s="3" t="s">
        <v>644</v>
      </c>
      <c r="I666" s="3" t="s">
        <v>78</v>
      </c>
      <c r="J666" s="4" t="n">
        <v>1339000</v>
      </c>
      <c r="K666" s="5" t="n">
        <f aca="false">IFERROR(J666/M666,"")</f>
        <v>0.139174721962374</v>
      </c>
      <c r="L666" s="4" t="n">
        <v>8282000</v>
      </c>
      <c r="M666" s="6" t="n">
        <f aca="false">L666+J666</f>
        <v>9621000</v>
      </c>
      <c r="N666" s="4" t="n">
        <v>5023000</v>
      </c>
      <c r="O666" s="4" t="n">
        <v>21086585</v>
      </c>
      <c r="P666" s="4" t="n">
        <v>365215</v>
      </c>
      <c r="Q666" s="7"/>
      <c r="R666" s="4" t="n">
        <v>395319</v>
      </c>
      <c r="S666" s="7"/>
      <c r="T666" s="4" t="n">
        <v>290251</v>
      </c>
      <c r="U666" s="5" t="n">
        <f aca="false">IFERROR(T666/P666,"")</f>
        <v>0.794740084607697</v>
      </c>
      <c r="V666" s="6" t="n">
        <f aca="false">T666-AV666</f>
        <v>-2224892</v>
      </c>
      <c r="W666" s="6" t="n">
        <f aca="false">V666-AA666*0.1</f>
        <v>-2310292</v>
      </c>
      <c r="X666" s="4" t="n">
        <v>5583087</v>
      </c>
      <c r="Y666" s="4" t="n">
        <v>179270</v>
      </c>
      <c r="Z666" s="8" t="n">
        <f aca="false">IFERROR(X666/Y666,"")</f>
        <v>31.143454007921</v>
      </c>
      <c r="AA666" s="4" t="n">
        <v>854000</v>
      </c>
      <c r="AB666" s="6" t="n">
        <f aca="false">W666-0.02*P666</f>
        <v>-2317596.3</v>
      </c>
      <c r="AC666" s="9" t="n">
        <v>42</v>
      </c>
      <c r="AD666" s="7"/>
      <c r="AE666" s="7" t="n">
        <v>0.055</v>
      </c>
      <c r="AF666" s="7" t="n">
        <v>0.057</v>
      </c>
      <c r="AG666" s="5" t="n">
        <f aca="false">1-AF666</f>
        <v>0.943</v>
      </c>
      <c r="AH666" s="7" t="n">
        <v>1.166</v>
      </c>
      <c r="AI666" s="4" t="n">
        <v>67840</v>
      </c>
      <c r="AJ666" s="6" t="n">
        <f aca="false">IFERROR(AM666*U666*MIN(1/AE666,5),"")</f>
        <v>194711.320728886</v>
      </c>
      <c r="AK666" s="10" t="n">
        <f aca="false">IFERROR(AJ666/AI666,"")</f>
        <v>2.87015508149891</v>
      </c>
      <c r="AL666" s="8" t="n">
        <f aca="false">IFERROR(AI666/(AM666*U666/12),"")</f>
        <v>20.9047937467775</v>
      </c>
      <c r="AM666" s="4" t="n">
        <v>49000</v>
      </c>
      <c r="AN666" s="4" t="n">
        <v>475814</v>
      </c>
      <c r="AO666" s="4" t="n">
        <v>1007423</v>
      </c>
      <c r="AP666" s="7" t="n">
        <v>0.368</v>
      </c>
      <c r="AQ666" s="9" t="n">
        <v>54</v>
      </c>
      <c r="AR666" s="9" t="n">
        <v>5</v>
      </c>
      <c r="AS666" s="7"/>
      <c r="AT666" s="3" t="s">
        <v>98</v>
      </c>
      <c r="AU666" s="6" t="n">
        <f aca="false">IFERROR(P666/AR666,"")</f>
        <v>73043</v>
      </c>
      <c r="AV666" s="4" t="n">
        <v>2515143</v>
      </c>
      <c r="AW666" s="4" t="n">
        <v>838597</v>
      </c>
      <c r="AX666" s="4" t="n">
        <v>592354</v>
      </c>
      <c r="AY666" s="9" t="n">
        <v>23797</v>
      </c>
      <c r="AZ666" s="7"/>
      <c r="BA666" s="7" t="n">
        <v>0.951</v>
      </c>
      <c r="BB666" s="3" t="s">
        <v>81</v>
      </c>
      <c r="BC666" s="3" t="s">
        <v>126</v>
      </c>
      <c r="BD666" s="3" t="s">
        <v>175</v>
      </c>
      <c r="BE666" s="4" t="n">
        <v>433949</v>
      </c>
      <c r="BF666" s="5" t="n">
        <f aca="false">IFERROR(P666/BE666-1,"")</f>
        <v>-0.158391884760652</v>
      </c>
      <c r="BG666" s="7" t="n">
        <v>0.03</v>
      </c>
      <c r="BH666" s="7" t="n">
        <v>-0.015</v>
      </c>
      <c r="BI666" s="6" t="n">
        <f aca="false">P666</f>
        <v>365215</v>
      </c>
      <c r="BJ666" s="4" t="n">
        <v>-1225858</v>
      </c>
      <c r="BK666" s="3" t="s">
        <v>192</v>
      </c>
      <c r="BL666" s="3" t="s">
        <v>85</v>
      </c>
      <c r="BM666" s="6" t="n">
        <f aca="false">O666</f>
        <v>21086585</v>
      </c>
      <c r="BN666" s="3" t="s">
        <v>654</v>
      </c>
      <c r="BO666" s="5" t="n">
        <f aca="false">IFERROR(1-L666/M666,"")</f>
        <v>0.139174721962374</v>
      </c>
      <c r="BP666" s="3" t="s">
        <v>198</v>
      </c>
      <c r="BQ666" s="4" t="n">
        <v>2403312</v>
      </c>
      <c r="BR666" s="3" t="s">
        <v>88</v>
      </c>
      <c r="BS666" s="3" t="s">
        <v>89</v>
      </c>
      <c r="BT666" s="3" t="s">
        <v>90</v>
      </c>
    </row>
    <row r="667" customFormat="false" ht="15" hidden="false" customHeight="false" outlineLevel="0" collapsed="false">
      <c r="A667" s="11" t="s">
        <v>652</v>
      </c>
      <c r="B667" s="11" t="s">
        <v>91</v>
      </c>
      <c r="C667" s="11" t="s">
        <v>74</v>
      </c>
      <c r="D667" s="11" t="s">
        <v>75</v>
      </c>
      <c r="E667" s="11" t="s">
        <v>105</v>
      </c>
      <c r="F667" s="11" t="s">
        <v>653</v>
      </c>
      <c r="G667" s="11" t="s">
        <v>78</v>
      </c>
      <c r="H667" s="11" t="s">
        <v>644</v>
      </c>
      <c r="I667" s="11" t="s">
        <v>78</v>
      </c>
      <c r="J667" s="12" t="n">
        <v>1339000</v>
      </c>
      <c r="K667" s="13" t="n">
        <f aca="false">IFERROR(J667/M667,"")</f>
        <v>0.139174721962374</v>
      </c>
      <c r="L667" s="12" t="n">
        <v>8282000</v>
      </c>
      <c r="M667" s="14" t="n">
        <f aca="false">L667+J667</f>
        <v>9621000</v>
      </c>
      <c r="N667" s="12" t="n">
        <v>5023000</v>
      </c>
      <c r="O667" s="12" t="n">
        <v>21086585</v>
      </c>
      <c r="P667" s="12" t="n">
        <v>436258</v>
      </c>
      <c r="Q667" s="13" t="n">
        <f aca="false">IFERROR(P667/P666-1,"")</f>
        <v>0.194523773667566</v>
      </c>
      <c r="R667" s="12" t="n">
        <v>463778</v>
      </c>
      <c r="S667" s="13" t="n">
        <f aca="false">IFERROR(R667/R666-1,"")</f>
        <v>0.173174069548896</v>
      </c>
      <c r="T667" s="12" t="n">
        <v>348115</v>
      </c>
      <c r="U667" s="13" t="n">
        <f aca="false">IFERROR(T667/P667,"")</f>
        <v>0.797956713687772</v>
      </c>
      <c r="V667" s="14" t="n">
        <f aca="false">T667-AV667</f>
        <v>-2260774</v>
      </c>
      <c r="W667" s="14" t="n">
        <f aca="false">V667-AA667*0.1</f>
        <v>-2346174</v>
      </c>
      <c r="X667" s="12" t="n">
        <v>5130972</v>
      </c>
      <c r="Y667" s="12" t="n">
        <v>185180</v>
      </c>
      <c r="Z667" s="15" t="n">
        <f aca="false">IFERROR(X667/Y667,"")</f>
        <v>27.7080246246895</v>
      </c>
      <c r="AA667" s="12" t="n">
        <v>854000</v>
      </c>
      <c r="AB667" s="14" t="n">
        <f aca="false">W667-0.02*P667</f>
        <v>-2354899.16</v>
      </c>
      <c r="AC667" s="16" t="n">
        <v>46</v>
      </c>
      <c r="AD667" s="13" t="n">
        <f aca="false">IFERROR(AC667/AC666-1,"")</f>
        <v>0.0952380952380953</v>
      </c>
      <c r="AE667" s="17" t="n">
        <v>0.053</v>
      </c>
      <c r="AF667" s="17" t="n">
        <v>0.039</v>
      </c>
      <c r="AG667" s="13" t="n">
        <f aca="false">1-AF667</f>
        <v>0.961</v>
      </c>
      <c r="AH667" s="17" t="n">
        <v>1.161</v>
      </c>
      <c r="AI667" s="12" t="n">
        <v>66560</v>
      </c>
      <c r="AJ667" s="14" t="n">
        <f aca="false">IFERROR(AM667*U667*MIN(1/AE667,5),"")</f>
        <v>199409.382750574</v>
      </c>
      <c r="AK667" s="18" t="n">
        <f aca="false">IFERROR(AJ667/AI667,"")</f>
        <v>2.99593423603627</v>
      </c>
      <c r="AL667" s="15" t="n">
        <f aca="false">IFERROR(AI667/(AM667*U667/12),"")</f>
        <v>20.027141877247</v>
      </c>
      <c r="AM667" s="12" t="n">
        <v>49980</v>
      </c>
      <c r="AN667" s="12" t="n">
        <v>580899</v>
      </c>
      <c r="AO667" s="12" t="n">
        <v>1120438</v>
      </c>
      <c r="AP667" s="17" t="n">
        <v>0.368</v>
      </c>
      <c r="AQ667" s="16" t="n">
        <v>54</v>
      </c>
      <c r="AR667" s="16" t="n">
        <v>5</v>
      </c>
      <c r="AS667" s="13" t="n">
        <f aca="false">IFERROR(AR667/AR666-1,"")</f>
        <v>0</v>
      </c>
      <c r="AT667" s="11" t="s">
        <v>98</v>
      </c>
      <c r="AU667" s="14" t="n">
        <f aca="false">IFERROR(P667/AR667,"")</f>
        <v>87251.6</v>
      </c>
      <c r="AV667" s="12" t="n">
        <v>2608889</v>
      </c>
      <c r="AW667" s="12" t="n">
        <v>1166527</v>
      </c>
      <c r="AX667" s="12" t="n">
        <v>521076</v>
      </c>
      <c r="AY667" s="16" t="n">
        <v>27430</v>
      </c>
      <c r="AZ667" s="13" t="n">
        <f aca="false">IFERROR(AY667/AY666-1,"")</f>
        <v>0.152666302475102</v>
      </c>
      <c r="BA667" s="17" t="n">
        <v>0.946</v>
      </c>
      <c r="BB667" s="11" t="s">
        <v>81</v>
      </c>
      <c r="BC667" s="11" t="s">
        <v>126</v>
      </c>
      <c r="BD667" s="11" t="s">
        <v>175</v>
      </c>
      <c r="BE667" s="12" t="n">
        <v>535163</v>
      </c>
      <c r="BF667" s="13" t="n">
        <f aca="false">IFERROR(P667/BE667-1,"")</f>
        <v>-0.184812851411626</v>
      </c>
      <c r="BG667" s="17" t="n">
        <v>0.057</v>
      </c>
      <c r="BH667" s="17" t="n">
        <v>0.005</v>
      </c>
      <c r="BI667" s="14" t="n">
        <f aca="false">P667*(1+IFERROR(Q667,0))^4</f>
        <v>888224.185466193</v>
      </c>
      <c r="BJ667" s="12" t="n">
        <v>-2165997</v>
      </c>
      <c r="BK667" s="11" t="s">
        <v>192</v>
      </c>
      <c r="BL667" s="11" t="s">
        <v>85</v>
      </c>
      <c r="BM667" s="14" t="n">
        <f aca="false">O667</f>
        <v>21086585</v>
      </c>
      <c r="BN667" s="11" t="s">
        <v>654</v>
      </c>
      <c r="BO667" s="13" t="n">
        <f aca="false">IFERROR(1-L667/M667,"")</f>
        <v>0.139174721962374</v>
      </c>
      <c r="BP667" s="11" t="s">
        <v>198</v>
      </c>
      <c r="BQ667" s="12" t="n">
        <v>3604460</v>
      </c>
      <c r="BR667" s="11" t="s">
        <v>88</v>
      </c>
      <c r="BS667" s="11" t="s">
        <v>89</v>
      </c>
      <c r="BT667" s="19" t="str">
        <f aca="false">IF(OR(Z667&lt;6,AH667&lt;0.9,S667&lt;0.02,AK667&lt;1),"REVIEW",IF(AND(S667&gt;0.25,AH667&gt;1.2),"ACCELERATING","STABLE"))</f>
        <v>STABLE</v>
      </c>
    </row>
    <row r="668" customFormat="false" ht="15" hidden="false" customHeight="false" outlineLevel="0" collapsed="false">
      <c r="A668" s="11" t="s">
        <v>652</v>
      </c>
      <c r="B668" s="11" t="s">
        <v>92</v>
      </c>
      <c r="C668" s="11" t="s">
        <v>74</v>
      </c>
      <c r="D668" s="11" t="s">
        <v>75</v>
      </c>
      <c r="E668" s="11" t="s">
        <v>105</v>
      </c>
      <c r="F668" s="11" t="s">
        <v>653</v>
      </c>
      <c r="G668" s="11" t="s">
        <v>78</v>
      </c>
      <c r="H668" s="11" t="s">
        <v>644</v>
      </c>
      <c r="I668" s="11" t="s">
        <v>78</v>
      </c>
      <c r="J668" s="12" t="n">
        <v>1339000</v>
      </c>
      <c r="K668" s="13" t="n">
        <f aca="false">IFERROR(J668/M668,"")</f>
        <v>0.139174721962374</v>
      </c>
      <c r="L668" s="12" t="n">
        <v>8282000</v>
      </c>
      <c r="M668" s="14" t="n">
        <f aca="false">L668+J668</f>
        <v>9621000</v>
      </c>
      <c r="N668" s="12" t="n">
        <v>5023000</v>
      </c>
      <c r="O668" s="12" t="n">
        <v>21086585</v>
      </c>
      <c r="P668" s="12" t="n">
        <v>488335</v>
      </c>
      <c r="Q668" s="13" t="n">
        <f aca="false">IFERROR(P668/P667-1,"")</f>
        <v>0.119372022977229</v>
      </c>
      <c r="R668" s="12" t="n">
        <v>590407</v>
      </c>
      <c r="S668" s="13" t="n">
        <f aca="false">IFERROR(R668/R667-1,"")</f>
        <v>0.273037962128432</v>
      </c>
      <c r="T668" s="12" t="n">
        <v>391241</v>
      </c>
      <c r="U668" s="13" t="n">
        <f aca="false">IFERROR(T668/P668,"")</f>
        <v>0.801173374834898</v>
      </c>
      <c r="V668" s="14" t="n">
        <f aca="false">T668-AV668</f>
        <v>-2077835</v>
      </c>
      <c r="W668" s="14" t="n">
        <f aca="false">V668-AA668*0.1</f>
        <v>-2163235</v>
      </c>
      <c r="X668" s="12" t="n">
        <v>4646943</v>
      </c>
      <c r="Y668" s="12" t="n">
        <v>191090</v>
      </c>
      <c r="Z668" s="15" t="n">
        <f aca="false">IFERROR(X668/Y668,"")</f>
        <v>24.3180857187713</v>
      </c>
      <c r="AA668" s="12" t="n">
        <v>854000</v>
      </c>
      <c r="AB668" s="14" t="n">
        <f aca="false">W668-0.02*P668</f>
        <v>-2173001.7</v>
      </c>
      <c r="AC668" s="16" t="n">
        <v>53</v>
      </c>
      <c r="AD668" s="13" t="n">
        <f aca="false">IFERROR(AC668/AC667-1,"")</f>
        <v>0.152173913043478</v>
      </c>
      <c r="AE668" s="17" t="n">
        <v>0.052</v>
      </c>
      <c r="AF668" s="17" t="n">
        <v>0.05</v>
      </c>
      <c r="AG668" s="13" t="n">
        <f aca="false">1-AF668</f>
        <v>0.95</v>
      </c>
      <c r="AH668" s="17" t="n">
        <v>1.156</v>
      </c>
      <c r="AI668" s="12" t="n">
        <v>65280</v>
      </c>
      <c r="AJ668" s="14" t="n">
        <f aca="false">IFERROR(AM668*U668*MIN(1/AE668,5),"")</f>
        <v>204138.975907932</v>
      </c>
      <c r="AK668" s="18" t="n">
        <f aca="false">IFERROR(AJ668/AI668,"")</f>
        <v>3.12712892015827</v>
      </c>
      <c r="AL668" s="15" t="n">
        <f aca="false">IFERROR(AI668/(AM668*U668/12),"")</f>
        <v>19.1869288193476</v>
      </c>
      <c r="AM668" s="12" t="n">
        <v>50960</v>
      </c>
      <c r="AN668" s="12" t="n">
        <v>881749</v>
      </c>
      <c r="AO668" s="12" t="n">
        <v>2011973</v>
      </c>
      <c r="AP668" s="17" t="n">
        <v>0.368</v>
      </c>
      <c r="AQ668" s="16" t="n">
        <v>54</v>
      </c>
      <c r="AR668" s="16" t="n">
        <v>6</v>
      </c>
      <c r="AS668" s="13" t="n">
        <f aca="false">IFERROR(AR668/AR667-1,"")</f>
        <v>0.2</v>
      </c>
      <c r="AT668" s="11" t="s">
        <v>98</v>
      </c>
      <c r="AU668" s="14" t="n">
        <f aca="false">IFERROR(P668/AR668,"")</f>
        <v>81389.1666666667</v>
      </c>
      <c r="AV668" s="12" t="n">
        <v>2469076</v>
      </c>
      <c r="AW668" s="12" t="n">
        <v>955126</v>
      </c>
      <c r="AX668" s="12" t="n">
        <v>607640</v>
      </c>
      <c r="AY668" s="16" t="n">
        <v>33089</v>
      </c>
      <c r="AZ668" s="13" t="n">
        <f aca="false">IFERROR(AY668/AY667-1,"")</f>
        <v>0.206306963179001</v>
      </c>
      <c r="BA668" s="17" t="n">
        <v>0.944</v>
      </c>
      <c r="BB668" s="11" t="s">
        <v>81</v>
      </c>
      <c r="BC668" s="11" t="s">
        <v>126</v>
      </c>
      <c r="BD668" s="11" t="s">
        <v>175</v>
      </c>
      <c r="BE668" s="12" t="n">
        <v>595448</v>
      </c>
      <c r="BF668" s="13" t="n">
        <f aca="false">IFERROR(P668/BE668-1,"")</f>
        <v>-0.179886404858191</v>
      </c>
      <c r="BG668" s="17" t="n">
        <v>0.021</v>
      </c>
      <c r="BH668" s="17" t="n">
        <v>0.057</v>
      </c>
      <c r="BI668" s="14" t="n">
        <f aca="false">P668*(1+IFERROR(Q668,0))^4</f>
        <v>766682.666901647</v>
      </c>
      <c r="BJ668" s="12" t="n">
        <v>-2250639</v>
      </c>
      <c r="BK668" s="11" t="s">
        <v>192</v>
      </c>
      <c r="BL668" s="11" t="s">
        <v>85</v>
      </c>
      <c r="BM668" s="14" t="n">
        <f aca="false">O668</f>
        <v>21086585</v>
      </c>
      <c r="BN668" s="11" t="s">
        <v>654</v>
      </c>
      <c r="BO668" s="13" t="n">
        <f aca="false">IFERROR(1-L668/M668,"")</f>
        <v>0.139174721962374</v>
      </c>
      <c r="BP668" s="11" t="s">
        <v>198</v>
      </c>
      <c r="BQ668" s="12" t="n">
        <v>3302689</v>
      </c>
      <c r="BR668" s="11" t="s">
        <v>88</v>
      </c>
      <c r="BS668" s="11" t="s">
        <v>89</v>
      </c>
      <c r="BT668" s="19" t="str">
        <f aca="false">IF(OR(Z668&lt;6,AH668&lt;0.9,S668&lt;0.02,AK668&lt;1),"REVIEW",IF(AND(S668&gt;0.25,AH668&gt;1.2),"ACCELERATING","STABLE"))</f>
        <v>STABLE</v>
      </c>
    </row>
    <row r="669" customFormat="false" ht="15" hidden="false" customHeight="false" outlineLevel="0" collapsed="false">
      <c r="A669" s="11" t="s">
        <v>652</v>
      </c>
      <c r="B669" s="11" t="s">
        <v>93</v>
      </c>
      <c r="C669" s="11" t="s">
        <v>74</v>
      </c>
      <c r="D669" s="11" t="s">
        <v>75</v>
      </c>
      <c r="E669" s="11" t="s">
        <v>105</v>
      </c>
      <c r="F669" s="11" t="s">
        <v>653</v>
      </c>
      <c r="G669" s="11" t="s">
        <v>78</v>
      </c>
      <c r="H669" s="11" t="s">
        <v>644</v>
      </c>
      <c r="I669" s="11" t="s">
        <v>78</v>
      </c>
      <c r="J669" s="12" t="n">
        <v>1339000</v>
      </c>
      <c r="K669" s="13" t="n">
        <f aca="false">IFERROR(J669/M669,"")</f>
        <v>0.139174721962374</v>
      </c>
      <c r="L669" s="12" t="n">
        <v>8282000</v>
      </c>
      <c r="M669" s="14" t="n">
        <f aca="false">L669+J669</f>
        <v>9621000</v>
      </c>
      <c r="N669" s="12" t="n">
        <v>5023000</v>
      </c>
      <c r="O669" s="12" t="n">
        <v>21086585</v>
      </c>
      <c r="P669" s="12" t="n">
        <v>581062</v>
      </c>
      <c r="Q669" s="13" t="n">
        <f aca="false">IFERROR(P669/P668-1,"")</f>
        <v>0.189883993569988</v>
      </c>
      <c r="R669" s="12" t="n">
        <v>666908</v>
      </c>
      <c r="S669" s="13" t="n">
        <f aca="false">IFERROR(R669/R668-1,"")</f>
        <v>0.12957332822951</v>
      </c>
      <c r="T669" s="12" t="n">
        <v>467401</v>
      </c>
      <c r="U669" s="13" t="n">
        <f aca="false">IFERROR(T669/P669,"")</f>
        <v>0.804390925581091</v>
      </c>
      <c r="V669" s="14" t="n">
        <f aca="false">T669-AV669</f>
        <v>-2456130</v>
      </c>
      <c r="W669" s="14" t="n">
        <f aca="false">V669-AA669*0.1</f>
        <v>-2541530</v>
      </c>
      <c r="X669" s="12" t="n">
        <v>4131000</v>
      </c>
      <c r="Y669" s="12" t="n">
        <v>197000</v>
      </c>
      <c r="Z669" s="15" t="n">
        <f aca="false">IFERROR(X669/Y669,"")</f>
        <v>20.9695431472081</v>
      </c>
      <c r="AA669" s="12" t="n">
        <v>854000</v>
      </c>
      <c r="AB669" s="14" t="n">
        <f aca="false">W669-0.02*P669</f>
        <v>-2553151.24</v>
      </c>
      <c r="AC669" s="16" t="n">
        <v>59</v>
      </c>
      <c r="AD669" s="13" t="n">
        <f aca="false">IFERROR(AC669/AC668-1,"")</f>
        <v>0.113207547169811</v>
      </c>
      <c r="AE669" s="17" t="n">
        <v>0.05</v>
      </c>
      <c r="AF669" s="17" t="n">
        <v>0.044</v>
      </c>
      <c r="AG669" s="13" t="n">
        <f aca="false">1-AF669</f>
        <v>0.956</v>
      </c>
      <c r="AH669" s="17" t="n">
        <v>1.151</v>
      </c>
      <c r="AI669" s="12" t="n">
        <v>64000</v>
      </c>
      <c r="AJ669" s="14" t="n">
        <f aca="false">IFERROR(AM669*U669*MIN(1/AE669,5),"")</f>
        <v>208900.323373409</v>
      </c>
      <c r="AK669" s="18" t="n">
        <f aca="false">IFERROR(AJ669/AI669,"")</f>
        <v>3.26406755270952</v>
      </c>
      <c r="AL669" s="15" t="n">
        <f aca="false">IFERROR(AI669/(AM669*U669/12),"")</f>
        <v>18.381972502436</v>
      </c>
      <c r="AM669" s="12" t="n">
        <v>51940</v>
      </c>
      <c r="AN669" s="12" t="n">
        <v>748132</v>
      </c>
      <c r="AO669" s="12" t="n">
        <v>2268140</v>
      </c>
      <c r="AP669" s="17" t="n">
        <v>0.368</v>
      </c>
      <c r="AQ669" s="16" t="n">
        <v>54</v>
      </c>
      <c r="AR669" s="16" t="n">
        <v>7</v>
      </c>
      <c r="AS669" s="13" t="n">
        <f aca="false">IFERROR(AR669/AR668-1,"")</f>
        <v>0.166666666666667</v>
      </c>
      <c r="AT669" s="11" t="s">
        <v>98</v>
      </c>
      <c r="AU669" s="14" t="n">
        <f aca="false">IFERROR(P669/AR669,"")</f>
        <v>83008.8571428571</v>
      </c>
      <c r="AV669" s="12" t="n">
        <v>2923531</v>
      </c>
      <c r="AW669" s="12" t="n">
        <v>1179895</v>
      </c>
      <c r="AX669" s="12" t="n">
        <v>689905</v>
      </c>
      <c r="AY669" s="16" t="n">
        <v>37324</v>
      </c>
      <c r="AZ669" s="13" t="n">
        <f aca="false">IFERROR(AY669/AY668-1,"")</f>
        <v>0.127988153162683</v>
      </c>
      <c r="BA669" s="17" t="n">
        <v>0.961</v>
      </c>
      <c r="BB669" s="11" t="s">
        <v>81</v>
      </c>
      <c r="BC669" s="11" t="s">
        <v>126</v>
      </c>
      <c r="BD669" s="11" t="s">
        <v>175</v>
      </c>
      <c r="BE669" s="12" t="n">
        <v>563756</v>
      </c>
      <c r="BF669" s="13" t="n">
        <f aca="false">IFERROR(P669/BE669-1,"")</f>
        <v>0.0306976777187293</v>
      </c>
      <c r="BG669" s="17" t="n">
        <v>-0.008</v>
      </c>
      <c r="BH669" s="17" t="n">
        <v>-0.05</v>
      </c>
      <c r="BI669" s="14" t="n">
        <f aca="false">P669*(1+IFERROR(Q669,0))^4</f>
        <v>1164772.11290992</v>
      </c>
      <c r="BJ669" s="12" t="n">
        <v>-1995105</v>
      </c>
      <c r="BK669" s="11" t="s">
        <v>192</v>
      </c>
      <c r="BL669" s="11" t="s">
        <v>85</v>
      </c>
      <c r="BM669" s="14" t="n">
        <f aca="false">O669</f>
        <v>21086585</v>
      </c>
      <c r="BN669" s="11" t="s">
        <v>654</v>
      </c>
      <c r="BO669" s="13" t="n">
        <f aca="false">IFERROR(1-L669/M669,"")</f>
        <v>0.139174721962374</v>
      </c>
      <c r="BP669" s="11" t="s">
        <v>198</v>
      </c>
      <c r="BQ669" s="12" t="n">
        <v>3443578</v>
      </c>
      <c r="BR669" s="11" t="s">
        <v>88</v>
      </c>
      <c r="BS669" s="11" t="s">
        <v>89</v>
      </c>
      <c r="BT669" s="19" t="str">
        <f aca="false">IF(OR(Z669&lt;6,AH669&lt;0.9,S669&lt;0.02,AK669&lt;1),"REVIEW",IF(AND(S669&gt;0.25,AH669&gt;1.2),"ACCELERATING","STABLE"))</f>
        <v>STABLE</v>
      </c>
    </row>
    <row r="670" customFormat="false" ht="15" hidden="false" customHeight="false" outlineLevel="0" collapsed="false">
      <c r="A670" s="3" t="s">
        <v>655</v>
      </c>
      <c r="B670" s="3" t="s">
        <v>73</v>
      </c>
      <c r="C670" s="3" t="s">
        <v>74</v>
      </c>
      <c r="D670" s="3" t="s">
        <v>75</v>
      </c>
      <c r="E670" s="3" t="s">
        <v>656</v>
      </c>
      <c r="F670" s="3" t="s">
        <v>657</v>
      </c>
      <c r="G670" s="3" t="s">
        <v>78</v>
      </c>
      <c r="H670" s="3" t="s">
        <v>644</v>
      </c>
      <c r="I670" s="3" t="s">
        <v>78</v>
      </c>
      <c r="J670" s="4" t="n">
        <v>3138000</v>
      </c>
      <c r="K670" s="5" t="n">
        <f aca="false">IFERROR(J670/M670,"")</f>
        <v>0.154027389191577</v>
      </c>
      <c r="L670" s="4" t="n">
        <v>17235000</v>
      </c>
      <c r="M670" s="6" t="n">
        <f aca="false">L670+J670</f>
        <v>20373000</v>
      </c>
      <c r="N670" s="4" t="n">
        <v>5097000</v>
      </c>
      <c r="O670" s="4" t="n">
        <v>35926014</v>
      </c>
      <c r="P670" s="4" t="n">
        <v>1135415</v>
      </c>
      <c r="Q670" s="7"/>
      <c r="R670" s="4" t="n">
        <v>1205028</v>
      </c>
      <c r="S670" s="7"/>
      <c r="T670" s="4" t="n">
        <v>731574</v>
      </c>
      <c r="U670" s="5" t="n">
        <f aca="false">IFERROR(T670/P670,"")</f>
        <v>0.644323000841102</v>
      </c>
      <c r="V670" s="6" t="n">
        <f aca="false">T670-AV670</f>
        <v>-1309467</v>
      </c>
      <c r="W670" s="6" t="n">
        <f aca="false">V670-AA670*0.1</f>
        <v>-1309467</v>
      </c>
      <c r="X670" s="4" t="n">
        <v>3576294</v>
      </c>
      <c r="Y670" s="4" t="n">
        <v>103740</v>
      </c>
      <c r="Z670" s="8" t="n">
        <f aca="false">IFERROR(X670/Y670,"")</f>
        <v>34.4736263736264</v>
      </c>
      <c r="AA670" s="4" t="n">
        <v>0</v>
      </c>
      <c r="AB670" s="6" t="n">
        <f aca="false">W670-0.02*P670</f>
        <v>-1332175.3</v>
      </c>
      <c r="AC670" s="9" t="n">
        <v>15</v>
      </c>
      <c r="AD670" s="7"/>
      <c r="AE670" s="7" t="n">
        <v>0.106</v>
      </c>
      <c r="AF670" s="7" t="n">
        <v>0.111</v>
      </c>
      <c r="AG670" s="5" t="n">
        <f aca="false">1-AF670</f>
        <v>0.889</v>
      </c>
      <c r="AH670" s="7" t="n">
        <v>1.055</v>
      </c>
      <c r="AI670" s="4" t="n">
        <v>13356</v>
      </c>
      <c r="AJ670" s="6" t="n">
        <f aca="false">IFERROR(AM670*U670*MIN(1/AE670,5),"")</f>
        <v>38659.3800504661</v>
      </c>
      <c r="AK670" s="10" t="n">
        <f aca="false">IFERROR(AJ670/AI670,"")</f>
        <v>2.89453279802831</v>
      </c>
      <c r="AL670" s="8" t="n">
        <f aca="false">IFERROR(AI670/(AM670*U670/12),"")</f>
        <v>20.7287338533081</v>
      </c>
      <c r="AM670" s="4" t="n">
        <v>12000</v>
      </c>
      <c r="AN670" s="4" t="n">
        <v>1288223</v>
      </c>
      <c r="AO670" s="4" t="n">
        <v>3815394</v>
      </c>
      <c r="AP670" s="7" t="n">
        <v>0.317</v>
      </c>
      <c r="AQ670" s="9" t="n">
        <v>36</v>
      </c>
      <c r="AR670" s="9" t="n">
        <v>2</v>
      </c>
      <c r="AS670" s="7"/>
      <c r="AT670" s="3" t="s">
        <v>134</v>
      </c>
      <c r="AU670" s="6" t="n">
        <f aca="false">IFERROR(P670/AR670,"")</f>
        <v>567707.5</v>
      </c>
      <c r="AV670" s="4" t="n">
        <v>2041041</v>
      </c>
      <c r="AW670" s="4" t="n">
        <v>661736</v>
      </c>
      <c r="AX670" s="4" t="n">
        <v>625337</v>
      </c>
      <c r="AY670" s="9" t="n">
        <v>2549</v>
      </c>
      <c r="AZ670" s="7"/>
      <c r="BA670" s="7" t="n">
        <v>0.9</v>
      </c>
      <c r="BB670" s="3" t="s">
        <v>161</v>
      </c>
      <c r="BC670" s="3" t="s">
        <v>126</v>
      </c>
      <c r="BD670" s="3" t="s">
        <v>101</v>
      </c>
      <c r="BE670" s="4" t="n">
        <v>1407738</v>
      </c>
      <c r="BF670" s="5" t="n">
        <f aca="false">IFERROR(P670/BE670-1,"")</f>
        <v>-0.193447218161334</v>
      </c>
      <c r="BG670" s="7" t="n">
        <v>0.005</v>
      </c>
      <c r="BH670" s="7" t="n">
        <v>-0.061</v>
      </c>
      <c r="BI670" s="6" t="n">
        <f aca="false">P670</f>
        <v>1135415</v>
      </c>
      <c r="BJ670" s="4" t="n">
        <v>-732009</v>
      </c>
      <c r="BK670" s="3" t="s">
        <v>127</v>
      </c>
      <c r="BL670" s="3" t="s">
        <v>111</v>
      </c>
      <c r="BM670" s="6" t="n">
        <f aca="false">O670</f>
        <v>35926014</v>
      </c>
      <c r="BN670" s="3" t="s">
        <v>658</v>
      </c>
      <c r="BO670" s="5" t="n">
        <f aca="false">IFERROR(1-L670/M670,"")</f>
        <v>0.154027389191577</v>
      </c>
      <c r="BP670" s="3" t="s">
        <v>87</v>
      </c>
      <c r="BQ670" s="4" t="n">
        <v>1918933</v>
      </c>
      <c r="BR670" s="3" t="s">
        <v>88</v>
      </c>
      <c r="BS670" s="3" t="s">
        <v>89</v>
      </c>
      <c r="BT670" s="3" t="s">
        <v>90</v>
      </c>
    </row>
    <row r="671" customFormat="false" ht="15" hidden="false" customHeight="false" outlineLevel="0" collapsed="false">
      <c r="A671" s="11" t="s">
        <v>655</v>
      </c>
      <c r="B671" s="11" t="s">
        <v>91</v>
      </c>
      <c r="C671" s="11" t="s">
        <v>74</v>
      </c>
      <c r="D671" s="11" t="s">
        <v>75</v>
      </c>
      <c r="E671" s="11" t="s">
        <v>656</v>
      </c>
      <c r="F671" s="11" t="s">
        <v>657</v>
      </c>
      <c r="G671" s="11" t="s">
        <v>78</v>
      </c>
      <c r="H671" s="11" t="s">
        <v>644</v>
      </c>
      <c r="I671" s="11" t="s">
        <v>78</v>
      </c>
      <c r="J671" s="12" t="n">
        <v>3138000</v>
      </c>
      <c r="K671" s="13" t="n">
        <f aca="false">IFERROR(J671/M671,"")</f>
        <v>0.154027389191577</v>
      </c>
      <c r="L671" s="12" t="n">
        <v>17235000</v>
      </c>
      <c r="M671" s="14" t="n">
        <f aca="false">L671+J671</f>
        <v>20373000</v>
      </c>
      <c r="N671" s="12" t="n">
        <v>5097000</v>
      </c>
      <c r="O671" s="12" t="n">
        <v>35926014</v>
      </c>
      <c r="P671" s="12" t="n">
        <v>1278793</v>
      </c>
      <c r="Q671" s="13" t="n">
        <f aca="false">IFERROR(P671/P670-1,"")</f>
        <v>0.126278056921918</v>
      </c>
      <c r="R671" s="12" t="n">
        <v>1435003</v>
      </c>
      <c r="S671" s="13" t="n">
        <f aca="false">IFERROR(R671/R670-1,"")</f>
        <v>0.190846187806424</v>
      </c>
      <c r="T671" s="12" t="n">
        <v>827291</v>
      </c>
      <c r="U671" s="13" t="n">
        <f aca="false">IFERROR(T671/P671,"")</f>
        <v>0.646931129588604</v>
      </c>
      <c r="V671" s="14" t="n">
        <f aca="false">T671-AV671</f>
        <v>-1391004</v>
      </c>
      <c r="W671" s="14" t="n">
        <f aca="false">V671-AA671*0.1</f>
        <v>-1391004</v>
      </c>
      <c r="X671" s="12" t="n">
        <v>3314664</v>
      </c>
      <c r="Y671" s="12" t="n">
        <v>107160</v>
      </c>
      <c r="Z671" s="15" t="n">
        <f aca="false">IFERROR(X671/Y671,"")</f>
        <v>30.931914893617</v>
      </c>
      <c r="AA671" s="12" t="n">
        <v>0</v>
      </c>
      <c r="AB671" s="14" t="n">
        <f aca="false">W671-0.02*P671</f>
        <v>-1416579.86</v>
      </c>
      <c r="AC671" s="16" t="n">
        <v>19</v>
      </c>
      <c r="AD671" s="13" t="n">
        <f aca="false">IFERROR(AC671/AC670-1,"")</f>
        <v>0.266666666666667</v>
      </c>
      <c r="AE671" s="17" t="n">
        <v>0.103</v>
      </c>
      <c r="AF671" s="17" t="n">
        <v>0.072</v>
      </c>
      <c r="AG671" s="13" t="n">
        <f aca="false">1-AF671</f>
        <v>0.928</v>
      </c>
      <c r="AH671" s="17" t="n">
        <v>1.05</v>
      </c>
      <c r="AI671" s="12" t="n">
        <v>13104</v>
      </c>
      <c r="AJ671" s="14" t="n">
        <f aca="false">IFERROR(AM671*U671*MIN(1/AE671,5),"")</f>
        <v>39592.1851308226</v>
      </c>
      <c r="AK671" s="18" t="n">
        <f aca="false">IFERROR(AJ671/AI671,"")</f>
        <v>3.02138164917755</v>
      </c>
      <c r="AL671" s="15" t="n">
        <f aca="false">IFERROR(AI671/(AM671*U671/12),"")</f>
        <v>19.8584644268071</v>
      </c>
      <c r="AM671" s="12" t="n">
        <v>12240</v>
      </c>
      <c r="AN671" s="12" t="n">
        <v>2109087</v>
      </c>
      <c r="AO671" s="12" t="n">
        <v>3377046</v>
      </c>
      <c r="AP671" s="17" t="n">
        <v>0.317</v>
      </c>
      <c r="AQ671" s="16" t="n">
        <v>36</v>
      </c>
      <c r="AR671" s="16" t="n">
        <v>2</v>
      </c>
      <c r="AS671" s="13" t="n">
        <f aca="false">IFERROR(AR671/AR670-1,"")</f>
        <v>0</v>
      </c>
      <c r="AT671" s="11" t="s">
        <v>134</v>
      </c>
      <c r="AU671" s="14" t="n">
        <f aca="false">IFERROR(P671/AR671,"")</f>
        <v>639396.5</v>
      </c>
      <c r="AV671" s="12" t="n">
        <v>2218295</v>
      </c>
      <c r="AW671" s="12" t="n">
        <v>930074</v>
      </c>
      <c r="AX671" s="12" t="n">
        <v>576643</v>
      </c>
      <c r="AY671" s="16" t="n">
        <v>2926</v>
      </c>
      <c r="AZ671" s="13" t="n">
        <f aca="false">IFERROR(AY671/AY670-1,"")</f>
        <v>0.147901137701059</v>
      </c>
      <c r="BA671" s="17" t="n">
        <v>0.902</v>
      </c>
      <c r="BB671" s="11" t="s">
        <v>161</v>
      </c>
      <c r="BC671" s="11" t="s">
        <v>126</v>
      </c>
      <c r="BD671" s="11" t="s">
        <v>101</v>
      </c>
      <c r="BE671" s="12" t="n">
        <v>1474139</v>
      </c>
      <c r="BF671" s="13" t="n">
        <f aca="false">IFERROR(P671/BE671-1,"")</f>
        <v>-0.132515319111698</v>
      </c>
      <c r="BG671" s="17" t="n">
        <v>0.046</v>
      </c>
      <c r="BH671" s="17" t="n">
        <v>0.066</v>
      </c>
      <c r="BI671" s="14" t="n">
        <f aca="false">P671*(1+IFERROR(Q671,0))^4</f>
        <v>2057703.24265273</v>
      </c>
      <c r="BJ671" s="12" t="n">
        <v>-969639</v>
      </c>
      <c r="BK671" s="11" t="s">
        <v>127</v>
      </c>
      <c r="BL671" s="11" t="s">
        <v>111</v>
      </c>
      <c r="BM671" s="14" t="n">
        <f aca="false">O671</f>
        <v>35926014</v>
      </c>
      <c r="BN671" s="11" t="s">
        <v>658</v>
      </c>
      <c r="BO671" s="13" t="n">
        <f aca="false">IFERROR(1-L671/M671,"")</f>
        <v>0.154027389191577</v>
      </c>
      <c r="BP671" s="11" t="s">
        <v>87</v>
      </c>
      <c r="BQ671" s="12" t="n">
        <v>2121891</v>
      </c>
      <c r="BR671" s="11" t="s">
        <v>88</v>
      </c>
      <c r="BS671" s="11" t="s">
        <v>89</v>
      </c>
      <c r="BT671" s="19" t="str">
        <f aca="false">IF(OR(Z671&lt;6,AH671&lt;0.9,S671&lt;0.02,AK671&lt;1),"REVIEW",IF(AND(S671&gt;0.25,AH671&gt;1.2),"ACCELERATING","STABLE"))</f>
        <v>STABLE</v>
      </c>
    </row>
    <row r="672" customFormat="false" ht="15" hidden="false" customHeight="false" outlineLevel="0" collapsed="false">
      <c r="A672" s="11" t="s">
        <v>655</v>
      </c>
      <c r="B672" s="11" t="s">
        <v>92</v>
      </c>
      <c r="C672" s="11" t="s">
        <v>74</v>
      </c>
      <c r="D672" s="11" t="s">
        <v>75</v>
      </c>
      <c r="E672" s="11" t="s">
        <v>656</v>
      </c>
      <c r="F672" s="11" t="s">
        <v>657</v>
      </c>
      <c r="G672" s="11" t="s">
        <v>78</v>
      </c>
      <c r="H672" s="11" t="s">
        <v>644</v>
      </c>
      <c r="I672" s="11" t="s">
        <v>78</v>
      </c>
      <c r="J672" s="12" t="n">
        <v>3138000</v>
      </c>
      <c r="K672" s="13" t="n">
        <f aca="false">IFERROR(J672/M672,"")</f>
        <v>0.154027389191577</v>
      </c>
      <c r="L672" s="12" t="n">
        <v>17235000</v>
      </c>
      <c r="M672" s="14" t="n">
        <f aca="false">L672+J672</f>
        <v>20373000</v>
      </c>
      <c r="N672" s="12" t="n">
        <v>5097000</v>
      </c>
      <c r="O672" s="12" t="n">
        <v>35926014</v>
      </c>
      <c r="P672" s="12" t="n">
        <v>1628989</v>
      </c>
      <c r="Q672" s="13" t="n">
        <f aca="false">IFERROR(P672/P671-1,"")</f>
        <v>0.27384885591335</v>
      </c>
      <c r="R672" s="12" t="n">
        <v>1670200</v>
      </c>
      <c r="S672" s="13" t="n">
        <f aca="false">IFERROR(R672/R671-1,"")</f>
        <v>0.16390000578396</v>
      </c>
      <c r="T672" s="12" t="n">
        <v>1058093</v>
      </c>
      <c r="U672" s="13" t="n">
        <f aca="false">IFERROR(T672/P672,"")</f>
        <v>0.649539683816158</v>
      </c>
      <c r="V672" s="14" t="n">
        <f aca="false">T672-AV672</f>
        <v>-1348535</v>
      </c>
      <c r="W672" s="14" t="n">
        <f aca="false">V672-AA672*0.1</f>
        <v>-1348535</v>
      </c>
      <c r="X672" s="12" t="n">
        <v>3034566</v>
      </c>
      <c r="Y672" s="12" t="n">
        <v>110580</v>
      </c>
      <c r="Z672" s="15" t="n">
        <f aca="false">IFERROR(X672/Y672,"")</f>
        <v>27.4422680412371</v>
      </c>
      <c r="AA672" s="12" t="n">
        <v>0</v>
      </c>
      <c r="AB672" s="14" t="n">
        <f aca="false">W672-0.02*P672</f>
        <v>-1381114.78</v>
      </c>
      <c r="AC672" s="16" t="n">
        <v>20</v>
      </c>
      <c r="AD672" s="13" t="n">
        <f aca="false">IFERROR(AC672/AC671-1,"")</f>
        <v>0.0526315789473684</v>
      </c>
      <c r="AE672" s="17" t="n">
        <v>0.1</v>
      </c>
      <c r="AF672" s="17" t="n">
        <v>0.064</v>
      </c>
      <c r="AG672" s="13" t="n">
        <f aca="false">1-AF672</f>
        <v>0.936</v>
      </c>
      <c r="AH672" s="17" t="n">
        <v>1.045</v>
      </c>
      <c r="AI672" s="12" t="n">
        <v>12852</v>
      </c>
      <c r="AJ672" s="14" t="n">
        <f aca="false">IFERROR(AM672*U672*MIN(1/AE672,5),"")</f>
        <v>40531.2762701283</v>
      </c>
      <c r="AK672" s="18" t="n">
        <f aca="false">IFERROR(AJ672/AI672,"")</f>
        <v>3.15369407641832</v>
      </c>
      <c r="AL672" s="15" t="n">
        <f aca="false">IFERROR(AI672/(AM672*U672/12),"")</f>
        <v>19.025307638001</v>
      </c>
      <c r="AM672" s="12" t="n">
        <v>12480</v>
      </c>
      <c r="AN672" s="12" t="n">
        <v>2464544</v>
      </c>
      <c r="AO672" s="12" t="n">
        <v>5894362</v>
      </c>
      <c r="AP672" s="17" t="n">
        <v>0.317</v>
      </c>
      <c r="AQ672" s="16" t="n">
        <v>36</v>
      </c>
      <c r="AR672" s="16" t="n">
        <v>2</v>
      </c>
      <c r="AS672" s="13" t="n">
        <f aca="false">IFERROR(AR672/AR671-1,"")</f>
        <v>0</v>
      </c>
      <c r="AT672" s="11" t="s">
        <v>134</v>
      </c>
      <c r="AU672" s="14" t="n">
        <f aca="false">IFERROR(P672/AR672,"")</f>
        <v>814494.5</v>
      </c>
      <c r="AV672" s="12" t="n">
        <v>2406628</v>
      </c>
      <c r="AW672" s="12" t="n">
        <v>776351</v>
      </c>
      <c r="AX672" s="12" t="n">
        <v>564727</v>
      </c>
      <c r="AY672" s="16" t="n">
        <v>3302</v>
      </c>
      <c r="AZ672" s="13" t="n">
        <f aca="false">IFERROR(AY672/AY671-1,"")</f>
        <v>0.128503075871497</v>
      </c>
      <c r="BA672" s="17" t="n">
        <v>0.921</v>
      </c>
      <c r="BB672" s="11" t="s">
        <v>161</v>
      </c>
      <c r="BC672" s="11" t="s">
        <v>126</v>
      </c>
      <c r="BD672" s="11" t="s">
        <v>101</v>
      </c>
      <c r="BE672" s="12" t="n">
        <v>1715179</v>
      </c>
      <c r="BF672" s="13" t="n">
        <f aca="false">IFERROR(P672/BE672-1,"")</f>
        <v>-0.0502513148773394</v>
      </c>
      <c r="BG672" s="17" t="n">
        <v>-0.044</v>
      </c>
      <c r="BH672" s="17" t="n">
        <v>0.071</v>
      </c>
      <c r="BI672" s="14" t="n">
        <f aca="false">P672*(1+IFERROR(Q672,0))^4</f>
        <v>4289332.93444615</v>
      </c>
      <c r="BJ672" s="12" t="n">
        <v>-955964</v>
      </c>
      <c r="BK672" s="11" t="s">
        <v>127</v>
      </c>
      <c r="BL672" s="11" t="s">
        <v>111</v>
      </c>
      <c r="BM672" s="14" t="n">
        <f aca="false">O672</f>
        <v>35926014</v>
      </c>
      <c r="BN672" s="11" t="s">
        <v>658</v>
      </c>
      <c r="BO672" s="13" t="n">
        <f aca="false">IFERROR(1-L672/M672,"")</f>
        <v>0.154027389191577</v>
      </c>
      <c r="BP672" s="11" t="s">
        <v>87</v>
      </c>
      <c r="BQ672" s="12" t="n">
        <v>1474348</v>
      </c>
      <c r="BR672" s="11" t="s">
        <v>88</v>
      </c>
      <c r="BS672" s="11" t="s">
        <v>89</v>
      </c>
      <c r="BT672" s="19" t="str">
        <f aca="false">IF(OR(Z672&lt;6,AH672&lt;0.9,S672&lt;0.02,AK672&lt;1),"REVIEW",IF(AND(S672&gt;0.25,AH672&gt;1.2),"ACCELERATING","STABLE"))</f>
        <v>STABLE</v>
      </c>
    </row>
    <row r="673" customFormat="false" ht="15" hidden="false" customHeight="false" outlineLevel="0" collapsed="false">
      <c r="A673" s="11" t="s">
        <v>655</v>
      </c>
      <c r="B673" s="11" t="s">
        <v>93</v>
      </c>
      <c r="C673" s="11" t="s">
        <v>74</v>
      </c>
      <c r="D673" s="11" t="s">
        <v>75</v>
      </c>
      <c r="E673" s="11" t="s">
        <v>656</v>
      </c>
      <c r="F673" s="11" t="s">
        <v>657</v>
      </c>
      <c r="G673" s="11" t="s">
        <v>78</v>
      </c>
      <c r="H673" s="11" t="s">
        <v>644</v>
      </c>
      <c r="I673" s="11" t="s">
        <v>78</v>
      </c>
      <c r="J673" s="12" t="n">
        <v>3138000</v>
      </c>
      <c r="K673" s="13" t="n">
        <f aca="false">IFERROR(J673/M673,"")</f>
        <v>0.154027389191577</v>
      </c>
      <c r="L673" s="12" t="n">
        <v>17235000</v>
      </c>
      <c r="M673" s="14" t="n">
        <f aca="false">L673+J673</f>
        <v>20373000</v>
      </c>
      <c r="N673" s="12" t="n">
        <v>5097000</v>
      </c>
      <c r="O673" s="12" t="n">
        <v>35926014</v>
      </c>
      <c r="P673" s="12" t="n">
        <v>1828874</v>
      </c>
      <c r="Q673" s="13" t="n">
        <f aca="false">IFERROR(P673/P672-1,"")</f>
        <v>0.12270494153122</v>
      </c>
      <c r="R673" s="12" t="n">
        <v>2131007</v>
      </c>
      <c r="S673" s="13" t="n">
        <f aca="false">IFERROR(R673/R672-1,"")</f>
        <v>0.275899293497785</v>
      </c>
      <c r="T673" s="12" t="n">
        <v>1192697</v>
      </c>
      <c r="U673" s="13" t="n">
        <f aca="false">IFERROR(T673/P673,"")</f>
        <v>0.652148261717319</v>
      </c>
      <c r="V673" s="14" t="n">
        <f aca="false">T673-AV673</f>
        <v>-1411133</v>
      </c>
      <c r="W673" s="14" t="n">
        <f aca="false">V673-AA673*0.1</f>
        <v>-1411133</v>
      </c>
      <c r="X673" s="12" t="n">
        <v>2736000</v>
      </c>
      <c r="Y673" s="12" t="n">
        <v>114000</v>
      </c>
      <c r="Z673" s="15" t="n">
        <f aca="false">IFERROR(X673/Y673,"")</f>
        <v>24</v>
      </c>
      <c r="AA673" s="12" t="n">
        <v>0</v>
      </c>
      <c r="AB673" s="14" t="n">
        <f aca="false">W673-0.02*P673</f>
        <v>-1447710.48</v>
      </c>
      <c r="AC673" s="16" t="n">
        <v>23</v>
      </c>
      <c r="AD673" s="13" t="n">
        <f aca="false">IFERROR(AC673/AC672-1,"")</f>
        <v>0.15</v>
      </c>
      <c r="AE673" s="17" t="n">
        <v>0.097</v>
      </c>
      <c r="AF673" s="17" t="n">
        <v>0.065</v>
      </c>
      <c r="AG673" s="13" t="n">
        <f aca="false">1-AF673</f>
        <v>0.935</v>
      </c>
      <c r="AH673" s="17" t="n">
        <v>1.04</v>
      </c>
      <c r="AI673" s="12" t="n">
        <v>12600</v>
      </c>
      <c r="AJ673" s="14" t="n">
        <f aca="false">IFERROR(AM673*U673*MIN(1/AE673,5),"")</f>
        <v>41476.6294452215</v>
      </c>
      <c r="AK673" s="18" t="n">
        <f aca="false">IFERROR(AJ673/AI673,"")</f>
        <v>3.29179598771599</v>
      </c>
      <c r="AL673" s="15" t="n">
        <f aca="false">IFERROR(AI673/(AM673*U673/12),"")</f>
        <v>18.2271320045052</v>
      </c>
      <c r="AM673" s="12" t="n">
        <v>12720</v>
      </c>
      <c r="AN673" s="12" t="n">
        <v>2760216</v>
      </c>
      <c r="AO673" s="12" t="n">
        <v>3483832</v>
      </c>
      <c r="AP673" s="17" t="n">
        <v>0.317</v>
      </c>
      <c r="AQ673" s="16" t="n">
        <v>36</v>
      </c>
      <c r="AR673" s="16" t="n">
        <v>2</v>
      </c>
      <c r="AS673" s="13" t="n">
        <f aca="false">IFERROR(AR673/AR672-1,"")</f>
        <v>0</v>
      </c>
      <c r="AT673" s="11" t="s">
        <v>134</v>
      </c>
      <c r="AU673" s="14" t="n">
        <f aca="false">IFERROR(P673/AR673,"")</f>
        <v>914437</v>
      </c>
      <c r="AV673" s="12" t="n">
        <v>2603830</v>
      </c>
      <c r="AW673" s="12" t="n">
        <v>1079321</v>
      </c>
      <c r="AX673" s="12" t="n">
        <v>679552</v>
      </c>
      <c r="AY673" s="16" t="n">
        <v>3883</v>
      </c>
      <c r="AZ673" s="13" t="n">
        <f aca="false">IFERROR(AY673/AY672-1,"")</f>
        <v>0.17595396729255</v>
      </c>
      <c r="BA673" s="17" t="n">
        <v>0.915</v>
      </c>
      <c r="BB673" s="11" t="s">
        <v>161</v>
      </c>
      <c r="BC673" s="11" t="s">
        <v>126</v>
      </c>
      <c r="BD673" s="11" t="s">
        <v>101</v>
      </c>
      <c r="BE673" s="12" t="n">
        <v>2184330</v>
      </c>
      <c r="BF673" s="13" t="n">
        <f aca="false">IFERROR(P673/BE673-1,"")</f>
        <v>-0.162729990431849</v>
      </c>
      <c r="BG673" s="17" t="n">
        <v>0.003</v>
      </c>
      <c r="BH673" s="17" t="n">
        <v>-0.016</v>
      </c>
      <c r="BI673" s="14" t="n">
        <f aca="false">P673*(1+IFERROR(Q673,0))^4</f>
        <v>2905670.22130209</v>
      </c>
      <c r="BJ673" s="12" t="n">
        <v>-1014922</v>
      </c>
      <c r="BK673" s="11" t="s">
        <v>127</v>
      </c>
      <c r="BL673" s="11" t="s">
        <v>111</v>
      </c>
      <c r="BM673" s="14" t="n">
        <f aca="false">O673</f>
        <v>35926014</v>
      </c>
      <c r="BN673" s="11" t="s">
        <v>658</v>
      </c>
      <c r="BO673" s="13" t="n">
        <f aca="false">IFERROR(1-L673/M673,"")</f>
        <v>0.154027389191577</v>
      </c>
      <c r="BP673" s="11" t="s">
        <v>87</v>
      </c>
      <c r="BQ673" s="12" t="n">
        <v>1748609</v>
      </c>
      <c r="BR673" s="11" t="s">
        <v>88</v>
      </c>
      <c r="BS673" s="11" t="s">
        <v>89</v>
      </c>
      <c r="BT673" s="19" t="str">
        <f aca="false">IF(OR(Z673&lt;6,AH673&lt;0.9,S673&lt;0.02,AK673&lt;1),"REVIEW",IF(AND(S673&gt;0.25,AH673&gt;1.2),"ACCELERATING","STABLE"))</f>
        <v>STABLE</v>
      </c>
    </row>
    <row r="674" customFormat="false" ht="15" hidden="false" customHeight="false" outlineLevel="0" collapsed="false">
      <c r="A674" s="3" t="s">
        <v>659</v>
      </c>
      <c r="B674" s="3" t="s">
        <v>73</v>
      </c>
      <c r="C674" s="3" t="s">
        <v>74</v>
      </c>
      <c r="D674" s="3" t="s">
        <v>95</v>
      </c>
      <c r="E674" s="3" t="s">
        <v>105</v>
      </c>
      <c r="F674" s="3" t="s">
        <v>660</v>
      </c>
      <c r="G674" s="3" t="s">
        <v>78</v>
      </c>
      <c r="H674" s="3" t="s">
        <v>644</v>
      </c>
      <c r="I674" s="3" t="s">
        <v>78</v>
      </c>
      <c r="J674" s="4" t="n">
        <v>3682000</v>
      </c>
      <c r="K674" s="5" t="n">
        <f aca="false">IFERROR(J674/M674,"")</f>
        <v>0.151966651533287</v>
      </c>
      <c r="L674" s="4" t="n">
        <v>20547000</v>
      </c>
      <c r="M674" s="6" t="n">
        <f aca="false">L674+J674</f>
        <v>24229000</v>
      </c>
      <c r="N674" s="4" t="n">
        <v>4731000</v>
      </c>
      <c r="O674" s="4" t="n">
        <v>39869866</v>
      </c>
      <c r="P674" s="4" t="n">
        <v>924283</v>
      </c>
      <c r="Q674" s="7"/>
      <c r="R674" s="4" t="n">
        <v>986457</v>
      </c>
      <c r="S674" s="7"/>
      <c r="T674" s="4" t="n">
        <v>670132</v>
      </c>
      <c r="U674" s="5" t="n">
        <f aca="false">IFERROR(T674/P674,"")</f>
        <v>0.725029022496357</v>
      </c>
      <c r="V674" s="6" t="n">
        <f aca="false">T674-AV674</f>
        <v>-1097401</v>
      </c>
      <c r="W674" s="6" t="n">
        <f aca="false">V674-AA674*0.1</f>
        <v>-1097401</v>
      </c>
      <c r="X674" s="4" t="n">
        <v>856800</v>
      </c>
      <c r="Y674" s="4" t="n">
        <v>92820</v>
      </c>
      <c r="Z674" s="8" t="n">
        <f aca="false">IFERROR(X674/Y674,"")</f>
        <v>9.23076923076923</v>
      </c>
      <c r="AA674" s="4" t="n">
        <v>0</v>
      </c>
      <c r="AB674" s="6" t="n">
        <f aca="false">W674-0.02*P674</f>
        <v>-1115886.66</v>
      </c>
      <c r="AC674" s="9" t="n">
        <v>9</v>
      </c>
      <c r="AD674" s="7"/>
      <c r="AE674" s="7" t="n">
        <v>0.052</v>
      </c>
      <c r="AF674" s="7" t="n">
        <v>0.034</v>
      </c>
      <c r="AG674" s="5" t="n">
        <f aca="false">1-AF674</f>
        <v>0.966</v>
      </c>
      <c r="AH674" s="7" t="n">
        <v>1.295</v>
      </c>
      <c r="AI674" s="4" t="n">
        <v>47700</v>
      </c>
      <c r="AJ674" s="6" t="n">
        <f aca="false">IFERROR(AM674*U674*MIN(1/AE674,5),"")</f>
        <v>195757.836074016</v>
      </c>
      <c r="AK674" s="10" t="n">
        <f aca="false">IFERROR(AJ674/AI674,"")</f>
        <v>4.10393786318692</v>
      </c>
      <c r="AL674" s="8" t="n">
        <f aca="false">IFERROR(AI674/(AM674*U674/12),"")</f>
        <v>14.6201043973426</v>
      </c>
      <c r="AM674" s="4" t="n">
        <v>54000</v>
      </c>
      <c r="AN674" s="4" t="n">
        <v>914694</v>
      </c>
      <c r="AO674" s="4" t="n">
        <v>2332691</v>
      </c>
      <c r="AP674" s="7" t="n">
        <v>0.358</v>
      </c>
      <c r="AQ674" s="9" t="n">
        <v>87</v>
      </c>
      <c r="AR674" s="9" t="n">
        <v>2</v>
      </c>
      <c r="AS674" s="7"/>
      <c r="AT674" s="3" t="s">
        <v>218</v>
      </c>
      <c r="AU674" s="6" t="n">
        <f aca="false">IFERROR(P674/AR674,"")</f>
        <v>462141.5</v>
      </c>
      <c r="AV674" s="4" t="n">
        <v>1767533</v>
      </c>
      <c r="AW674" s="4" t="n">
        <v>615274</v>
      </c>
      <c r="AX674" s="4" t="n">
        <v>379108</v>
      </c>
      <c r="AY674" s="9" t="n">
        <v>1419</v>
      </c>
      <c r="AZ674" s="7"/>
      <c r="BA674" s="7" t="n">
        <v>0.95</v>
      </c>
      <c r="BB674" s="3" t="s">
        <v>107</v>
      </c>
      <c r="BC674" s="3" t="s">
        <v>100</v>
      </c>
      <c r="BD674" s="3" t="s">
        <v>83</v>
      </c>
      <c r="BE674" s="4" t="n">
        <v>893488</v>
      </c>
      <c r="BF674" s="5" t="n">
        <f aca="false">IFERROR(P674/BE674-1,"")</f>
        <v>0.0344660476693588</v>
      </c>
      <c r="BG674" s="7" t="n">
        <v>-0.045</v>
      </c>
      <c r="BH674" s="7" t="n">
        <v>0.02</v>
      </c>
      <c r="BI674" s="6" t="n">
        <f aca="false">P674</f>
        <v>924283</v>
      </c>
      <c r="BJ674" s="4" t="n">
        <v>-962309</v>
      </c>
      <c r="BK674" s="3" t="s">
        <v>110</v>
      </c>
      <c r="BL674" s="3" t="s">
        <v>111</v>
      </c>
      <c r="BM674" s="6" t="n">
        <f aca="false">O674</f>
        <v>39869866</v>
      </c>
      <c r="BN674" s="3" t="s">
        <v>661</v>
      </c>
      <c r="BO674" s="5" t="n">
        <f aca="false">IFERROR(1-L674/M674,"")</f>
        <v>0.151966651533287</v>
      </c>
      <c r="BP674" s="3" t="s">
        <v>198</v>
      </c>
      <c r="BQ674" s="4" t="n">
        <v>1796572</v>
      </c>
      <c r="BR674" s="3" t="s">
        <v>88</v>
      </c>
      <c r="BS674" s="3" t="s">
        <v>89</v>
      </c>
      <c r="BT674" s="3" t="s">
        <v>90</v>
      </c>
    </row>
    <row r="675" customFormat="false" ht="15" hidden="false" customHeight="false" outlineLevel="0" collapsed="false">
      <c r="A675" s="11" t="s">
        <v>659</v>
      </c>
      <c r="B675" s="11" t="s">
        <v>91</v>
      </c>
      <c r="C675" s="11" t="s">
        <v>74</v>
      </c>
      <c r="D675" s="11" t="s">
        <v>95</v>
      </c>
      <c r="E675" s="11" t="s">
        <v>105</v>
      </c>
      <c r="F675" s="11" t="s">
        <v>660</v>
      </c>
      <c r="G675" s="11" t="s">
        <v>78</v>
      </c>
      <c r="H675" s="11" t="s">
        <v>644</v>
      </c>
      <c r="I675" s="11" t="s">
        <v>78</v>
      </c>
      <c r="J675" s="12" t="n">
        <v>3682000</v>
      </c>
      <c r="K675" s="13" t="n">
        <f aca="false">IFERROR(J675/M675,"")</f>
        <v>0.151966651533287</v>
      </c>
      <c r="L675" s="12" t="n">
        <v>20547000</v>
      </c>
      <c r="M675" s="14" t="n">
        <f aca="false">L675+J675</f>
        <v>24229000</v>
      </c>
      <c r="N675" s="12" t="n">
        <v>4731000</v>
      </c>
      <c r="O675" s="12" t="n">
        <v>39869866</v>
      </c>
      <c r="P675" s="12" t="n">
        <v>1186435</v>
      </c>
      <c r="Q675" s="13" t="n">
        <f aca="false">IFERROR(P675/P674-1,"")</f>
        <v>0.283627417143884</v>
      </c>
      <c r="R675" s="12" t="n">
        <v>1274839</v>
      </c>
      <c r="S675" s="13" t="n">
        <f aca="false">IFERROR(R675/R674-1,"")</f>
        <v>0.292341176554072</v>
      </c>
      <c r="T675" s="12" t="n">
        <v>863682</v>
      </c>
      <c r="U675" s="13" t="n">
        <f aca="false">IFERROR(T675/P675,"")</f>
        <v>0.727964026684985</v>
      </c>
      <c r="V675" s="14" t="n">
        <f aca="false">T675-AV675</f>
        <v>-1077313</v>
      </c>
      <c r="W675" s="14" t="n">
        <f aca="false">V675-AA675*0.1</f>
        <v>-1077313</v>
      </c>
      <c r="X675" s="12" t="n">
        <v>1101600</v>
      </c>
      <c r="Y675" s="12" t="n">
        <v>95880</v>
      </c>
      <c r="Z675" s="15" t="n">
        <f aca="false">IFERROR(X675/Y675,"")</f>
        <v>11.4893617021277</v>
      </c>
      <c r="AA675" s="12" t="n">
        <v>0</v>
      </c>
      <c r="AB675" s="14" t="n">
        <f aca="false">W675-0.02*P675</f>
        <v>-1101041.7</v>
      </c>
      <c r="AC675" s="16" t="n">
        <v>11</v>
      </c>
      <c r="AD675" s="13" t="n">
        <f aca="false">IFERROR(AC675/AC674-1,"")</f>
        <v>0.222222222222222</v>
      </c>
      <c r="AE675" s="17" t="n">
        <v>0.051</v>
      </c>
      <c r="AF675" s="17" t="n">
        <v>0.044</v>
      </c>
      <c r="AG675" s="13" t="n">
        <f aca="false">1-AF675</f>
        <v>0.956</v>
      </c>
      <c r="AH675" s="17" t="n">
        <v>1.325</v>
      </c>
      <c r="AI675" s="12" t="n">
        <v>46800</v>
      </c>
      <c r="AJ675" s="14" t="n">
        <f aca="false">IFERROR(AM675*U675*MIN(1/AE675,5),"")</f>
        <v>200481.292949045</v>
      </c>
      <c r="AK675" s="18" t="n">
        <f aca="false">IFERROR(AJ675/AI675,"")</f>
        <v>4.28378831087703</v>
      </c>
      <c r="AL675" s="15" t="n">
        <f aca="false">IFERROR(AI675/(AM675*U675/12),"")</f>
        <v>14.0062943464441</v>
      </c>
      <c r="AM675" s="12" t="n">
        <v>55080</v>
      </c>
      <c r="AN675" s="12" t="n">
        <v>1312534</v>
      </c>
      <c r="AO675" s="12" t="n">
        <v>2078361</v>
      </c>
      <c r="AP675" s="17" t="n">
        <v>0.358</v>
      </c>
      <c r="AQ675" s="16" t="n">
        <v>87</v>
      </c>
      <c r="AR675" s="16" t="n">
        <v>3</v>
      </c>
      <c r="AS675" s="13" t="n">
        <f aca="false">IFERROR(AR675/AR674-1,"")</f>
        <v>0.5</v>
      </c>
      <c r="AT675" s="11" t="s">
        <v>218</v>
      </c>
      <c r="AU675" s="14" t="n">
        <f aca="false">IFERROR(P675/AR675,"")</f>
        <v>395478.333333333</v>
      </c>
      <c r="AV675" s="12" t="n">
        <v>1940995</v>
      </c>
      <c r="AW675" s="12" t="n">
        <v>752933</v>
      </c>
      <c r="AX675" s="12" t="n">
        <v>394971</v>
      </c>
      <c r="AY675" s="16" t="n">
        <v>1867</v>
      </c>
      <c r="AZ675" s="13" t="n">
        <f aca="false">IFERROR(AY675/AY674-1,"")</f>
        <v>0.315715292459479</v>
      </c>
      <c r="BA675" s="17" t="n">
        <v>0.962</v>
      </c>
      <c r="BB675" s="11" t="s">
        <v>107</v>
      </c>
      <c r="BC675" s="11" t="s">
        <v>100</v>
      </c>
      <c r="BD675" s="11" t="s">
        <v>83</v>
      </c>
      <c r="BE675" s="12" t="n">
        <v>1319425</v>
      </c>
      <c r="BF675" s="13" t="n">
        <f aca="false">IFERROR(P675/BE675-1,"")</f>
        <v>-0.100793906436516</v>
      </c>
      <c r="BG675" s="17" t="n">
        <v>-0.022</v>
      </c>
      <c r="BH675" s="17" t="n">
        <v>-0.042</v>
      </c>
      <c r="BI675" s="14" t="n">
        <f aca="false">P675*(1+IFERROR(Q675,0))^4</f>
        <v>3221067.9652669</v>
      </c>
      <c r="BJ675" s="12" t="n">
        <v>-957154</v>
      </c>
      <c r="BK675" s="11" t="s">
        <v>110</v>
      </c>
      <c r="BL675" s="11" t="s">
        <v>111</v>
      </c>
      <c r="BM675" s="14" t="n">
        <f aca="false">O675</f>
        <v>39869866</v>
      </c>
      <c r="BN675" s="11" t="s">
        <v>661</v>
      </c>
      <c r="BO675" s="13" t="n">
        <f aca="false">IFERROR(1-L675/M675,"")</f>
        <v>0.151966651533287</v>
      </c>
      <c r="BP675" s="11" t="s">
        <v>198</v>
      </c>
      <c r="BQ675" s="12" t="n">
        <v>1581003</v>
      </c>
      <c r="BR675" s="11" t="s">
        <v>88</v>
      </c>
      <c r="BS675" s="11" t="s">
        <v>89</v>
      </c>
      <c r="BT675" s="19" t="str">
        <f aca="false">IF(OR(Z675&lt;6,AH675&lt;0.9,S675&lt;0.02,AK675&lt;1),"REVIEW",IF(AND(S675&gt;0.25,AH675&gt;1.2),"ACCELERATING","STABLE"))</f>
        <v>ACCELERATING</v>
      </c>
    </row>
    <row r="676" customFormat="false" ht="15" hidden="false" customHeight="false" outlineLevel="0" collapsed="false">
      <c r="A676" s="11" t="s">
        <v>659</v>
      </c>
      <c r="B676" s="11" t="s">
        <v>92</v>
      </c>
      <c r="C676" s="11" t="s">
        <v>74</v>
      </c>
      <c r="D676" s="11" t="s">
        <v>95</v>
      </c>
      <c r="E676" s="11" t="s">
        <v>105</v>
      </c>
      <c r="F676" s="11" t="s">
        <v>660</v>
      </c>
      <c r="G676" s="11" t="s">
        <v>78</v>
      </c>
      <c r="H676" s="11" t="s">
        <v>644</v>
      </c>
      <c r="I676" s="11" t="s">
        <v>78</v>
      </c>
      <c r="J676" s="12" t="n">
        <v>3682000</v>
      </c>
      <c r="K676" s="13" t="n">
        <f aca="false">IFERROR(J676/M676,"")</f>
        <v>0.151966651533287</v>
      </c>
      <c r="L676" s="12" t="n">
        <v>20547000</v>
      </c>
      <c r="M676" s="14" t="n">
        <f aca="false">L676+J676</f>
        <v>24229000</v>
      </c>
      <c r="N676" s="12" t="n">
        <v>4731000</v>
      </c>
      <c r="O676" s="12" t="n">
        <v>39869866</v>
      </c>
      <c r="P676" s="12" t="n">
        <v>1495051</v>
      </c>
      <c r="Q676" s="13" t="n">
        <f aca="false">IFERROR(P676/P675-1,"")</f>
        <v>0.260120444862129</v>
      </c>
      <c r="R676" s="12" t="n">
        <v>1698172</v>
      </c>
      <c r="S676" s="13" t="n">
        <f aca="false">IFERROR(R676/R675-1,"")</f>
        <v>0.332067814053382</v>
      </c>
      <c r="T676" s="12" t="n">
        <v>1092732</v>
      </c>
      <c r="U676" s="13" t="n">
        <f aca="false">IFERROR(T676/P676,"")</f>
        <v>0.730899481021049</v>
      </c>
      <c r="V676" s="14" t="n">
        <f aca="false">T676-AV676</f>
        <v>-1109497</v>
      </c>
      <c r="W676" s="14" t="n">
        <f aca="false">V676-AA676*0.1</f>
        <v>-1109497</v>
      </c>
      <c r="X676" s="12" t="n">
        <v>1346400</v>
      </c>
      <c r="Y676" s="12" t="n">
        <v>98940</v>
      </c>
      <c r="Z676" s="15" t="n">
        <f aca="false">IFERROR(X676/Y676,"")</f>
        <v>13.6082474226804</v>
      </c>
      <c r="AA676" s="12" t="n">
        <v>0</v>
      </c>
      <c r="AB676" s="14" t="n">
        <f aca="false">W676-0.02*P676</f>
        <v>-1139398.02</v>
      </c>
      <c r="AC676" s="16" t="n">
        <v>14</v>
      </c>
      <c r="AD676" s="13" t="n">
        <f aca="false">IFERROR(AC676/AC675-1,"")</f>
        <v>0.272727272727273</v>
      </c>
      <c r="AE676" s="17" t="n">
        <v>0.049</v>
      </c>
      <c r="AF676" s="17" t="n">
        <v>0.03</v>
      </c>
      <c r="AG676" s="13" t="n">
        <f aca="false">1-AF676</f>
        <v>0.97</v>
      </c>
      <c r="AH676" s="17" t="n">
        <v>1.355</v>
      </c>
      <c r="AI676" s="12" t="n">
        <v>45900</v>
      </c>
      <c r="AJ676" s="14" t="n">
        <f aca="false">IFERROR(AM676*U676*MIN(1/AE676,5),"")</f>
        <v>205236.57427071</v>
      </c>
      <c r="AK676" s="18" t="n">
        <f aca="false">IFERROR(AJ676/AI676,"")</f>
        <v>4.47138506036406</v>
      </c>
      <c r="AL676" s="15" t="n">
        <f aca="false">IFERROR(AI676/(AM676*U676/12),"")</f>
        <v>13.418660927206</v>
      </c>
      <c r="AM676" s="12" t="n">
        <v>56160</v>
      </c>
      <c r="AN676" s="12" t="n">
        <v>1797736</v>
      </c>
      <c r="AO676" s="12" t="n">
        <v>3235806</v>
      </c>
      <c r="AP676" s="17" t="n">
        <v>0.358</v>
      </c>
      <c r="AQ676" s="16" t="n">
        <v>87</v>
      </c>
      <c r="AR676" s="16" t="n">
        <v>3</v>
      </c>
      <c r="AS676" s="13" t="n">
        <f aca="false">IFERROR(AR676/AR675-1,"")</f>
        <v>0</v>
      </c>
      <c r="AT676" s="11" t="s">
        <v>218</v>
      </c>
      <c r="AU676" s="14" t="n">
        <f aca="false">IFERROR(P676/AR676,"")</f>
        <v>498350.333333333</v>
      </c>
      <c r="AV676" s="12" t="n">
        <v>2202229</v>
      </c>
      <c r="AW676" s="12" t="n">
        <v>851032</v>
      </c>
      <c r="AX676" s="12" t="n">
        <v>577322</v>
      </c>
      <c r="AY676" s="16" t="n">
        <v>2328</v>
      </c>
      <c r="AZ676" s="13" t="n">
        <f aca="false">IFERROR(AY676/AY675-1,"")</f>
        <v>0.24692019282271</v>
      </c>
      <c r="BA676" s="17" t="n">
        <v>0.962</v>
      </c>
      <c r="BB676" s="11" t="s">
        <v>107</v>
      </c>
      <c r="BC676" s="11" t="s">
        <v>100</v>
      </c>
      <c r="BD676" s="11" t="s">
        <v>83</v>
      </c>
      <c r="BE676" s="12" t="n">
        <v>1360351</v>
      </c>
      <c r="BF676" s="13" t="n">
        <f aca="false">IFERROR(P676/BE676-1,"")</f>
        <v>0.0990185621210997</v>
      </c>
      <c r="BG676" s="17" t="n">
        <v>0.045</v>
      </c>
      <c r="BH676" s="17" t="n">
        <v>0.06</v>
      </c>
      <c r="BI676" s="14" t="n">
        <f aca="false">P676*(1+IFERROR(Q676,0))^4</f>
        <v>3769677.86249202</v>
      </c>
      <c r="BJ676" s="12" t="n">
        <v>-1137157</v>
      </c>
      <c r="BK676" s="11" t="s">
        <v>110</v>
      </c>
      <c r="BL676" s="11" t="s">
        <v>111</v>
      </c>
      <c r="BM676" s="14" t="n">
        <f aca="false">O676</f>
        <v>39869866</v>
      </c>
      <c r="BN676" s="11" t="s">
        <v>661</v>
      </c>
      <c r="BO676" s="13" t="n">
        <f aca="false">IFERROR(1-L676/M676,"")</f>
        <v>0.151966651533287</v>
      </c>
      <c r="BP676" s="11" t="s">
        <v>198</v>
      </c>
      <c r="BQ676" s="12" t="n">
        <v>1719613</v>
      </c>
      <c r="BR676" s="11" t="s">
        <v>88</v>
      </c>
      <c r="BS676" s="11" t="s">
        <v>89</v>
      </c>
      <c r="BT676" s="19" t="str">
        <f aca="false">IF(OR(Z676&lt;6,AH676&lt;0.9,S676&lt;0.02,AK676&lt;1),"REVIEW",IF(AND(S676&gt;0.25,AH676&gt;1.2),"ACCELERATING","STABLE"))</f>
        <v>ACCELERATING</v>
      </c>
    </row>
    <row r="677" customFormat="false" ht="15" hidden="false" customHeight="false" outlineLevel="0" collapsed="false">
      <c r="A677" s="11" t="s">
        <v>659</v>
      </c>
      <c r="B677" s="11" t="s">
        <v>93</v>
      </c>
      <c r="C677" s="11" t="s">
        <v>74</v>
      </c>
      <c r="D677" s="11" t="s">
        <v>95</v>
      </c>
      <c r="E677" s="11" t="s">
        <v>105</v>
      </c>
      <c r="F677" s="11" t="s">
        <v>660</v>
      </c>
      <c r="G677" s="11" t="s">
        <v>78</v>
      </c>
      <c r="H677" s="11" t="s">
        <v>644</v>
      </c>
      <c r="I677" s="11" t="s">
        <v>78</v>
      </c>
      <c r="J677" s="12" t="n">
        <v>3682000</v>
      </c>
      <c r="K677" s="13" t="n">
        <f aca="false">IFERROR(J677/M677,"")</f>
        <v>0.151966651533287</v>
      </c>
      <c r="L677" s="12" t="n">
        <v>20547000</v>
      </c>
      <c r="M677" s="14" t="n">
        <f aca="false">L677+J677</f>
        <v>24229000</v>
      </c>
      <c r="N677" s="12" t="n">
        <v>4731000</v>
      </c>
      <c r="O677" s="12" t="n">
        <v>39869866</v>
      </c>
      <c r="P677" s="12" t="n">
        <v>2088646</v>
      </c>
      <c r="Q677" s="13" t="n">
        <f aca="false">IFERROR(P677/P676-1,"")</f>
        <v>0.397039967198444</v>
      </c>
      <c r="R677" s="12" t="n">
        <v>2218440</v>
      </c>
      <c r="S677" s="13" t="n">
        <f aca="false">IFERROR(R677/R676-1,"")</f>
        <v>0.306369437253706</v>
      </c>
      <c r="T677" s="12" t="n">
        <v>1532722</v>
      </c>
      <c r="U677" s="13" t="n">
        <f aca="false">IFERROR(T677/P677,"")</f>
        <v>0.733835221478412</v>
      </c>
      <c r="V677" s="14" t="n">
        <f aca="false">T677-AV677</f>
        <v>-942065</v>
      </c>
      <c r="W677" s="14" t="n">
        <f aca="false">V677-AA677*0.1</f>
        <v>-942065</v>
      </c>
      <c r="X677" s="12" t="n">
        <v>2448000</v>
      </c>
      <c r="Y677" s="12" t="n">
        <v>102000</v>
      </c>
      <c r="Z677" s="15" t="n">
        <f aca="false">IFERROR(X677/Y677,"")</f>
        <v>24</v>
      </c>
      <c r="AA677" s="12" t="n">
        <v>0</v>
      </c>
      <c r="AB677" s="14" t="n">
        <f aca="false">W677-0.02*P677</f>
        <v>-983837.92</v>
      </c>
      <c r="AC677" s="16" t="n">
        <v>18</v>
      </c>
      <c r="AD677" s="13" t="n">
        <f aca="false">IFERROR(AC677/AC676-1,"")</f>
        <v>0.285714285714286</v>
      </c>
      <c r="AE677" s="17" t="n">
        <v>0.048</v>
      </c>
      <c r="AF677" s="17" t="n">
        <v>0.042</v>
      </c>
      <c r="AG677" s="13" t="n">
        <f aca="false">1-AF677</f>
        <v>0.958</v>
      </c>
      <c r="AH677" s="17" t="n">
        <v>1.385</v>
      </c>
      <c r="AI677" s="12" t="n">
        <v>45000</v>
      </c>
      <c r="AJ677" s="14" t="n">
        <f aca="false">IFERROR(AM677*U677*MIN(1/AE677,5),"")</f>
        <v>210023.640387122</v>
      </c>
      <c r="AK677" s="18" t="n">
        <f aca="false">IFERROR(AJ677/AI677,"")</f>
        <v>4.6671920086027</v>
      </c>
      <c r="AL677" s="15" t="n">
        <f aca="false">IFERROR(AI677/(AM677*U677/12),"")</f>
        <v>12.8556956494197</v>
      </c>
      <c r="AM677" s="12" t="n">
        <v>57240</v>
      </c>
      <c r="AN677" s="12" t="n">
        <v>2333438</v>
      </c>
      <c r="AO677" s="12" t="n">
        <v>6552473</v>
      </c>
      <c r="AP677" s="17" t="n">
        <v>0.358</v>
      </c>
      <c r="AQ677" s="16" t="n">
        <v>87</v>
      </c>
      <c r="AR677" s="16" t="n">
        <v>4</v>
      </c>
      <c r="AS677" s="13" t="n">
        <f aca="false">IFERROR(AR677/AR676-1,"")</f>
        <v>0.333333333333333</v>
      </c>
      <c r="AT677" s="11" t="s">
        <v>218</v>
      </c>
      <c r="AU677" s="14" t="n">
        <f aca="false">IFERROR(P677/AR677,"")</f>
        <v>522161.5</v>
      </c>
      <c r="AV677" s="12" t="n">
        <v>2474787</v>
      </c>
      <c r="AW677" s="12" t="n">
        <v>1099218</v>
      </c>
      <c r="AX677" s="12" t="n">
        <v>593911</v>
      </c>
      <c r="AY677" s="16" t="n">
        <v>3019</v>
      </c>
      <c r="AZ677" s="13" t="n">
        <f aca="false">IFERROR(AY677/AY676-1,"")</f>
        <v>0.296821305841924</v>
      </c>
      <c r="BA677" s="17" t="n">
        <v>0.949</v>
      </c>
      <c r="BB677" s="11" t="s">
        <v>107</v>
      </c>
      <c r="BC677" s="11" t="s">
        <v>100</v>
      </c>
      <c r="BD677" s="11" t="s">
        <v>83</v>
      </c>
      <c r="BE677" s="12" t="n">
        <v>2021227</v>
      </c>
      <c r="BF677" s="13" t="n">
        <f aca="false">IFERROR(P677/BE677-1,"")</f>
        <v>0.0333554815960799</v>
      </c>
      <c r="BG677" s="17" t="n">
        <v>0.052</v>
      </c>
      <c r="BH677" s="17" t="n">
        <v>0.031</v>
      </c>
      <c r="BI677" s="14" t="n">
        <f aca="false">P677*(1+IFERROR(Q677,0))^4</f>
        <v>7956098.69345613</v>
      </c>
      <c r="BJ677" s="12" t="n">
        <v>-653840</v>
      </c>
      <c r="BK677" s="11" t="s">
        <v>110</v>
      </c>
      <c r="BL677" s="11" t="s">
        <v>111</v>
      </c>
      <c r="BM677" s="14" t="n">
        <f aca="false">O677</f>
        <v>39869866</v>
      </c>
      <c r="BN677" s="11" t="s">
        <v>661</v>
      </c>
      <c r="BO677" s="13" t="n">
        <f aca="false">IFERROR(1-L677/M677,"")</f>
        <v>0.151966651533287</v>
      </c>
      <c r="BP677" s="11" t="s">
        <v>198</v>
      </c>
      <c r="BQ677" s="12" t="n">
        <v>1941784</v>
      </c>
      <c r="BR677" s="11" t="s">
        <v>88</v>
      </c>
      <c r="BS677" s="11" t="s">
        <v>89</v>
      </c>
      <c r="BT677" s="19" t="str">
        <f aca="false">IF(OR(Z677&lt;6,AH677&lt;0.9,S677&lt;0.02,AK677&lt;1),"REVIEW",IF(AND(S677&gt;0.25,AH677&gt;1.2),"ACCELERATING","STABLE"))</f>
        <v>ACCELERATING</v>
      </c>
    </row>
    <row r="678" customFormat="false" ht="15" hidden="false" customHeight="false" outlineLevel="0" collapsed="false">
      <c r="A678" s="3" t="s">
        <v>662</v>
      </c>
      <c r="B678" s="3" t="s">
        <v>73</v>
      </c>
      <c r="C678" s="3" t="s">
        <v>74</v>
      </c>
      <c r="D678" s="3" t="s">
        <v>210</v>
      </c>
      <c r="E678" s="3" t="s">
        <v>187</v>
      </c>
      <c r="F678" s="3" t="s">
        <v>663</v>
      </c>
      <c r="G678" s="3" t="s">
        <v>78</v>
      </c>
      <c r="H678" s="3" t="s">
        <v>644</v>
      </c>
      <c r="I678" s="3" t="s">
        <v>78</v>
      </c>
      <c r="J678" s="4" t="n">
        <v>2636000</v>
      </c>
      <c r="K678" s="5" t="n">
        <f aca="false">IFERROR(J678/M678,"")</f>
        <v>0.144217091585513</v>
      </c>
      <c r="L678" s="4" t="n">
        <v>15642000</v>
      </c>
      <c r="M678" s="6" t="n">
        <f aca="false">L678+J678</f>
        <v>18278000</v>
      </c>
      <c r="N678" s="4" t="n">
        <v>6628000</v>
      </c>
      <c r="O678" s="4" t="n">
        <v>36588056</v>
      </c>
      <c r="P678" s="4" t="n">
        <v>171696</v>
      </c>
      <c r="Q678" s="7"/>
      <c r="R678" s="4" t="n">
        <v>195062</v>
      </c>
      <c r="S678" s="7"/>
      <c r="T678" s="4" t="n">
        <v>98544</v>
      </c>
      <c r="U678" s="5" t="n">
        <f aca="false">IFERROR(T678/P678,"")</f>
        <v>0.573944646351691</v>
      </c>
      <c r="V678" s="6" t="n">
        <f aca="false">T678-AV678</f>
        <v>-1403306</v>
      </c>
      <c r="W678" s="6" t="n">
        <f aca="false">V678-AA678*0.1</f>
        <v>-1499706</v>
      </c>
      <c r="X678" s="4" t="n">
        <v>931699</v>
      </c>
      <c r="Y678" s="4" t="n">
        <v>147420</v>
      </c>
      <c r="Z678" s="8" t="n">
        <f aca="false">IFERROR(X678/Y678,"")</f>
        <v>6.32003120336454</v>
      </c>
      <c r="AA678" s="4" t="n">
        <v>964000</v>
      </c>
      <c r="AB678" s="6" t="n">
        <f aca="false">W678-0.02*P678</f>
        <v>-1503139.92</v>
      </c>
      <c r="AC678" s="9" t="n">
        <v>11</v>
      </c>
      <c r="AD678" s="7"/>
      <c r="AE678" s="7" t="n">
        <v>0.058</v>
      </c>
      <c r="AF678" s="7" t="n">
        <v>0.049</v>
      </c>
      <c r="AG678" s="5" t="n">
        <f aca="false">1-AF678</f>
        <v>0.951</v>
      </c>
      <c r="AH678" s="7" t="n">
        <v>1.183</v>
      </c>
      <c r="AI678" s="4" t="n">
        <v>37206</v>
      </c>
      <c r="AJ678" s="6" t="n">
        <f aca="false">IFERROR(AM678*U678*MIN(1/AE678,5),"")</f>
        <v>172183.393905507</v>
      </c>
      <c r="AK678" s="10" t="n">
        <f aca="false">IFERROR(AJ678/AI678,"")</f>
        <v>4.6278394319601</v>
      </c>
      <c r="AL678" s="8" t="n">
        <f aca="false">IFERROR(AI678/(AM678*U678/12),"")</f>
        <v>12.9650133463225</v>
      </c>
      <c r="AM678" s="4" t="n">
        <v>60000</v>
      </c>
      <c r="AN678" s="4" t="n">
        <v>279038</v>
      </c>
      <c r="AO678" s="4" t="n">
        <v>467882</v>
      </c>
      <c r="AP678" s="7" t="n">
        <v>0.252</v>
      </c>
      <c r="AQ678" s="9" t="n">
        <v>26</v>
      </c>
      <c r="AR678" s="9" t="n">
        <v>1</v>
      </c>
      <c r="AS678" s="7"/>
      <c r="AT678" s="3" t="s">
        <v>134</v>
      </c>
      <c r="AU678" s="6" t="n">
        <f aca="false">IFERROR(P678/AR678,"")</f>
        <v>171696</v>
      </c>
      <c r="AV678" s="4" t="n">
        <v>1501850</v>
      </c>
      <c r="AW678" s="4" t="n">
        <v>564131</v>
      </c>
      <c r="AX678" s="4" t="n">
        <v>333978</v>
      </c>
      <c r="AY678" s="9" t="n">
        <v>13808</v>
      </c>
      <c r="AZ678" s="7"/>
      <c r="BA678" s="7" t="n">
        <v>0.939</v>
      </c>
      <c r="BB678" s="3" t="s">
        <v>99</v>
      </c>
      <c r="BC678" s="3" t="s">
        <v>108</v>
      </c>
      <c r="BD678" s="3" t="s">
        <v>157</v>
      </c>
      <c r="BE678" s="4" t="n">
        <v>212678</v>
      </c>
      <c r="BF678" s="5" t="n">
        <f aca="false">IFERROR(P678/BE678-1,"")</f>
        <v>-0.192695060137861</v>
      </c>
      <c r="BG678" s="7" t="n">
        <v>-0.05</v>
      </c>
      <c r="BH678" s="7" t="n">
        <v>0.067</v>
      </c>
      <c r="BI678" s="6" t="n">
        <f aca="false">P678</f>
        <v>171696</v>
      </c>
      <c r="BJ678" s="4" t="n">
        <v>-1322366</v>
      </c>
      <c r="BK678" s="3" t="s">
        <v>192</v>
      </c>
      <c r="BL678" s="3" t="s">
        <v>85</v>
      </c>
      <c r="BM678" s="6" t="n">
        <f aca="false">O678</f>
        <v>36588056</v>
      </c>
      <c r="BN678" s="3" t="s">
        <v>664</v>
      </c>
      <c r="BO678" s="5" t="n">
        <f aca="false">IFERROR(1-L678/M678,"")</f>
        <v>0.144217091585513</v>
      </c>
      <c r="BP678" s="3" t="s">
        <v>130</v>
      </c>
      <c r="BQ678" s="4" t="n">
        <v>2515559</v>
      </c>
      <c r="BR678" s="3" t="s">
        <v>88</v>
      </c>
      <c r="BS678" s="3" t="s">
        <v>89</v>
      </c>
      <c r="BT678" s="3" t="s">
        <v>90</v>
      </c>
    </row>
    <row r="679" customFormat="false" ht="15" hidden="false" customHeight="false" outlineLevel="0" collapsed="false">
      <c r="A679" s="11" t="s">
        <v>662</v>
      </c>
      <c r="B679" s="11" t="s">
        <v>91</v>
      </c>
      <c r="C679" s="11" t="s">
        <v>74</v>
      </c>
      <c r="D679" s="11" t="s">
        <v>210</v>
      </c>
      <c r="E679" s="11" t="s">
        <v>187</v>
      </c>
      <c r="F679" s="11" t="s">
        <v>663</v>
      </c>
      <c r="G679" s="11" t="s">
        <v>78</v>
      </c>
      <c r="H679" s="11" t="s">
        <v>644</v>
      </c>
      <c r="I679" s="11" t="s">
        <v>78</v>
      </c>
      <c r="J679" s="12" t="n">
        <v>2636000</v>
      </c>
      <c r="K679" s="13" t="n">
        <f aca="false">IFERROR(J679/M679,"")</f>
        <v>0.144217091585513</v>
      </c>
      <c r="L679" s="12" t="n">
        <v>15642000</v>
      </c>
      <c r="M679" s="14" t="n">
        <f aca="false">L679+J679</f>
        <v>18278000</v>
      </c>
      <c r="N679" s="12" t="n">
        <v>6628000</v>
      </c>
      <c r="O679" s="12" t="n">
        <v>36588056</v>
      </c>
      <c r="P679" s="12" t="n">
        <v>240806</v>
      </c>
      <c r="Q679" s="13" t="n">
        <f aca="false">IFERROR(P679/P678-1,"")</f>
        <v>0.402513745224117</v>
      </c>
      <c r="R679" s="12" t="n">
        <v>250811</v>
      </c>
      <c r="S679" s="13" t="n">
        <f aca="false">IFERROR(R679/R678-1,"")</f>
        <v>0.285801437491669</v>
      </c>
      <c r="T679" s="12" t="n">
        <v>138768</v>
      </c>
      <c r="U679" s="13" t="n">
        <f aca="false">IFERROR(T679/P679,"")</f>
        <v>0.576264711012184</v>
      </c>
      <c r="V679" s="14" t="n">
        <f aca="false">T679-AV679</f>
        <v>-1379400</v>
      </c>
      <c r="W679" s="14" t="n">
        <f aca="false">V679-AA679*0.1</f>
        <v>-1475800</v>
      </c>
      <c r="X679" s="12" t="n">
        <v>1197900</v>
      </c>
      <c r="Y679" s="12" t="n">
        <v>152280</v>
      </c>
      <c r="Z679" s="15" t="n">
        <f aca="false">IFERROR(X679/Y679,"")</f>
        <v>7.86643026004728</v>
      </c>
      <c r="AA679" s="12" t="n">
        <v>964000</v>
      </c>
      <c r="AB679" s="14" t="n">
        <f aca="false">W679-0.02*P679</f>
        <v>-1480616.12</v>
      </c>
      <c r="AC679" s="16" t="n">
        <v>13</v>
      </c>
      <c r="AD679" s="13" t="n">
        <f aca="false">IFERROR(AC679/AC678-1,"")</f>
        <v>0.181818181818182</v>
      </c>
      <c r="AE679" s="17" t="n">
        <v>0.056</v>
      </c>
      <c r="AF679" s="17" t="n">
        <v>0.059</v>
      </c>
      <c r="AG679" s="13" t="n">
        <f aca="false">1-AF679</f>
        <v>0.941</v>
      </c>
      <c r="AH679" s="17" t="n">
        <v>1.213</v>
      </c>
      <c r="AI679" s="12" t="n">
        <v>36504</v>
      </c>
      <c r="AJ679" s="14" t="n">
        <f aca="false">IFERROR(AM679*U679*MIN(1/AE679,5),"")</f>
        <v>176337.001569728</v>
      </c>
      <c r="AK679" s="18" t="n">
        <f aca="false">IFERROR(AJ679/AI679,"")</f>
        <v>4.83062134477669</v>
      </c>
      <c r="AL679" s="15" t="n">
        <f aca="false">IFERROR(AI679/(AM679*U679/12),"")</f>
        <v>12.4207624066576</v>
      </c>
      <c r="AM679" s="12" t="n">
        <v>61200</v>
      </c>
      <c r="AN679" s="12" t="n">
        <v>242963</v>
      </c>
      <c r="AO679" s="12" t="n">
        <v>858182</v>
      </c>
      <c r="AP679" s="17" t="n">
        <v>0.252</v>
      </c>
      <c r="AQ679" s="16" t="n">
        <v>26</v>
      </c>
      <c r="AR679" s="16" t="n">
        <v>1</v>
      </c>
      <c r="AS679" s="13" t="n">
        <f aca="false">IFERROR(AR679/AR678-1,"")</f>
        <v>0</v>
      </c>
      <c r="AT679" s="11" t="s">
        <v>134</v>
      </c>
      <c r="AU679" s="14" t="n">
        <f aca="false">IFERROR(P679/AR679,"")</f>
        <v>240806</v>
      </c>
      <c r="AV679" s="12" t="n">
        <v>1518168</v>
      </c>
      <c r="AW679" s="12" t="n">
        <v>515062</v>
      </c>
      <c r="AX679" s="12" t="n">
        <v>461685</v>
      </c>
      <c r="AY679" s="16" t="n">
        <v>19234</v>
      </c>
      <c r="AZ679" s="13" t="n">
        <f aca="false">IFERROR(AY679/AY678-1,"")</f>
        <v>0.392960602549247</v>
      </c>
      <c r="BA679" s="17" t="n">
        <v>0.942</v>
      </c>
      <c r="BB679" s="11" t="s">
        <v>99</v>
      </c>
      <c r="BC679" s="11" t="s">
        <v>108</v>
      </c>
      <c r="BD679" s="11" t="s">
        <v>157</v>
      </c>
      <c r="BE679" s="12" t="n">
        <v>233814</v>
      </c>
      <c r="BF679" s="13" t="n">
        <f aca="false">IFERROR(P679/BE679-1,"")</f>
        <v>0.0299041118153747</v>
      </c>
      <c r="BG679" s="17" t="n">
        <v>-0.008</v>
      </c>
      <c r="BH679" s="17" t="n">
        <v>-0.05</v>
      </c>
      <c r="BI679" s="14" t="n">
        <f aca="false">P679*(1+IFERROR(Q679,0))^4</f>
        <v>931742.291888102</v>
      </c>
      <c r="BJ679" s="12" t="n">
        <v>-1173296</v>
      </c>
      <c r="BK679" s="11" t="s">
        <v>192</v>
      </c>
      <c r="BL679" s="11" t="s">
        <v>85</v>
      </c>
      <c r="BM679" s="14" t="n">
        <f aca="false">O679</f>
        <v>36588056</v>
      </c>
      <c r="BN679" s="11" t="s">
        <v>664</v>
      </c>
      <c r="BO679" s="13" t="n">
        <f aca="false">IFERROR(1-L679/M679,"")</f>
        <v>0.144217091585513</v>
      </c>
      <c r="BP679" s="11" t="s">
        <v>130</v>
      </c>
      <c r="BQ679" s="12" t="n">
        <v>2166279</v>
      </c>
      <c r="BR679" s="11" t="s">
        <v>88</v>
      </c>
      <c r="BS679" s="11" t="s">
        <v>89</v>
      </c>
      <c r="BT679" s="19" t="str">
        <f aca="false">IF(OR(Z679&lt;6,AH679&lt;0.9,S679&lt;0.02,AK679&lt;1),"REVIEW",IF(AND(S679&gt;0.25,AH679&gt;1.2),"ACCELERATING","STABLE"))</f>
        <v>ACCELERATING</v>
      </c>
    </row>
    <row r="680" customFormat="false" ht="15" hidden="false" customHeight="false" outlineLevel="0" collapsed="false">
      <c r="A680" s="11" t="s">
        <v>662</v>
      </c>
      <c r="B680" s="11" t="s">
        <v>92</v>
      </c>
      <c r="C680" s="11" t="s">
        <v>74</v>
      </c>
      <c r="D680" s="11" t="s">
        <v>210</v>
      </c>
      <c r="E680" s="11" t="s">
        <v>187</v>
      </c>
      <c r="F680" s="11" t="s">
        <v>663</v>
      </c>
      <c r="G680" s="11" t="s">
        <v>78</v>
      </c>
      <c r="H680" s="11" t="s">
        <v>644</v>
      </c>
      <c r="I680" s="11" t="s">
        <v>78</v>
      </c>
      <c r="J680" s="12" t="n">
        <v>2636000</v>
      </c>
      <c r="K680" s="13" t="n">
        <f aca="false">IFERROR(J680/M680,"")</f>
        <v>0.144217091585513</v>
      </c>
      <c r="L680" s="12" t="n">
        <v>15642000</v>
      </c>
      <c r="M680" s="14" t="n">
        <f aca="false">L680+J680</f>
        <v>18278000</v>
      </c>
      <c r="N680" s="12" t="n">
        <v>6628000</v>
      </c>
      <c r="O680" s="12" t="n">
        <v>36588056</v>
      </c>
      <c r="P680" s="12" t="n">
        <v>337538</v>
      </c>
      <c r="Q680" s="13" t="n">
        <f aca="false">IFERROR(P680/P679-1,"")</f>
        <v>0.401700954295159</v>
      </c>
      <c r="R680" s="12" t="n">
        <v>345395</v>
      </c>
      <c r="S680" s="13" t="n">
        <f aca="false">IFERROR(R680/R679-1,"")</f>
        <v>0.377112646574512</v>
      </c>
      <c r="T680" s="12" t="n">
        <v>195296</v>
      </c>
      <c r="U680" s="13" t="n">
        <f aca="false">IFERROR(T680/P680,"")</f>
        <v>0.578589669903833</v>
      </c>
      <c r="V680" s="14" t="n">
        <f aca="false">T680-AV680</f>
        <v>-1783193</v>
      </c>
      <c r="W680" s="14" t="n">
        <f aca="false">V680-AA680*0.1</f>
        <v>-1879593</v>
      </c>
      <c r="X680" s="12" t="n">
        <v>1464100</v>
      </c>
      <c r="Y680" s="12" t="n">
        <v>157140</v>
      </c>
      <c r="Z680" s="15" t="n">
        <f aca="false">IFERROR(X680/Y680,"")</f>
        <v>9.31716940308006</v>
      </c>
      <c r="AA680" s="12" t="n">
        <v>964000</v>
      </c>
      <c r="AB680" s="14" t="n">
        <f aca="false">W680-0.02*P680</f>
        <v>-1886343.76</v>
      </c>
      <c r="AC680" s="16" t="n">
        <v>18</v>
      </c>
      <c r="AD680" s="13" t="n">
        <f aca="false">IFERROR(AC680/AC679-1,"")</f>
        <v>0.384615384615385</v>
      </c>
      <c r="AE680" s="17" t="n">
        <v>0.055</v>
      </c>
      <c r="AF680" s="17" t="n">
        <v>0.05</v>
      </c>
      <c r="AG680" s="13" t="n">
        <f aca="false">1-AF680</f>
        <v>0.95</v>
      </c>
      <c r="AH680" s="17" t="n">
        <v>1.243</v>
      </c>
      <c r="AI680" s="12" t="n">
        <v>35802</v>
      </c>
      <c r="AJ680" s="14" t="n">
        <f aca="false">IFERROR(AM680*U680*MIN(1/AE680,5),"")</f>
        <v>180519.977009996</v>
      </c>
      <c r="AK680" s="18" t="n">
        <f aca="false">IFERROR(AJ680/AI680,"")</f>
        <v>5.04217577258242</v>
      </c>
      <c r="AL680" s="15" t="n">
        <f aca="false">IFERROR(AI680/(AM680*U680/12),"")</f>
        <v>11.8996248259053</v>
      </c>
      <c r="AM680" s="12" t="n">
        <v>62400</v>
      </c>
      <c r="AN680" s="12" t="n">
        <v>463885</v>
      </c>
      <c r="AO680" s="12" t="n">
        <v>523595</v>
      </c>
      <c r="AP680" s="17" t="n">
        <v>0.252</v>
      </c>
      <c r="AQ680" s="16" t="n">
        <v>26</v>
      </c>
      <c r="AR680" s="16" t="n">
        <v>2</v>
      </c>
      <c r="AS680" s="13" t="n">
        <f aca="false">IFERROR(AR680/AR679-1,"")</f>
        <v>1</v>
      </c>
      <c r="AT680" s="11" t="s">
        <v>134</v>
      </c>
      <c r="AU680" s="14" t="n">
        <f aca="false">IFERROR(P680/AR680,"")</f>
        <v>168769</v>
      </c>
      <c r="AV680" s="12" t="n">
        <v>1978489</v>
      </c>
      <c r="AW680" s="12" t="n">
        <v>889036</v>
      </c>
      <c r="AX680" s="12" t="n">
        <v>436198</v>
      </c>
      <c r="AY680" s="16" t="n">
        <v>23791</v>
      </c>
      <c r="AZ680" s="13" t="n">
        <f aca="false">IFERROR(AY680/AY679-1,"")</f>
        <v>0.236924196734948</v>
      </c>
      <c r="BA680" s="17" t="n">
        <v>0.946</v>
      </c>
      <c r="BB680" s="11" t="s">
        <v>99</v>
      </c>
      <c r="BC680" s="11" t="s">
        <v>108</v>
      </c>
      <c r="BD680" s="11" t="s">
        <v>157</v>
      </c>
      <c r="BE680" s="12" t="n">
        <v>361315</v>
      </c>
      <c r="BF680" s="13" t="n">
        <f aca="false">IFERROR(P680/BE680-1,"")</f>
        <v>-0.0658068444432144</v>
      </c>
      <c r="BG680" s="17" t="n">
        <v>0.033</v>
      </c>
      <c r="BH680" s="17" t="n">
        <v>-0.031</v>
      </c>
      <c r="BI680" s="14" t="n">
        <f aca="false">P680*(1+IFERROR(Q680,0))^4</f>
        <v>1302999.19922808</v>
      </c>
      <c r="BJ680" s="12" t="n">
        <v>-1302681</v>
      </c>
      <c r="BK680" s="11" t="s">
        <v>192</v>
      </c>
      <c r="BL680" s="11" t="s">
        <v>85</v>
      </c>
      <c r="BM680" s="14" t="n">
        <f aca="false">O680</f>
        <v>36588056</v>
      </c>
      <c r="BN680" s="11" t="s">
        <v>664</v>
      </c>
      <c r="BO680" s="13" t="n">
        <f aca="false">IFERROR(1-L680/M680,"")</f>
        <v>0.144217091585513</v>
      </c>
      <c r="BP680" s="11" t="s">
        <v>130</v>
      </c>
      <c r="BQ680" s="12" t="n">
        <v>2199761</v>
      </c>
      <c r="BR680" s="11" t="s">
        <v>88</v>
      </c>
      <c r="BS680" s="11" t="s">
        <v>89</v>
      </c>
      <c r="BT680" s="19" t="str">
        <f aca="false">IF(OR(Z680&lt;6,AH680&lt;0.9,S680&lt;0.02,AK680&lt;1),"REVIEW",IF(AND(S680&gt;0.25,AH680&gt;1.2),"ACCELERATING","STABLE"))</f>
        <v>ACCELERATING</v>
      </c>
    </row>
    <row r="681" customFormat="false" ht="15" hidden="false" customHeight="false" outlineLevel="0" collapsed="false">
      <c r="A681" s="11" t="s">
        <v>662</v>
      </c>
      <c r="B681" s="11" t="s">
        <v>93</v>
      </c>
      <c r="C681" s="11" t="s">
        <v>74</v>
      </c>
      <c r="D681" s="11" t="s">
        <v>210</v>
      </c>
      <c r="E681" s="11" t="s">
        <v>187</v>
      </c>
      <c r="F681" s="11" t="s">
        <v>663</v>
      </c>
      <c r="G681" s="11" t="s">
        <v>78</v>
      </c>
      <c r="H681" s="11" t="s">
        <v>644</v>
      </c>
      <c r="I681" s="11" t="s">
        <v>78</v>
      </c>
      <c r="J681" s="12" t="n">
        <v>2636000</v>
      </c>
      <c r="K681" s="13" t="n">
        <f aca="false">IFERROR(J681/M681,"")</f>
        <v>0.144217091585513</v>
      </c>
      <c r="L681" s="12" t="n">
        <v>15642000</v>
      </c>
      <c r="M681" s="14" t="n">
        <f aca="false">L681+J681</f>
        <v>18278000</v>
      </c>
      <c r="N681" s="12" t="n">
        <v>6628000</v>
      </c>
      <c r="O681" s="12" t="n">
        <v>36588056</v>
      </c>
      <c r="P681" s="12" t="n">
        <v>426851</v>
      </c>
      <c r="Q681" s="13" t="n">
        <f aca="false">IFERROR(P681/P680-1,"")</f>
        <v>0.264601318962606</v>
      </c>
      <c r="R681" s="12" t="n">
        <v>464634</v>
      </c>
      <c r="S681" s="13" t="n">
        <f aca="false">IFERROR(R681/R680-1,"")</f>
        <v>0.345225032209499</v>
      </c>
      <c r="T681" s="12" t="n">
        <v>247963</v>
      </c>
      <c r="U681" s="13" t="n">
        <f aca="false">IFERROR(T681/P681,"")</f>
        <v>0.580912308979011</v>
      </c>
      <c r="V681" s="14" t="n">
        <f aca="false">T681-AV681</f>
        <v>-1529082</v>
      </c>
      <c r="W681" s="14" t="n">
        <f aca="false">V681-AA681*0.1</f>
        <v>-1625482</v>
      </c>
      <c r="X681" s="12" t="n">
        <v>2662000</v>
      </c>
      <c r="Y681" s="12" t="n">
        <v>162000</v>
      </c>
      <c r="Z681" s="15" t="n">
        <f aca="false">IFERROR(X681/Y681,"")</f>
        <v>16.4320987654321</v>
      </c>
      <c r="AA681" s="12" t="n">
        <v>964000</v>
      </c>
      <c r="AB681" s="14" t="n">
        <f aca="false">W681-0.02*P681</f>
        <v>-1634019.02</v>
      </c>
      <c r="AC681" s="16" t="n">
        <v>22</v>
      </c>
      <c r="AD681" s="13" t="n">
        <f aca="false">IFERROR(AC681/AC680-1,"")</f>
        <v>0.222222222222222</v>
      </c>
      <c r="AE681" s="17" t="n">
        <v>0.053</v>
      </c>
      <c r="AF681" s="17" t="n">
        <v>0.041</v>
      </c>
      <c r="AG681" s="13" t="n">
        <f aca="false">1-AF681</f>
        <v>0.959</v>
      </c>
      <c r="AH681" s="17" t="n">
        <v>1.273</v>
      </c>
      <c r="AI681" s="12" t="n">
        <v>35100</v>
      </c>
      <c r="AJ681" s="14" t="n">
        <f aca="false">IFERROR(AM681*U681*MIN(1/AE681,5),"")</f>
        <v>184730.114255326</v>
      </c>
      <c r="AK681" s="18" t="n">
        <f aca="false">IFERROR(AJ681/AI681,"")</f>
        <v>5.26296621810045</v>
      </c>
      <c r="AL681" s="15" t="n">
        <f aca="false">IFERROR(AI681/(AM681*U681/12),"")</f>
        <v>11.4004151867149</v>
      </c>
      <c r="AM681" s="12" t="n">
        <v>63600</v>
      </c>
      <c r="AN681" s="12" t="n">
        <v>440155</v>
      </c>
      <c r="AO681" s="12" t="n">
        <v>1365964</v>
      </c>
      <c r="AP681" s="17" t="n">
        <v>0.252</v>
      </c>
      <c r="AQ681" s="16" t="n">
        <v>26</v>
      </c>
      <c r="AR681" s="16" t="n">
        <v>2</v>
      </c>
      <c r="AS681" s="13" t="n">
        <f aca="false">IFERROR(AR681/AR680-1,"")</f>
        <v>0</v>
      </c>
      <c r="AT681" s="11" t="s">
        <v>134</v>
      </c>
      <c r="AU681" s="14" t="n">
        <f aca="false">IFERROR(P681/AR681,"")</f>
        <v>213425.5</v>
      </c>
      <c r="AV681" s="12" t="n">
        <v>1777045</v>
      </c>
      <c r="AW681" s="12" t="n">
        <v>576990</v>
      </c>
      <c r="AX681" s="12" t="n">
        <v>499337</v>
      </c>
      <c r="AY681" s="16" t="n">
        <v>30977</v>
      </c>
      <c r="AZ681" s="13" t="n">
        <f aca="false">IFERROR(AY681/AY680-1,"")</f>
        <v>0.302046992560212</v>
      </c>
      <c r="BA681" s="17" t="n">
        <v>0.96</v>
      </c>
      <c r="BB681" s="11" t="s">
        <v>99</v>
      </c>
      <c r="BC681" s="11" t="s">
        <v>108</v>
      </c>
      <c r="BD681" s="11" t="s">
        <v>157</v>
      </c>
      <c r="BE681" s="12" t="n">
        <v>503501</v>
      </c>
      <c r="BF681" s="13" t="n">
        <f aca="false">IFERROR(P681/BE681-1,"")</f>
        <v>-0.152234057131962</v>
      </c>
      <c r="BG681" s="17" t="n">
        <v>-0.053</v>
      </c>
      <c r="BH681" s="17" t="n">
        <v>-0.03</v>
      </c>
      <c r="BI681" s="14" t="n">
        <f aca="false">P681*(1+IFERROR(Q681,0))^4</f>
        <v>1091668.61563722</v>
      </c>
      <c r="BJ681" s="12" t="n">
        <v>-1644358</v>
      </c>
      <c r="BK681" s="11" t="s">
        <v>192</v>
      </c>
      <c r="BL681" s="11" t="s">
        <v>85</v>
      </c>
      <c r="BM681" s="14" t="n">
        <f aca="false">O681</f>
        <v>36588056</v>
      </c>
      <c r="BN681" s="11" t="s">
        <v>664</v>
      </c>
      <c r="BO681" s="13" t="n">
        <f aca="false">IFERROR(1-L681/M681,"")</f>
        <v>0.144217091585513</v>
      </c>
      <c r="BP681" s="11" t="s">
        <v>130</v>
      </c>
      <c r="BQ681" s="12" t="n">
        <v>3081371</v>
      </c>
      <c r="BR681" s="11" t="s">
        <v>88</v>
      </c>
      <c r="BS681" s="11" t="s">
        <v>89</v>
      </c>
      <c r="BT681" s="19" t="str">
        <f aca="false">IF(OR(Z681&lt;6,AH681&lt;0.9,S681&lt;0.02,AK681&lt;1),"REVIEW",IF(AND(S681&gt;0.25,AH681&gt;1.2),"ACCELERATING","STABLE"))</f>
        <v>ACCELERATING</v>
      </c>
    </row>
    <row r="682" customFormat="false" ht="15" hidden="false" customHeight="false" outlineLevel="0" collapsed="false">
      <c r="A682" s="3" t="s">
        <v>665</v>
      </c>
      <c r="B682" s="3" t="s">
        <v>73</v>
      </c>
      <c r="C682" s="3" t="s">
        <v>74</v>
      </c>
      <c r="D682" s="3" t="s">
        <v>95</v>
      </c>
      <c r="E682" s="3" t="s">
        <v>105</v>
      </c>
      <c r="F682" s="3" t="s">
        <v>666</v>
      </c>
      <c r="G682" s="3" t="s">
        <v>78</v>
      </c>
      <c r="H682" s="3" t="s">
        <v>644</v>
      </c>
      <c r="I682" s="3" t="s">
        <v>78</v>
      </c>
      <c r="J682" s="4" t="n">
        <v>4547000</v>
      </c>
      <c r="K682" s="5" t="n">
        <f aca="false">IFERROR(J682/M682,"")</f>
        <v>0.150075912601492</v>
      </c>
      <c r="L682" s="4" t="n">
        <v>25751000</v>
      </c>
      <c r="M682" s="6" t="n">
        <f aca="false">L682+J682</f>
        <v>30298000</v>
      </c>
      <c r="N682" s="4" t="n">
        <v>5654000</v>
      </c>
      <c r="O682" s="4" t="n">
        <v>62238885</v>
      </c>
      <c r="P682" s="4" t="n">
        <v>770835</v>
      </c>
      <c r="Q682" s="7"/>
      <c r="R682" s="4" t="n">
        <v>872694</v>
      </c>
      <c r="S682" s="7"/>
      <c r="T682" s="4" t="n">
        <v>487893</v>
      </c>
      <c r="U682" s="5" t="n">
        <f aca="false">IFERROR(T682/P682,"")</f>
        <v>0.632940901749402</v>
      </c>
      <c r="V682" s="6" t="n">
        <f aca="false">T682-AV682</f>
        <v>-1233335</v>
      </c>
      <c r="W682" s="6" t="n">
        <f aca="false">V682-AA682*0.1</f>
        <v>-1233335</v>
      </c>
      <c r="X682" s="4" t="n">
        <v>3885085</v>
      </c>
      <c r="Y682" s="4" t="n">
        <v>122850</v>
      </c>
      <c r="Z682" s="8" t="n">
        <f aca="false">IFERROR(X682/Y682,"")</f>
        <v>31.6246235246235</v>
      </c>
      <c r="AA682" s="4" t="n">
        <v>0</v>
      </c>
      <c r="AB682" s="6" t="n">
        <f aca="false">W682-0.02*P682</f>
        <v>-1248751.7</v>
      </c>
      <c r="AC682" s="9" t="n">
        <v>29</v>
      </c>
      <c r="AD682" s="7"/>
      <c r="AE682" s="7" t="n">
        <v>0.141</v>
      </c>
      <c r="AF682" s="7" t="n">
        <v>0.105</v>
      </c>
      <c r="AG682" s="5" t="n">
        <f aca="false">1-AF682</f>
        <v>0.895</v>
      </c>
      <c r="AH682" s="7" t="n">
        <v>1.171</v>
      </c>
      <c r="AI682" s="4" t="n">
        <v>55544</v>
      </c>
      <c r="AJ682" s="6" t="n">
        <f aca="false">IFERROR(AM682*U682*MIN(1/AE682,5),"")</f>
        <v>104435.248788651</v>
      </c>
      <c r="AK682" s="10" t="n">
        <f aca="false">IFERROR(AJ682/AI682,"")</f>
        <v>1.88022556511327</v>
      </c>
      <c r="AL682" s="8" t="n">
        <f aca="false">IFERROR(AI682/(AM682*U682/12),"")</f>
        <v>31.9110648814019</v>
      </c>
      <c r="AM682" s="4" t="n">
        <v>33000</v>
      </c>
      <c r="AN682" s="4" t="n">
        <v>1190993</v>
      </c>
      <c r="AO682" s="4" t="n">
        <v>2329102</v>
      </c>
      <c r="AP682" s="7" t="n">
        <v>0.285</v>
      </c>
      <c r="AQ682" s="9" t="n">
        <v>21</v>
      </c>
      <c r="AR682" s="9" t="n">
        <v>2</v>
      </c>
      <c r="AS682" s="7"/>
      <c r="AT682" s="3" t="s">
        <v>201</v>
      </c>
      <c r="AU682" s="6" t="n">
        <f aca="false">IFERROR(P682/AR682,"")</f>
        <v>385417.5</v>
      </c>
      <c r="AV682" s="4" t="n">
        <v>1721228</v>
      </c>
      <c r="AW682" s="4" t="n">
        <v>559674</v>
      </c>
      <c r="AX682" s="4" t="n">
        <v>323482</v>
      </c>
      <c r="AY682" s="9" t="n">
        <v>14914</v>
      </c>
      <c r="AZ682" s="7"/>
      <c r="BA682" s="7" t="n">
        <v>0.894</v>
      </c>
      <c r="BB682" s="3" t="s">
        <v>99</v>
      </c>
      <c r="BC682" s="3" t="s">
        <v>100</v>
      </c>
      <c r="BD682" s="3" t="s">
        <v>83</v>
      </c>
      <c r="BE682" s="4" t="n">
        <v>766751</v>
      </c>
      <c r="BF682" s="5" t="n">
        <f aca="false">IFERROR(P682/BE682-1,"")</f>
        <v>0.00532637062097074</v>
      </c>
      <c r="BG682" s="7" t="n">
        <v>-0.046</v>
      </c>
      <c r="BH682" s="7" t="n">
        <v>0.048</v>
      </c>
      <c r="BI682" s="6" t="n">
        <f aca="false">P682</f>
        <v>770835</v>
      </c>
      <c r="BJ682" s="4" t="n">
        <v>-1193027</v>
      </c>
      <c r="BK682" s="3" t="s">
        <v>102</v>
      </c>
      <c r="BL682" s="3" t="s">
        <v>85</v>
      </c>
      <c r="BM682" s="6" t="n">
        <f aca="false">O682</f>
        <v>62238885</v>
      </c>
      <c r="BN682" s="3" t="s">
        <v>667</v>
      </c>
      <c r="BO682" s="5" t="n">
        <f aca="false">IFERROR(1-L682/M682,"")</f>
        <v>0.150075912601492</v>
      </c>
      <c r="BP682" s="3" t="s">
        <v>142</v>
      </c>
      <c r="BQ682" s="4" t="n">
        <v>1693787</v>
      </c>
      <c r="BR682" s="3" t="s">
        <v>88</v>
      </c>
      <c r="BS682" s="3" t="s">
        <v>89</v>
      </c>
      <c r="BT682" s="3" t="s">
        <v>90</v>
      </c>
    </row>
    <row r="683" customFormat="false" ht="15" hidden="false" customHeight="false" outlineLevel="0" collapsed="false">
      <c r="A683" s="11" t="s">
        <v>665</v>
      </c>
      <c r="B683" s="11" t="s">
        <v>91</v>
      </c>
      <c r="C683" s="11" t="s">
        <v>74</v>
      </c>
      <c r="D683" s="11" t="s">
        <v>95</v>
      </c>
      <c r="E683" s="11" t="s">
        <v>105</v>
      </c>
      <c r="F683" s="11" t="s">
        <v>666</v>
      </c>
      <c r="G683" s="11" t="s">
        <v>78</v>
      </c>
      <c r="H683" s="11" t="s">
        <v>644</v>
      </c>
      <c r="I683" s="11" t="s">
        <v>78</v>
      </c>
      <c r="J683" s="12" t="n">
        <v>4547000</v>
      </c>
      <c r="K683" s="13" t="n">
        <f aca="false">IFERROR(J683/M683,"")</f>
        <v>0.150075912601492</v>
      </c>
      <c r="L683" s="12" t="n">
        <v>25751000</v>
      </c>
      <c r="M683" s="14" t="n">
        <f aca="false">L683+J683</f>
        <v>30298000</v>
      </c>
      <c r="N683" s="12" t="n">
        <v>5654000</v>
      </c>
      <c r="O683" s="12" t="n">
        <v>62238885</v>
      </c>
      <c r="P683" s="12" t="n">
        <v>993887</v>
      </c>
      <c r="Q683" s="13" t="n">
        <f aca="false">IFERROR(P683/P682-1,"")</f>
        <v>0.289364131104581</v>
      </c>
      <c r="R683" s="12" t="n">
        <v>1025459</v>
      </c>
      <c r="S683" s="13" t="n">
        <f aca="false">IFERROR(R683/R682-1,"")</f>
        <v>0.175049902944217</v>
      </c>
      <c r="T683" s="12" t="n">
        <v>631618</v>
      </c>
      <c r="U683" s="13" t="n">
        <f aca="false">IFERROR(T683/P683,"")</f>
        <v>0.635502828792408</v>
      </c>
      <c r="V683" s="14" t="n">
        <f aca="false">T683-AV683</f>
        <v>-1401139</v>
      </c>
      <c r="W683" s="14" t="n">
        <f aca="false">V683-AA683*0.1</f>
        <v>-1401139</v>
      </c>
      <c r="X683" s="12" t="n">
        <v>3575260</v>
      </c>
      <c r="Y683" s="12" t="n">
        <v>126900</v>
      </c>
      <c r="Z683" s="15" t="n">
        <f aca="false">IFERROR(X683/Y683,"")</f>
        <v>28.1738376674547</v>
      </c>
      <c r="AA683" s="12" t="n">
        <v>0</v>
      </c>
      <c r="AB683" s="14" t="n">
        <f aca="false">W683-0.02*P683</f>
        <v>-1421016.74</v>
      </c>
      <c r="AC683" s="16" t="n">
        <v>34</v>
      </c>
      <c r="AD683" s="13" t="n">
        <f aca="false">IFERROR(AC683/AC682-1,"")</f>
        <v>0.172413793103448</v>
      </c>
      <c r="AE683" s="17" t="n">
        <v>0.137</v>
      </c>
      <c r="AF683" s="17" t="n">
        <v>0.092</v>
      </c>
      <c r="AG683" s="13" t="n">
        <f aca="false">1-AF683</f>
        <v>0.908</v>
      </c>
      <c r="AH683" s="17" t="n">
        <v>1.166</v>
      </c>
      <c r="AI683" s="12" t="n">
        <v>54496</v>
      </c>
      <c r="AJ683" s="14" t="n">
        <f aca="false">IFERROR(AM683*U683*MIN(1/AE683,5),"")</f>
        <v>106955.126085762</v>
      </c>
      <c r="AK683" s="18" t="n">
        <f aca="false">IFERROR(AJ683/AI683,"")</f>
        <v>1.96262342347626</v>
      </c>
      <c r="AL683" s="15" t="n">
        <f aca="false">IFERROR(AI683/(AM683*U683/12),"")</f>
        <v>30.5713257481286</v>
      </c>
      <c r="AM683" s="12" t="n">
        <v>33660</v>
      </c>
      <c r="AN683" s="12" t="n">
        <v>1332967</v>
      </c>
      <c r="AO683" s="12" t="n">
        <v>1933773</v>
      </c>
      <c r="AP683" s="17" t="n">
        <v>0.285</v>
      </c>
      <c r="AQ683" s="16" t="n">
        <v>21</v>
      </c>
      <c r="AR683" s="16" t="n">
        <v>3</v>
      </c>
      <c r="AS683" s="13" t="n">
        <f aca="false">IFERROR(AR683/AR682-1,"")</f>
        <v>0.5</v>
      </c>
      <c r="AT683" s="11" t="s">
        <v>201</v>
      </c>
      <c r="AU683" s="14" t="n">
        <f aca="false">IFERROR(P683/AR683,"")</f>
        <v>331295.666666667</v>
      </c>
      <c r="AV683" s="12" t="n">
        <v>2032757</v>
      </c>
      <c r="AW683" s="12" t="n">
        <v>870544</v>
      </c>
      <c r="AX683" s="12" t="n">
        <v>677279</v>
      </c>
      <c r="AY683" s="16" t="n">
        <v>17733</v>
      </c>
      <c r="AZ683" s="13" t="n">
        <f aca="false">IFERROR(AY683/AY682-1,"")</f>
        <v>0.189017030977605</v>
      </c>
      <c r="BA683" s="17" t="n">
        <v>0.901</v>
      </c>
      <c r="BB683" s="11" t="s">
        <v>99</v>
      </c>
      <c r="BC683" s="11" t="s">
        <v>100</v>
      </c>
      <c r="BD683" s="11" t="s">
        <v>83</v>
      </c>
      <c r="BE683" s="12" t="n">
        <v>922622</v>
      </c>
      <c r="BF683" s="13" t="n">
        <f aca="false">IFERROR(P683/BE683-1,"")</f>
        <v>0.0772418173423135</v>
      </c>
      <c r="BG683" s="17" t="n">
        <v>0.015</v>
      </c>
      <c r="BH683" s="17" t="n">
        <v>0.08</v>
      </c>
      <c r="BI683" s="14" t="n">
        <f aca="false">P683*(1+IFERROR(Q683,0))^4</f>
        <v>2746877.85159251</v>
      </c>
      <c r="BJ683" s="12" t="n">
        <v>-1182356</v>
      </c>
      <c r="BK683" s="11" t="s">
        <v>102</v>
      </c>
      <c r="BL683" s="11" t="s">
        <v>85</v>
      </c>
      <c r="BM683" s="14" t="n">
        <f aca="false">O683</f>
        <v>62238885</v>
      </c>
      <c r="BN683" s="11" t="s">
        <v>667</v>
      </c>
      <c r="BO683" s="13" t="n">
        <f aca="false">IFERROR(1-L683/M683,"")</f>
        <v>0.150075912601492</v>
      </c>
      <c r="BP683" s="11" t="s">
        <v>142</v>
      </c>
      <c r="BQ683" s="12" t="n">
        <v>2158106</v>
      </c>
      <c r="BR683" s="11" t="s">
        <v>88</v>
      </c>
      <c r="BS683" s="11" t="s">
        <v>89</v>
      </c>
      <c r="BT683" s="19" t="str">
        <f aca="false">IF(OR(Z683&lt;6,AH683&lt;0.9,S683&lt;0.02,AK683&lt;1),"REVIEW",IF(AND(S683&gt;0.25,AH683&gt;1.2),"ACCELERATING","STABLE"))</f>
        <v>STABLE</v>
      </c>
    </row>
    <row r="684" customFormat="false" ht="15" hidden="false" customHeight="false" outlineLevel="0" collapsed="false">
      <c r="A684" s="11" t="s">
        <v>665</v>
      </c>
      <c r="B684" s="11" t="s">
        <v>92</v>
      </c>
      <c r="C684" s="11" t="s">
        <v>74</v>
      </c>
      <c r="D684" s="11" t="s">
        <v>95</v>
      </c>
      <c r="E684" s="11" t="s">
        <v>105</v>
      </c>
      <c r="F684" s="11" t="s">
        <v>666</v>
      </c>
      <c r="G684" s="11" t="s">
        <v>78</v>
      </c>
      <c r="H684" s="11" t="s">
        <v>644</v>
      </c>
      <c r="I684" s="11" t="s">
        <v>78</v>
      </c>
      <c r="J684" s="12" t="n">
        <v>4547000</v>
      </c>
      <c r="K684" s="13" t="n">
        <f aca="false">IFERROR(J684/M684,"")</f>
        <v>0.150075912601492</v>
      </c>
      <c r="L684" s="12" t="n">
        <v>25751000</v>
      </c>
      <c r="M684" s="14" t="n">
        <f aca="false">L684+J684</f>
        <v>30298000</v>
      </c>
      <c r="N684" s="12" t="n">
        <v>5654000</v>
      </c>
      <c r="O684" s="12" t="n">
        <v>62238885</v>
      </c>
      <c r="P684" s="12" t="n">
        <v>1130150</v>
      </c>
      <c r="Q684" s="13" t="n">
        <f aca="false">IFERROR(P684/P683-1,"")</f>
        <v>0.137101099018299</v>
      </c>
      <c r="R684" s="12" t="n">
        <v>1150598</v>
      </c>
      <c r="S684" s="13" t="n">
        <f aca="false">IFERROR(R684/R683-1,"")</f>
        <v>0.122032182661618</v>
      </c>
      <c r="T684" s="12" t="n">
        <v>721109</v>
      </c>
      <c r="U684" s="13" t="n">
        <f aca="false">IFERROR(T684/P684,"")</f>
        <v>0.638064858647082</v>
      </c>
      <c r="V684" s="14" t="n">
        <f aca="false">T684-AV684</f>
        <v>-1546688</v>
      </c>
      <c r="W684" s="14" t="n">
        <f aca="false">V684-AA684*0.1</f>
        <v>-1546688</v>
      </c>
      <c r="X684" s="12" t="n">
        <v>3243565</v>
      </c>
      <c r="Y684" s="12" t="n">
        <v>130950</v>
      </c>
      <c r="Z684" s="15" t="n">
        <f aca="false">IFERROR(X684/Y684,"")</f>
        <v>24.769492172585</v>
      </c>
      <c r="AA684" s="12" t="n">
        <v>0</v>
      </c>
      <c r="AB684" s="14" t="n">
        <f aca="false">W684-0.02*P684</f>
        <v>-1569291</v>
      </c>
      <c r="AC684" s="16" t="n">
        <v>39</v>
      </c>
      <c r="AD684" s="13" t="n">
        <f aca="false">IFERROR(AC684/AC683-1,"")</f>
        <v>0.147058823529412</v>
      </c>
      <c r="AE684" s="17" t="n">
        <v>0.133</v>
      </c>
      <c r="AF684" s="17" t="n">
        <v>0.091</v>
      </c>
      <c r="AG684" s="13" t="n">
        <f aca="false">1-AF684</f>
        <v>0.909</v>
      </c>
      <c r="AH684" s="17" t="n">
        <v>1.161</v>
      </c>
      <c r="AI684" s="12" t="n">
        <v>53448</v>
      </c>
      <c r="AJ684" s="14" t="n">
        <f aca="false">IFERROR(AM684*U684*MIN(1/AE684,5),"")</f>
        <v>109491.929743839</v>
      </c>
      <c r="AK684" s="18" t="n">
        <f aca="false">IFERROR(AJ684/AI684,"")</f>
        <v>2.04856925879059</v>
      </c>
      <c r="AL684" s="15" t="n">
        <f aca="false">IFERROR(AI684/(AM684*U684/12),"")</f>
        <v>29.2887339505535</v>
      </c>
      <c r="AM684" s="12" t="n">
        <v>34320</v>
      </c>
      <c r="AN684" s="12" t="n">
        <v>1168823</v>
      </c>
      <c r="AO684" s="12" t="n">
        <v>4336681</v>
      </c>
      <c r="AP684" s="17" t="n">
        <v>0.285</v>
      </c>
      <c r="AQ684" s="16" t="n">
        <v>21</v>
      </c>
      <c r="AR684" s="16" t="n">
        <v>3</v>
      </c>
      <c r="AS684" s="13" t="n">
        <f aca="false">IFERROR(AR684/AR683-1,"")</f>
        <v>0</v>
      </c>
      <c r="AT684" s="11" t="s">
        <v>201</v>
      </c>
      <c r="AU684" s="14" t="n">
        <f aca="false">IFERROR(P684/AR684,"")</f>
        <v>376716.666666667</v>
      </c>
      <c r="AV684" s="12" t="n">
        <v>2267797</v>
      </c>
      <c r="AW684" s="12" t="n">
        <v>721756</v>
      </c>
      <c r="AX684" s="12" t="n">
        <v>572334</v>
      </c>
      <c r="AY684" s="16" t="n">
        <v>21288</v>
      </c>
      <c r="AZ684" s="13" t="n">
        <f aca="false">IFERROR(AY684/AY683-1,"")</f>
        <v>0.200473693114532</v>
      </c>
      <c r="BA684" s="17" t="n">
        <v>0.869</v>
      </c>
      <c r="BB684" s="11" t="s">
        <v>99</v>
      </c>
      <c r="BC684" s="11" t="s">
        <v>100</v>
      </c>
      <c r="BD684" s="11" t="s">
        <v>83</v>
      </c>
      <c r="BE684" s="12" t="n">
        <v>1221277</v>
      </c>
      <c r="BF684" s="13" t="n">
        <f aca="false">IFERROR(P684/BE684-1,"")</f>
        <v>-0.0746161599702606</v>
      </c>
      <c r="BG684" s="17" t="n">
        <v>0.057</v>
      </c>
      <c r="BH684" s="17" t="n">
        <v>-0.026</v>
      </c>
      <c r="BI684" s="14" t="n">
        <f aca="false">P684*(1+IFERROR(Q684,0))^4</f>
        <v>1889436.95996554</v>
      </c>
      <c r="BJ684" s="12" t="n">
        <v>-1467374</v>
      </c>
      <c r="BK684" s="11" t="s">
        <v>102</v>
      </c>
      <c r="BL684" s="11" t="s">
        <v>85</v>
      </c>
      <c r="BM684" s="14" t="n">
        <f aca="false">O684</f>
        <v>62238885</v>
      </c>
      <c r="BN684" s="11" t="s">
        <v>667</v>
      </c>
      <c r="BO684" s="13" t="n">
        <f aca="false">IFERROR(1-L684/M684,"")</f>
        <v>0.150075912601492</v>
      </c>
      <c r="BP684" s="11" t="s">
        <v>142</v>
      </c>
      <c r="BQ684" s="12" t="n">
        <v>2332054</v>
      </c>
      <c r="BR684" s="11" t="s">
        <v>88</v>
      </c>
      <c r="BS684" s="11" t="s">
        <v>89</v>
      </c>
      <c r="BT684" s="19" t="str">
        <f aca="false">IF(OR(Z684&lt;6,AH684&lt;0.9,S684&lt;0.02,AK684&lt;1),"REVIEW",IF(AND(S684&gt;0.25,AH684&gt;1.2),"ACCELERATING","STABLE"))</f>
        <v>STABLE</v>
      </c>
    </row>
    <row r="685" customFormat="false" ht="15" hidden="false" customHeight="false" outlineLevel="0" collapsed="false">
      <c r="A685" s="11" t="s">
        <v>665</v>
      </c>
      <c r="B685" s="11" t="s">
        <v>93</v>
      </c>
      <c r="C685" s="11" t="s">
        <v>74</v>
      </c>
      <c r="D685" s="11" t="s">
        <v>95</v>
      </c>
      <c r="E685" s="11" t="s">
        <v>105</v>
      </c>
      <c r="F685" s="11" t="s">
        <v>666</v>
      </c>
      <c r="G685" s="11" t="s">
        <v>78</v>
      </c>
      <c r="H685" s="11" t="s">
        <v>644</v>
      </c>
      <c r="I685" s="11" t="s">
        <v>78</v>
      </c>
      <c r="J685" s="12" t="n">
        <v>4547000</v>
      </c>
      <c r="K685" s="13" t="n">
        <f aca="false">IFERROR(J685/M685,"")</f>
        <v>0.150075912601492</v>
      </c>
      <c r="L685" s="12" t="n">
        <v>25751000</v>
      </c>
      <c r="M685" s="14" t="n">
        <f aca="false">L685+J685</f>
        <v>30298000</v>
      </c>
      <c r="N685" s="12" t="n">
        <v>5654000</v>
      </c>
      <c r="O685" s="12" t="n">
        <v>62238885</v>
      </c>
      <c r="P685" s="12" t="n">
        <v>1422213</v>
      </c>
      <c r="Q685" s="13" t="n">
        <f aca="false">IFERROR(P685/P684-1,"")</f>
        <v>0.258428527186657</v>
      </c>
      <c r="R685" s="12" t="n">
        <v>1380202</v>
      </c>
      <c r="S685" s="13" t="n">
        <f aca="false">IFERROR(R685/R684-1,"")</f>
        <v>0.199551885193612</v>
      </c>
      <c r="T685" s="12" t="n">
        <v>911109</v>
      </c>
      <c r="U685" s="13" t="n">
        <f aca="false">IFERROR(T685/P685,"")</f>
        <v>0.640627669695046</v>
      </c>
      <c r="V685" s="14" t="n">
        <f aca="false">T685-AV685</f>
        <v>-1491412</v>
      </c>
      <c r="W685" s="14" t="n">
        <f aca="false">V685-AA685*0.1</f>
        <v>-1491412</v>
      </c>
      <c r="X685" s="12" t="n">
        <v>2890000</v>
      </c>
      <c r="Y685" s="12" t="n">
        <v>135000</v>
      </c>
      <c r="Z685" s="15" t="n">
        <f aca="false">IFERROR(X685/Y685,"")</f>
        <v>21.4074074074074</v>
      </c>
      <c r="AA685" s="12" t="n">
        <v>0</v>
      </c>
      <c r="AB685" s="14" t="n">
        <f aca="false">W685-0.02*P685</f>
        <v>-1519856.26</v>
      </c>
      <c r="AC685" s="16" t="n">
        <v>43</v>
      </c>
      <c r="AD685" s="13" t="n">
        <f aca="false">IFERROR(AC685/AC684-1,"")</f>
        <v>0.102564102564103</v>
      </c>
      <c r="AE685" s="17" t="n">
        <v>0.129</v>
      </c>
      <c r="AF685" s="17" t="n">
        <v>0.13</v>
      </c>
      <c r="AG685" s="13" t="n">
        <f aca="false">1-AF685</f>
        <v>0.87</v>
      </c>
      <c r="AH685" s="17" t="n">
        <v>1.156</v>
      </c>
      <c r="AI685" s="12" t="n">
        <v>52400</v>
      </c>
      <c r="AJ685" s="14" t="n">
        <f aca="false">IFERROR(AM685*U685*MIN(1/AE685,5),"")</f>
        <v>112045.779429664</v>
      </c>
      <c r="AK685" s="18" t="n">
        <f aca="false">IFERROR(AJ685/AI685,"")</f>
        <v>2.13827823339053</v>
      </c>
      <c r="AL685" s="15" t="n">
        <f aca="false">IFERROR(AI685/(AM685*U685/12),"")</f>
        <v>28.0599592059926</v>
      </c>
      <c r="AM685" s="12" t="n">
        <v>34980</v>
      </c>
      <c r="AN685" s="12" t="n">
        <v>1943496</v>
      </c>
      <c r="AO685" s="12" t="n">
        <v>2752939</v>
      </c>
      <c r="AP685" s="17" t="n">
        <v>0.285</v>
      </c>
      <c r="AQ685" s="16" t="n">
        <v>21</v>
      </c>
      <c r="AR685" s="16" t="n">
        <v>3</v>
      </c>
      <c r="AS685" s="13" t="n">
        <f aca="false">IFERROR(AR685/AR684-1,"")</f>
        <v>0</v>
      </c>
      <c r="AT685" s="11" t="s">
        <v>201</v>
      </c>
      <c r="AU685" s="14" t="n">
        <f aca="false">IFERROR(P685/AR685,"")</f>
        <v>474071</v>
      </c>
      <c r="AV685" s="12" t="n">
        <v>2402521</v>
      </c>
      <c r="AW685" s="12" t="n">
        <v>795070</v>
      </c>
      <c r="AX685" s="12" t="n">
        <v>441325</v>
      </c>
      <c r="AY685" s="16" t="n">
        <v>25088</v>
      </c>
      <c r="AZ685" s="13" t="n">
        <f aca="false">IFERROR(AY685/AY684-1,"")</f>
        <v>0.178504321683578</v>
      </c>
      <c r="BA685" s="17" t="n">
        <v>0.876</v>
      </c>
      <c r="BB685" s="11" t="s">
        <v>99</v>
      </c>
      <c r="BC685" s="11" t="s">
        <v>100</v>
      </c>
      <c r="BD685" s="11" t="s">
        <v>83</v>
      </c>
      <c r="BE685" s="12" t="n">
        <v>1465749</v>
      </c>
      <c r="BF685" s="13" t="n">
        <f aca="false">IFERROR(P685/BE685-1,"")</f>
        <v>-0.0297022205029647</v>
      </c>
      <c r="BG685" s="17" t="n">
        <v>0.048</v>
      </c>
      <c r="BH685" s="17" t="n">
        <v>-0.067</v>
      </c>
      <c r="BI685" s="14" t="n">
        <f aca="false">P685*(1+IFERROR(Q685,0))^4</f>
        <v>3566800.86166128</v>
      </c>
      <c r="BJ685" s="12" t="n">
        <v>-1054622</v>
      </c>
      <c r="BK685" s="11" t="s">
        <v>102</v>
      </c>
      <c r="BL685" s="11" t="s">
        <v>85</v>
      </c>
      <c r="BM685" s="14" t="n">
        <f aca="false">O685</f>
        <v>62238885</v>
      </c>
      <c r="BN685" s="11" t="s">
        <v>667</v>
      </c>
      <c r="BO685" s="13" t="n">
        <f aca="false">IFERROR(1-L685/M685,"")</f>
        <v>0.150075912601492</v>
      </c>
      <c r="BP685" s="11" t="s">
        <v>142</v>
      </c>
      <c r="BQ685" s="12" t="n">
        <v>1935392</v>
      </c>
      <c r="BR685" s="11" t="s">
        <v>88</v>
      </c>
      <c r="BS685" s="11" t="s">
        <v>89</v>
      </c>
      <c r="BT685" s="19" t="str">
        <f aca="false">IF(OR(Z685&lt;6,AH685&lt;0.9,S685&lt;0.02,AK685&lt;1),"REVIEW",IF(AND(S685&gt;0.25,AH685&gt;1.2),"ACCELERATING","STABLE"))</f>
        <v>STABLE</v>
      </c>
    </row>
    <row r="686" customFormat="false" ht="15" hidden="false" customHeight="false" outlineLevel="0" collapsed="false">
      <c r="A686" s="3" t="s">
        <v>668</v>
      </c>
      <c r="B686" s="3" t="s">
        <v>73</v>
      </c>
      <c r="C686" s="3" t="s">
        <v>74</v>
      </c>
      <c r="D686" s="3" t="s">
        <v>210</v>
      </c>
      <c r="E686" s="3" t="s">
        <v>105</v>
      </c>
      <c r="F686" s="3" t="s">
        <v>669</v>
      </c>
      <c r="G686" s="3" t="s">
        <v>78</v>
      </c>
      <c r="H686" s="3" t="s">
        <v>644</v>
      </c>
      <c r="I686" s="3" t="s">
        <v>78</v>
      </c>
      <c r="J686" s="4" t="n">
        <v>2886000</v>
      </c>
      <c r="K686" s="5" t="n">
        <f aca="false">IFERROR(J686/M686,"")</f>
        <v>0.150062396006656</v>
      </c>
      <c r="L686" s="4" t="n">
        <v>16346000</v>
      </c>
      <c r="M686" s="6" t="n">
        <f aca="false">L686+J686</f>
        <v>19232000</v>
      </c>
      <c r="N686" s="4" t="n">
        <v>4790000</v>
      </c>
      <c r="O686" s="4" t="n">
        <v>37973629</v>
      </c>
      <c r="P686" s="4" t="n">
        <v>951645</v>
      </c>
      <c r="Q686" s="7"/>
      <c r="R686" s="4" t="n">
        <v>1128628</v>
      </c>
      <c r="S686" s="7"/>
      <c r="T686" s="4" t="n">
        <v>792116</v>
      </c>
      <c r="U686" s="5" t="n">
        <f aca="false">IFERROR(T686/P686,"")</f>
        <v>0.832365010061525</v>
      </c>
      <c r="V686" s="6" t="n">
        <f aca="false">T686-AV686</f>
        <v>-1942061</v>
      </c>
      <c r="W686" s="6" t="n">
        <f aca="false">V686-AA686*0.1</f>
        <v>-1962361</v>
      </c>
      <c r="X686" s="4" t="n">
        <v>5631072</v>
      </c>
      <c r="Y686" s="4" t="n">
        <v>211120</v>
      </c>
      <c r="Z686" s="8" t="n">
        <f aca="false">IFERROR(X686/Y686,"")</f>
        <v>26.6723758999621</v>
      </c>
      <c r="AA686" s="4" t="n">
        <v>203000</v>
      </c>
      <c r="AB686" s="6" t="n">
        <f aca="false">W686-0.02*P686</f>
        <v>-1981393.9</v>
      </c>
      <c r="AC686" s="9" t="n">
        <v>19</v>
      </c>
      <c r="AD686" s="7"/>
      <c r="AE686" s="7" t="n">
        <v>0.046</v>
      </c>
      <c r="AF686" s="7" t="n">
        <v>0.034</v>
      </c>
      <c r="AG686" s="5" t="n">
        <f aca="false">1-AF686</f>
        <v>0.966</v>
      </c>
      <c r="AH686" s="7" t="n">
        <v>1.126</v>
      </c>
      <c r="AI686" s="4" t="n">
        <v>39750</v>
      </c>
      <c r="AJ686" s="6" t="n">
        <f aca="false">IFERROR(AM686*U686*MIN(1/AE686,5),"")</f>
        <v>116531.101408614</v>
      </c>
      <c r="AK686" s="10" t="n">
        <f aca="false">IFERROR(AJ686/AI686,"")</f>
        <v>2.93160003543682</v>
      </c>
      <c r="AL686" s="8" t="n">
        <f aca="false">IFERROR(AI686/(AM686*U686/12),"")</f>
        <v>20.466639130416</v>
      </c>
      <c r="AM686" s="4" t="n">
        <v>28000</v>
      </c>
      <c r="AN686" s="4" t="n">
        <v>1455501</v>
      </c>
      <c r="AO686" s="4" t="n">
        <v>4241677</v>
      </c>
      <c r="AP686" s="7" t="n">
        <v>0.274</v>
      </c>
      <c r="AQ686" s="9" t="n">
        <v>74</v>
      </c>
      <c r="AR686" s="9" t="n">
        <v>3</v>
      </c>
      <c r="AS686" s="7"/>
      <c r="AT686" s="3" t="s">
        <v>218</v>
      </c>
      <c r="AU686" s="6" t="n">
        <f aca="false">IFERROR(P686/AR686,"")</f>
        <v>317215</v>
      </c>
      <c r="AV686" s="4" t="n">
        <v>2734177</v>
      </c>
      <c r="AW686" s="4" t="n">
        <v>826228</v>
      </c>
      <c r="AX686" s="4" t="n">
        <v>894576</v>
      </c>
      <c r="AY686" s="9" t="n">
        <v>11222</v>
      </c>
      <c r="AZ686" s="7"/>
      <c r="BA686" s="7" t="n">
        <v>0.96</v>
      </c>
      <c r="BB686" s="3" t="s">
        <v>99</v>
      </c>
      <c r="BC686" s="3" t="s">
        <v>100</v>
      </c>
      <c r="BD686" s="3" t="s">
        <v>83</v>
      </c>
      <c r="BE686" s="4" t="n">
        <v>1154967</v>
      </c>
      <c r="BF686" s="5" t="n">
        <f aca="false">IFERROR(P686/BE686-1,"")</f>
        <v>-0.176041393390461</v>
      </c>
      <c r="BG686" s="7" t="n">
        <v>0.073</v>
      </c>
      <c r="BH686" s="7" t="n">
        <v>0.057</v>
      </c>
      <c r="BI686" s="6" t="n">
        <f aca="false">P686</f>
        <v>951645</v>
      </c>
      <c r="BJ686" s="4" t="n">
        <v>-1685624</v>
      </c>
      <c r="BK686" s="3" t="s">
        <v>84</v>
      </c>
      <c r="BL686" s="3" t="s">
        <v>128</v>
      </c>
      <c r="BM686" s="6" t="n">
        <f aca="false">O686</f>
        <v>37973629</v>
      </c>
      <c r="BN686" s="3" t="s">
        <v>670</v>
      </c>
      <c r="BO686" s="5" t="n">
        <f aca="false">IFERROR(1-L686/M686,"")</f>
        <v>0.150062396006656</v>
      </c>
      <c r="BP686" s="3" t="s">
        <v>113</v>
      </c>
      <c r="BQ686" s="4" t="n">
        <v>2830209</v>
      </c>
      <c r="BR686" s="3" t="s">
        <v>88</v>
      </c>
      <c r="BS686" s="3" t="s">
        <v>89</v>
      </c>
      <c r="BT686" s="3" t="s">
        <v>90</v>
      </c>
    </row>
    <row r="687" customFormat="false" ht="15" hidden="false" customHeight="false" outlineLevel="0" collapsed="false">
      <c r="A687" s="11" t="s">
        <v>668</v>
      </c>
      <c r="B687" s="11" t="s">
        <v>91</v>
      </c>
      <c r="C687" s="11" t="s">
        <v>74</v>
      </c>
      <c r="D687" s="11" t="s">
        <v>210</v>
      </c>
      <c r="E687" s="11" t="s">
        <v>105</v>
      </c>
      <c r="F687" s="11" t="s">
        <v>669</v>
      </c>
      <c r="G687" s="11" t="s">
        <v>78</v>
      </c>
      <c r="H687" s="11" t="s">
        <v>644</v>
      </c>
      <c r="I687" s="11" t="s">
        <v>78</v>
      </c>
      <c r="J687" s="12" t="n">
        <v>2886000</v>
      </c>
      <c r="K687" s="13" t="n">
        <f aca="false">IFERROR(J687/M687,"")</f>
        <v>0.150062396006656</v>
      </c>
      <c r="L687" s="12" t="n">
        <v>16346000</v>
      </c>
      <c r="M687" s="14" t="n">
        <f aca="false">L687+J687</f>
        <v>19232000</v>
      </c>
      <c r="N687" s="12" t="n">
        <v>4790000</v>
      </c>
      <c r="O687" s="12" t="n">
        <v>37973629</v>
      </c>
      <c r="P687" s="12" t="n">
        <v>1079637</v>
      </c>
      <c r="Q687" s="13" t="n">
        <f aca="false">IFERROR(P687/P686-1,"")</f>
        <v>0.134495531421906</v>
      </c>
      <c r="R687" s="12" t="n">
        <v>1395810</v>
      </c>
      <c r="S687" s="13" t="n">
        <f aca="false">IFERROR(R687/R686-1,"")</f>
        <v>0.236731677753875</v>
      </c>
      <c r="T687" s="12" t="n">
        <v>902290</v>
      </c>
      <c r="U687" s="13" t="n">
        <f aca="false">IFERROR(T687/P687,"")</f>
        <v>0.835734603389843</v>
      </c>
      <c r="V687" s="14" t="n">
        <f aca="false">T687-AV687</f>
        <v>-2078170</v>
      </c>
      <c r="W687" s="14" t="n">
        <f aca="false">V687-AA687*0.1</f>
        <v>-2098470</v>
      </c>
      <c r="X687" s="12" t="n">
        <v>5098632</v>
      </c>
      <c r="Y687" s="12" t="n">
        <v>218080</v>
      </c>
      <c r="Z687" s="15" t="n">
        <f aca="false">IFERROR(X687/Y687,"")</f>
        <v>23.3796404988995</v>
      </c>
      <c r="AA687" s="12" t="n">
        <v>203000</v>
      </c>
      <c r="AB687" s="14" t="n">
        <f aca="false">W687-0.02*P687</f>
        <v>-2120062.74</v>
      </c>
      <c r="AC687" s="16" t="n">
        <v>22</v>
      </c>
      <c r="AD687" s="13" t="n">
        <f aca="false">IFERROR(AC687/AC686-1,"")</f>
        <v>0.157894736842105</v>
      </c>
      <c r="AE687" s="17" t="n">
        <v>0.045</v>
      </c>
      <c r="AF687" s="17" t="n">
        <v>0.036</v>
      </c>
      <c r="AG687" s="13" t="n">
        <f aca="false">1-AF687</f>
        <v>0.964</v>
      </c>
      <c r="AH687" s="17" t="n">
        <v>1.121</v>
      </c>
      <c r="AI687" s="12" t="n">
        <v>39000</v>
      </c>
      <c r="AJ687" s="14" t="n">
        <f aca="false">IFERROR(AM687*U687*MIN(1/AE687,5),"")</f>
        <v>119342.90136407</v>
      </c>
      <c r="AK687" s="18" t="n">
        <f aca="false">IFERROR(AJ687/AI687,"")</f>
        <v>3.0600743939505</v>
      </c>
      <c r="AL687" s="15" t="n">
        <f aca="false">IFERROR(AI687/(AM687*U687/12),"")</f>
        <v>19.6073664478925</v>
      </c>
      <c r="AM687" s="12" t="n">
        <v>28560</v>
      </c>
      <c r="AN687" s="12" t="n">
        <v>1429234</v>
      </c>
      <c r="AO687" s="12" t="n">
        <v>4002607</v>
      </c>
      <c r="AP687" s="17" t="n">
        <v>0.274</v>
      </c>
      <c r="AQ687" s="16" t="n">
        <v>74</v>
      </c>
      <c r="AR687" s="16" t="n">
        <v>3</v>
      </c>
      <c r="AS687" s="13" t="n">
        <f aca="false">IFERROR(AR687/AR686-1,"")</f>
        <v>0</v>
      </c>
      <c r="AT687" s="11" t="s">
        <v>218</v>
      </c>
      <c r="AU687" s="14" t="n">
        <f aca="false">IFERROR(P687/AR687,"")</f>
        <v>359879</v>
      </c>
      <c r="AV687" s="12" t="n">
        <v>2980460</v>
      </c>
      <c r="AW687" s="12" t="n">
        <v>1144240</v>
      </c>
      <c r="AX687" s="12" t="n">
        <v>906757</v>
      </c>
      <c r="AY687" s="16" t="n">
        <v>14143</v>
      </c>
      <c r="AZ687" s="13" t="n">
        <f aca="false">IFERROR(AY687/AY686-1,"")</f>
        <v>0.260292283015505</v>
      </c>
      <c r="BA687" s="17" t="n">
        <v>0.966</v>
      </c>
      <c r="BB687" s="11" t="s">
        <v>99</v>
      </c>
      <c r="BC687" s="11" t="s">
        <v>100</v>
      </c>
      <c r="BD687" s="11" t="s">
        <v>83</v>
      </c>
      <c r="BE687" s="12" t="n">
        <v>1284296</v>
      </c>
      <c r="BF687" s="13" t="n">
        <f aca="false">IFERROR(P687/BE687-1,"")</f>
        <v>-0.159355008502713</v>
      </c>
      <c r="BG687" s="17" t="n">
        <v>-0.016</v>
      </c>
      <c r="BH687" s="17" t="n">
        <v>0.06</v>
      </c>
      <c r="BI687" s="14" t="n">
        <f aca="false">P687*(1+IFERROR(Q687,0))^4</f>
        <v>1788499.89178971</v>
      </c>
      <c r="BJ687" s="12" t="n">
        <v>-1672385</v>
      </c>
      <c r="BK687" s="11" t="s">
        <v>84</v>
      </c>
      <c r="BL687" s="11" t="s">
        <v>128</v>
      </c>
      <c r="BM687" s="14" t="n">
        <f aca="false">O687</f>
        <v>37973629</v>
      </c>
      <c r="BN687" s="11" t="s">
        <v>670</v>
      </c>
      <c r="BO687" s="13" t="n">
        <f aca="false">IFERROR(1-L687/M687,"")</f>
        <v>0.150062396006656</v>
      </c>
      <c r="BP687" s="11" t="s">
        <v>113</v>
      </c>
      <c r="BQ687" s="12" t="n">
        <v>4204802</v>
      </c>
      <c r="BR687" s="11" t="s">
        <v>88</v>
      </c>
      <c r="BS687" s="11" t="s">
        <v>89</v>
      </c>
      <c r="BT687" s="19" t="str">
        <f aca="false">IF(OR(Z687&lt;6,AH687&lt;0.9,S687&lt;0.02,AK687&lt;1),"REVIEW",IF(AND(S687&gt;0.25,AH687&gt;1.2),"ACCELERATING","STABLE"))</f>
        <v>STABLE</v>
      </c>
    </row>
    <row r="688" customFormat="false" ht="15" hidden="false" customHeight="false" outlineLevel="0" collapsed="false">
      <c r="A688" s="11" t="s">
        <v>668</v>
      </c>
      <c r="B688" s="11" t="s">
        <v>92</v>
      </c>
      <c r="C688" s="11" t="s">
        <v>74</v>
      </c>
      <c r="D688" s="11" t="s">
        <v>210</v>
      </c>
      <c r="E688" s="11" t="s">
        <v>105</v>
      </c>
      <c r="F688" s="11" t="s">
        <v>669</v>
      </c>
      <c r="G688" s="11" t="s">
        <v>78</v>
      </c>
      <c r="H688" s="11" t="s">
        <v>644</v>
      </c>
      <c r="I688" s="11" t="s">
        <v>78</v>
      </c>
      <c r="J688" s="12" t="n">
        <v>2886000</v>
      </c>
      <c r="K688" s="13" t="n">
        <f aca="false">IFERROR(J688/M688,"")</f>
        <v>0.150062396006656</v>
      </c>
      <c r="L688" s="12" t="n">
        <v>16346000</v>
      </c>
      <c r="M688" s="14" t="n">
        <f aca="false">L688+J688</f>
        <v>19232000</v>
      </c>
      <c r="N688" s="12" t="n">
        <v>4790000</v>
      </c>
      <c r="O688" s="12" t="n">
        <v>37973629</v>
      </c>
      <c r="P688" s="12" t="n">
        <v>1435774</v>
      </c>
      <c r="Q688" s="13" t="n">
        <f aca="false">IFERROR(P688/P687-1,"")</f>
        <v>0.329867353564207</v>
      </c>
      <c r="R688" s="12" t="n">
        <v>1571826</v>
      </c>
      <c r="S688" s="13" t="n">
        <f aca="false">IFERROR(R688/R687-1,"")</f>
        <v>0.126103122917876</v>
      </c>
      <c r="T688" s="12" t="n">
        <v>1204764</v>
      </c>
      <c r="U688" s="13" t="n">
        <f aca="false">IFERROR(T688/P688,"")</f>
        <v>0.839104204422144</v>
      </c>
      <c r="V688" s="14" t="n">
        <f aca="false">T688-AV688</f>
        <v>-2554844</v>
      </c>
      <c r="W688" s="14" t="n">
        <f aca="false">V688-AA688*0.1</f>
        <v>-2575144</v>
      </c>
      <c r="X688" s="12" t="n">
        <v>4528608</v>
      </c>
      <c r="Y688" s="12" t="n">
        <v>225040</v>
      </c>
      <c r="Z688" s="15" t="n">
        <f aca="false">IFERROR(X688/Y688,"")</f>
        <v>20.1235691432634</v>
      </c>
      <c r="AA688" s="12" t="n">
        <v>203000</v>
      </c>
      <c r="AB688" s="14" t="n">
        <f aca="false">W688-0.02*P688</f>
        <v>-2603859.48</v>
      </c>
      <c r="AC688" s="16" t="n">
        <v>27</v>
      </c>
      <c r="AD688" s="13" t="n">
        <f aca="false">IFERROR(AC688/AC687-1,"")</f>
        <v>0.227272727272727</v>
      </c>
      <c r="AE688" s="17" t="n">
        <v>0.043</v>
      </c>
      <c r="AF688" s="17" t="n">
        <v>0.038</v>
      </c>
      <c r="AG688" s="13" t="n">
        <f aca="false">1-AF688</f>
        <v>0.962</v>
      </c>
      <c r="AH688" s="17" t="n">
        <v>1.116</v>
      </c>
      <c r="AI688" s="12" t="n">
        <v>38250</v>
      </c>
      <c r="AJ688" s="14" t="n">
        <f aca="false">IFERROR(AM688*U688*MIN(1/AE688,5),"")</f>
        <v>122173.572163864</v>
      </c>
      <c r="AK688" s="18" t="n">
        <f aca="false">IFERROR(AJ688/AI688,"")</f>
        <v>3.19408031800952</v>
      </c>
      <c r="AL688" s="15" t="n">
        <f aca="false">IFERROR(AI688/(AM688*U688/12),"")</f>
        <v>18.7847499205626</v>
      </c>
      <c r="AM688" s="12" t="n">
        <v>29120</v>
      </c>
      <c r="AN688" s="12" t="n">
        <v>2313669</v>
      </c>
      <c r="AO688" s="12" t="n">
        <v>2672200</v>
      </c>
      <c r="AP688" s="17" t="n">
        <v>0.274</v>
      </c>
      <c r="AQ688" s="16" t="n">
        <v>74</v>
      </c>
      <c r="AR688" s="16" t="n">
        <v>3</v>
      </c>
      <c r="AS688" s="13" t="n">
        <f aca="false">IFERROR(AR688/AR687-1,"")</f>
        <v>0</v>
      </c>
      <c r="AT688" s="11" t="s">
        <v>218</v>
      </c>
      <c r="AU688" s="14" t="n">
        <f aca="false">IFERROR(P688/AR688,"")</f>
        <v>478591.333333333</v>
      </c>
      <c r="AV688" s="12" t="n">
        <v>3759608</v>
      </c>
      <c r="AW688" s="12" t="n">
        <v>1720778</v>
      </c>
      <c r="AX688" s="12" t="n">
        <v>803429</v>
      </c>
      <c r="AY688" s="16" t="n">
        <v>16434</v>
      </c>
      <c r="AZ688" s="13" t="n">
        <f aca="false">IFERROR(AY688/AY687-1,"")</f>
        <v>0.161988262744821</v>
      </c>
      <c r="BA688" s="17" t="n">
        <v>0.966</v>
      </c>
      <c r="BB688" s="11" t="s">
        <v>99</v>
      </c>
      <c r="BC688" s="11" t="s">
        <v>100</v>
      </c>
      <c r="BD688" s="11" t="s">
        <v>83</v>
      </c>
      <c r="BE688" s="12" t="n">
        <v>1737568</v>
      </c>
      <c r="BF688" s="13" t="n">
        <f aca="false">IFERROR(P688/BE688-1,"")</f>
        <v>-0.173687590931693</v>
      </c>
      <c r="BG688" s="17" t="n">
        <v>-0.028</v>
      </c>
      <c r="BH688" s="17" t="n">
        <v>-0.064</v>
      </c>
      <c r="BI688" s="14" t="n">
        <f aca="false">P688*(1+IFERROR(Q688,0))^4</f>
        <v>4490755.22430968</v>
      </c>
      <c r="BJ688" s="12" t="n">
        <v>-1360328</v>
      </c>
      <c r="BK688" s="11" t="s">
        <v>84</v>
      </c>
      <c r="BL688" s="11" t="s">
        <v>128</v>
      </c>
      <c r="BM688" s="14" t="n">
        <f aca="false">O688</f>
        <v>37973629</v>
      </c>
      <c r="BN688" s="11" t="s">
        <v>670</v>
      </c>
      <c r="BO688" s="13" t="n">
        <f aca="false">IFERROR(1-L688/M688,"")</f>
        <v>0.150062396006656</v>
      </c>
      <c r="BP688" s="11" t="s">
        <v>113</v>
      </c>
      <c r="BQ688" s="12" t="n">
        <v>4048605</v>
      </c>
      <c r="BR688" s="11" t="s">
        <v>88</v>
      </c>
      <c r="BS688" s="11" t="s">
        <v>89</v>
      </c>
      <c r="BT688" s="19" t="str">
        <f aca="false">IF(OR(Z688&lt;6,AH688&lt;0.9,S688&lt;0.02,AK688&lt;1),"REVIEW",IF(AND(S688&gt;0.25,AH688&gt;1.2),"ACCELERATING","STABLE"))</f>
        <v>STABLE</v>
      </c>
    </row>
    <row r="689" customFormat="false" ht="15" hidden="false" customHeight="false" outlineLevel="0" collapsed="false">
      <c r="A689" s="11" t="s">
        <v>668</v>
      </c>
      <c r="B689" s="11" t="s">
        <v>93</v>
      </c>
      <c r="C689" s="11" t="s">
        <v>74</v>
      </c>
      <c r="D689" s="11" t="s">
        <v>210</v>
      </c>
      <c r="E689" s="11" t="s">
        <v>105</v>
      </c>
      <c r="F689" s="11" t="s">
        <v>669</v>
      </c>
      <c r="G689" s="11" t="s">
        <v>78</v>
      </c>
      <c r="H689" s="11" t="s">
        <v>644</v>
      </c>
      <c r="I689" s="11" t="s">
        <v>78</v>
      </c>
      <c r="J689" s="12" t="n">
        <v>2886000</v>
      </c>
      <c r="K689" s="13" t="n">
        <f aca="false">IFERROR(J689/M689,"")</f>
        <v>0.150062396006656</v>
      </c>
      <c r="L689" s="12" t="n">
        <v>16346000</v>
      </c>
      <c r="M689" s="14" t="n">
        <f aca="false">L689+J689</f>
        <v>19232000</v>
      </c>
      <c r="N689" s="12" t="n">
        <v>4790000</v>
      </c>
      <c r="O689" s="12" t="n">
        <v>37973629</v>
      </c>
      <c r="P689" s="12" t="n">
        <v>1755648</v>
      </c>
      <c r="Q689" s="13" t="n">
        <f aca="false">IFERROR(P689/P688-1,"")</f>
        <v>0.222788544715255</v>
      </c>
      <c r="R689" s="12" t="n">
        <v>2085761</v>
      </c>
      <c r="S689" s="13" t="n">
        <f aca="false">IFERROR(R689/R688-1,"")</f>
        <v>0.326966852565106</v>
      </c>
      <c r="T689" s="12" t="n">
        <v>1479088</v>
      </c>
      <c r="U689" s="13" t="n">
        <f aca="false">IFERROR(T689/P689,"")</f>
        <v>0.842474117818606</v>
      </c>
      <c r="V689" s="14" t="n">
        <f aca="false">T689-AV689</f>
        <v>-2773540</v>
      </c>
      <c r="W689" s="14" t="n">
        <f aca="false">V689-AA689*0.1</f>
        <v>-2793840</v>
      </c>
      <c r="X689" s="12" t="n">
        <v>3921000</v>
      </c>
      <c r="Y689" s="12" t="n">
        <v>232000</v>
      </c>
      <c r="Z689" s="15" t="n">
        <f aca="false">IFERROR(X689/Y689,"")</f>
        <v>16.9008620689655</v>
      </c>
      <c r="AA689" s="12" t="n">
        <v>203000</v>
      </c>
      <c r="AB689" s="14" t="n">
        <f aca="false">W689-0.02*P689</f>
        <v>-2828952.96</v>
      </c>
      <c r="AC689" s="16" t="n">
        <v>30</v>
      </c>
      <c r="AD689" s="13" t="n">
        <f aca="false">IFERROR(AC689/AC688-1,"")</f>
        <v>0.111111111111111</v>
      </c>
      <c r="AE689" s="17" t="n">
        <v>0.042</v>
      </c>
      <c r="AF689" s="17" t="n">
        <v>0.029</v>
      </c>
      <c r="AG689" s="13" t="n">
        <f aca="false">1-AF689</f>
        <v>0.971</v>
      </c>
      <c r="AH689" s="17" t="n">
        <v>1.111</v>
      </c>
      <c r="AI689" s="12" t="n">
        <v>37500</v>
      </c>
      <c r="AJ689" s="14" t="n">
        <f aca="false">IFERROR(AM689*U689*MIN(1/AE689,5),"")</f>
        <v>125023.159084281</v>
      </c>
      <c r="AK689" s="18" t="n">
        <f aca="false">IFERROR(AJ689/AI689,"")</f>
        <v>3.33395090891416</v>
      </c>
      <c r="AL689" s="15" t="n">
        <f aca="false">IFERROR(AI689/(AM689*U689/12),"")</f>
        <v>17.9966657096164</v>
      </c>
      <c r="AM689" s="12" t="n">
        <v>29680</v>
      </c>
      <c r="AN689" s="12" t="n">
        <v>2651870</v>
      </c>
      <c r="AO689" s="12" t="n">
        <v>7898234</v>
      </c>
      <c r="AP689" s="17" t="n">
        <v>0.274</v>
      </c>
      <c r="AQ689" s="16" t="n">
        <v>74</v>
      </c>
      <c r="AR689" s="16" t="n">
        <v>3</v>
      </c>
      <c r="AS689" s="13" t="n">
        <f aca="false">IFERROR(AR689/AR688-1,"")</f>
        <v>0</v>
      </c>
      <c r="AT689" s="11" t="s">
        <v>218</v>
      </c>
      <c r="AU689" s="14" t="n">
        <f aca="false">IFERROR(P689/AR689,"")</f>
        <v>585216</v>
      </c>
      <c r="AV689" s="12" t="n">
        <v>4252628</v>
      </c>
      <c r="AW689" s="12" t="n">
        <v>1928953</v>
      </c>
      <c r="AX689" s="12" t="n">
        <v>769258</v>
      </c>
      <c r="AY689" s="16" t="n">
        <v>20901</v>
      </c>
      <c r="AZ689" s="13" t="n">
        <f aca="false">IFERROR(AY689/AY688-1,"")</f>
        <v>0.271814530850675</v>
      </c>
      <c r="BA689" s="17" t="n">
        <v>0.961</v>
      </c>
      <c r="BB689" s="11" t="s">
        <v>99</v>
      </c>
      <c r="BC689" s="11" t="s">
        <v>100</v>
      </c>
      <c r="BD689" s="11" t="s">
        <v>83</v>
      </c>
      <c r="BE689" s="12" t="n">
        <v>1715735</v>
      </c>
      <c r="BF689" s="13" t="n">
        <f aca="false">IFERROR(P689/BE689-1,"")</f>
        <v>0.0232629164760292</v>
      </c>
      <c r="BG689" s="17" t="n">
        <v>-0.034</v>
      </c>
      <c r="BH689" s="17" t="n">
        <v>-0.074</v>
      </c>
      <c r="BI689" s="14" t="n">
        <f aca="false">P689*(1+IFERROR(Q689,0))^4</f>
        <v>3925029.20194303</v>
      </c>
      <c r="BJ689" s="12" t="n">
        <v>-1735144</v>
      </c>
      <c r="BK689" s="11" t="s">
        <v>84</v>
      </c>
      <c r="BL689" s="11" t="s">
        <v>128</v>
      </c>
      <c r="BM689" s="14" t="n">
        <f aca="false">O689</f>
        <v>37973629</v>
      </c>
      <c r="BN689" s="11" t="s">
        <v>670</v>
      </c>
      <c r="BO689" s="13" t="n">
        <f aca="false">IFERROR(1-L689/M689,"")</f>
        <v>0.150062396006656</v>
      </c>
      <c r="BP689" s="11" t="s">
        <v>113</v>
      </c>
      <c r="BQ689" s="12" t="n">
        <v>4342225</v>
      </c>
      <c r="BR689" s="11" t="s">
        <v>88</v>
      </c>
      <c r="BS689" s="11" t="s">
        <v>89</v>
      </c>
      <c r="BT689" s="19" t="str">
        <f aca="false">IF(OR(Z689&lt;6,AH689&lt;0.9,S689&lt;0.02,AK689&lt;1),"REVIEW",IF(AND(S689&gt;0.25,AH689&gt;1.2),"ACCELERATING","STABLE"))</f>
        <v>STABLE</v>
      </c>
    </row>
    <row r="690" customFormat="false" ht="15" hidden="false" customHeight="false" outlineLevel="0" collapsed="false">
      <c r="A690" s="3" t="s">
        <v>671</v>
      </c>
      <c r="B690" s="3" t="s">
        <v>73</v>
      </c>
      <c r="C690" s="3" t="s">
        <v>74</v>
      </c>
      <c r="D690" s="3" t="s">
        <v>132</v>
      </c>
      <c r="E690" s="3" t="s">
        <v>187</v>
      </c>
      <c r="F690" s="3" t="s">
        <v>672</v>
      </c>
      <c r="G690" s="3" t="s">
        <v>78</v>
      </c>
      <c r="H690" s="3" t="s">
        <v>644</v>
      </c>
      <c r="I690" s="3" t="s">
        <v>78</v>
      </c>
      <c r="J690" s="4" t="n">
        <v>3975000</v>
      </c>
      <c r="K690" s="5" t="n">
        <f aca="false">IFERROR(J690/M690,"")</f>
        <v>0.198909127301841</v>
      </c>
      <c r="L690" s="4" t="n">
        <v>16009000</v>
      </c>
      <c r="M690" s="6" t="n">
        <f aca="false">L690+J690</f>
        <v>19984000</v>
      </c>
      <c r="N690" s="4" t="n">
        <v>7060000</v>
      </c>
      <c r="O690" s="4" t="n">
        <v>23103688</v>
      </c>
      <c r="P690" s="4" t="n">
        <v>1047637</v>
      </c>
      <c r="Q690" s="7"/>
      <c r="R690" s="4" t="n">
        <v>1082081</v>
      </c>
      <c r="S690" s="7"/>
      <c r="T690" s="4" t="n">
        <v>678813</v>
      </c>
      <c r="U690" s="5" t="n">
        <f aca="false">IFERROR(T690/P690,"")</f>
        <v>0.647946760185064</v>
      </c>
      <c r="V690" s="6" t="n">
        <f aca="false">T690-AV690</f>
        <v>-1790365</v>
      </c>
      <c r="W690" s="6" t="n">
        <f aca="false">V690-AA690*0.1</f>
        <v>-1791565</v>
      </c>
      <c r="X690" s="4" t="n">
        <v>3555836</v>
      </c>
      <c r="Y690" s="4" t="n">
        <v>193830</v>
      </c>
      <c r="Z690" s="8" t="n">
        <f aca="false">IFERROR(X690/Y690,"")</f>
        <v>18.3451271732962</v>
      </c>
      <c r="AA690" s="4" t="n">
        <v>12000</v>
      </c>
      <c r="AB690" s="6" t="n">
        <f aca="false">W690-0.02*P690</f>
        <v>-1812517.74</v>
      </c>
      <c r="AC690" s="9" t="n">
        <v>51</v>
      </c>
      <c r="AD690" s="7"/>
      <c r="AE690" s="7" t="n">
        <v>0.056</v>
      </c>
      <c r="AF690" s="7" t="n">
        <v>0.039</v>
      </c>
      <c r="AG690" s="5" t="n">
        <f aca="false">1-AF690</f>
        <v>0.961</v>
      </c>
      <c r="AH690" s="7" t="n">
        <v>1.095</v>
      </c>
      <c r="AI690" s="4" t="n">
        <v>56392</v>
      </c>
      <c r="AJ690" s="6" t="n">
        <f aca="false">IFERROR(AM690*U690*MIN(1/AE690,5),"")</f>
        <v>129589.352037013</v>
      </c>
      <c r="AK690" s="10" t="n">
        <f aca="false">IFERROR(AJ690/AI690,"")</f>
        <v>2.29800950555066</v>
      </c>
      <c r="AL690" s="8" t="n">
        <f aca="false">IFERROR(AI690/(AM690*U690/12),"")</f>
        <v>26.1095525736838</v>
      </c>
      <c r="AM690" s="4" t="n">
        <v>40000</v>
      </c>
      <c r="AN690" s="4" t="n">
        <v>1009555</v>
      </c>
      <c r="AO690" s="4" t="n">
        <v>2105870</v>
      </c>
      <c r="AP690" s="7" t="n">
        <v>0.22</v>
      </c>
      <c r="AQ690" s="9" t="n">
        <v>25</v>
      </c>
      <c r="AR690" s="9" t="n">
        <v>27</v>
      </c>
      <c r="AS690" s="7"/>
      <c r="AT690" s="3" t="s">
        <v>80</v>
      </c>
      <c r="AU690" s="6" t="n">
        <f aca="false">IFERROR(P690/AR690,"")</f>
        <v>38801.3703703704</v>
      </c>
      <c r="AV690" s="4" t="n">
        <v>2469178</v>
      </c>
      <c r="AW690" s="4" t="n">
        <v>927757</v>
      </c>
      <c r="AX690" s="4" t="n">
        <v>544482</v>
      </c>
      <c r="AY690" s="9" t="n">
        <v>4277</v>
      </c>
      <c r="AZ690" s="7"/>
      <c r="BA690" s="7" t="n">
        <v>0.952</v>
      </c>
      <c r="BB690" s="3" t="s">
        <v>99</v>
      </c>
      <c r="BC690" s="3" t="s">
        <v>82</v>
      </c>
      <c r="BD690" s="3" t="s">
        <v>101</v>
      </c>
      <c r="BE690" s="4" t="n">
        <v>1046763</v>
      </c>
      <c r="BF690" s="5" t="n">
        <f aca="false">IFERROR(P690/BE690-1,"")</f>
        <v>0.000834954999364701</v>
      </c>
      <c r="BG690" s="7" t="n">
        <v>-0.034</v>
      </c>
      <c r="BH690" s="7" t="n">
        <v>-0.023</v>
      </c>
      <c r="BI690" s="6" t="n">
        <f aca="false">P690</f>
        <v>1047637</v>
      </c>
      <c r="BJ690" s="4" t="n">
        <v>-1670230</v>
      </c>
      <c r="BK690" s="3" t="s">
        <v>127</v>
      </c>
      <c r="BL690" s="3" t="s">
        <v>85</v>
      </c>
      <c r="BM690" s="6" t="n">
        <f aca="false">O690</f>
        <v>23103688</v>
      </c>
      <c r="BN690" s="3" t="s">
        <v>673</v>
      </c>
      <c r="BO690" s="5" t="n">
        <f aca="false">IFERROR(1-L690/M690,"")</f>
        <v>0.198909127301842</v>
      </c>
      <c r="BP690" s="3" t="s">
        <v>142</v>
      </c>
      <c r="BQ690" s="4" t="n">
        <v>3008477</v>
      </c>
      <c r="BR690" s="3" t="s">
        <v>88</v>
      </c>
      <c r="BS690" s="3" t="s">
        <v>89</v>
      </c>
      <c r="BT690" s="3" t="s">
        <v>90</v>
      </c>
    </row>
    <row r="691" customFormat="false" ht="15" hidden="false" customHeight="false" outlineLevel="0" collapsed="false">
      <c r="A691" s="11" t="s">
        <v>671</v>
      </c>
      <c r="B691" s="11" t="s">
        <v>91</v>
      </c>
      <c r="C691" s="11" t="s">
        <v>74</v>
      </c>
      <c r="D691" s="11" t="s">
        <v>132</v>
      </c>
      <c r="E691" s="11" t="s">
        <v>187</v>
      </c>
      <c r="F691" s="11" t="s">
        <v>672</v>
      </c>
      <c r="G691" s="11" t="s">
        <v>78</v>
      </c>
      <c r="H691" s="11" t="s">
        <v>644</v>
      </c>
      <c r="I691" s="11" t="s">
        <v>78</v>
      </c>
      <c r="J691" s="12" t="n">
        <v>3975000</v>
      </c>
      <c r="K691" s="13" t="n">
        <f aca="false">IFERROR(J691/M691,"")</f>
        <v>0.198909127301841</v>
      </c>
      <c r="L691" s="12" t="n">
        <v>16009000</v>
      </c>
      <c r="M691" s="14" t="n">
        <f aca="false">L691+J691</f>
        <v>19984000</v>
      </c>
      <c r="N691" s="12" t="n">
        <v>7060000</v>
      </c>
      <c r="O691" s="12" t="n">
        <v>23103688</v>
      </c>
      <c r="P691" s="12" t="n">
        <v>1197847</v>
      </c>
      <c r="Q691" s="13" t="n">
        <f aca="false">IFERROR(P691/P690-1,"")</f>
        <v>0.143379815718612</v>
      </c>
      <c r="R691" s="12" t="n">
        <v>1249251</v>
      </c>
      <c r="S691" s="13" t="n">
        <f aca="false">IFERROR(R691/R690-1,"")</f>
        <v>0.154489358929692</v>
      </c>
      <c r="T691" s="12" t="n">
        <v>779284</v>
      </c>
      <c r="U691" s="13" t="n">
        <f aca="false">IFERROR(T691/P691,"")</f>
        <v>0.65057056535601</v>
      </c>
      <c r="V691" s="14" t="n">
        <f aca="false">T691-AV691</f>
        <v>-2373914</v>
      </c>
      <c r="W691" s="14" t="n">
        <f aca="false">V691-AA691*0.1</f>
        <v>-2375114</v>
      </c>
      <c r="X691" s="12" t="n">
        <v>3067001</v>
      </c>
      <c r="Y691" s="12" t="n">
        <v>200220</v>
      </c>
      <c r="Z691" s="15" t="n">
        <f aca="false">IFERROR(X691/Y691,"")</f>
        <v>15.3181550294676</v>
      </c>
      <c r="AA691" s="12" t="n">
        <v>12000</v>
      </c>
      <c r="AB691" s="14" t="n">
        <f aca="false">W691-0.02*P691</f>
        <v>-2399070.94</v>
      </c>
      <c r="AC691" s="16" t="n">
        <v>55</v>
      </c>
      <c r="AD691" s="13" t="n">
        <f aca="false">IFERROR(AC691/AC690-1,"")</f>
        <v>0.0784313725490196</v>
      </c>
      <c r="AE691" s="17" t="n">
        <v>0.054</v>
      </c>
      <c r="AF691" s="17" t="n">
        <v>0.053</v>
      </c>
      <c r="AG691" s="13" t="n">
        <f aca="false">1-AF691</f>
        <v>0.947</v>
      </c>
      <c r="AH691" s="17" t="n">
        <v>1.09</v>
      </c>
      <c r="AI691" s="12" t="n">
        <v>55328</v>
      </c>
      <c r="AJ691" s="14" t="n">
        <f aca="false">IFERROR(AM691*U691*MIN(1/AE691,5),"")</f>
        <v>132716.395332626</v>
      </c>
      <c r="AK691" s="18" t="n">
        <f aca="false">IFERROR(AJ691/AI691,"")</f>
        <v>2.39872027423052</v>
      </c>
      <c r="AL691" s="15" t="n">
        <f aca="false">IFERROR(AI691/(AM691*U691/12),"")</f>
        <v>25.0133375886221</v>
      </c>
      <c r="AM691" s="12" t="n">
        <v>40800</v>
      </c>
      <c r="AN691" s="12" t="n">
        <v>1672263</v>
      </c>
      <c r="AO691" s="12" t="n">
        <v>4011895</v>
      </c>
      <c r="AP691" s="17" t="n">
        <v>0.22</v>
      </c>
      <c r="AQ691" s="16" t="n">
        <v>25</v>
      </c>
      <c r="AR691" s="16" t="n">
        <v>28</v>
      </c>
      <c r="AS691" s="13" t="n">
        <f aca="false">IFERROR(AR691/AR690-1,"")</f>
        <v>0.037037037037037</v>
      </c>
      <c r="AT691" s="11" t="s">
        <v>80</v>
      </c>
      <c r="AU691" s="14" t="n">
        <f aca="false">IFERROR(P691/AR691,"")</f>
        <v>42780.25</v>
      </c>
      <c r="AV691" s="12" t="n">
        <v>3153198</v>
      </c>
      <c r="AW691" s="12" t="n">
        <v>1169856</v>
      </c>
      <c r="AX691" s="12" t="n">
        <v>708056</v>
      </c>
      <c r="AY691" s="16" t="n">
        <v>4923</v>
      </c>
      <c r="AZ691" s="13" t="n">
        <f aca="false">IFERROR(AY691/AY690-1,"")</f>
        <v>0.151040448912789</v>
      </c>
      <c r="BA691" s="17" t="n">
        <v>0.956</v>
      </c>
      <c r="BB691" s="11" t="s">
        <v>99</v>
      </c>
      <c r="BC691" s="11" t="s">
        <v>82</v>
      </c>
      <c r="BD691" s="11" t="s">
        <v>101</v>
      </c>
      <c r="BE691" s="12" t="n">
        <v>1233628</v>
      </c>
      <c r="BF691" s="13" t="n">
        <f aca="false">IFERROR(P691/BE691-1,"")</f>
        <v>-0.0290046918520007</v>
      </c>
      <c r="BG691" s="17" t="n">
        <v>0.078</v>
      </c>
      <c r="BH691" s="17" t="n">
        <v>-0.051</v>
      </c>
      <c r="BI691" s="14" t="n">
        <f aca="false">P691*(1+IFERROR(Q691,0))^4</f>
        <v>2047214.90396164</v>
      </c>
      <c r="BJ691" s="12" t="n">
        <v>-1607848</v>
      </c>
      <c r="BK691" s="11" t="s">
        <v>127</v>
      </c>
      <c r="BL691" s="11" t="s">
        <v>85</v>
      </c>
      <c r="BM691" s="14" t="n">
        <f aca="false">O691</f>
        <v>23103688</v>
      </c>
      <c r="BN691" s="11" t="s">
        <v>673</v>
      </c>
      <c r="BO691" s="13" t="n">
        <f aca="false">IFERROR(1-L691/M691,"")</f>
        <v>0.198909127301842</v>
      </c>
      <c r="BP691" s="11" t="s">
        <v>142</v>
      </c>
      <c r="BQ691" s="12" t="n">
        <v>3810815</v>
      </c>
      <c r="BR691" s="11" t="s">
        <v>88</v>
      </c>
      <c r="BS691" s="11" t="s">
        <v>89</v>
      </c>
      <c r="BT691" s="19" t="str">
        <f aca="false">IF(OR(Z691&lt;6,AH691&lt;0.9,S691&lt;0.02,AK691&lt;1),"REVIEW",IF(AND(S691&gt;0.25,AH691&gt;1.2),"ACCELERATING","STABLE"))</f>
        <v>STABLE</v>
      </c>
    </row>
    <row r="692" customFormat="false" ht="15" hidden="false" customHeight="false" outlineLevel="0" collapsed="false">
      <c r="A692" s="11" t="s">
        <v>671</v>
      </c>
      <c r="B692" s="11" t="s">
        <v>92</v>
      </c>
      <c r="C692" s="11" t="s">
        <v>74</v>
      </c>
      <c r="D692" s="11" t="s">
        <v>132</v>
      </c>
      <c r="E692" s="11" t="s">
        <v>187</v>
      </c>
      <c r="F692" s="11" t="s">
        <v>672</v>
      </c>
      <c r="G692" s="11" t="s">
        <v>78</v>
      </c>
      <c r="H692" s="11" t="s">
        <v>644</v>
      </c>
      <c r="I692" s="11" t="s">
        <v>78</v>
      </c>
      <c r="J692" s="12" t="n">
        <v>3975000</v>
      </c>
      <c r="K692" s="13" t="n">
        <f aca="false">IFERROR(J692/M692,"")</f>
        <v>0.198909127301841</v>
      </c>
      <c r="L692" s="12" t="n">
        <v>16009000</v>
      </c>
      <c r="M692" s="14" t="n">
        <f aca="false">L692+J692</f>
        <v>19984000</v>
      </c>
      <c r="N692" s="12" t="n">
        <v>7060000</v>
      </c>
      <c r="O692" s="12" t="n">
        <v>23103688</v>
      </c>
      <c r="P692" s="12" t="n">
        <v>1304308</v>
      </c>
      <c r="Q692" s="13" t="n">
        <f aca="false">IFERROR(P692/P691-1,"")</f>
        <v>0.0888769600792088</v>
      </c>
      <c r="R692" s="12" t="n">
        <v>1462498</v>
      </c>
      <c r="S692" s="13" t="n">
        <f aca="false">IFERROR(R692/R691-1,"")</f>
        <v>0.170699883370115</v>
      </c>
      <c r="T692" s="12" t="n">
        <v>851966</v>
      </c>
      <c r="U692" s="13" t="n">
        <f aca="false">IFERROR(T692/P692,"")</f>
        <v>0.653193877519727</v>
      </c>
      <c r="V692" s="14" t="n">
        <f aca="false">T692-AV692</f>
        <v>-2076624</v>
      </c>
      <c r="W692" s="14" t="n">
        <f aca="false">V692-AA692*0.1</f>
        <v>-2077824</v>
      </c>
      <c r="X692" s="12" t="n">
        <v>2543660</v>
      </c>
      <c r="Y692" s="12" t="n">
        <v>206610</v>
      </c>
      <c r="Z692" s="15" t="n">
        <f aca="false">IFERROR(X692/Y692,"")</f>
        <v>12.3114079667005</v>
      </c>
      <c r="AA692" s="12" t="n">
        <v>12000</v>
      </c>
      <c r="AB692" s="14" t="n">
        <f aca="false">W692-0.02*P692</f>
        <v>-2103910.16</v>
      </c>
      <c r="AC692" s="16" t="n">
        <v>57</v>
      </c>
      <c r="AD692" s="13" t="n">
        <f aca="false">IFERROR(AC692/AC691-1,"")</f>
        <v>0.0363636363636364</v>
      </c>
      <c r="AE692" s="17" t="n">
        <v>0.053</v>
      </c>
      <c r="AF692" s="17" t="n">
        <v>0.05</v>
      </c>
      <c r="AG692" s="13" t="n">
        <f aca="false">1-AF692</f>
        <v>0.95</v>
      </c>
      <c r="AH692" s="17" t="n">
        <v>1.085</v>
      </c>
      <c r="AI692" s="12" t="n">
        <v>54264</v>
      </c>
      <c r="AJ692" s="14" t="n">
        <f aca="false">IFERROR(AM692*U692*MIN(1/AE692,5),"")</f>
        <v>135864.326524103</v>
      </c>
      <c r="AK692" s="18" t="n">
        <f aca="false">IFERROR(AJ692/AI692,"")</f>
        <v>2.50376541582086</v>
      </c>
      <c r="AL692" s="15" t="n">
        <f aca="false">IFERROR(AI692/(AM692*U692/12),"")</f>
        <v>23.9639063711282</v>
      </c>
      <c r="AM692" s="12" t="n">
        <v>41600</v>
      </c>
      <c r="AN692" s="12" t="n">
        <v>1741112</v>
      </c>
      <c r="AO692" s="12" t="n">
        <v>2911596</v>
      </c>
      <c r="AP692" s="17" t="n">
        <v>0.22</v>
      </c>
      <c r="AQ692" s="16" t="n">
        <v>25</v>
      </c>
      <c r="AR692" s="16" t="n">
        <v>29</v>
      </c>
      <c r="AS692" s="13" t="n">
        <f aca="false">IFERROR(AR692/AR691-1,"")</f>
        <v>0.0357142857142858</v>
      </c>
      <c r="AT692" s="11" t="s">
        <v>80</v>
      </c>
      <c r="AU692" s="14" t="n">
        <f aca="false">IFERROR(P692/AR692,"")</f>
        <v>44976.1379310345</v>
      </c>
      <c r="AV692" s="12" t="n">
        <v>2928590</v>
      </c>
      <c r="AW692" s="12" t="n">
        <v>1089740</v>
      </c>
      <c r="AX692" s="12" t="n">
        <v>597572</v>
      </c>
      <c r="AY692" s="16" t="n">
        <v>5295</v>
      </c>
      <c r="AZ692" s="13" t="n">
        <f aca="false">IFERROR(AY692/AY691-1,"")</f>
        <v>0.0755636806825106</v>
      </c>
      <c r="BA692" s="17" t="n">
        <v>0.955</v>
      </c>
      <c r="BB692" s="11" t="s">
        <v>99</v>
      </c>
      <c r="BC692" s="11" t="s">
        <v>82</v>
      </c>
      <c r="BD692" s="11" t="s">
        <v>101</v>
      </c>
      <c r="BE692" s="12" t="n">
        <v>1300662</v>
      </c>
      <c r="BF692" s="13" t="n">
        <f aca="false">IFERROR(P692/BE692-1,"")</f>
        <v>0.00280318791507717</v>
      </c>
      <c r="BG692" s="17" t="n">
        <v>-0.011</v>
      </c>
      <c r="BH692" s="17" t="n">
        <v>0.088</v>
      </c>
      <c r="BI692" s="14" t="n">
        <f aca="false">P692*(1+IFERROR(Q692,0))^4</f>
        <v>1833561.1233234</v>
      </c>
      <c r="BJ692" s="12" t="n">
        <v>-1588381</v>
      </c>
      <c r="BK692" s="11" t="s">
        <v>127</v>
      </c>
      <c r="BL692" s="11" t="s">
        <v>85</v>
      </c>
      <c r="BM692" s="14" t="n">
        <f aca="false">O692</f>
        <v>23103688</v>
      </c>
      <c r="BN692" s="11" t="s">
        <v>673</v>
      </c>
      <c r="BO692" s="13" t="n">
        <f aca="false">IFERROR(1-L692/M692,"")</f>
        <v>0.198909127301842</v>
      </c>
      <c r="BP692" s="11" t="s">
        <v>142</v>
      </c>
      <c r="BQ692" s="12" t="n">
        <v>4114227</v>
      </c>
      <c r="BR692" s="11" t="s">
        <v>88</v>
      </c>
      <c r="BS692" s="11" t="s">
        <v>89</v>
      </c>
      <c r="BT692" s="19" t="str">
        <f aca="false">IF(OR(Z692&lt;6,AH692&lt;0.9,S692&lt;0.02,AK692&lt;1),"REVIEW",IF(AND(S692&gt;0.25,AH692&gt;1.2),"ACCELERATING","STABLE"))</f>
        <v>STABLE</v>
      </c>
    </row>
    <row r="693" customFormat="false" ht="15" hidden="false" customHeight="false" outlineLevel="0" collapsed="false">
      <c r="A693" s="11" t="s">
        <v>671</v>
      </c>
      <c r="B693" s="11" t="s">
        <v>93</v>
      </c>
      <c r="C693" s="11" t="s">
        <v>74</v>
      </c>
      <c r="D693" s="11" t="s">
        <v>132</v>
      </c>
      <c r="E693" s="11" t="s">
        <v>187</v>
      </c>
      <c r="F693" s="11" t="s">
        <v>672</v>
      </c>
      <c r="G693" s="11" t="s">
        <v>78</v>
      </c>
      <c r="H693" s="11" t="s">
        <v>644</v>
      </c>
      <c r="I693" s="11" t="s">
        <v>78</v>
      </c>
      <c r="J693" s="12" t="n">
        <v>3975000</v>
      </c>
      <c r="K693" s="13" t="n">
        <f aca="false">IFERROR(J693/M693,"")</f>
        <v>0.198909127301841</v>
      </c>
      <c r="L693" s="12" t="n">
        <v>16009000</v>
      </c>
      <c r="M693" s="14" t="n">
        <f aca="false">L693+J693</f>
        <v>19984000</v>
      </c>
      <c r="N693" s="12" t="n">
        <v>7060000</v>
      </c>
      <c r="O693" s="12" t="n">
        <v>23103688</v>
      </c>
      <c r="P693" s="12" t="n">
        <v>1436668</v>
      </c>
      <c r="Q693" s="13" t="n">
        <f aca="false">IFERROR(P693/P692-1,"")</f>
        <v>0.101479098495141</v>
      </c>
      <c r="R693" s="12" t="n">
        <v>1605461</v>
      </c>
      <c r="S693" s="13" t="n">
        <f aca="false">IFERROR(R693/R692-1,"")</f>
        <v>0.0977526123112646</v>
      </c>
      <c r="T693" s="12" t="n">
        <v>942191</v>
      </c>
      <c r="U693" s="13" t="n">
        <f aca="false">IFERROR(T693/P693,"")</f>
        <v>0.655816792745436</v>
      </c>
      <c r="V693" s="14" t="n">
        <f aca="false">T693-AV693</f>
        <v>-2039455</v>
      </c>
      <c r="W693" s="14" t="n">
        <f aca="false">V693-AA693*0.1</f>
        <v>-2040655</v>
      </c>
      <c r="X693" s="12" t="n">
        <v>1985813</v>
      </c>
      <c r="Y693" s="12" t="n">
        <v>213000</v>
      </c>
      <c r="Z693" s="15" t="n">
        <f aca="false">IFERROR(X693/Y693,"")</f>
        <v>9.32306572769953</v>
      </c>
      <c r="AA693" s="12" t="n">
        <v>12000</v>
      </c>
      <c r="AB693" s="14" t="n">
        <f aca="false">W693-0.02*P693</f>
        <v>-2069388.36</v>
      </c>
      <c r="AC693" s="16" t="n">
        <v>66</v>
      </c>
      <c r="AD693" s="13" t="n">
        <f aca="false">IFERROR(AC693/AC692-1,"")</f>
        <v>0.157894736842105</v>
      </c>
      <c r="AE693" s="17" t="n">
        <v>0.051</v>
      </c>
      <c r="AF693" s="17" t="n">
        <v>0.056</v>
      </c>
      <c r="AG693" s="13" t="n">
        <f aca="false">1-AF693</f>
        <v>0.944</v>
      </c>
      <c r="AH693" s="17" t="n">
        <v>1.08</v>
      </c>
      <c r="AI693" s="12" t="n">
        <v>53200</v>
      </c>
      <c r="AJ693" s="14" t="n">
        <f aca="false">IFERROR(AM693*U693*MIN(1/AE693,5),"")</f>
        <v>139033.160062032</v>
      </c>
      <c r="AK693" s="18" t="n">
        <f aca="false">IFERROR(AJ693/AI693,"")</f>
        <v>2.61340526432392</v>
      </c>
      <c r="AL693" s="15" t="n">
        <f aca="false">IFERROR(AI693/(AM693*U693/12),"")</f>
        <v>22.9585517482004</v>
      </c>
      <c r="AM693" s="12" t="n">
        <v>42400</v>
      </c>
      <c r="AN693" s="12" t="n">
        <v>2090153</v>
      </c>
      <c r="AO693" s="12" t="n">
        <v>3041126</v>
      </c>
      <c r="AP693" s="17" t="n">
        <v>0.22</v>
      </c>
      <c r="AQ693" s="16" t="n">
        <v>25</v>
      </c>
      <c r="AR693" s="16" t="n">
        <v>30</v>
      </c>
      <c r="AS693" s="13" t="n">
        <f aca="false">IFERROR(AR693/AR692-1,"")</f>
        <v>0.0344827586206897</v>
      </c>
      <c r="AT693" s="11" t="s">
        <v>80</v>
      </c>
      <c r="AU693" s="14" t="n">
        <f aca="false">IFERROR(P693/AR693,"")</f>
        <v>47888.9333333333</v>
      </c>
      <c r="AV693" s="12" t="n">
        <v>2981646</v>
      </c>
      <c r="AW693" s="12" t="n">
        <v>1259369</v>
      </c>
      <c r="AX693" s="12" t="n">
        <v>596516</v>
      </c>
      <c r="AY693" s="16" t="n">
        <v>6217</v>
      </c>
      <c r="AZ693" s="13" t="n">
        <f aca="false">IFERROR(AY693/AY692-1,"")</f>
        <v>0.174126534466478</v>
      </c>
      <c r="BA693" s="17" t="n">
        <v>0.95</v>
      </c>
      <c r="BB693" s="11" t="s">
        <v>99</v>
      </c>
      <c r="BC693" s="11" t="s">
        <v>82</v>
      </c>
      <c r="BD693" s="11" t="s">
        <v>101</v>
      </c>
      <c r="BE693" s="12" t="n">
        <v>1785405</v>
      </c>
      <c r="BF693" s="13" t="n">
        <f aca="false">IFERROR(P693/BE693-1,"")</f>
        <v>-0.195326550558557</v>
      </c>
      <c r="BG693" s="17" t="n">
        <v>-0.023</v>
      </c>
      <c r="BH693" s="17" t="n">
        <v>0.017</v>
      </c>
      <c r="BI693" s="14" t="n">
        <f aca="false">P693*(1+IFERROR(Q693,0))^4</f>
        <v>2114761.81655971</v>
      </c>
      <c r="BJ693" s="12" t="n">
        <v>-1773916</v>
      </c>
      <c r="BK693" s="11" t="s">
        <v>127</v>
      </c>
      <c r="BL693" s="11" t="s">
        <v>85</v>
      </c>
      <c r="BM693" s="14" t="n">
        <f aca="false">O693</f>
        <v>23103688</v>
      </c>
      <c r="BN693" s="11" t="s">
        <v>673</v>
      </c>
      <c r="BO693" s="13" t="n">
        <f aca="false">IFERROR(1-L693/M693,"")</f>
        <v>0.198909127301842</v>
      </c>
      <c r="BP693" s="11" t="s">
        <v>142</v>
      </c>
      <c r="BQ693" s="12" t="n">
        <v>3662992</v>
      </c>
      <c r="BR693" s="11" t="s">
        <v>88</v>
      </c>
      <c r="BS693" s="11" t="s">
        <v>89</v>
      </c>
      <c r="BT693" s="19" t="str">
        <f aca="false">IF(OR(Z693&lt;6,AH693&lt;0.9,S693&lt;0.02,AK693&lt;1),"REVIEW",IF(AND(S693&gt;0.25,AH693&gt;1.2),"ACCELERATING","STABLE"))</f>
        <v>STABLE</v>
      </c>
    </row>
    <row r="694" customFormat="false" ht="15" hidden="false" customHeight="false" outlineLevel="0" collapsed="false">
      <c r="A694" s="3" t="s">
        <v>674</v>
      </c>
      <c r="B694" s="3" t="s">
        <v>73</v>
      </c>
      <c r="C694" s="3" t="s">
        <v>74</v>
      </c>
      <c r="D694" s="3" t="s">
        <v>95</v>
      </c>
      <c r="E694" s="3" t="s">
        <v>187</v>
      </c>
      <c r="F694" s="3" t="s">
        <v>675</v>
      </c>
      <c r="G694" s="3" t="s">
        <v>78</v>
      </c>
      <c r="H694" s="3" t="s">
        <v>644</v>
      </c>
      <c r="I694" s="3" t="s">
        <v>78</v>
      </c>
      <c r="J694" s="4" t="n">
        <v>4606000</v>
      </c>
      <c r="K694" s="5" t="n">
        <f aca="false">IFERROR(J694/M694,"")</f>
        <v>0.158347084708471</v>
      </c>
      <c r="L694" s="4" t="n">
        <v>24482000</v>
      </c>
      <c r="M694" s="6" t="n">
        <f aca="false">L694+J694</f>
        <v>29088000</v>
      </c>
      <c r="N694" s="4" t="n">
        <v>4606000</v>
      </c>
      <c r="O694" s="4" t="n">
        <v>39600175</v>
      </c>
      <c r="P694" s="4" t="n">
        <v>182206</v>
      </c>
      <c r="Q694" s="7"/>
      <c r="R694" s="4" t="n">
        <v>188999</v>
      </c>
      <c r="S694" s="7"/>
      <c r="T694" s="4" t="n">
        <v>135108</v>
      </c>
      <c r="U694" s="5" t="n">
        <f aca="false">IFERROR(T694/P694,"")</f>
        <v>0.741512354148601</v>
      </c>
      <c r="V694" s="6" t="n">
        <f aca="false">T694-AV694</f>
        <v>-1561095</v>
      </c>
      <c r="W694" s="6" t="n">
        <f aca="false">V694-AA694*0.1</f>
        <v>-1588295</v>
      </c>
      <c r="X694" s="4" t="n">
        <v>4923844</v>
      </c>
      <c r="Y694" s="4" t="n">
        <v>149240</v>
      </c>
      <c r="Z694" s="8" t="n">
        <f aca="false">IFERROR(X694/Y694,"")</f>
        <v>32.9927901366926</v>
      </c>
      <c r="AA694" s="4" t="n">
        <v>272000</v>
      </c>
      <c r="AB694" s="6" t="n">
        <f aca="false">W694-0.02*P694</f>
        <v>-1591939.12</v>
      </c>
      <c r="AC694" s="9" t="n">
        <v>44</v>
      </c>
      <c r="AD694" s="7"/>
      <c r="AE694" s="7" t="n">
        <v>0.076</v>
      </c>
      <c r="AF694" s="7" t="n">
        <v>0.076</v>
      </c>
      <c r="AG694" s="5" t="n">
        <f aca="false">1-AF694</f>
        <v>0.924</v>
      </c>
      <c r="AH694" s="7" t="n">
        <v>1.169</v>
      </c>
      <c r="AI694" s="4" t="n">
        <v>74306</v>
      </c>
      <c r="AJ694" s="6" t="n">
        <f aca="false">IFERROR(AM694*U694*MIN(1/AE694,5),"")</f>
        <v>163132.717912692</v>
      </c>
      <c r="AK694" s="10" t="n">
        <f aca="false">IFERROR(AJ694/AI694,"")</f>
        <v>2.19541783856879</v>
      </c>
      <c r="AL694" s="8" t="n">
        <f aca="false">IFERROR(AI694/(AM694*U694/12),"")</f>
        <v>27.3296494844528</v>
      </c>
      <c r="AM694" s="4" t="n">
        <v>44000</v>
      </c>
      <c r="AN694" s="4" t="n">
        <v>263498</v>
      </c>
      <c r="AO694" s="4" t="n">
        <v>516102</v>
      </c>
      <c r="AP694" s="7" t="n">
        <v>0.201</v>
      </c>
      <c r="AQ694" s="9" t="n">
        <v>30</v>
      </c>
      <c r="AR694" s="9" t="n">
        <v>5</v>
      </c>
      <c r="AS694" s="7"/>
      <c r="AT694" s="3" t="s">
        <v>218</v>
      </c>
      <c r="AU694" s="6" t="n">
        <f aca="false">IFERROR(P694/AR694,"")</f>
        <v>36441.2</v>
      </c>
      <c r="AV694" s="4" t="n">
        <v>1696203</v>
      </c>
      <c r="AW694" s="4" t="n">
        <v>617325</v>
      </c>
      <c r="AX694" s="4" t="n">
        <v>508689</v>
      </c>
      <c r="AY694" s="9" t="n">
        <v>15611</v>
      </c>
      <c r="AZ694" s="7"/>
      <c r="BA694" s="7" t="n">
        <v>0.92</v>
      </c>
      <c r="BB694" s="3" t="s">
        <v>161</v>
      </c>
      <c r="BC694" s="3" t="s">
        <v>100</v>
      </c>
      <c r="BD694" s="3" t="s">
        <v>109</v>
      </c>
      <c r="BE694" s="4" t="n">
        <v>174623</v>
      </c>
      <c r="BF694" s="5" t="n">
        <f aca="false">IFERROR(P694/BE694-1,"")</f>
        <v>0.043424978382</v>
      </c>
      <c r="BG694" s="7" t="n">
        <v>0.033</v>
      </c>
      <c r="BH694" s="7" t="n">
        <v>0.099</v>
      </c>
      <c r="BI694" s="6" t="n">
        <f aca="false">P694</f>
        <v>182206</v>
      </c>
      <c r="BJ694" s="4" t="n">
        <v>-1405772</v>
      </c>
      <c r="BK694" s="3" t="s">
        <v>110</v>
      </c>
      <c r="BL694" s="3" t="s">
        <v>162</v>
      </c>
      <c r="BM694" s="6" t="n">
        <f aca="false">O694</f>
        <v>39600175</v>
      </c>
      <c r="BN694" s="3" t="s">
        <v>676</v>
      </c>
      <c r="BO694" s="5" t="n">
        <f aca="false">IFERROR(1-L694/M694,"")</f>
        <v>0.158347084708471</v>
      </c>
      <c r="BP694" s="3" t="s">
        <v>142</v>
      </c>
      <c r="BQ694" s="4" t="n">
        <v>2145018</v>
      </c>
      <c r="BR694" s="3" t="s">
        <v>88</v>
      </c>
      <c r="BS694" s="3" t="s">
        <v>89</v>
      </c>
      <c r="BT694" s="3" t="s">
        <v>90</v>
      </c>
    </row>
    <row r="695" customFormat="false" ht="15" hidden="false" customHeight="false" outlineLevel="0" collapsed="false">
      <c r="A695" s="11" t="s">
        <v>674</v>
      </c>
      <c r="B695" s="11" t="s">
        <v>91</v>
      </c>
      <c r="C695" s="11" t="s">
        <v>74</v>
      </c>
      <c r="D695" s="11" t="s">
        <v>95</v>
      </c>
      <c r="E695" s="11" t="s">
        <v>187</v>
      </c>
      <c r="F695" s="11" t="s">
        <v>675</v>
      </c>
      <c r="G695" s="11" t="s">
        <v>78</v>
      </c>
      <c r="H695" s="11" t="s">
        <v>644</v>
      </c>
      <c r="I695" s="11" t="s">
        <v>78</v>
      </c>
      <c r="J695" s="12" t="n">
        <v>4606000</v>
      </c>
      <c r="K695" s="13" t="n">
        <f aca="false">IFERROR(J695/M695,"")</f>
        <v>0.158347084708471</v>
      </c>
      <c r="L695" s="12" t="n">
        <v>24482000</v>
      </c>
      <c r="M695" s="14" t="n">
        <f aca="false">L695+J695</f>
        <v>29088000</v>
      </c>
      <c r="N695" s="12" t="n">
        <v>4606000</v>
      </c>
      <c r="O695" s="12" t="n">
        <v>39600175</v>
      </c>
      <c r="P695" s="12" t="n">
        <v>234484</v>
      </c>
      <c r="Q695" s="13" t="n">
        <f aca="false">IFERROR(P695/P694-1,"")</f>
        <v>0.286917006026146</v>
      </c>
      <c r="R695" s="12" t="n">
        <v>240940</v>
      </c>
      <c r="S695" s="13" t="n">
        <f aca="false">IFERROR(R695/R694-1,"")</f>
        <v>0.274821559902433</v>
      </c>
      <c r="T695" s="12" t="n">
        <v>174577</v>
      </c>
      <c r="U695" s="13" t="n">
        <f aca="false">IFERROR(T695/P695,"")</f>
        <v>0.744515617270262</v>
      </c>
      <c r="V695" s="14" t="n">
        <f aca="false">T695-AV695</f>
        <v>-1825612</v>
      </c>
      <c r="W695" s="14" t="n">
        <f aca="false">V695-AA695*0.1</f>
        <v>-1852812</v>
      </c>
      <c r="X695" s="12" t="n">
        <v>4547464</v>
      </c>
      <c r="Y695" s="12" t="n">
        <v>154160</v>
      </c>
      <c r="Z695" s="15" t="n">
        <f aca="false">IFERROR(X695/Y695,"")</f>
        <v>29.4983393876492</v>
      </c>
      <c r="AA695" s="12" t="n">
        <v>272000</v>
      </c>
      <c r="AB695" s="14" t="n">
        <f aca="false">W695-0.02*P695</f>
        <v>-1857501.68</v>
      </c>
      <c r="AC695" s="16" t="n">
        <v>56</v>
      </c>
      <c r="AD695" s="13" t="n">
        <f aca="false">IFERROR(AC695/AC694-1,"")</f>
        <v>0.272727272727273</v>
      </c>
      <c r="AE695" s="17" t="n">
        <v>0.074</v>
      </c>
      <c r="AF695" s="17" t="n">
        <v>0.071</v>
      </c>
      <c r="AG695" s="13" t="n">
        <f aca="false">1-AF695</f>
        <v>0.929</v>
      </c>
      <c r="AH695" s="17" t="n">
        <v>1.164</v>
      </c>
      <c r="AI695" s="12" t="n">
        <v>72904</v>
      </c>
      <c r="AJ695" s="14" t="n">
        <f aca="false">IFERROR(AM695*U695*MIN(1/AE695,5),"")</f>
        <v>167069.304515447</v>
      </c>
      <c r="AK695" s="18" t="n">
        <f aca="false">IFERROR(AJ695/AI695,"")</f>
        <v>2.29163426582145</v>
      </c>
      <c r="AL695" s="15" t="n">
        <f aca="false">IFERROR(AI695/(AM695*U695/12),"")</f>
        <v>26.1821883600142</v>
      </c>
      <c r="AM695" s="12" t="n">
        <v>44880</v>
      </c>
      <c r="AN695" s="12" t="n">
        <v>273505</v>
      </c>
      <c r="AO695" s="12" t="n">
        <v>720170</v>
      </c>
      <c r="AP695" s="17" t="n">
        <v>0.201</v>
      </c>
      <c r="AQ695" s="16" t="n">
        <v>30</v>
      </c>
      <c r="AR695" s="16" t="n">
        <v>6</v>
      </c>
      <c r="AS695" s="13" t="n">
        <f aca="false">IFERROR(AR695/AR694-1,"")</f>
        <v>0.2</v>
      </c>
      <c r="AT695" s="11" t="s">
        <v>218</v>
      </c>
      <c r="AU695" s="14" t="n">
        <f aca="false">IFERROR(P695/AR695,"")</f>
        <v>39080.6666666667</v>
      </c>
      <c r="AV695" s="12" t="n">
        <v>2000189</v>
      </c>
      <c r="AW695" s="12" t="n">
        <v>784118</v>
      </c>
      <c r="AX695" s="12" t="n">
        <v>632599</v>
      </c>
      <c r="AY695" s="16" t="n">
        <v>18805</v>
      </c>
      <c r="AZ695" s="13" t="n">
        <f aca="false">IFERROR(AY695/AY694-1,"")</f>
        <v>0.204599320991608</v>
      </c>
      <c r="BA695" s="17" t="n">
        <v>0.919</v>
      </c>
      <c r="BB695" s="11" t="s">
        <v>161</v>
      </c>
      <c r="BC695" s="11" t="s">
        <v>100</v>
      </c>
      <c r="BD695" s="11" t="s">
        <v>109</v>
      </c>
      <c r="BE695" s="12" t="n">
        <v>241671</v>
      </c>
      <c r="BF695" s="13" t="n">
        <f aca="false">IFERROR(P695/BE695-1,"")</f>
        <v>-0.0297387770977899</v>
      </c>
      <c r="BG695" s="17" t="n">
        <v>0.026</v>
      </c>
      <c r="BH695" s="17" t="n">
        <v>0.079</v>
      </c>
      <c r="BI695" s="14" t="n">
        <f aca="false">P695*(1+IFERROR(Q695,0))^4</f>
        <v>643154.590413687</v>
      </c>
      <c r="BJ695" s="12" t="n">
        <v>-1073945</v>
      </c>
      <c r="BK695" s="11" t="s">
        <v>110</v>
      </c>
      <c r="BL695" s="11" t="s">
        <v>162</v>
      </c>
      <c r="BM695" s="14" t="n">
        <f aca="false">O695</f>
        <v>39600175</v>
      </c>
      <c r="BN695" s="11" t="s">
        <v>676</v>
      </c>
      <c r="BO695" s="13" t="n">
        <f aca="false">IFERROR(1-L695/M695,"")</f>
        <v>0.158347084708471</v>
      </c>
      <c r="BP695" s="11" t="s">
        <v>142</v>
      </c>
      <c r="BQ695" s="12" t="n">
        <v>2414763</v>
      </c>
      <c r="BR695" s="11" t="s">
        <v>88</v>
      </c>
      <c r="BS695" s="11" t="s">
        <v>89</v>
      </c>
      <c r="BT695" s="19" t="str">
        <f aca="false">IF(OR(Z695&lt;6,AH695&lt;0.9,S695&lt;0.02,AK695&lt;1),"REVIEW",IF(AND(S695&gt;0.25,AH695&gt;1.2),"ACCELERATING","STABLE"))</f>
        <v>STABLE</v>
      </c>
    </row>
    <row r="696" customFormat="false" ht="15" hidden="false" customHeight="false" outlineLevel="0" collapsed="false">
      <c r="A696" s="11" t="s">
        <v>674</v>
      </c>
      <c r="B696" s="11" t="s">
        <v>92</v>
      </c>
      <c r="C696" s="11" t="s">
        <v>74</v>
      </c>
      <c r="D696" s="11" t="s">
        <v>95</v>
      </c>
      <c r="E696" s="11" t="s">
        <v>187</v>
      </c>
      <c r="F696" s="11" t="s">
        <v>675</v>
      </c>
      <c r="G696" s="11" t="s">
        <v>78</v>
      </c>
      <c r="H696" s="11" t="s">
        <v>644</v>
      </c>
      <c r="I696" s="11" t="s">
        <v>78</v>
      </c>
      <c r="J696" s="12" t="n">
        <v>4606000</v>
      </c>
      <c r="K696" s="13" t="n">
        <f aca="false">IFERROR(J696/M696,"")</f>
        <v>0.158347084708471</v>
      </c>
      <c r="L696" s="12" t="n">
        <v>24482000</v>
      </c>
      <c r="M696" s="14" t="n">
        <f aca="false">L696+J696</f>
        <v>29088000</v>
      </c>
      <c r="N696" s="12" t="n">
        <v>4606000</v>
      </c>
      <c r="O696" s="12" t="n">
        <v>39600175</v>
      </c>
      <c r="P696" s="12" t="n">
        <v>298931</v>
      </c>
      <c r="Q696" s="13" t="n">
        <f aca="false">IFERROR(P696/P695-1,"")</f>
        <v>0.274846044932703</v>
      </c>
      <c r="R696" s="12" t="n">
        <v>287409</v>
      </c>
      <c r="S696" s="13" t="n">
        <f aca="false">IFERROR(R696/R695-1,"")</f>
        <v>0.192865443678924</v>
      </c>
      <c r="T696" s="12" t="n">
        <v>223455</v>
      </c>
      <c r="U696" s="13" t="n">
        <f aca="false">IFERROR(T696/P696,"")</f>
        <v>0.747513640271501</v>
      </c>
      <c r="V696" s="14" t="n">
        <f aca="false">T696-AV696</f>
        <v>-1784097</v>
      </c>
      <c r="W696" s="14" t="n">
        <f aca="false">V696-AA696*0.1</f>
        <v>-1811297</v>
      </c>
      <c r="X696" s="12" t="n">
        <v>4144516</v>
      </c>
      <c r="Y696" s="12" t="n">
        <v>159080</v>
      </c>
      <c r="Z696" s="15" t="n">
        <f aca="false">IFERROR(X696/Y696,"")</f>
        <v>26.0530299220518</v>
      </c>
      <c r="AA696" s="12" t="n">
        <v>272000</v>
      </c>
      <c r="AB696" s="14" t="n">
        <f aca="false">W696-0.02*P696</f>
        <v>-1817275.62</v>
      </c>
      <c r="AC696" s="16" t="n">
        <v>62</v>
      </c>
      <c r="AD696" s="13" t="n">
        <f aca="false">IFERROR(AC696/AC695-1,"")</f>
        <v>0.107142857142857</v>
      </c>
      <c r="AE696" s="17" t="n">
        <v>0.072</v>
      </c>
      <c r="AF696" s="17" t="n">
        <v>0.067</v>
      </c>
      <c r="AG696" s="13" t="n">
        <f aca="false">1-AF696</f>
        <v>0.933</v>
      </c>
      <c r="AH696" s="17" t="n">
        <v>1.159</v>
      </c>
      <c r="AI696" s="12" t="n">
        <v>71502</v>
      </c>
      <c r="AJ696" s="14" t="n">
        <f aca="false">IFERROR(AM696*U696*MIN(1/AE696,5),"")</f>
        <v>171031.120894119</v>
      </c>
      <c r="AK696" s="18" t="n">
        <f aca="false">IFERROR(AJ696/AI696,"")</f>
        <v>2.39197674042851</v>
      </c>
      <c r="AL696" s="15" t="n">
        <f aca="false">IFERROR(AI696/(AM696*U696/12),"")</f>
        <v>25.0838559530689</v>
      </c>
      <c r="AM696" s="12" t="n">
        <v>45760</v>
      </c>
      <c r="AN696" s="12" t="n">
        <v>412581</v>
      </c>
      <c r="AO696" s="12" t="n">
        <v>641067</v>
      </c>
      <c r="AP696" s="17" t="n">
        <v>0.201</v>
      </c>
      <c r="AQ696" s="16" t="n">
        <v>30</v>
      </c>
      <c r="AR696" s="16" t="n">
        <v>6</v>
      </c>
      <c r="AS696" s="13" t="n">
        <f aca="false">IFERROR(AR696/AR695-1,"")</f>
        <v>0</v>
      </c>
      <c r="AT696" s="11" t="s">
        <v>218</v>
      </c>
      <c r="AU696" s="14" t="n">
        <f aca="false">IFERROR(P696/AR696,"")</f>
        <v>49821.8333333333</v>
      </c>
      <c r="AV696" s="12" t="n">
        <v>2007552</v>
      </c>
      <c r="AW696" s="12" t="n">
        <v>721377</v>
      </c>
      <c r="AX696" s="12" t="n">
        <v>459372</v>
      </c>
      <c r="AY696" s="16" t="n">
        <v>23193</v>
      </c>
      <c r="AZ696" s="13" t="n">
        <f aca="false">IFERROR(AY696/AY695-1,"")</f>
        <v>0.233342196224408</v>
      </c>
      <c r="BA696" s="17" t="n">
        <v>0.94</v>
      </c>
      <c r="BB696" s="11" t="s">
        <v>161</v>
      </c>
      <c r="BC696" s="11" t="s">
        <v>100</v>
      </c>
      <c r="BD696" s="11" t="s">
        <v>109</v>
      </c>
      <c r="BE696" s="12" t="n">
        <v>366391</v>
      </c>
      <c r="BF696" s="13" t="n">
        <f aca="false">IFERROR(P696/BE696-1,"")</f>
        <v>-0.184120243128243</v>
      </c>
      <c r="BG696" s="17" t="n">
        <v>0.021</v>
      </c>
      <c r="BH696" s="17" t="n">
        <v>0.079</v>
      </c>
      <c r="BI696" s="14" t="n">
        <f aca="false">P696*(1+IFERROR(Q696,0))^4</f>
        <v>789590.507800357</v>
      </c>
      <c r="BJ696" s="12" t="n">
        <v>-1562190</v>
      </c>
      <c r="BK696" s="11" t="s">
        <v>110</v>
      </c>
      <c r="BL696" s="11" t="s">
        <v>162</v>
      </c>
      <c r="BM696" s="14" t="n">
        <f aca="false">O696</f>
        <v>39600175</v>
      </c>
      <c r="BN696" s="11" t="s">
        <v>676</v>
      </c>
      <c r="BO696" s="13" t="n">
        <f aca="false">IFERROR(1-L696/M696,"")</f>
        <v>0.158347084708471</v>
      </c>
      <c r="BP696" s="11" t="s">
        <v>142</v>
      </c>
      <c r="BQ696" s="12" t="n">
        <v>2451003</v>
      </c>
      <c r="BR696" s="11" t="s">
        <v>88</v>
      </c>
      <c r="BS696" s="11" t="s">
        <v>89</v>
      </c>
      <c r="BT696" s="19" t="str">
        <f aca="false">IF(OR(Z696&lt;6,AH696&lt;0.9,S696&lt;0.02,AK696&lt;1),"REVIEW",IF(AND(S696&gt;0.25,AH696&gt;1.2),"ACCELERATING","STABLE"))</f>
        <v>STABLE</v>
      </c>
    </row>
    <row r="697" customFormat="false" ht="15" hidden="false" customHeight="false" outlineLevel="0" collapsed="false">
      <c r="A697" s="11" t="s">
        <v>674</v>
      </c>
      <c r="B697" s="11" t="s">
        <v>93</v>
      </c>
      <c r="C697" s="11" t="s">
        <v>74</v>
      </c>
      <c r="D697" s="11" t="s">
        <v>95</v>
      </c>
      <c r="E697" s="11" t="s">
        <v>187</v>
      </c>
      <c r="F697" s="11" t="s">
        <v>675</v>
      </c>
      <c r="G697" s="11" t="s">
        <v>78</v>
      </c>
      <c r="H697" s="11" t="s">
        <v>644</v>
      </c>
      <c r="I697" s="11" t="s">
        <v>78</v>
      </c>
      <c r="J697" s="12" t="n">
        <v>4606000</v>
      </c>
      <c r="K697" s="13" t="n">
        <f aca="false">IFERROR(J697/M697,"")</f>
        <v>0.158347084708471</v>
      </c>
      <c r="L697" s="12" t="n">
        <v>24482000</v>
      </c>
      <c r="M697" s="14" t="n">
        <f aca="false">L697+J697</f>
        <v>29088000</v>
      </c>
      <c r="N697" s="12" t="n">
        <v>4606000</v>
      </c>
      <c r="O697" s="12" t="n">
        <v>39600175</v>
      </c>
      <c r="P697" s="12" t="n">
        <v>349930</v>
      </c>
      <c r="Q697" s="13" t="n">
        <f aca="false">IFERROR(P697/P696-1,"")</f>
        <v>0.170604587680769</v>
      </c>
      <c r="R697" s="12" t="n">
        <v>351673</v>
      </c>
      <c r="S697" s="13" t="n">
        <f aca="false">IFERROR(R697/R696-1,"")</f>
        <v>0.223597730064125</v>
      </c>
      <c r="T697" s="12" t="n">
        <v>262628</v>
      </c>
      <c r="U697" s="13" t="n">
        <f aca="false">IFERROR(T697/P697,"")</f>
        <v>0.750515817449204</v>
      </c>
      <c r="V697" s="14" t="n">
        <f aca="false">T697-AV697</f>
        <v>-1494795</v>
      </c>
      <c r="W697" s="14" t="n">
        <f aca="false">V697-AA697*0.1</f>
        <v>-1521995</v>
      </c>
      <c r="X697" s="12" t="n">
        <v>3715000</v>
      </c>
      <c r="Y697" s="12" t="n">
        <v>164000</v>
      </c>
      <c r="Z697" s="15" t="n">
        <f aca="false">IFERROR(X697/Y697,"")</f>
        <v>22.6524390243902</v>
      </c>
      <c r="AA697" s="12" t="n">
        <v>272000</v>
      </c>
      <c r="AB697" s="14" t="n">
        <f aca="false">W697-0.02*P697</f>
        <v>-1528993.6</v>
      </c>
      <c r="AC697" s="16" t="n">
        <v>77</v>
      </c>
      <c r="AD697" s="13" t="n">
        <f aca="false">IFERROR(AC697/AC696-1,"")</f>
        <v>0.241935483870968</v>
      </c>
      <c r="AE697" s="17" t="n">
        <v>0.07</v>
      </c>
      <c r="AF697" s="17" t="n">
        <v>0.063</v>
      </c>
      <c r="AG697" s="13" t="n">
        <f aca="false">1-AF697</f>
        <v>0.937</v>
      </c>
      <c r="AH697" s="17" t="n">
        <v>1.154</v>
      </c>
      <c r="AI697" s="12" t="n">
        <v>70100</v>
      </c>
      <c r="AJ697" s="14" t="n">
        <f aca="false">IFERROR(AM697*U697*MIN(1/AE697,5),"")</f>
        <v>175020.288629154</v>
      </c>
      <c r="AK697" s="18" t="n">
        <f aca="false">IFERROR(AJ697/AI697,"")</f>
        <v>2.49672309028751</v>
      </c>
      <c r="AL697" s="15" t="n">
        <f aca="false">IFERROR(AI697/(AM697*U697/12),"")</f>
        <v>24.0314996218066</v>
      </c>
      <c r="AM697" s="12" t="n">
        <v>46640</v>
      </c>
      <c r="AN697" s="12" t="n">
        <v>431654</v>
      </c>
      <c r="AO697" s="12" t="n">
        <v>902823</v>
      </c>
      <c r="AP697" s="17" t="n">
        <v>0.201</v>
      </c>
      <c r="AQ697" s="16" t="n">
        <v>30</v>
      </c>
      <c r="AR697" s="16" t="n">
        <v>7</v>
      </c>
      <c r="AS697" s="13" t="n">
        <f aca="false">IFERROR(AR697/AR696-1,"")</f>
        <v>0.166666666666667</v>
      </c>
      <c r="AT697" s="11" t="s">
        <v>218</v>
      </c>
      <c r="AU697" s="14" t="n">
        <f aca="false">IFERROR(P697/AR697,"")</f>
        <v>49990</v>
      </c>
      <c r="AV697" s="12" t="n">
        <v>1757423</v>
      </c>
      <c r="AW697" s="12" t="n">
        <v>648135</v>
      </c>
      <c r="AX697" s="12" t="n">
        <v>589129</v>
      </c>
      <c r="AY697" s="16" t="n">
        <v>25564</v>
      </c>
      <c r="AZ697" s="13" t="n">
        <f aca="false">IFERROR(AY697/AY696-1,"")</f>
        <v>0.10222912085543</v>
      </c>
      <c r="BA697" s="17" t="n">
        <v>0.942</v>
      </c>
      <c r="BB697" s="11" t="s">
        <v>161</v>
      </c>
      <c r="BC697" s="11" t="s">
        <v>100</v>
      </c>
      <c r="BD697" s="11" t="s">
        <v>109</v>
      </c>
      <c r="BE697" s="12" t="n">
        <v>376871</v>
      </c>
      <c r="BF697" s="13" t="n">
        <f aca="false">IFERROR(P697/BE697-1,"")</f>
        <v>-0.0714859991880511</v>
      </c>
      <c r="BG697" s="17" t="n">
        <v>0.066</v>
      </c>
      <c r="BH697" s="17" t="n">
        <v>-0.042</v>
      </c>
      <c r="BI697" s="14" t="n">
        <f aca="false">P697*(1+IFERROR(Q697,0))^4</f>
        <v>657085.772878287</v>
      </c>
      <c r="BJ697" s="12" t="n">
        <v>-1064981</v>
      </c>
      <c r="BK697" s="11" t="s">
        <v>110</v>
      </c>
      <c r="BL697" s="11" t="s">
        <v>162</v>
      </c>
      <c r="BM697" s="14" t="n">
        <f aca="false">O697</f>
        <v>39600175</v>
      </c>
      <c r="BN697" s="11" t="s">
        <v>676</v>
      </c>
      <c r="BO697" s="13" t="n">
        <f aca="false">IFERROR(1-L697/M697,"")</f>
        <v>0.158347084708471</v>
      </c>
      <c r="BP697" s="11" t="s">
        <v>142</v>
      </c>
      <c r="BQ697" s="12" t="n">
        <v>2098634</v>
      </c>
      <c r="BR697" s="11" t="s">
        <v>88</v>
      </c>
      <c r="BS697" s="11" t="s">
        <v>89</v>
      </c>
      <c r="BT697" s="19" t="str">
        <f aca="false">IF(OR(Z697&lt;6,AH697&lt;0.9,S697&lt;0.02,AK697&lt;1),"REVIEW",IF(AND(S697&gt;0.25,AH697&gt;1.2),"ACCELERATING","STABLE"))</f>
        <v>STABLE</v>
      </c>
    </row>
    <row r="698" customFormat="false" ht="15" hidden="false" customHeight="false" outlineLevel="0" collapsed="false">
      <c r="A698" s="3" t="s">
        <v>677</v>
      </c>
      <c r="B698" s="3" t="s">
        <v>73</v>
      </c>
      <c r="C698" s="3" t="s">
        <v>74</v>
      </c>
      <c r="D698" s="3" t="s">
        <v>151</v>
      </c>
      <c r="E698" s="3" t="s">
        <v>105</v>
      </c>
      <c r="F698" s="3" t="s">
        <v>678</v>
      </c>
      <c r="G698" s="3" t="s">
        <v>78</v>
      </c>
      <c r="H698" s="3" t="s">
        <v>644</v>
      </c>
      <c r="I698" s="3" t="s">
        <v>78</v>
      </c>
      <c r="J698" s="4" t="n">
        <v>3434000</v>
      </c>
      <c r="K698" s="5" t="n">
        <f aca="false">IFERROR(J698/M698,"")</f>
        <v>0.13577415783647</v>
      </c>
      <c r="L698" s="4" t="n">
        <v>21858000</v>
      </c>
      <c r="M698" s="6" t="n">
        <f aca="false">L698+J698</f>
        <v>25292000</v>
      </c>
      <c r="N698" s="4" t="n">
        <v>4609000</v>
      </c>
      <c r="O698" s="4" t="n">
        <v>46718348</v>
      </c>
      <c r="P698" s="4" t="n">
        <v>975000</v>
      </c>
      <c r="Q698" s="7"/>
      <c r="R698" s="4" t="n">
        <v>1112015</v>
      </c>
      <c r="S698" s="7"/>
      <c r="T698" s="4" t="n">
        <v>708177</v>
      </c>
      <c r="U698" s="5" t="n">
        <f aca="false">IFERROR(T698/P698,"")</f>
        <v>0.726335384615385</v>
      </c>
      <c r="V698" s="6" t="n">
        <f aca="false">T698-AV698</f>
        <v>-1231919</v>
      </c>
      <c r="W698" s="6" t="n">
        <f aca="false">V698-AA698*0.1</f>
        <v>-1231919</v>
      </c>
      <c r="X698" s="4" t="n">
        <v>3325326</v>
      </c>
      <c r="Y698" s="4" t="n">
        <v>96460</v>
      </c>
      <c r="Z698" s="8" t="n">
        <f aca="false">IFERROR(X698/Y698,"")</f>
        <v>34.4736263736264</v>
      </c>
      <c r="AA698" s="4" t="n">
        <v>0</v>
      </c>
      <c r="AB698" s="6" t="n">
        <f aca="false">W698-0.02*P698</f>
        <v>-1251419</v>
      </c>
      <c r="AC698" s="9" t="n">
        <v>19</v>
      </c>
      <c r="AD698" s="7"/>
      <c r="AE698" s="7" t="n">
        <v>0.046</v>
      </c>
      <c r="AF698" s="7" t="n">
        <v>0.034</v>
      </c>
      <c r="AG698" s="5" t="n">
        <f aca="false">1-AF698</f>
        <v>0.966</v>
      </c>
      <c r="AH698" s="7" t="n">
        <v>1.175</v>
      </c>
      <c r="AI698" s="4" t="n">
        <v>39114</v>
      </c>
      <c r="AJ698" s="6" t="n">
        <f aca="false">IFERROR(AM698*U698*MIN(1/AE698,5),"")</f>
        <v>119845.338461538</v>
      </c>
      <c r="AK698" s="10" t="n">
        <f aca="false">IFERROR(AJ698/AI698,"")</f>
        <v>3.06400108558415</v>
      </c>
      <c r="AL698" s="8" t="n">
        <f aca="false">IFERROR(AI698/(AM698*U698/12),"")</f>
        <v>19.5822384927651</v>
      </c>
      <c r="AM698" s="4" t="n">
        <v>33000</v>
      </c>
      <c r="AN698" s="4" t="n">
        <v>1219205</v>
      </c>
      <c r="AO698" s="4" t="n">
        <v>3264775</v>
      </c>
      <c r="AP698" s="7" t="n">
        <v>0.217</v>
      </c>
      <c r="AQ698" s="9" t="n">
        <v>45</v>
      </c>
      <c r="AR698" s="9" t="n">
        <v>1</v>
      </c>
      <c r="AS698" s="7"/>
      <c r="AT698" s="3" t="s">
        <v>218</v>
      </c>
      <c r="AU698" s="6" t="n">
        <f aca="false">IFERROR(P698/AR698,"")</f>
        <v>975000</v>
      </c>
      <c r="AV698" s="4" t="n">
        <v>1940096</v>
      </c>
      <c r="AW698" s="4" t="n">
        <v>704898</v>
      </c>
      <c r="AX698" s="4" t="n">
        <v>460157</v>
      </c>
      <c r="AY698" s="9" t="n">
        <v>5546</v>
      </c>
      <c r="AZ698" s="7"/>
      <c r="BA698" s="7" t="n">
        <v>0.965</v>
      </c>
      <c r="BB698" s="3" t="s">
        <v>107</v>
      </c>
      <c r="BC698" s="3" t="s">
        <v>82</v>
      </c>
      <c r="BD698" s="3" t="s">
        <v>175</v>
      </c>
      <c r="BE698" s="4" t="n">
        <v>1094466</v>
      </c>
      <c r="BF698" s="5" t="n">
        <f aca="false">IFERROR(P698/BE698-1,"")</f>
        <v>-0.109154601422063</v>
      </c>
      <c r="BG698" s="7" t="n">
        <v>0.088</v>
      </c>
      <c r="BH698" s="7" t="n">
        <v>-0.053</v>
      </c>
      <c r="BI698" s="6" t="n">
        <f aca="false">P698</f>
        <v>975000</v>
      </c>
      <c r="BJ698" s="4" t="n">
        <v>-641231</v>
      </c>
      <c r="BK698" s="3" t="s">
        <v>102</v>
      </c>
      <c r="BL698" s="3" t="s">
        <v>128</v>
      </c>
      <c r="BM698" s="6" t="n">
        <f aca="false">O698</f>
        <v>46718348</v>
      </c>
      <c r="BN698" s="3" t="s">
        <v>679</v>
      </c>
      <c r="BO698" s="5" t="n">
        <f aca="false">IFERROR(1-L698/M698,"")</f>
        <v>0.13577415783647</v>
      </c>
      <c r="BP698" s="3" t="s">
        <v>87</v>
      </c>
      <c r="BQ698" s="4" t="n">
        <v>1164198</v>
      </c>
      <c r="BR698" s="3" t="s">
        <v>88</v>
      </c>
      <c r="BS698" s="3" t="s">
        <v>89</v>
      </c>
      <c r="BT698" s="3" t="s">
        <v>90</v>
      </c>
    </row>
    <row r="699" customFormat="false" ht="15" hidden="false" customHeight="false" outlineLevel="0" collapsed="false">
      <c r="A699" s="11" t="s">
        <v>677</v>
      </c>
      <c r="B699" s="11" t="s">
        <v>91</v>
      </c>
      <c r="C699" s="11" t="s">
        <v>74</v>
      </c>
      <c r="D699" s="11" t="s">
        <v>151</v>
      </c>
      <c r="E699" s="11" t="s">
        <v>105</v>
      </c>
      <c r="F699" s="11" t="s">
        <v>678</v>
      </c>
      <c r="G699" s="11" t="s">
        <v>78</v>
      </c>
      <c r="H699" s="11" t="s">
        <v>644</v>
      </c>
      <c r="I699" s="11" t="s">
        <v>78</v>
      </c>
      <c r="J699" s="12" t="n">
        <v>3434000</v>
      </c>
      <c r="K699" s="13" t="n">
        <f aca="false">IFERROR(J699/M699,"")</f>
        <v>0.13577415783647</v>
      </c>
      <c r="L699" s="12" t="n">
        <v>21858000</v>
      </c>
      <c r="M699" s="14" t="n">
        <f aca="false">L699+J699</f>
        <v>25292000</v>
      </c>
      <c r="N699" s="12" t="n">
        <v>4609000</v>
      </c>
      <c r="O699" s="12" t="n">
        <v>46718348</v>
      </c>
      <c r="P699" s="12" t="n">
        <v>1136168</v>
      </c>
      <c r="Q699" s="13" t="n">
        <f aca="false">IFERROR(P699/P698-1,"")</f>
        <v>0.165300512820513</v>
      </c>
      <c r="R699" s="12" t="n">
        <v>1184434</v>
      </c>
      <c r="S699" s="13" t="n">
        <f aca="false">IFERROR(R699/R698-1,"")</f>
        <v>0.0651241215271377</v>
      </c>
      <c r="T699" s="12" t="n">
        <v>828580</v>
      </c>
      <c r="U699" s="13" t="n">
        <f aca="false">IFERROR(T699/P699,"")</f>
        <v>0.729275952147922</v>
      </c>
      <c r="V699" s="14" t="n">
        <f aca="false">T699-AV699</f>
        <v>-1132704</v>
      </c>
      <c r="W699" s="14" t="n">
        <f aca="false">V699-AA699*0.1</f>
        <v>-1132704</v>
      </c>
      <c r="X699" s="12" t="n">
        <v>3082056</v>
      </c>
      <c r="Y699" s="12" t="n">
        <v>99640</v>
      </c>
      <c r="Z699" s="15" t="n">
        <f aca="false">IFERROR(X699/Y699,"")</f>
        <v>30.931914893617</v>
      </c>
      <c r="AA699" s="12" t="n">
        <v>0</v>
      </c>
      <c r="AB699" s="14" t="n">
        <f aca="false">W699-0.02*P699</f>
        <v>-1155427.36</v>
      </c>
      <c r="AC699" s="16" t="n">
        <v>21</v>
      </c>
      <c r="AD699" s="13" t="n">
        <f aca="false">IFERROR(AC699/AC698-1,"")</f>
        <v>0.105263157894737</v>
      </c>
      <c r="AE699" s="17" t="n">
        <v>0.045</v>
      </c>
      <c r="AF699" s="17" t="n">
        <v>0.032</v>
      </c>
      <c r="AG699" s="13" t="n">
        <f aca="false">1-AF699</f>
        <v>0.968</v>
      </c>
      <c r="AH699" s="17" t="n">
        <v>1.17</v>
      </c>
      <c r="AI699" s="12" t="n">
        <v>38376</v>
      </c>
      <c r="AJ699" s="14" t="n">
        <f aca="false">IFERROR(AM699*U699*MIN(1/AE699,5),"")</f>
        <v>122737.142746495</v>
      </c>
      <c r="AK699" s="18" t="n">
        <f aca="false">IFERROR(AJ699/AI699,"")</f>
        <v>3.19827868320031</v>
      </c>
      <c r="AL699" s="15" t="n">
        <f aca="false">IFERROR(AI699/(AM699*U699/12),"")</f>
        <v>18.7600912688327</v>
      </c>
      <c r="AM699" s="12" t="n">
        <v>33660</v>
      </c>
      <c r="AN699" s="12" t="n">
        <v>1543982</v>
      </c>
      <c r="AO699" s="12" t="n">
        <v>3081744</v>
      </c>
      <c r="AP699" s="17" t="n">
        <v>0.217</v>
      </c>
      <c r="AQ699" s="16" t="n">
        <v>45</v>
      </c>
      <c r="AR699" s="16" t="n">
        <v>2</v>
      </c>
      <c r="AS699" s="13" t="n">
        <f aca="false">IFERROR(AR699/AR698-1,"")</f>
        <v>1</v>
      </c>
      <c r="AT699" s="11" t="s">
        <v>218</v>
      </c>
      <c r="AU699" s="14" t="n">
        <f aca="false">IFERROR(P699/AR699,"")</f>
        <v>568084</v>
      </c>
      <c r="AV699" s="12" t="n">
        <v>1961284</v>
      </c>
      <c r="AW699" s="12" t="n">
        <v>965341</v>
      </c>
      <c r="AX699" s="12" t="n">
        <v>608887</v>
      </c>
      <c r="AY699" s="16" t="n">
        <v>6403</v>
      </c>
      <c r="AZ699" s="13" t="n">
        <f aca="false">IFERROR(AY699/AY698-1,"")</f>
        <v>0.15452578434908</v>
      </c>
      <c r="BA699" s="17" t="n">
        <v>0.957</v>
      </c>
      <c r="BB699" s="11" t="s">
        <v>107</v>
      </c>
      <c r="BC699" s="11" t="s">
        <v>82</v>
      </c>
      <c r="BD699" s="11" t="s">
        <v>175</v>
      </c>
      <c r="BE699" s="12" t="n">
        <v>1374657</v>
      </c>
      <c r="BF699" s="13" t="n">
        <f aca="false">IFERROR(P699/BE699-1,"")</f>
        <v>-0.173489823279553</v>
      </c>
      <c r="BG699" s="17" t="n">
        <v>-0.06</v>
      </c>
      <c r="BH699" s="17" t="n">
        <v>-0.057</v>
      </c>
      <c r="BI699" s="14" t="n">
        <f aca="false">P699*(1+IFERROR(Q699,0))^4</f>
        <v>2095049.57248972</v>
      </c>
      <c r="BJ699" s="12" t="n">
        <v>-900456</v>
      </c>
      <c r="BK699" s="11" t="s">
        <v>102</v>
      </c>
      <c r="BL699" s="11" t="s">
        <v>128</v>
      </c>
      <c r="BM699" s="14" t="n">
        <f aca="false">O699</f>
        <v>46718348</v>
      </c>
      <c r="BN699" s="11" t="s">
        <v>679</v>
      </c>
      <c r="BO699" s="13" t="n">
        <f aca="false">IFERROR(1-L699/M699,"")</f>
        <v>0.13577415783647</v>
      </c>
      <c r="BP699" s="11" t="s">
        <v>87</v>
      </c>
      <c r="BQ699" s="12" t="n">
        <v>1628363</v>
      </c>
      <c r="BR699" s="11" t="s">
        <v>88</v>
      </c>
      <c r="BS699" s="11" t="s">
        <v>89</v>
      </c>
      <c r="BT699" s="19" t="str">
        <f aca="false">IF(OR(Z699&lt;6,AH699&lt;0.9,S699&lt;0.02,AK699&lt;1),"REVIEW",IF(AND(S699&gt;0.25,AH699&gt;1.2),"ACCELERATING","STABLE"))</f>
        <v>STABLE</v>
      </c>
    </row>
    <row r="700" customFormat="false" ht="15" hidden="false" customHeight="false" outlineLevel="0" collapsed="false">
      <c r="A700" s="11" t="s">
        <v>677</v>
      </c>
      <c r="B700" s="11" t="s">
        <v>92</v>
      </c>
      <c r="C700" s="11" t="s">
        <v>74</v>
      </c>
      <c r="D700" s="11" t="s">
        <v>151</v>
      </c>
      <c r="E700" s="11" t="s">
        <v>105</v>
      </c>
      <c r="F700" s="11" t="s">
        <v>678</v>
      </c>
      <c r="G700" s="11" t="s">
        <v>78</v>
      </c>
      <c r="H700" s="11" t="s">
        <v>644</v>
      </c>
      <c r="I700" s="11" t="s">
        <v>78</v>
      </c>
      <c r="J700" s="12" t="n">
        <v>3434000</v>
      </c>
      <c r="K700" s="13" t="n">
        <f aca="false">IFERROR(J700/M700,"")</f>
        <v>0.13577415783647</v>
      </c>
      <c r="L700" s="12" t="n">
        <v>21858000</v>
      </c>
      <c r="M700" s="14" t="n">
        <f aca="false">L700+J700</f>
        <v>25292000</v>
      </c>
      <c r="N700" s="12" t="n">
        <v>4609000</v>
      </c>
      <c r="O700" s="12" t="n">
        <v>46718348</v>
      </c>
      <c r="P700" s="12" t="n">
        <v>1296494</v>
      </c>
      <c r="Q700" s="13" t="n">
        <f aca="false">IFERROR(P700/P699-1,"")</f>
        <v>0.141111173699664</v>
      </c>
      <c r="R700" s="12" t="n">
        <v>1487912</v>
      </c>
      <c r="S700" s="13" t="n">
        <f aca="false">IFERROR(R700/R699-1,"")</f>
        <v>0.256221959180503</v>
      </c>
      <c r="T700" s="12" t="n">
        <v>949315</v>
      </c>
      <c r="U700" s="13" t="n">
        <f aca="false">IFERROR(T700/P700,"")</f>
        <v>0.73221704072676</v>
      </c>
      <c r="V700" s="14" t="n">
        <f aca="false">T700-AV700</f>
        <v>-1047845</v>
      </c>
      <c r="W700" s="14" t="n">
        <f aca="false">V700-AA700*0.1</f>
        <v>-1047845</v>
      </c>
      <c r="X700" s="12" t="n">
        <v>2821614</v>
      </c>
      <c r="Y700" s="12" t="n">
        <v>102820</v>
      </c>
      <c r="Z700" s="15" t="n">
        <f aca="false">IFERROR(X700/Y700,"")</f>
        <v>27.4422680412371</v>
      </c>
      <c r="AA700" s="12" t="n">
        <v>0</v>
      </c>
      <c r="AB700" s="14" t="n">
        <f aca="false">W700-0.02*P700</f>
        <v>-1073774.88</v>
      </c>
      <c r="AC700" s="16" t="n">
        <v>22</v>
      </c>
      <c r="AD700" s="13" t="n">
        <f aca="false">IFERROR(AC700/AC699-1,"")</f>
        <v>0.0476190476190477</v>
      </c>
      <c r="AE700" s="17" t="n">
        <v>0.043</v>
      </c>
      <c r="AF700" s="17" t="n">
        <v>0.034</v>
      </c>
      <c r="AG700" s="13" t="n">
        <f aca="false">1-AF700</f>
        <v>0.966</v>
      </c>
      <c r="AH700" s="17" t="n">
        <v>1.165</v>
      </c>
      <c r="AI700" s="12" t="n">
        <v>37638</v>
      </c>
      <c r="AJ700" s="14" t="n">
        <f aca="false">IFERROR(AM700*U700*MIN(1/AE700,5),"")</f>
        <v>125648.444188712</v>
      </c>
      <c r="AK700" s="18" t="n">
        <f aca="false">IFERROR(AJ700/AI700,"")</f>
        <v>3.33834008684606</v>
      </c>
      <c r="AL700" s="15" t="n">
        <f aca="false">IFERROR(AI700/(AM700*U700/12),"")</f>
        <v>17.9730040796071</v>
      </c>
      <c r="AM700" s="12" t="n">
        <v>34320</v>
      </c>
      <c r="AN700" s="12" t="n">
        <v>1705117</v>
      </c>
      <c r="AO700" s="12" t="n">
        <v>3150923</v>
      </c>
      <c r="AP700" s="17" t="n">
        <v>0.217</v>
      </c>
      <c r="AQ700" s="16" t="n">
        <v>45</v>
      </c>
      <c r="AR700" s="16" t="n">
        <v>2</v>
      </c>
      <c r="AS700" s="13" t="n">
        <f aca="false">IFERROR(AR700/AR699-1,"")</f>
        <v>0</v>
      </c>
      <c r="AT700" s="11" t="s">
        <v>218</v>
      </c>
      <c r="AU700" s="14" t="n">
        <f aca="false">IFERROR(P700/AR700,"")</f>
        <v>648247</v>
      </c>
      <c r="AV700" s="12" t="n">
        <v>1997160</v>
      </c>
      <c r="AW700" s="12" t="n">
        <v>788564</v>
      </c>
      <c r="AX700" s="12" t="n">
        <v>513984</v>
      </c>
      <c r="AY700" s="16" t="n">
        <v>7245</v>
      </c>
      <c r="AZ700" s="13" t="n">
        <f aca="false">IFERROR(AY700/AY699-1,"")</f>
        <v>0.131500858972357</v>
      </c>
      <c r="BA700" s="17" t="n">
        <v>0.956</v>
      </c>
      <c r="BB700" s="11" t="s">
        <v>107</v>
      </c>
      <c r="BC700" s="11" t="s">
        <v>82</v>
      </c>
      <c r="BD700" s="11" t="s">
        <v>175</v>
      </c>
      <c r="BE700" s="12" t="n">
        <v>1199185</v>
      </c>
      <c r="BF700" s="13" t="n">
        <f aca="false">IFERROR(P700/BE700-1,"")</f>
        <v>0.0811459449542815</v>
      </c>
      <c r="BG700" s="17" t="n">
        <v>-0.013</v>
      </c>
      <c r="BH700" s="17" t="n">
        <v>-0.05</v>
      </c>
      <c r="BI700" s="14" t="n">
        <f aca="false">P700*(1+IFERROR(Q700,0))^4</f>
        <v>2198276.63124961</v>
      </c>
      <c r="BJ700" s="12" t="n">
        <v>-885236</v>
      </c>
      <c r="BK700" s="11" t="s">
        <v>102</v>
      </c>
      <c r="BL700" s="11" t="s">
        <v>128</v>
      </c>
      <c r="BM700" s="14" t="n">
        <f aca="false">O700</f>
        <v>46718348</v>
      </c>
      <c r="BN700" s="11" t="s">
        <v>679</v>
      </c>
      <c r="BO700" s="13" t="n">
        <f aca="false">IFERROR(1-L700/M700,"")</f>
        <v>0.13577415783647</v>
      </c>
      <c r="BP700" s="11" t="s">
        <v>87</v>
      </c>
      <c r="BQ700" s="12" t="n">
        <v>1929960</v>
      </c>
      <c r="BR700" s="11" t="s">
        <v>88</v>
      </c>
      <c r="BS700" s="11" t="s">
        <v>89</v>
      </c>
      <c r="BT700" s="19" t="str">
        <f aca="false">IF(OR(Z700&lt;6,AH700&lt;0.9,S700&lt;0.02,AK700&lt;1),"REVIEW",IF(AND(S700&gt;0.25,AH700&gt;1.2),"ACCELERATING","STABLE"))</f>
        <v>STABLE</v>
      </c>
    </row>
    <row r="701" customFormat="false" ht="15" hidden="false" customHeight="false" outlineLevel="0" collapsed="false">
      <c r="A701" s="11" t="s">
        <v>677</v>
      </c>
      <c r="B701" s="11" t="s">
        <v>93</v>
      </c>
      <c r="C701" s="11" t="s">
        <v>74</v>
      </c>
      <c r="D701" s="11" t="s">
        <v>151</v>
      </c>
      <c r="E701" s="11" t="s">
        <v>105</v>
      </c>
      <c r="F701" s="11" t="s">
        <v>678</v>
      </c>
      <c r="G701" s="11" t="s">
        <v>78</v>
      </c>
      <c r="H701" s="11" t="s">
        <v>644</v>
      </c>
      <c r="I701" s="11" t="s">
        <v>78</v>
      </c>
      <c r="J701" s="12" t="n">
        <v>3434000</v>
      </c>
      <c r="K701" s="13" t="n">
        <f aca="false">IFERROR(J701/M701,"")</f>
        <v>0.13577415783647</v>
      </c>
      <c r="L701" s="12" t="n">
        <v>21858000</v>
      </c>
      <c r="M701" s="14" t="n">
        <f aca="false">L701+J701</f>
        <v>25292000</v>
      </c>
      <c r="N701" s="12" t="n">
        <v>4609000</v>
      </c>
      <c r="O701" s="12" t="n">
        <v>46718348</v>
      </c>
      <c r="P701" s="12" t="n">
        <v>1454220</v>
      </c>
      <c r="Q701" s="13" t="n">
        <f aca="false">IFERROR(P701/P700-1,"")</f>
        <v>0.12165578861144</v>
      </c>
      <c r="R701" s="12" t="n">
        <v>1548897</v>
      </c>
      <c r="S701" s="13" t="n">
        <f aca="false">IFERROR(R701/R700-1,"")</f>
        <v>0.0409869669711649</v>
      </c>
      <c r="T701" s="12" t="n">
        <v>1069081</v>
      </c>
      <c r="U701" s="13" t="n">
        <f aca="false">IFERROR(T701/P701,"")</f>
        <v>0.735157679030683</v>
      </c>
      <c r="V701" s="14" t="n">
        <f aca="false">T701-AV701</f>
        <v>-1267150</v>
      </c>
      <c r="W701" s="14" t="n">
        <f aca="false">V701-AA701*0.1</f>
        <v>-1267150</v>
      </c>
      <c r="X701" s="12" t="n">
        <v>2544000</v>
      </c>
      <c r="Y701" s="12" t="n">
        <v>106000</v>
      </c>
      <c r="Z701" s="15" t="n">
        <f aca="false">IFERROR(X701/Y701,"")</f>
        <v>24</v>
      </c>
      <c r="AA701" s="12" t="n">
        <v>0</v>
      </c>
      <c r="AB701" s="14" t="n">
        <f aca="false">W701-0.02*P701</f>
        <v>-1296234.4</v>
      </c>
      <c r="AC701" s="16" t="n">
        <v>24</v>
      </c>
      <c r="AD701" s="13" t="n">
        <f aca="false">IFERROR(AC701/AC700-1,"")</f>
        <v>0.0909090909090908</v>
      </c>
      <c r="AE701" s="17" t="n">
        <v>0.042</v>
      </c>
      <c r="AF701" s="17" t="n">
        <v>0.044</v>
      </c>
      <c r="AG701" s="13" t="n">
        <f aca="false">1-AF701</f>
        <v>0.956</v>
      </c>
      <c r="AH701" s="17" t="n">
        <v>1.16</v>
      </c>
      <c r="AI701" s="12" t="n">
        <v>36900</v>
      </c>
      <c r="AJ701" s="14" t="n">
        <f aca="false">IFERROR(AM701*U701*MIN(1/AE701,5),"")</f>
        <v>128579.078062466</v>
      </c>
      <c r="AK701" s="18" t="n">
        <f aca="false">IFERROR(AJ701/AI701,"")</f>
        <v>3.48452786077145</v>
      </c>
      <c r="AL701" s="15" t="n">
        <f aca="false">IFERROR(AI701/(AM701*U701/12),"")</f>
        <v>17.2189755391184</v>
      </c>
      <c r="AM701" s="12" t="n">
        <v>34980</v>
      </c>
      <c r="AN701" s="12" t="n">
        <v>2037011</v>
      </c>
      <c r="AO701" s="12" t="n">
        <v>3255587</v>
      </c>
      <c r="AP701" s="17" t="n">
        <v>0.217</v>
      </c>
      <c r="AQ701" s="16" t="n">
        <v>45</v>
      </c>
      <c r="AR701" s="16" t="n">
        <v>2</v>
      </c>
      <c r="AS701" s="13" t="n">
        <f aca="false">IFERROR(AR701/AR700-1,"")</f>
        <v>0</v>
      </c>
      <c r="AT701" s="11" t="s">
        <v>218</v>
      </c>
      <c r="AU701" s="14" t="n">
        <f aca="false">IFERROR(P701/AR701,"")</f>
        <v>727110</v>
      </c>
      <c r="AV701" s="12" t="n">
        <v>2336231</v>
      </c>
      <c r="AW701" s="12" t="n">
        <v>951858</v>
      </c>
      <c r="AX701" s="12" t="n">
        <v>481358</v>
      </c>
      <c r="AY701" s="16" t="n">
        <v>7808</v>
      </c>
      <c r="AZ701" s="13" t="n">
        <f aca="false">IFERROR(AY701/AY700-1,"")</f>
        <v>0.0777087646652863</v>
      </c>
      <c r="BA701" s="17" t="n">
        <v>0.97</v>
      </c>
      <c r="BB701" s="11" t="s">
        <v>107</v>
      </c>
      <c r="BC701" s="11" t="s">
        <v>82</v>
      </c>
      <c r="BD701" s="11" t="s">
        <v>175</v>
      </c>
      <c r="BE701" s="12" t="n">
        <v>1359765</v>
      </c>
      <c r="BF701" s="13" t="n">
        <f aca="false">IFERROR(P701/BE701-1,"")</f>
        <v>0.069464208889036</v>
      </c>
      <c r="BG701" s="17" t="n">
        <v>-0.006</v>
      </c>
      <c r="BH701" s="17" t="n">
        <v>-0.045</v>
      </c>
      <c r="BI701" s="14" t="n">
        <f aca="false">P701*(1+IFERROR(Q701,0))^4</f>
        <v>2301804.95787367</v>
      </c>
      <c r="BJ701" s="12" t="n">
        <v>-1080356</v>
      </c>
      <c r="BK701" s="11" t="s">
        <v>102</v>
      </c>
      <c r="BL701" s="11" t="s">
        <v>128</v>
      </c>
      <c r="BM701" s="14" t="n">
        <f aca="false">O701</f>
        <v>46718348</v>
      </c>
      <c r="BN701" s="11" t="s">
        <v>679</v>
      </c>
      <c r="BO701" s="13" t="n">
        <f aca="false">IFERROR(1-L701/M701,"")</f>
        <v>0.13577415783647</v>
      </c>
      <c r="BP701" s="11" t="s">
        <v>87</v>
      </c>
      <c r="BQ701" s="12" t="n">
        <v>1673531</v>
      </c>
      <c r="BR701" s="11" t="s">
        <v>88</v>
      </c>
      <c r="BS701" s="11" t="s">
        <v>89</v>
      </c>
      <c r="BT701" s="19" t="str">
        <f aca="false">IF(OR(Z701&lt;6,AH701&lt;0.9,S701&lt;0.02,AK701&lt;1),"REVIEW",IF(AND(S701&gt;0.25,AH701&gt;1.2),"ACCELERATING","STABLE"))</f>
        <v>STABLE</v>
      </c>
    </row>
    <row r="702" customFormat="false" ht="15" hidden="false" customHeight="false" outlineLevel="0" collapsed="false">
      <c r="A702" s="3" t="s">
        <v>680</v>
      </c>
      <c r="B702" s="3" t="s">
        <v>73</v>
      </c>
      <c r="C702" s="3" t="s">
        <v>74</v>
      </c>
      <c r="D702" s="3" t="s">
        <v>210</v>
      </c>
      <c r="E702" s="3" t="s">
        <v>105</v>
      </c>
      <c r="F702" s="3" t="s">
        <v>681</v>
      </c>
      <c r="G702" s="3" t="s">
        <v>78</v>
      </c>
      <c r="H702" s="3" t="s">
        <v>644</v>
      </c>
      <c r="I702" s="3" t="s">
        <v>78</v>
      </c>
      <c r="J702" s="4" t="n">
        <v>2551000</v>
      </c>
      <c r="K702" s="5" t="n">
        <f aca="false">IFERROR(J702/M702,"")</f>
        <v>0.101588945083828</v>
      </c>
      <c r="L702" s="4" t="n">
        <v>22560000</v>
      </c>
      <c r="M702" s="6" t="n">
        <f aca="false">L702+J702</f>
        <v>25111000</v>
      </c>
      <c r="N702" s="4" t="n">
        <v>2551000</v>
      </c>
      <c r="O702" s="4" t="n">
        <v>24175544</v>
      </c>
      <c r="P702" s="4" t="n">
        <v>134354</v>
      </c>
      <c r="Q702" s="7"/>
      <c r="R702" s="4" t="n">
        <v>145942</v>
      </c>
      <c r="S702" s="7"/>
      <c r="T702" s="4" t="n">
        <v>100232</v>
      </c>
      <c r="U702" s="5" t="n">
        <f aca="false">IFERROR(T702/P702,"")</f>
        <v>0.746029146880629</v>
      </c>
      <c r="V702" s="6" t="n">
        <f aca="false">T702-AV702</f>
        <v>-2204892</v>
      </c>
      <c r="W702" s="6" t="n">
        <f aca="false">V702-AA702*0.1</f>
        <v>-2337292</v>
      </c>
      <c r="X702" s="4" t="n">
        <v>4940765</v>
      </c>
      <c r="Y702" s="4" t="n">
        <v>195650</v>
      </c>
      <c r="Z702" s="8" t="n">
        <f aca="false">IFERROR(X702/Y702,"")</f>
        <v>25.2530794786609</v>
      </c>
      <c r="AA702" s="4" t="n">
        <v>1324000</v>
      </c>
      <c r="AB702" s="6" t="n">
        <f aca="false">W702-0.02*P702</f>
        <v>-2339979.08</v>
      </c>
      <c r="AC702" s="9" t="n">
        <v>25</v>
      </c>
      <c r="AD702" s="7"/>
      <c r="AE702" s="7" t="n">
        <v>0.112</v>
      </c>
      <c r="AF702" s="7" t="n">
        <v>0.105</v>
      </c>
      <c r="AG702" s="5" t="n">
        <f aca="false">1-AF702</f>
        <v>0.895</v>
      </c>
      <c r="AH702" s="7" t="n">
        <v>1.081</v>
      </c>
      <c r="AI702" s="4" t="n">
        <v>15582</v>
      </c>
      <c r="AJ702" s="6" t="n">
        <f aca="false">IFERROR(AM702*U702*MIN(1/AE702,5),"")</f>
        <v>44761.7488128377</v>
      </c>
      <c r="AK702" s="10" t="n">
        <f aca="false">IFERROR(AJ702/AI702,"")</f>
        <v>2.87265747739942</v>
      </c>
      <c r="AL702" s="8" t="n">
        <f aca="false">IFERROR(AI702/(AM702*U702/12),"")</f>
        <v>20.8865834064969</v>
      </c>
      <c r="AM702" s="4" t="n">
        <v>12000</v>
      </c>
      <c r="AN702" s="4" t="n">
        <v>208430</v>
      </c>
      <c r="AO702" s="4" t="n">
        <v>261151</v>
      </c>
      <c r="AP702" s="7" t="n">
        <v>0.396</v>
      </c>
      <c r="AQ702" s="9" t="n">
        <v>68</v>
      </c>
      <c r="AR702" s="9" t="n">
        <v>3</v>
      </c>
      <c r="AS702" s="7"/>
      <c r="AT702" s="3" t="s">
        <v>134</v>
      </c>
      <c r="AU702" s="6" t="n">
        <f aca="false">IFERROR(P702/AR702,"")</f>
        <v>44784.6666666667</v>
      </c>
      <c r="AV702" s="4" t="n">
        <v>2305124</v>
      </c>
      <c r="AW702" s="4" t="n">
        <v>806859</v>
      </c>
      <c r="AX702" s="4" t="n">
        <v>469115</v>
      </c>
      <c r="AY702" s="9" t="n">
        <v>7231</v>
      </c>
      <c r="AZ702" s="7"/>
      <c r="BA702" s="7" t="n">
        <v>0.913</v>
      </c>
      <c r="BB702" s="3" t="s">
        <v>161</v>
      </c>
      <c r="BC702" s="3" t="s">
        <v>126</v>
      </c>
      <c r="BD702" s="3" t="s">
        <v>157</v>
      </c>
      <c r="BE702" s="4" t="n">
        <v>142947</v>
      </c>
      <c r="BF702" s="5" t="n">
        <f aca="false">IFERROR(P702/BE702-1,"")</f>
        <v>-0.0601131888042421</v>
      </c>
      <c r="BG702" s="7" t="n">
        <v>-0.025</v>
      </c>
      <c r="BH702" s="7" t="n">
        <v>-0.001</v>
      </c>
      <c r="BI702" s="6" t="n">
        <f aca="false">P702</f>
        <v>134354</v>
      </c>
      <c r="BJ702" s="4" t="n">
        <v>-2131191</v>
      </c>
      <c r="BK702" s="3" t="s">
        <v>127</v>
      </c>
      <c r="BL702" s="3" t="s">
        <v>162</v>
      </c>
      <c r="BM702" s="6" t="n">
        <f aca="false">O702</f>
        <v>24175544</v>
      </c>
      <c r="BN702" s="3" t="s">
        <v>682</v>
      </c>
      <c r="BO702" s="5" t="n">
        <f aca="false">IFERROR(1-L702/M702,"")</f>
        <v>0.101588945083828</v>
      </c>
      <c r="BP702" s="3" t="s">
        <v>198</v>
      </c>
      <c r="BQ702" s="4" t="n">
        <v>2546597</v>
      </c>
      <c r="BR702" s="3" t="s">
        <v>88</v>
      </c>
      <c r="BS702" s="3" t="s">
        <v>89</v>
      </c>
      <c r="BT702" s="3" t="s">
        <v>90</v>
      </c>
    </row>
    <row r="703" customFormat="false" ht="15" hidden="false" customHeight="false" outlineLevel="0" collapsed="false">
      <c r="A703" s="11" t="s">
        <v>680</v>
      </c>
      <c r="B703" s="11" t="s">
        <v>91</v>
      </c>
      <c r="C703" s="11" t="s">
        <v>74</v>
      </c>
      <c r="D703" s="11" t="s">
        <v>210</v>
      </c>
      <c r="E703" s="11" t="s">
        <v>105</v>
      </c>
      <c r="F703" s="11" t="s">
        <v>681</v>
      </c>
      <c r="G703" s="11" t="s">
        <v>78</v>
      </c>
      <c r="H703" s="11" t="s">
        <v>644</v>
      </c>
      <c r="I703" s="11" t="s">
        <v>78</v>
      </c>
      <c r="J703" s="12" t="n">
        <v>2551000</v>
      </c>
      <c r="K703" s="13" t="n">
        <f aca="false">IFERROR(J703/M703,"")</f>
        <v>0.101588945083828</v>
      </c>
      <c r="L703" s="12" t="n">
        <v>22560000</v>
      </c>
      <c r="M703" s="14" t="n">
        <f aca="false">L703+J703</f>
        <v>25111000</v>
      </c>
      <c r="N703" s="12" t="n">
        <v>2551000</v>
      </c>
      <c r="O703" s="12" t="n">
        <v>24175544</v>
      </c>
      <c r="P703" s="12" t="n">
        <v>153567</v>
      </c>
      <c r="Q703" s="13" t="n">
        <f aca="false">IFERROR(P703/P702-1,"")</f>
        <v>0.143002813462941</v>
      </c>
      <c r="R703" s="12" t="n">
        <v>168683</v>
      </c>
      <c r="S703" s="13" t="n">
        <f aca="false">IFERROR(R703/R702-1,"")</f>
        <v>0.155822175932905</v>
      </c>
      <c r="T703" s="12" t="n">
        <v>115030</v>
      </c>
      <c r="U703" s="13" t="n">
        <f aca="false">IFERROR(T703/P703,"")</f>
        <v>0.74905415877109</v>
      </c>
      <c r="V703" s="14" t="n">
        <f aca="false">T703-AV703</f>
        <v>-1934990</v>
      </c>
      <c r="W703" s="14" t="n">
        <f aca="false">V703-AA703*0.1</f>
        <v>-2067390</v>
      </c>
      <c r="X703" s="12" t="n">
        <v>4447340</v>
      </c>
      <c r="Y703" s="12" t="n">
        <v>202100</v>
      </c>
      <c r="Z703" s="15" t="n">
        <f aca="false">IFERROR(X703/Y703,"")</f>
        <v>22.0056407718951</v>
      </c>
      <c r="AA703" s="12" t="n">
        <v>1324000</v>
      </c>
      <c r="AB703" s="14" t="n">
        <f aca="false">W703-0.02*P703</f>
        <v>-2070461.34</v>
      </c>
      <c r="AC703" s="16" t="n">
        <v>28</v>
      </c>
      <c r="AD703" s="13" t="n">
        <f aca="false">IFERROR(AC703/AC702-1,"")</f>
        <v>0.12</v>
      </c>
      <c r="AE703" s="17" t="n">
        <v>0.109</v>
      </c>
      <c r="AF703" s="17" t="n">
        <v>0.082</v>
      </c>
      <c r="AG703" s="13" t="n">
        <f aca="false">1-AF703</f>
        <v>0.918</v>
      </c>
      <c r="AH703" s="17" t="n">
        <v>1.076</v>
      </c>
      <c r="AI703" s="12" t="n">
        <v>15288</v>
      </c>
      <c r="AJ703" s="14" t="n">
        <f aca="false">IFERROR(AM703*U703*MIN(1/AE703,5),"")</f>
        <v>45842.1145167907</v>
      </c>
      <c r="AK703" s="18" t="n">
        <f aca="false">IFERROR(AJ703/AI703,"")</f>
        <v>2.99856845347925</v>
      </c>
      <c r="AL703" s="15" t="n">
        <f aca="false">IFERROR(AI703/(AM703*U703/12),"")</f>
        <v>20.0095481997024</v>
      </c>
      <c r="AM703" s="12" t="n">
        <v>12240</v>
      </c>
      <c r="AN703" s="12" t="n">
        <v>237992</v>
      </c>
      <c r="AO703" s="12" t="n">
        <v>254391</v>
      </c>
      <c r="AP703" s="17" t="n">
        <v>0.396</v>
      </c>
      <c r="AQ703" s="16" t="n">
        <v>68</v>
      </c>
      <c r="AR703" s="16" t="n">
        <v>3</v>
      </c>
      <c r="AS703" s="13" t="n">
        <f aca="false">IFERROR(AR703/AR702-1,"")</f>
        <v>0</v>
      </c>
      <c r="AT703" s="11" t="s">
        <v>134</v>
      </c>
      <c r="AU703" s="14" t="n">
        <f aca="false">IFERROR(P703/AR703,"")</f>
        <v>51189</v>
      </c>
      <c r="AV703" s="12" t="n">
        <v>2050020</v>
      </c>
      <c r="AW703" s="12" t="n">
        <v>949683</v>
      </c>
      <c r="AX703" s="12" t="n">
        <v>600111</v>
      </c>
      <c r="AY703" s="16" t="n">
        <v>8093</v>
      </c>
      <c r="AZ703" s="13" t="n">
        <f aca="false">IFERROR(AY703/AY702-1,"")</f>
        <v>0.119208961416125</v>
      </c>
      <c r="BA703" s="17" t="n">
        <v>0.892</v>
      </c>
      <c r="BB703" s="11" t="s">
        <v>161</v>
      </c>
      <c r="BC703" s="11" t="s">
        <v>126</v>
      </c>
      <c r="BD703" s="11" t="s">
        <v>157</v>
      </c>
      <c r="BE703" s="12" t="n">
        <v>158007</v>
      </c>
      <c r="BF703" s="13" t="n">
        <f aca="false">IFERROR(P703/BE703-1,"")</f>
        <v>-0.0281000208851506</v>
      </c>
      <c r="BG703" s="17" t="n">
        <v>0.075</v>
      </c>
      <c r="BH703" s="17" t="n">
        <v>0.048</v>
      </c>
      <c r="BI703" s="14" t="n">
        <f aca="false">P703*(1+IFERROR(Q703,0))^4</f>
        <v>262112.11681713</v>
      </c>
      <c r="BJ703" s="12" t="n">
        <v>-1662465</v>
      </c>
      <c r="BK703" s="11" t="s">
        <v>127</v>
      </c>
      <c r="BL703" s="11" t="s">
        <v>162</v>
      </c>
      <c r="BM703" s="14" t="n">
        <f aca="false">O703</f>
        <v>24175544</v>
      </c>
      <c r="BN703" s="11" t="s">
        <v>682</v>
      </c>
      <c r="BO703" s="13" t="n">
        <f aca="false">IFERROR(1-L703/M703,"")</f>
        <v>0.101588945083828</v>
      </c>
      <c r="BP703" s="11" t="s">
        <v>198</v>
      </c>
      <c r="BQ703" s="12" t="n">
        <v>2727908</v>
      </c>
      <c r="BR703" s="11" t="s">
        <v>88</v>
      </c>
      <c r="BS703" s="11" t="s">
        <v>89</v>
      </c>
      <c r="BT703" s="19" t="str">
        <f aca="false">IF(OR(Z703&lt;6,AH703&lt;0.9,S703&lt;0.02,AK703&lt;1),"REVIEW",IF(AND(S703&gt;0.25,AH703&gt;1.2),"ACCELERATING","STABLE"))</f>
        <v>STABLE</v>
      </c>
    </row>
    <row r="704" customFormat="false" ht="15" hidden="false" customHeight="false" outlineLevel="0" collapsed="false">
      <c r="A704" s="11" t="s">
        <v>680</v>
      </c>
      <c r="B704" s="11" t="s">
        <v>92</v>
      </c>
      <c r="C704" s="11" t="s">
        <v>74</v>
      </c>
      <c r="D704" s="11" t="s">
        <v>210</v>
      </c>
      <c r="E704" s="11" t="s">
        <v>105</v>
      </c>
      <c r="F704" s="11" t="s">
        <v>681</v>
      </c>
      <c r="G704" s="11" t="s">
        <v>78</v>
      </c>
      <c r="H704" s="11" t="s">
        <v>644</v>
      </c>
      <c r="I704" s="11" t="s">
        <v>78</v>
      </c>
      <c r="J704" s="12" t="n">
        <v>2551000</v>
      </c>
      <c r="K704" s="13" t="n">
        <f aca="false">IFERROR(J704/M704,"")</f>
        <v>0.101588945083828</v>
      </c>
      <c r="L704" s="12" t="n">
        <v>22560000</v>
      </c>
      <c r="M704" s="14" t="n">
        <f aca="false">L704+J704</f>
        <v>25111000</v>
      </c>
      <c r="N704" s="12" t="n">
        <v>2551000</v>
      </c>
      <c r="O704" s="12" t="n">
        <v>24175544</v>
      </c>
      <c r="P704" s="12" t="n">
        <v>185454</v>
      </c>
      <c r="Q704" s="13" t="n">
        <f aca="false">IFERROR(P704/P703-1,"")</f>
        <v>0.207642266893278</v>
      </c>
      <c r="R704" s="12" t="n">
        <v>215423</v>
      </c>
      <c r="S704" s="13" t="n">
        <f aca="false">IFERROR(R704/R703-1,"")</f>
        <v>0.27708779189367</v>
      </c>
      <c r="T704" s="12" t="n">
        <v>139475</v>
      </c>
      <c r="U704" s="13" t="n">
        <f aca="false">IFERROR(T704/P704,"")</f>
        <v>0.752073290411639</v>
      </c>
      <c r="V704" s="14" t="n">
        <f aca="false">T704-AV704</f>
        <v>-2543071</v>
      </c>
      <c r="W704" s="14" t="n">
        <f aca="false">V704-AA704*0.1</f>
        <v>-2675471</v>
      </c>
      <c r="X704" s="12" t="n">
        <v>3919085</v>
      </c>
      <c r="Y704" s="12" t="n">
        <v>208550</v>
      </c>
      <c r="Z704" s="15" t="n">
        <f aca="false">IFERROR(X704/Y704,"")</f>
        <v>18.7920642531767</v>
      </c>
      <c r="AA704" s="12" t="n">
        <v>1324000</v>
      </c>
      <c r="AB704" s="14" t="n">
        <f aca="false">W704-0.02*P704</f>
        <v>-2679180.08</v>
      </c>
      <c r="AC704" s="16" t="n">
        <v>33</v>
      </c>
      <c r="AD704" s="13" t="n">
        <f aca="false">IFERROR(AC704/AC703-1,"")</f>
        <v>0.178571428571429</v>
      </c>
      <c r="AE704" s="17" t="n">
        <v>0.106</v>
      </c>
      <c r="AF704" s="17" t="n">
        <v>0.065</v>
      </c>
      <c r="AG704" s="13" t="n">
        <f aca="false">1-AF704</f>
        <v>0.935</v>
      </c>
      <c r="AH704" s="17" t="n">
        <v>1.071</v>
      </c>
      <c r="AI704" s="12" t="n">
        <v>14994</v>
      </c>
      <c r="AJ704" s="14" t="n">
        <f aca="false">IFERROR(AM704*U704*MIN(1/AE704,5),"")</f>
        <v>46929.3733216862</v>
      </c>
      <c r="AK704" s="18" t="n">
        <f aca="false">IFERROR(AJ704/AI704,"")</f>
        <v>3.12987683884796</v>
      </c>
      <c r="AL704" s="15" t="n">
        <f aca="false">IFERROR(AI704/(AM704*U704/12),"")</f>
        <v>19.1700833896342</v>
      </c>
      <c r="AM704" s="12" t="n">
        <v>12480</v>
      </c>
      <c r="AN704" s="12" t="n">
        <v>291259</v>
      </c>
      <c r="AO704" s="12" t="n">
        <v>713558</v>
      </c>
      <c r="AP704" s="17" t="n">
        <v>0.396</v>
      </c>
      <c r="AQ704" s="16" t="n">
        <v>68</v>
      </c>
      <c r="AR704" s="16" t="n">
        <v>3</v>
      </c>
      <c r="AS704" s="13" t="n">
        <f aca="false">IFERROR(AR704/AR703-1,"")</f>
        <v>0</v>
      </c>
      <c r="AT704" s="11" t="s">
        <v>134</v>
      </c>
      <c r="AU704" s="14" t="n">
        <f aca="false">IFERROR(P704/AR704,"")</f>
        <v>61818</v>
      </c>
      <c r="AV704" s="12" t="n">
        <v>2682546</v>
      </c>
      <c r="AW704" s="12" t="n">
        <v>1247053</v>
      </c>
      <c r="AX704" s="12" t="n">
        <v>668583</v>
      </c>
      <c r="AY704" s="16" t="n">
        <v>9632</v>
      </c>
      <c r="AZ704" s="13" t="n">
        <f aca="false">IFERROR(AY704/AY703-1,"")</f>
        <v>0.1901643395527</v>
      </c>
      <c r="BA704" s="17" t="n">
        <v>0.89</v>
      </c>
      <c r="BB704" s="11" t="s">
        <v>161</v>
      </c>
      <c r="BC704" s="11" t="s">
        <v>126</v>
      </c>
      <c r="BD704" s="11" t="s">
        <v>157</v>
      </c>
      <c r="BE704" s="12" t="n">
        <v>172090</v>
      </c>
      <c r="BF704" s="13" t="n">
        <f aca="false">IFERROR(P704/BE704-1,"")</f>
        <v>0.0776570399209715</v>
      </c>
      <c r="BG704" s="17" t="n">
        <v>-0.007</v>
      </c>
      <c r="BH704" s="17" t="n">
        <v>-0.058</v>
      </c>
      <c r="BI704" s="14" t="n">
        <f aca="false">P704*(1+IFERROR(Q704,0))^4</f>
        <v>394447.696114604</v>
      </c>
      <c r="BJ704" s="12" t="n">
        <v>-1426884</v>
      </c>
      <c r="BK704" s="11" t="s">
        <v>127</v>
      </c>
      <c r="BL704" s="11" t="s">
        <v>162</v>
      </c>
      <c r="BM704" s="14" t="n">
        <f aca="false">O704</f>
        <v>24175544</v>
      </c>
      <c r="BN704" s="11" t="s">
        <v>682</v>
      </c>
      <c r="BO704" s="13" t="n">
        <f aca="false">IFERROR(1-L704/M704,"")</f>
        <v>0.101588945083828</v>
      </c>
      <c r="BP704" s="11" t="s">
        <v>198</v>
      </c>
      <c r="BQ704" s="12" t="n">
        <v>2712156</v>
      </c>
      <c r="BR704" s="11" t="s">
        <v>88</v>
      </c>
      <c r="BS704" s="11" t="s">
        <v>89</v>
      </c>
      <c r="BT704" s="19" t="str">
        <f aca="false">IF(OR(Z704&lt;6,AH704&lt;0.9,S704&lt;0.02,AK704&lt;1),"REVIEW",IF(AND(S704&gt;0.25,AH704&gt;1.2),"ACCELERATING","STABLE"))</f>
        <v>STABLE</v>
      </c>
    </row>
    <row r="705" customFormat="false" ht="15" hidden="false" customHeight="false" outlineLevel="0" collapsed="false">
      <c r="A705" s="11" t="s">
        <v>680</v>
      </c>
      <c r="B705" s="11" t="s">
        <v>93</v>
      </c>
      <c r="C705" s="11" t="s">
        <v>74</v>
      </c>
      <c r="D705" s="11" t="s">
        <v>210</v>
      </c>
      <c r="E705" s="11" t="s">
        <v>105</v>
      </c>
      <c r="F705" s="11" t="s">
        <v>681</v>
      </c>
      <c r="G705" s="11" t="s">
        <v>78</v>
      </c>
      <c r="H705" s="11" t="s">
        <v>644</v>
      </c>
      <c r="I705" s="11" t="s">
        <v>78</v>
      </c>
      <c r="J705" s="12" t="n">
        <v>2551000</v>
      </c>
      <c r="K705" s="13" t="n">
        <f aca="false">IFERROR(J705/M705,"")</f>
        <v>0.101588945083828</v>
      </c>
      <c r="L705" s="12" t="n">
        <v>22560000</v>
      </c>
      <c r="M705" s="14" t="n">
        <f aca="false">L705+J705</f>
        <v>25111000</v>
      </c>
      <c r="N705" s="12" t="n">
        <v>2551000</v>
      </c>
      <c r="O705" s="12" t="n">
        <v>24175544</v>
      </c>
      <c r="P705" s="12" t="n">
        <v>210259</v>
      </c>
      <c r="Q705" s="13" t="n">
        <f aca="false">IFERROR(P705/P704-1,"")</f>
        <v>0.133752844371111</v>
      </c>
      <c r="R705" s="12" t="n">
        <v>237960</v>
      </c>
      <c r="S705" s="13" t="n">
        <f aca="false">IFERROR(R705/R704-1,"")</f>
        <v>0.104617427108526</v>
      </c>
      <c r="T705" s="12" t="n">
        <v>158765</v>
      </c>
      <c r="U705" s="13" t="n">
        <f aca="false">IFERROR(T705/P705,"")</f>
        <v>0.755092528738366</v>
      </c>
      <c r="V705" s="14" t="n">
        <f aca="false">T705-AV705</f>
        <v>-2030920</v>
      </c>
      <c r="W705" s="14" t="n">
        <f aca="false">V705-AA705*0.1</f>
        <v>-2163320</v>
      </c>
      <c r="X705" s="12" t="n">
        <v>3356000</v>
      </c>
      <c r="Y705" s="12" t="n">
        <v>215000</v>
      </c>
      <c r="Z705" s="15" t="n">
        <f aca="false">IFERROR(X705/Y705,"")</f>
        <v>15.6093023255814</v>
      </c>
      <c r="AA705" s="12" t="n">
        <v>1324000</v>
      </c>
      <c r="AB705" s="14" t="n">
        <f aca="false">W705-0.02*P705</f>
        <v>-2167525.18</v>
      </c>
      <c r="AC705" s="16" t="n">
        <v>37</v>
      </c>
      <c r="AD705" s="13" t="n">
        <f aca="false">IFERROR(AC705/AC704-1,"")</f>
        <v>0.121212121212121</v>
      </c>
      <c r="AE705" s="17" t="n">
        <v>0.103</v>
      </c>
      <c r="AF705" s="17" t="n">
        <v>0.082</v>
      </c>
      <c r="AG705" s="13" t="n">
        <f aca="false">1-AF705</f>
        <v>0.918</v>
      </c>
      <c r="AH705" s="17" t="n">
        <v>1.066</v>
      </c>
      <c r="AI705" s="12" t="n">
        <v>14700</v>
      </c>
      <c r="AJ705" s="14" t="n">
        <f aca="false">IFERROR(AM705*U705*MIN(1/AE705,5),"")</f>
        <v>48023.8848277601</v>
      </c>
      <c r="AK705" s="18" t="n">
        <f aca="false">IFERROR(AJ705/AI705,"")</f>
        <v>3.26693094066395</v>
      </c>
      <c r="AL705" s="15" t="n">
        <f aca="false">IFERROR(AI705/(AM705*U705/12),"")</f>
        <v>18.3658611368767</v>
      </c>
      <c r="AM705" s="12" t="n">
        <v>12720</v>
      </c>
      <c r="AN705" s="12" t="n">
        <v>264856</v>
      </c>
      <c r="AO705" s="12" t="n">
        <v>844532</v>
      </c>
      <c r="AP705" s="17" t="n">
        <v>0.396</v>
      </c>
      <c r="AQ705" s="16" t="n">
        <v>68</v>
      </c>
      <c r="AR705" s="16" t="n">
        <v>3</v>
      </c>
      <c r="AS705" s="13" t="n">
        <f aca="false">IFERROR(AR705/AR704-1,"")</f>
        <v>0</v>
      </c>
      <c r="AT705" s="11" t="s">
        <v>134</v>
      </c>
      <c r="AU705" s="14" t="n">
        <f aca="false">IFERROR(P705/AR705,"")</f>
        <v>70086.3333333333</v>
      </c>
      <c r="AV705" s="12" t="n">
        <v>2189685</v>
      </c>
      <c r="AW705" s="12" t="n">
        <v>695083</v>
      </c>
      <c r="AX705" s="12" t="n">
        <v>507563</v>
      </c>
      <c r="AY705" s="16" t="n">
        <v>11375</v>
      </c>
      <c r="AZ705" s="13" t="n">
        <f aca="false">IFERROR(AY705/AY704-1,"")</f>
        <v>0.180959302325581</v>
      </c>
      <c r="BA705" s="17" t="n">
        <v>0.912</v>
      </c>
      <c r="BB705" s="11" t="s">
        <v>161</v>
      </c>
      <c r="BC705" s="11" t="s">
        <v>126</v>
      </c>
      <c r="BD705" s="11" t="s">
        <v>157</v>
      </c>
      <c r="BE705" s="12" t="n">
        <v>253620</v>
      </c>
      <c r="BF705" s="13" t="n">
        <f aca="false">IFERROR(P705/BE705-1,"")</f>
        <v>-0.170968377888179</v>
      </c>
      <c r="BG705" s="17" t="n">
        <v>0.034</v>
      </c>
      <c r="BH705" s="17" t="n">
        <v>-0.001</v>
      </c>
      <c r="BI705" s="14" t="n">
        <f aca="false">P705*(1+IFERROR(Q705,0))^4</f>
        <v>347398.671321453</v>
      </c>
      <c r="BJ705" s="12" t="n">
        <v>-1775795</v>
      </c>
      <c r="BK705" s="11" t="s">
        <v>127</v>
      </c>
      <c r="BL705" s="11" t="s">
        <v>162</v>
      </c>
      <c r="BM705" s="14" t="n">
        <f aca="false">O705</f>
        <v>24175544</v>
      </c>
      <c r="BN705" s="11" t="s">
        <v>682</v>
      </c>
      <c r="BO705" s="13" t="n">
        <f aca="false">IFERROR(1-L705/M705,"")</f>
        <v>0.101588945083828</v>
      </c>
      <c r="BP705" s="11" t="s">
        <v>198</v>
      </c>
      <c r="BQ705" s="12" t="n">
        <v>3148314</v>
      </c>
      <c r="BR705" s="11" t="s">
        <v>88</v>
      </c>
      <c r="BS705" s="11" t="s">
        <v>89</v>
      </c>
      <c r="BT705" s="19" t="str">
        <f aca="false">IF(OR(Z705&lt;6,AH705&lt;0.9,S705&lt;0.02,AK705&lt;1),"REVIEW",IF(AND(S705&gt;0.25,AH705&gt;1.2),"ACCELERATING","STABLE"))</f>
        <v>STABLE</v>
      </c>
    </row>
    <row r="706" customFormat="false" ht="15" hidden="false" customHeight="false" outlineLevel="0" collapsed="false">
      <c r="A706" s="3" t="s">
        <v>683</v>
      </c>
      <c r="B706" s="3" t="s">
        <v>73</v>
      </c>
      <c r="C706" s="3" t="s">
        <v>74</v>
      </c>
      <c r="D706" s="3" t="s">
        <v>210</v>
      </c>
      <c r="E706" s="3" t="s">
        <v>105</v>
      </c>
      <c r="F706" s="3" t="s">
        <v>684</v>
      </c>
      <c r="G706" s="3" t="s">
        <v>78</v>
      </c>
      <c r="H706" s="3" t="s">
        <v>644</v>
      </c>
      <c r="I706" s="3" t="s">
        <v>78</v>
      </c>
      <c r="J706" s="4" t="n">
        <v>2554000</v>
      </c>
      <c r="K706" s="5" t="n">
        <f aca="false">IFERROR(J706/M706,"")</f>
        <v>0.112993850373844</v>
      </c>
      <c r="L706" s="4" t="n">
        <v>20049000</v>
      </c>
      <c r="M706" s="6" t="n">
        <f aca="false">L706+J706</f>
        <v>22603000</v>
      </c>
      <c r="N706" s="4" t="n">
        <v>2661000</v>
      </c>
      <c r="O706" s="4" t="n">
        <v>24668520</v>
      </c>
      <c r="P706" s="4" t="n">
        <v>506711</v>
      </c>
      <c r="Q706" s="7"/>
      <c r="R706" s="4" t="n">
        <v>537193</v>
      </c>
      <c r="S706" s="7"/>
      <c r="T706" s="4" t="n">
        <v>321316</v>
      </c>
      <c r="U706" s="5" t="n">
        <f aca="false">IFERROR(T706/P706,"")</f>
        <v>0.63412083021683</v>
      </c>
      <c r="V706" s="6" t="n">
        <f aca="false">T706-AV706</f>
        <v>-1668108</v>
      </c>
      <c r="W706" s="6" t="n">
        <f aca="false">V706-AA706*0.1</f>
        <v>-1743208</v>
      </c>
      <c r="X706" s="4" t="n">
        <v>4370876</v>
      </c>
      <c r="Y706" s="4" t="n">
        <v>141960</v>
      </c>
      <c r="Z706" s="8" t="n">
        <f aca="false">IFERROR(X706/Y706,"")</f>
        <v>30.7894899971823</v>
      </c>
      <c r="AA706" s="4" t="n">
        <v>751000</v>
      </c>
      <c r="AB706" s="6" t="n">
        <f aca="false">W706-0.02*P706</f>
        <v>-1753342.22</v>
      </c>
      <c r="AC706" s="9" t="n">
        <v>48</v>
      </c>
      <c r="AD706" s="7"/>
      <c r="AE706" s="7" t="n">
        <v>0.045</v>
      </c>
      <c r="AF706" s="7" t="n">
        <v>0.047</v>
      </c>
      <c r="AG706" s="5" t="n">
        <f aca="false">1-AF706</f>
        <v>0.953</v>
      </c>
      <c r="AH706" s="7" t="n">
        <v>1.077</v>
      </c>
      <c r="AI706" s="4" t="n">
        <v>14946</v>
      </c>
      <c r="AJ706" s="6" t="n">
        <f aca="false">IFERROR(AM706*U706*MIN(1/AE706,5),"")</f>
        <v>50729.6664173464</v>
      </c>
      <c r="AK706" s="10" t="n">
        <f aca="false">IFERROR(AJ706/AI706,"")</f>
        <v>3.39419686988802</v>
      </c>
      <c r="AL706" s="8" t="n">
        <f aca="false">IFERROR(AI706/(AM706*U706/12),"")</f>
        <v>17.6772303729039</v>
      </c>
      <c r="AM706" s="4" t="n">
        <v>16000</v>
      </c>
      <c r="AN706" s="4" t="n">
        <v>687154</v>
      </c>
      <c r="AO706" s="4" t="n">
        <v>1044730</v>
      </c>
      <c r="AP706" s="7" t="n">
        <v>0.3</v>
      </c>
      <c r="AQ706" s="9" t="n">
        <v>25</v>
      </c>
      <c r="AR706" s="9" t="n">
        <v>5</v>
      </c>
      <c r="AS706" s="7"/>
      <c r="AT706" s="3" t="s">
        <v>153</v>
      </c>
      <c r="AU706" s="6" t="n">
        <f aca="false">IFERROR(P706/AR706,"")</f>
        <v>101342.2</v>
      </c>
      <c r="AV706" s="4" t="n">
        <v>1989424</v>
      </c>
      <c r="AW706" s="4" t="n">
        <v>878804</v>
      </c>
      <c r="AX706" s="4" t="n">
        <v>672732</v>
      </c>
      <c r="AY706" s="9" t="n">
        <v>6297</v>
      </c>
      <c r="AZ706" s="7"/>
      <c r="BA706" s="7" t="n">
        <v>0.959</v>
      </c>
      <c r="BB706" s="3" t="s">
        <v>107</v>
      </c>
      <c r="BC706" s="3" t="s">
        <v>108</v>
      </c>
      <c r="BD706" s="3" t="s">
        <v>175</v>
      </c>
      <c r="BE706" s="4" t="n">
        <v>525824</v>
      </c>
      <c r="BF706" s="5" t="n">
        <f aca="false">IFERROR(P706/BE706-1,"")</f>
        <v>-0.0363486641918208</v>
      </c>
      <c r="BG706" s="7" t="n">
        <v>0.041</v>
      </c>
      <c r="BH706" s="7" t="n">
        <v>0.078</v>
      </c>
      <c r="BI706" s="6" t="n">
        <f aca="false">P706</f>
        <v>506711</v>
      </c>
      <c r="BJ706" s="4" t="n">
        <v>-1213568</v>
      </c>
      <c r="BK706" s="3" t="s">
        <v>127</v>
      </c>
      <c r="BL706" s="3" t="s">
        <v>111</v>
      </c>
      <c r="BM706" s="6" t="n">
        <f aca="false">O706</f>
        <v>24668520</v>
      </c>
      <c r="BN706" s="3" t="s">
        <v>685</v>
      </c>
      <c r="BO706" s="5" t="n">
        <f aca="false">IFERROR(1-L706/M706,"")</f>
        <v>0.112993850373844</v>
      </c>
      <c r="BP706" s="3" t="s">
        <v>113</v>
      </c>
      <c r="BQ706" s="4" t="n">
        <v>2211636</v>
      </c>
      <c r="BR706" s="3" t="s">
        <v>88</v>
      </c>
      <c r="BS706" s="3" t="s">
        <v>89</v>
      </c>
      <c r="BT706" s="3" t="s">
        <v>90</v>
      </c>
    </row>
    <row r="707" customFormat="false" ht="15" hidden="false" customHeight="false" outlineLevel="0" collapsed="false">
      <c r="A707" s="11" t="s">
        <v>683</v>
      </c>
      <c r="B707" s="11" t="s">
        <v>91</v>
      </c>
      <c r="C707" s="11" t="s">
        <v>74</v>
      </c>
      <c r="D707" s="11" t="s">
        <v>210</v>
      </c>
      <c r="E707" s="11" t="s">
        <v>105</v>
      </c>
      <c r="F707" s="11" t="s">
        <v>684</v>
      </c>
      <c r="G707" s="11" t="s">
        <v>78</v>
      </c>
      <c r="H707" s="11" t="s">
        <v>644</v>
      </c>
      <c r="I707" s="11" t="s">
        <v>78</v>
      </c>
      <c r="J707" s="12" t="n">
        <v>2554000</v>
      </c>
      <c r="K707" s="13" t="n">
        <f aca="false">IFERROR(J707/M707,"")</f>
        <v>0.112993850373844</v>
      </c>
      <c r="L707" s="12" t="n">
        <v>20049000</v>
      </c>
      <c r="M707" s="14" t="n">
        <f aca="false">L707+J707</f>
        <v>22603000</v>
      </c>
      <c r="N707" s="12" t="n">
        <v>2661000</v>
      </c>
      <c r="O707" s="12" t="n">
        <v>24668520</v>
      </c>
      <c r="P707" s="12" t="n">
        <v>557860</v>
      </c>
      <c r="Q707" s="13" t="n">
        <f aca="false">IFERROR(P707/P706-1,"")</f>
        <v>0.100943141159359</v>
      </c>
      <c r="R707" s="12" t="n">
        <v>631591</v>
      </c>
      <c r="S707" s="13" t="n">
        <f aca="false">IFERROR(R707/R706-1,"")</f>
        <v>0.17572455337281</v>
      </c>
      <c r="T707" s="12" t="n">
        <v>355182</v>
      </c>
      <c r="U707" s="13" t="n">
        <f aca="false">IFERROR(T707/P707,"")</f>
        <v>0.636686623884129</v>
      </c>
      <c r="V707" s="14" t="n">
        <f aca="false">T707-AV707</f>
        <v>-1732565</v>
      </c>
      <c r="W707" s="14" t="n">
        <f aca="false">V707-AA707*0.1</f>
        <v>-1807665</v>
      </c>
      <c r="X707" s="12" t="n">
        <v>4012856</v>
      </c>
      <c r="Y707" s="12" t="n">
        <v>146640</v>
      </c>
      <c r="Z707" s="15" t="n">
        <f aca="false">IFERROR(X707/Y707,"")</f>
        <v>27.3653573376978</v>
      </c>
      <c r="AA707" s="12" t="n">
        <v>751000</v>
      </c>
      <c r="AB707" s="14" t="n">
        <f aca="false">W707-0.02*P707</f>
        <v>-1818822.2</v>
      </c>
      <c r="AC707" s="16" t="n">
        <v>51</v>
      </c>
      <c r="AD707" s="13" t="n">
        <f aca="false">IFERROR(AC707/AC706-1,"")</f>
        <v>0.0625</v>
      </c>
      <c r="AE707" s="17" t="n">
        <v>0.043</v>
      </c>
      <c r="AF707" s="17" t="n">
        <v>0.034</v>
      </c>
      <c r="AG707" s="13" t="n">
        <f aca="false">1-AF707</f>
        <v>0.966</v>
      </c>
      <c r="AH707" s="17" t="n">
        <v>1.072</v>
      </c>
      <c r="AI707" s="12" t="n">
        <v>14664</v>
      </c>
      <c r="AJ707" s="14" t="n">
        <f aca="false">IFERROR(AM707*U707*MIN(1/AE707,5),"")</f>
        <v>51953.6285089449</v>
      </c>
      <c r="AK707" s="18" t="n">
        <f aca="false">IFERROR(AJ707/AI707,"")</f>
        <v>3.54293702325047</v>
      </c>
      <c r="AL707" s="15" t="n">
        <f aca="false">IFERROR(AI707/(AM707*U707/12),"")</f>
        <v>16.935102037166</v>
      </c>
      <c r="AM707" s="12" t="n">
        <v>16320</v>
      </c>
      <c r="AN707" s="12" t="n">
        <v>934078</v>
      </c>
      <c r="AO707" s="12" t="n">
        <v>1694227</v>
      </c>
      <c r="AP707" s="17" t="n">
        <v>0.3</v>
      </c>
      <c r="AQ707" s="16" t="n">
        <v>25</v>
      </c>
      <c r="AR707" s="16" t="n">
        <v>5</v>
      </c>
      <c r="AS707" s="13" t="n">
        <f aca="false">IFERROR(AR707/AR706-1,"")</f>
        <v>0</v>
      </c>
      <c r="AT707" s="11" t="s">
        <v>153</v>
      </c>
      <c r="AU707" s="14" t="n">
        <f aca="false">IFERROR(P707/AR707,"")</f>
        <v>111572</v>
      </c>
      <c r="AV707" s="12" t="n">
        <v>2087747</v>
      </c>
      <c r="AW707" s="12" t="n">
        <v>821548</v>
      </c>
      <c r="AX707" s="12" t="n">
        <v>685932</v>
      </c>
      <c r="AY707" s="16" t="n">
        <v>7065</v>
      </c>
      <c r="AZ707" s="13" t="n">
        <f aca="false">IFERROR(AY707/AY706-1,"")</f>
        <v>0.121962839447356</v>
      </c>
      <c r="BA707" s="17" t="n">
        <v>0.957</v>
      </c>
      <c r="BB707" s="11" t="s">
        <v>107</v>
      </c>
      <c r="BC707" s="11" t="s">
        <v>108</v>
      </c>
      <c r="BD707" s="11" t="s">
        <v>175</v>
      </c>
      <c r="BE707" s="12" t="n">
        <v>589381</v>
      </c>
      <c r="BF707" s="13" t="n">
        <f aca="false">IFERROR(P707/BE707-1,"")</f>
        <v>-0.0534815340161967</v>
      </c>
      <c r="BG707" s="17" t="n">
        <v>0.087</v>
      </c>
      <c r="BH707" s="17" t="n">
        <v>-0.078</v>
      </c>
      <c r="BI707" s="14" t="n">
        <f aca="false">P707*(1+IFERROR(Q707,0))^4</f>
        <v>819567.603884408</v>
      </c>
      <c r="BJ707" s="12" t="n">
        <v>-1731092</v>
      </c>
      <c r="BK707" s="11" t="s">
        <v>127</v>
      </c>
      <c r="BL707" s="11" t="s">
        <v>111</v>
      </c>
      <c r="BM707" s="14" t="n">
        <f aca="false">O707</f>
        <v>24668520</v>
      </c>
      <c r="BN707" s="11" t="s">
        <v>685</v>
      </c>
      <c r="BO707" s="13" t="n">
        <f aca="false">IFERROR(1-L707/M707,"")</f>
        <v>0.112993850373844</v>
      </c>
      <c r="BP707" s="11" t="s">
        <v>113</v>
      </c>
      <c r="BQ707" s="12" t="n">
        <v>2139023</v>
      </c>
      <c r="BR707" s="11" t="s">
        <v>88</v>
      </c>
      <c r="BS707" s="11" t="s">
        <v>89</v>
      </c>
      <c r="BT707" s="19" t="str">
        <f aca="false">IF(OR(Z707&lt;6,AH707&lt;0.9,S707&lt;0.02,AK707&lt;1),"REVIEW",IF(AND(S707&gt;0.25,AH707&gt;1.2),"ACCELERATING","STABLE"))</f>
        <v>STABLE</v>
      </c>
    </row>
    <row r="708" customFormat="false" ht="15" hidden="false" customHeight="false" outlineLevel="0" collapsed="false">
      <c r="A708" s="11" t="s">
        <v>683</v>
      </c>
      <c r="B708" s="11" t="s">
        <v>92</v>
      </c>
      <c r="C708" s="11" t="s">
        <v>74</v>
      </c>
      <c r="D708" s="11" t="s">
        <v>210</v>
      </c>
      <c r="E708" s="11" t="s">
        <v>105</v>
      </c>
      <c r="F708" s="11" t="s">
        <v>684</v>
      </c>
      <c r="G708" s="11" t="s">
        <v>78</v>
      </c>
      <c r="H708" s="11" t="s">
        <v>644</v>
      </c>
      <c r="I708" s="11" t="s">
        <v>78</v>
      </c>
      <c r="J708" s="12" t="n">
        <v>2554000</v>
      </c>
      <c r="K708" s="13" t="n">
        <f aca="false">IFERROR(J708/M708,"")</f>
        <v>0.112993850373844</v>
      </c>
      <c r="L708" s="12" t="n">
        <v>20049000</v>
      </c>
      <c r="M708" s="14" t="n">
        <f aca="false">L708+J708</f>
        <v>22603000</v>
      </c>
      <c r="N708" s="12" t="n">
        <v>2661000</v>
      </c>
      <c r="O708" s="12" t="n">
        <v>24668520</v>
      </c>
      <c r="P708" s="12" t="n">
        <v>605354</v>
      </c>
      <c r="Q708" s="13" t="n">
        <f aca="false">IFERROR(P708/P707-1,"")</f>
        <v>0.0851360556412002</v>
      </c>
      <c r="R708" s="12" t="n">
        <v>692322</v>
      </c>
      <c r="S708" s="13" t="n">
        <f aca="false">IFERROR(R708/R707-1,"")</f>
        <v>0.0961555816976494</v>
      </c>
      <c r="T708" s="12" t="n">
        <v>386975</v>
      </c>
      <c r="U708" s="13" t="n">
        <f aca="false">IFERROR(T708/P708,"")</f>
        <v>0.639254056304245</v>
      </c>
      <c r="V708" s="14" t="n">
        <f aca="false">T708-AV708</f>
        <v>-1747735</v>
      </c>
      <c r="W708" s="14" t="n">
        <f aca="false">V708-AA708*0.1</f>
        <v>-1822835</v>
      </c>
      <c r="X708" s="12" t="n">
        <v>3629564</v>
      </c>
      <c r="Y708" s="12" t="n">
        <v>151320</v>
      </c>
      <c r="Z708" s="15" t="n">
        <f aca="false">IFERROR(X708/Y708,"")</f>
        <v>23.9860163891092</v>
      </c>
      <c r="AA708" s="12" t="n">
        <v>751000</v>
      </c>
      <c r="AB708" s="14" t="n">
        <f aca="false">W708-0.02*P708</f>
        <v>-1834942.08</v>
      </c>
      <c r="AC708" s="16" t="n">
        <v>58</v>
      </c>
      <c r="AD708" s="13" t="n">
        <f aca="false">IFERROR(AC708/AC707-1,"")</f>
        <v>0.137254901960784</v>
      </c>
      <c r="AE708" s="17" t="n">
        <v>0.042</v>
      </c>
      <c r="AF708" s="17" t="n">
        <v>0.04</v>
      </c>
      <c r="AG708" s="13" t="n">
        <f aca="false">1-AF708</f>
        <v>0.96</v>
      </c>
      <c r="AH708" s="17" t="n">
        <v>1.067</v>
      </c>
      <c r="AI708" s="12" t="n">
        <v>14382</v>
      </c>
      <c r="AJ708" s="14" t="n">
        <f aca="false">IFERROR(AM708*U708*MIN(1/AE708,5),"")</f>
        <v>53185.9374845132</v>
      </c>
      <c r="AK708" s="18" t="n">
        <f aca="false">IFERROR(AJ708/AI708,"")</f>
        <v>3.69809049398646</v>
      </c>
      <c r="AL708" s="15" t="n">
        <f aca="false">IFERROR(AI708/(AM708*U708/12),"")</f>
        <v>16.2245894462473</v>
      </c>
      <c r="AM708" s="12" t="n">
        <v>16640</v>
      </c>
      <c r="AN708" s="12" t="n">
        <v>761924</v>
      </c>
      <c r="AO708" s="12" t="n">
        <v>1460832</v>
      </c>
      <c r="AP708" s="17" t="n">
        <v>0.3</v>
      </c>
      <c r="AQ708" s="16" t="n">
        <v>25</v>
      </c>
      <c r="AR708" s="16" t="n">
        <v>6</v>
      </c>
      <c r="AS708" s="13" t="n">
        <f aca="false">IFERROR(AR708/AR707-1,"")</f>
        <v>0.2</v>
      </c>
      <c r="AT708" s="11" t="s">
        <v>153</v>
      </c>
      <c r="AU708" s="14" t="n">
        <f aca="false">IFERROR(P708/AR708,"")</f>
        <v>100892.333333333</v>
      </c>
      <c r="AV708" s="12" t="n">
        <v>2134710</v>
      </c>
      <c r="AW708" s="12" t="n">
        <v>819861</v>
      </c>
      <c r="AX708" s="12" t="n">
        <v>477151</v>
      </c>
      <c r="AY708" s="16" t="n">
        <v>7856</v>
      </c>
      <c r="AZ708" s="13" t="n">
        <f aca="false">IFERROR(AY708/AY707-1,"")</f>
        <v>0.111960368011323</v>
      </c>
      <c r="BA708" s="17" t="n">
        <v>0.966</v>
      </c>
      <c r="BB708" s="11" t="s">
        <v>107</v>
      </c>
      <c r="BC708" s="11" t="s">
        <v>108</v>
      </c>
      <c r="BD708" s="11" t="s">
        <v>175</v>
      </c>
      <c r="BE708" s="12" t="n">
        <v>672113</v>
      </c>
      <c r="BF708" s="13" t="n">
        <f aca="false">IFERROR(P708/BE708-1,"")</f>
        <v>-0.099327047683946</v>
      </c>
      <c r="BG708" s="17" t="n">
        <v>0.007</v>
      </c>
      <c r="BH708" s="17" t="n">
        <v>0.025</v>
      </c>
      <c r="BI708" s="14" t="n">
        <f aca="false">P708*(1+IFERROR(Q708,0))^4</f>
        <v>839355.986477031</v>
      </c>
      <c r="BJ708" s="12" t="n">
        <v>-1784232</v>
      </c>
      <c r="BK708" s="11" t="s">
        <v>127</v>
      </c>
      <c r="BL708" s="11" t="s">
        <v>111</v>
      </c>
      <c r="BM708" s="14" t="n">
        <f aca="false">O708</f>
        <v>24668520</v>
      </c>
      <c r="BN708" s="11" t="s">
        <v>685</v>
      </c>
      <c r="BO708" s="13" t="n">
        <f aca="false">IFERROR(1-L708/M708,"")</f>
        <v>0.112993850373844</v>
      </c>
      <c r="BP708" s="11" t="s">
        <v>113</v>
      </c>
      <c r="BQ708" s="12" t="n">
        <v>2558344</v>
      </c>
      <c r="BR708" s="11" t="s">
        <v>88</v>
      </c>
      <c r="BS708" s="11" t="s">
        <v>89</v>
      </c>
      <c r="BT708" s="19" t="str">
        <f aca="false">IF(OR(Z708&lt;6,AH708&lt;0.9,S708&lt;0.02,AK708&lt;1),"REVIEW",IF(AND(S708&gt;0.25,AH708&gt;1.2),"ACCELERATING","STABLE"))</f>
        <v>STABLE</v>
      </c>
    </row>
    <row r="709" customFormat="false" ht="15" hidden="false" customHeight="false" outlineLevel="0" collapsed="false">
      <c r="A709" s="11" t="s">
        <v>683</v>
      </c>
      <c r="B709" s="11" t="s">
        <v>93</v>
      </c>
      <c r="C709" s="11" t="s">
        <v>74</v>
      </c>
      <c r="D709" s="11" t="s">
        <v>210</v>
      </c>
      <c r="E709" s="11" t="s">
        <v>105</v>
      </c>
      <c r="F709" s="11" t="s">
        <v>684</v>
      </c>
      <c r="G709" s="11" t="s">
        <v>78</v>
      </c>
      <c r="H709" s="11" t="s">
        <v>644</v>
      </c>
      <c r="I709" s="11" t="s">
        <v>78</v>
      </c>
      <c r="J709" s="12" t="n">
        <v>2554000</v>
      </c>
      <c r="K709" s="13" t="n">
        <f aca="false">IFERROR(J709/M709,"")</f>
        <v>0.112993850373844</v>
      </c>
      <c r="L709" s="12" t="n">
        <v>20049000</v>
      </c>
      <c r="M709" s="14" t="n">
        <f aca="false">L709+J709</f>
        <v>22603000</v>
      </c>
      <c r="N709" s="12" t="n">
        <v>2661000</v>
      </c>
      <c r="O709" s="12" t="n">
        <v>24668520</v>
      </c>
      <c r="P709" s="12" t="n">
        <v>753847</v>
      </c>
      <c r="Q709" s="13" t="n">
        <f aca="false">IFERROR(P709/P708-1,"")</f>
        <v>0.245299444622485</v>
      </c>
      <c r="R709" s="12" t="n">
        <v>801474</v>
      </c>
      <c r="S709" s="13" t="n">
        <f aca="false">IFERROR(R709/R708-1,"")</f>
        <v>0.157660741678005</v>
      </c>
      <c r="T709" s="12" t="n">
        <v>483835</v>
      </c>
      <c r="U709" s="13" t="n">
        <f aca="false">IFERROR(T709/P709,"")</f>
        <v>0.641821218363939</v>
      </c>
      <c r="V709" s="14" t="n">
        <f aca="false">T709-AV709</f>
        <v>-1630368</v>
      </c>
      <c r="W709" s="14" t="n">
        <f aca="false">V709-AA709*0.1</f>
        <v>-1705468</v>
      </c>
      <c r="X709" s="12" t="n">
        <v>3221000</v>
      </c>
      <c r="Y709" s="12" t="n">
        <v>156000</v>
      </c>
      <c r="Z709" s="15" t="n">
        <f aca="false">IFERROR(X709/Y709,"")</f>
        <v>20.6474358974359</v>
      </c>
      <c r="AA709" s="12" t="n">
        <v>751000</v>
      </c>
      <c r="AB709" s="14" t="n">
        <f aca="false">W709-0.02*P709</f>
        <v>-1720544.94</v>
      </c>
      <c r="AC709" s="16" t="n">
        <v>63</v>
      </c>
      <c r="AD709" s="13" t="n">
        <f aca="false">IFERROR(AC709/AC708-1,"")</f>
        <v>0.0862068965517242</v>
      </c>
      <c r="AE709" s="17" t="n">
        <v>0.041</v>
      </c>
      <c r="AF709" s="17" t="n">
        <v>0.045</v>
      </c>
      <c r="AG709" s="13" t="n">
        <f aca="false">1-AF709</f>
        <v>0.955</v>
      </c>
      <c r="AH709" s="17" t="n">
        <v>1.062</v>
      </c>
      <c r="AI709" s="12" t="n">
        <v>14100</v>
      </c>
      <c r="AJ709" s="14" t="n">
        <f aca="false">IFERROR(AM709*U709*MIN(1/AE709,5),"")</f>
        <v>54426.439317262</v>
      </c>
      <c r="AK709" s="18" t="n">
        <f aca="false">IFERROR(AJ709/AI709,"")</f>
        <v>3.86003115725262</v>
      </c>
      <c r="AL709" s="15" t="n">
        <f aca="false">IFERROR(AI709/(AM709*U709/12),"")</f>
        <v>15.5439159829749</v>
      </c>
      <c r="AM709" s="12" t="n">
        <v>16960</v>
      </c>
      <c r="AN709" s="12" t="n">
        <v>758576</v>
      </c>
      <c r="AO709" s="12" t="n">
        <v>2050197</v>
      </c>
      <c r="AP709" s="17" t="n">
        <v>0.3</v>
      </c>
      <c r="AQ709" s="16" t="n">
        <v>25</v>
      </c>
      <c r="AR709" s="16" t="n">
        <v>6</v>
      </c>
      <c r="AS709" s="13" t="n">
        <f aca="false">IFERROR(AR709/AR708-1,"")</f>
        <v>0</v>
      </c>
      <c r="AT709" s="11" t="s">
        <v>153</v>
      </c>
      <c r="AU709" s="14" t="n">
        <f aca="false">IFERROR(P709/AR709,"")</f>
        <v>125641.166666667</v>
      </c>
      <c r="AV709" s="12" t="n">
        <v>2114203</v>
      </c>
      <c r="AW709" s="12" t="n">
        <v>716478</v>
      </c>
      <c r="AX709" s="12" t="n">
        <v>515647</v>
      </c>
      <c r="AY709" s="16" t="n">
        <v>8919</v>
      </c>
      <c r="AZ709" s="13" t="n">
        <f aca="false">IFERROR(AY709/AY708-1,"")</f>
        <v>0.135310590631365</v>
      </c>
      <c r="BA709" s="17" t="n">
        <v>0.961</v>
      </c>
      <c r="BB709" s="11" t="s">
        <v>107</v>
      </c>
      <c r="BC709" s="11" t="s">
        <v>108</v>
      </c>
      <c r="BD709" s="11" t="s">
        <v>175</v>
      </c>
      <c r="BE709" s="12" t="n">
        <v>935727</v>
      </c>
      <c r="BF709" s="13" t="n">
        <f aca="false">IFERROR(P709/BE709-1,"")</f>
        <v>-0.194372931421237</v>
      </c>
      <c r="BG709" s="17" t="n">
        <v>0.052</v>
      </c>
      <c r="BH709" s="17" t="n">
        <v>-0.049</v>
      </c>
      <c r="BI709" s="14" t="n">
        <f aca="false">P709*(1+IFERROR(Q709,0))^4</f>
        <v>1812918.94975128</v>
      </c>
      <c r="BJ709" s="12" t="n">
        <v>-1798689</v>
      </c>
      <c r="BK709" s="11" t="s">
        <v>127</v>
      </c>
      <c r="BL709" s="11" t="s">
        <v>111</v>
      </c>
      <c r="BM709" s="14" t="n">
        <f aca="false">O709</f>
        <v>24668520</v>
      </c>
      <c r="BN709" s="11" t="s">
        <v>685</v>
      </c>
      <c r="BO709" s="13" t="n">
        <f aca="false">IFERROR(1-L709/M709,"")</f>
        <v>0.112993850373844</v>
      </c>
      <c r="BP709" s="11" t="s">
        <v>113</v>
      </c>
      <c r="BQ709" s="12" t="n">
        <v>2437915</v>
      </c>
      <c r="BR709" s="11" t="s">
        <v>88</v>
      </c>
      <c r="BS709" s="11" t="s">
        <v>89</v>
      </c>
      <c r="BT709" s="19" t="str">
        <f aca="false">IF(OR(Z709&lt;6,AH709&lt;0.9,S709&lt;0.02,AK709&lt;1),"REVIEW",IF(AND(S709&gt;0.25,AH709&gt;1.2),"ACCELERATING","STABLE"))</f>
        <v>STABLE</v>
      </c>
    </row>
    <row r="710" customFormat="false" ht="15" hidden="false" customHeight="false" outlineLevel="0" collapsed="false">
      <c r="A710" s="3" t="s">
        <v>686</v>
      </c>
      <c r="B710" s="3" t="s">
        <v>73</v>
      </c>
      <c r="C710" s="3" t="s">
        <v>74</v>
      </c>
      <c r="D710" s="3" t="s">
        <v>95</v>
      </c>
      <c r="E710" s="3" t="s">
        <v>105</v>
      </c>
      <c r="F710" s="3" t="s">
        <v>687</v>
      </c>
      <c r="G710" s="3" t="s">
        <v>78</v>
      </c>
      <c r="H710" s="3" t="s">
        <v>644</v>
      </c>
      <c r="I710" s="3" t="s">
        <v>78</v>
      </c>
      <c r="J710" s="4" t="n">
        <v>1781000</v>
      </c>
      <c r="K710" s="5" t="n">
        <f aca="false">IFERROR(J710/M710,"")</f>
        <v>0.13698946234905</v>
      </c>
      <c r="L710" s="4" t="n">
        <v>11220000</v>
      </c>
      <c r="M710" s="6" t="n">
        <f aca="false">L710+J710</f>
        <v>13001000</v>
      </c>
      <c r="N710" s="4" t="n">
        <v>7814000</v>
      </c>
      <c r="O710" s="4" t="n">
        <v>25039897</v>
      </c>
      <c r="P710" s="4" t="n">
        <v>1412722</v>
      </c>
      <c r="Q710" s="7"/>
      <c r="R710" s="4" t="n">
        <v>1647121</v>
      </c>
      <c r="S710" s="7"/>
      <c r="T710" s="4" t="n">
        <v>1122775</v>
      </c>
      <c r="U710" s="5" t="n">
        <f aca="false">IFERROR(T710/P710,"")</f>
        <v>0.79476004479296</v>
      </c>
      <c r="V710" s="6" t="n">
        <f aca="false">T710-AV710</f>
        <v>-2860667</v>
      </c>
      <c r="W710" s="6" t="n">
        <f aca="false">V710-AA710*0.1</f>
        <v>-2936267</v>
      </c>
      <c r="X710" s="4" t="n">
        <v>7350524</v>
      </c>
      <c r="Y710" s="4" t="n">
        <v>222040</v>
      </c>
      <c r="Z710" s="8" t="n">
        <f aca="false">IFERROR(X710/Y710,"")</f>
        <v>33.1045036930283</v>
      </c>
      <c r="AA710" s="4" t="n">
        <v>756000</v>
      </c>
      <c r="AB710" s="6" t="n">
        <f aca="false">W710-0.02*P710</f>
        <v>-2964521.44</v>
      </c>
      <c r="AC710" s="9" t="n">
        <v>11</v>
      </c>
      <c r="AD710" s="7"/>
      <c r="AE710" s="7" t="n">
        <v>0.148</v>
      </c>
      <c r="AF710" s="7" t="n">
        <v>0.132</v>
      </c>
      <c r="AG710" s="5" t="n">
        <f aca="false">1-AF710</f>
        <v>0.868</v>
      </c>
      <c r="AH710" s="7" t="n">
        <v>1.19</v>
      </c>
      <c r="AI710" s="4" t="n">
        <v>28408</v>
      </c>
      <c r="AJ710" s="6" t="n">
        <f aca="false">IFERROR(AM710*U710*MIN(1/AE710,5),"")</f>
        <v>75502.2042553312</v>
      </c>
      <c r="AK710" s="10" t="n">
        <f aca="false">IFERROR(AJ710/AI710,"")</f>
        <v>2.65777964852616</v>
      </c>
      <c r="AL710" s="8" t="n">
        <f aca="false">IFERROR(AI710/(AM710*U710/12),"")</f>
        <v>22.575234945934</v>
      </c>
      <c r="AM710" s="4" t="n">
        <v>19000</v>
      </c>
      <c r="AN710" s="4" t="n">
        <v>2232788</v>
      </c>
      <c r="AO710" s="4" t="n">
        <v>3278948</v>
      </c>
      <c r="AP710" s="7" t="n">
        <v>0.208</v>
      </c>
      <c r="AQ710" s="9" t="n">
        <v>28</v>
      </c>
      <c r="AR710" s="9" t="n">
        <v>3</v>
      </c>
      <c r="AS710" s="7"/>
      <c r="AT710" s="3" t="s">
        <v>134</v>
      </c>
      <c r="AU710" s="6" t="n">
        <f aca="false">IFERROR(P710/AR710,"")</f>
        <v>470907.333333333</v>
      </c>
      <c r="AV710" s="4" t="n">
        <v>3983442</v>
      </c>
      <c r="AW710" s="4" t="n">
        <v>1583234</v>
      </c>
      <c r="AX710" s="4" t="n">
        <v>1077267</v>
      </c>
      <c r="AY710" s="9" t="n">
        <v>6916</v>
      </c>
      <c r="AZ710" s="7"/>
      <c r="BA710" s="7" t="n">
        <v>0.88</v>
      </c>
      <c r="BB710" s="3" t="s">
        <v>81</v>
      </c>
      <c r="BC710" s="3" t="s">
        <v>126</v>
      </c>
      <c r="BD710" s="3" t="s">
        <v>101</v>
      </c>
      <c r="BE710" s="4" t="n">
        <v>1737459</v>
      </c>
      <c r="BF710" s="5" t="n">
        <f aca="false">IFERROR(P710/BE710-1,"")</f>
        <v>-0.186903403188219</v>
      </c>
      <c r="BG710" s="7" t="n">
        <v>-0.057</v>
      </c>
      <c r="BH710" s="7" t="n">
        <v>0.07</v>
      </c>
      <c r="BI710" s="6" t="n">
        <f aca="false">P710</f>
        <v>1412722</v>
      </c>
      <c r="BJ710" s="4" t="n">
        <v>-2311007</v>
      </c>
      <c r="BK710" s="3" t="s">
        <v>110</v>
      </c>
      <c r="BL710" s="3" t="s">
        <v>162</v>
      </c>
      <c r="BM710" s="6" t="n">
        <f aca="false">O710</f>
        <v>25039897</v>
      </c>
      <c r="BN710" s="3" t="s">
        <v>688</v>
      </c>
      <c r="BO710" s="5" t="n">
        <f aca="false">IFERROR(1-L710/M710,"")</f>
        <v>0.13698946234905</v>
      </c>
      <c r="BP710" s="3" t="s">
        <v>142</v>
      </c>
      <c r="BQ710" s="4" t="n">
        <v>2718633</v>
      </c>
      <c r="BR710" s="3" t="s">
        <v>88</v>
      </c>
      <c r="BS710" s="3" t="s">
        <v>89</v>
      </c>
      <c r="BT710" s="3" t="s">
        <v>90</v>
      </c>
    </row>
    <row r="711" customFormat="false" ht="15" hidden="false" customHeight="false" outlineLevel="0" collapsed="false">
      <c r="A711" s="11" t="s">
        <v>686</v>
      </c>
      <c r="B711" s="11" t="s">
        <v>91</v>
      </c>
      <c r="C711" s="11" t="s">
        <v>74</v>
      </c>
      <c r="D711" s="11" t="s">
        <v>95</v>
      </c>
      <c r="E711" s="11" t="s">
        <v>105</v>
      </c>
      <c r="F711" s="11" t="s">
        <v>687</v>
      </c>
      <c r="G711" s="11" t="s">
        <v>78</v>
      </c>
      <c r="H711" s="11" t="s">
        <v>644</v>
      </c>
      <c r="I711" s="11" t="s">
        <v>78</v>
      </c>
      <c r="J711" s="12" t="n">
        <v>1781000</v>
      </c>
      <c r="K711" s="13" t="n">
        <f aca="false">IFERROR(J711/M711,"")</f>
        <v>0.13698946234905</v>
      </c>
      <c r="L711" s="12" t="n">
        <v>11220000</v>
      </c>
      <c r="M711" s="14" t="n">
        <f aca="false">L711+J711</f>
        <v>13001000</v>
      </c>
      <c r="N711" s="12" t="n">
        <v>7814000</v>
      </c>
      <c r="O711" s="12" t="n">
        <v>25039897</v>
      </c>
      <c r="P711" s="12" t="n">
        <v>1510231</v>
      </c>
      <c r="Q711" s="13" t="n">
        <f aca="false">IFERROR(P711/P710-1,"")</f>
        <v>0.0690220722831527</v>
      </c>
      <c r="R711" s="12" t="n">
        <v>1975828</v>
      </c>
      <c r="S711" s="13" t="n">
        <f aca="false">IFERROR(R711/R710-1,"")</f>
        <v>0.199564573580205</v>
      </c>
      <c r="T711" s="12" t="n">
        <v>1205130</v>
      </c>
      <c r="U711" s="13" t="n">
        <f aca="false">IFERROR(T711/P711,"")</f>
        <v>0.797977263080946</v>
      </c>
      <c r="V711" s="14" t="n">
        <f aca="false">T711-AV711</f>
        <v>-2086952</v>
      </c>
      <c r="W711" s="14" t="n">
        <f aca="false">V711-AA711*0.1</f>
        <v>-2162552</v>
      </c>
      <c r="X711" s="12" t="n">
        <v>6790544</v>
      </c>
      <c r="Y711" s="12" t="n">
        <v>229360</v>
      </c>
      <c r="Z711" s="15" t="n">
        <f aca="false">IFERROR(X711/Y711,"")</f>
        <v>29.6064876177189</v>
      </c>
      <c r="AA711" s="12" t="n">
        <v>756000</v>
      </c>
      <c r="AB711" s="14" t="n">
        <f aca="false">W711-0.02*P711</f>
        <v>-2192756.62</v>
      </c>
      <c r="AC711" s="16" t="n">
        <v>11</v>
      </c>
      <c r="AD711" s="13" t="n">
        <f aca="false">IFERROR(AC711/AC710-1,"")</f>
        <v>0</v>
      </c>
      <c r="AE711" s="17" t="n">
        <v>0.144</v>
      </c>
      <c r="AF711" s="17" t="n">
        <v>0.151</v>
      </c>
      <c r="AG711" s="13" t="n">
        <f aca="false">1-AF711</f>
        <v>0.849</v>
      </c>
      <c r="AH711" s="17" t="n">
        <v>1.185</v>
      </c>
      <c r="AI711" s="12" t="n">
        <v>27872</v>
      </c>
      <c r="AJ711" s="14" t="n">
        <f aca="false">IFERROR(AM711*U711*MIN(1/AE711,5),"")</f>
        <v>77323.9967925437</v>
      </c>
      <c r="AK711" s="18" t="n">
        <f aca="false">IFERROR(AJ711/AI711,"")</f>
        <v>2.7742536162652</v>
      </c>
      <c r="AL711" s="15" t="n">
        <f aca="false">IFERROR(AI711/(AM711*U711/12),"")</f>
        <v>21.6274386913386</v>
      </c>
      <c r="AM711" s="12" t="n">
        <v>19380</v>
      </c>
      <c r="AN711" s="12" t="n">
        <v>2366562</v>
      </c>
      <c r="AO711" s="12" t="n">
        <v>5193612</v>
      </c>
      <c r="AP711" s="17" t="n">
        <v>0.208</v>
      </c>
      <c r="AQ711" s="16" t="n">
        <v>28</v>
      </c>
      <c r="AR711" s="16" t="n">
        <v>3</v>
      </c>
      <c r="AS711" s="13" t="n">
        <f aca="false">IFERROR(AR711/AR710-1,"")</f>
        <v>0</v>
      </c>
      <c r="AT711" s="11" t="s">
        <v>134</v>
      </c>
      <c r="AU711" s="14" t="n">
        <f aca="false">IFERROR(P711/AR711,"")</f>
        <v>503410.333333333</v>
      </c>
      <c r="AV711" s="12" t="n">
        <v>3292082</v>
      </c>
      <c r="AW711" s="12" t="n">
        <v>1075306</v>
      </c>
      <c r="AX711" s="12" t="n">
        <v>861147</v>
      </c>
      <c r="AY711" s="16" t="n">
        <v>8028</v>
      </c>
      <c r="AZ711" s="13" t="n">
        <f aca="false">IFERROR(AY711/AY710-1,"")</f>
        <v>0.160786581839213</v>
      </c>
      <c r="BA711" s="17" t="n">
        <v>0.872</v>
      </c>
      <c r="BB711" s="11" t="s">
        <v>81</v>
      </c>
      <c r="BC711" s="11" t="s">
        <v>126</v>
      </c>
      <c r="BD711" s="11" t="s">
        <v>101</v>
      </c>
      <c r="BE711" s="12" t="n">
        <v>1719498</v>
      </c>
      <c r="BF711" s="13" t="n">
        <f aca="false">IFERROR(P711/BE711-1,"")</f>
        <v>-0.121702380578518</v>
      </c>
      <c r="BG711" s="17" t="n">
        <v>0.01</v>
      </c>
      <c r="BH711" s="17" t="n">
        <v>-0.067</v>
      </c>
      <c r="BI711" s="14" t="n">
        <f aca="false">P711*(1+IFERROR(Q711,0))^4</f>
        <v>1972377.6362775</v>
      </c>
      <c r="BJ711" s="12" t="n">
        <v>-2071002</v>
      </c>
      <c r="BK711" s="11" t="s">
        <v>110</v>
      </c>
      <c r="BL711" s="11" t="s">
        <v>162</v>
      </c>
      <c r="BM711" s="14" t="n">
        <f aca="false">O711</f>
        <v>25039897</v>
      </c>
      <c r="BN711" s="11" t="s">
        <v>688</v>
      </c>
      <c r="BO711" s="13" t="n">
        <f aca="false">IFERROR(1-L711/M711,"")</f>
        <v>0.13698946234905</v>
      </c>
      <c r="BP711" s="11" t="s">
        <v>142</v>
      </c>
      <c r="BQ711" s="12" t="n">
        <v>2966980</v>
      </c>
      <c r="BR711" s="11" t="s">
        <v>88</v>
      </c>
      <c r="BS711" s="11" t="s">
        <v>89</v>
      </c>
      <c r="BT711" s="19" t="str">
        <f aca="false">IF(OR(Z711&lt;6,AH711&lt;0.9,S711&lt;0.02,AK711&lt;1),"REVIEW",IF(AND(S711&gt;0.25,AH711&gt;1.2),"ACCELERATING","STABLE"))</f>
        <v>STABLE</v>
      </c>
    </row>
    <row r="712" customFormat="false" ht="15" hidden="false" customHeight="false" outlineLevel="0" collapsed="false">
      <c r="A712" s="11" t="s">
        <v>686</v>
      </c>
      <c r="B712" s="11" t="s">
        <v>92</v>
      </c>
      <c r="C712" s="11" t="s">
        <v>74</v>
      </c>
      <c r="D712" s="11" t="s">
        <v>95</v>
      </c>
      <c r="E712" s="11" t="s">
        <v>105</v>
      </c>
      <c r="F712" s="11" t="s">
        <v>687</v>
      </c>
      <c r="G712" s="11" t="s">
        <v>78</v>
      </c>
      <c r="H712" s="11" t="s">
        <v>644</v>
      </c>
      <c r="I712" s="11" t="s">
        <v>78</v>
      </c>
      <c r="J712" s="12" t="n">
        <v>1781000</v>
      </c>
      <c r="K712" s="13" t="n">
        <f aca="false">IFERROR(J712/M712,"")</f>
        <v>0.13698946234905</v>
      </c>
      <c r="L712" s="12" t="n">
        <v>11220000</v>
      </c>
      <c r="M712" s="14" t="n">
        <f aca="false">L712+J712</f>
        <v>13001000</v>
      </c>
      <c r="N712" s="12" t="n">
        <v>7814000</v>
      </c>
      <c r="O712" s="12" t="n">
        <v>25039897</v>
      </c>
      <c r="P712" s="12" t="n">
        <v>1864154</v>
      </c>
      <c r="Q712" s="13" t="n">
        <f aca="false">IFERROR(P712/P711-1,"")</f>
        <v>0.234350241784204</v>
      </c>
      <c r="R712" s="12" t="n">
        <v>2211337</v>
      </c>
      <c r="S712" s="13" t="n">
        <f aca="false">IFERROR(R712/R711-1,"")</f>
        <v>0.119195091880467</v>
      </c>
      <c r="T712" s="12" t="n">
        <v>1493551</v>
      </c>
      <c r="U712" s="13" t="n">
        <f aca="false">IFERROR(T712/P712,"")</f>
        <v>0.801195072939253</v>
      </c>
      <c r="V712" s="14" t="n">
        <f aca="false">T712-AV712</f>
        <v>-2329827</v>
      </c>
      <c r="W712" s="14" t="n">
        <f aca="false">V712-AA712*0.1</f>
        <v>-2405427</v>
      </c>
      <c r="X712" s="12" t="n">
        <v>6191036</v>
      </c>
      <c r="Y712" s="12" t="n">
        <v>236680</v>
      </c>
      <c r="Z712" s="15" t="n">
        <f aca="false">IFERROR(X712/Y712,"")</f>
        <v>26.1578333615008</v>
      </c>
      <c r="AA712" s="12" t="n">
        <v>756000</v>
      </c>
      <c r="AB712" s="14" t="n">
        <f aca="false">W712-0.02*P712</f>
        <v>-2442710.08</v>
      </c>
      <c r="AC712" s="16" t="n">
        <v>14</v>
      </c>
      <c r="AD712" s="13" t="n">
        <f aca="false">IFERROR(AC712/AC711-1,"")</f>
        <v>0.272727272727273</v>
      </c>
      <c r="AE712" s="17" t="n">
        <v>0.14</v>
      </c>
      <c r="AF712" s="17" t="n">
        <v>0.111</v>
      </c>
      <c r="AG712" s="13" t="n">
        <f aca="false">1-AF712</f>
        <v>0.889</v>
      </c>
      <c r="AH712" s="17" t="n">
        <v>1.18</v>
      </c>
      <c r="AI712" s="12" t="n">
        <v>27336</v>
      </c>
      <c r="AJ712" s="14" t="n">
        <f aca="false">IFERROR(AM712*U712*MIN(1/AE712,5),"")</f>
        <v>79158.0732063982</v>
      </c>
      <c r="AK712" s="18" t="n">
        <f aca="false">IFERROR(AJ712/AI712,"")</f>
        <v>2.89574455686268</v>
      </c>
      <c r="AL712" s="15" t="n">
        <f aca="false">IFERROR(AI712/(AM712*U712/12),"")</f>
        <v>20.7200596674886</v>
      </c>
      <c r="AM712" s="12" t="n">
        <v>19760</v>
      </c>
      <c r="AN712" s="12" t="n">
        <v>2178607</v>
      </c>
      <c r="AO712" s="12" t="n">
        <v>6823953</v>
      </c>
      <c r="AP712" s="17" t="n">
        <v>0.208</v>
      </c>
      <c r="AQ712" s="16" t="n">
        <v>28</v>
      </c>
      <c r="AR712" s="16" t="n">
        <v>4</v>
      </c>
      <c r="AS712" s="13" t="n">
        <f aca="false">IFERROR(AR712/AR711-1,"")</f>
        <v>0.333333333333333</v>
      </c>
      <c r="AT712" s="11" t="s">
        <v>134</v>
      </c>
      <c r="AU712" s="14" t="n">
        <f aca="false">IFERROR(P712/AR712,"")</f>
        <v>466038.5</v>
      </c>
      <c r="AV712" s="12" t="n">
        <v>3823378</v>
      </c>
      <c r="AW712" s="12" t="n">
        <v>1404843</v>
      </c>
      <c r="AX712" s="12" t="n">
        <v>1049805</v>
      </c>
      <c r="AY712" s="16" t="n">
        <v>9319</v>
      </c>
      <c r="AZ712" s="13" t="n">
        <f aca="false">IFERROR(AY712/AY711-1,"")</f>
        <v>0.160812157448929</v>
      </c>
      <c r="BA712" s="17" t="n">
        <v>0.894</v>
      </c>
      <c r="BB712" s="11" t="s">
        <v>81</v>
      </c>
      <c r="BC712" s="11" t="s">
        <v>126</v>
      </c>
      <c r="BD712" s="11" t="s">
        <v>101</v>
      </c>
      <c r="BE712" s="12" t="n">
        <v>2164124</v>
      </c>
      <c r="BF712" s="13" t="n">
        <f aca="false">IFERROR(P712/BE712-1,"")</f>
        <v>-0.138610356892673</v>
      </c>
      <c r="BG712" s="17" t="n">
        <v>0.005</v>
      </c>
      <c r="BH712" s="17" t="n">
        <v>-0.069</v>
      </c>
      <c r="BI712" s="14" t="n">
        <f aca="false">P712*(1+IFERROR(Q712,0))^4</f>
        <v>4327483.42258254</v>
      </c>
      <c r="BJ712" s="12" t="n">
        <v>-1647671</v>
      </c>
      <c r="BK712" s="11" t="s">
        <v>110</v>
      </c>
      <c r="BL712" s="11" t="s">
        <v>162</v>
      </c>
      <c r="BM712" s="14" t="n">
        <f aca="false">O712</f>
        <v>25039897</v>
      </c>
      <c r="BN712" s="11" t="s">
        <v>688</v>
      </c>
      <c r="BO712" s="13" t="n">
        <f aca="false">IFERROR(1-L712/M712,"")</f>
        <v>0.13698946234905</v>
      </c>
      <c r="BP712" s="11" t="s">
        <v>142</v>
      </c>
      <c r="BQ712" s="12" t="n">
        <v>4004990</v>
      </c>
      <c r="BR712" s="11" t="s">
        <v>88</v>
      </c>
      <c r="BS712" s="11" t="s">
        <v>89</v>
      </c>
      <c r="BT712" s="19" t="str">
        <f aca="false">IF(OR(Z712&lt;6,AH712&lt;0.9,S712&lt;0.02,AK712&lt;1),"REVIEW",IF(AND(S712&gt;0.25,AH712&gt;1.2),"ACCELERATING","STABLE"))</f>
        <v>STABLE</v>
      </c>
    </row>
    <row r="713" customFormat="false" ht="15" hidden="false" customHeight="false" outlineLevel="0" collapsed="false">
      <c r="A713" s="11" t="s">
        <v>686</v>
      </c>
      <c r="B713" s="11" t="s">
        <v>93</v>
      </c>
      <c r="C713" s="11" t="s">
        <v>74</v>
      </c>
      <c r="D713" s="11" t="s">
        <v>95</v>
      </c>
      <c r="E713" s="11" t="s">
        <v>105</v>
      </c>
      <c r="F713" s="11" t="s">
        <v>687</v>
      </c>
      <c r="G713" s="11" t="s">
        <v>78</v>
      </c>
      <c r="H713" s="11" t="s">
        <v>644</v>
      </c>
      <c r="I713" s="11" t="s">
        <v>78</v>
      </c>
      <c r="J713" s="12" t="n">
        <v>1781000</v>
      </c>
      <c r="K713" s="13" t="n">
        <f aca="false">IFERROR(J713/M713,"")</f>
        <v>0.13698946234905</v>
      </c>
      <c r="L713" s="12" t="n">
        <v>11220000</v>
      </c>
      <c r="M713" s="14" t="n">
        <f aca="false">L713+J713</f>
        <v>13001000</v>
      </c>
      <c r="N713" s="12" t="n">
        <v>7814000</v>
      </c>
      <c r="O713" s="12" t="n">
        <v>25039897</v>
      </c>
      <c r="P713" s="12" t="n">
        <v>2011319</v>
      </c>
      <c r="Q713" s="13" t="n">
        <f aca="false">IFERROR(P713/P712-1,"")</f>
        <v>0.0789446580057227</v>
      </c>
      <c r="R713" s="12" t="n">
        <v>2469482</v>
      </c>
      <c r="S713" s="13" t="n">
        <f aca="false">IFERROR(R713/R712-1,"")</f>
        <v>0.116737069022044</v>
      </c>
      <c r="T713" s="12" t="n">
        <v>1617931</v>
      </c>
      <c r="U713" s="13" t="n">
        <f aca="false">IFERROR(T713/P713,"")</f>
        <v>0.804412925050676</v>
      </c>
      <c r="V713" s="14" t="n">
        <f aca="false">T713-AV713</f>
        <v>-3094998</v>
      </c>
      <c r="W713" s="14" t="n">
        <f aca="false">V713-AA713*0.1</f>
        <v>-3170598</v>
      </c>
      <c r="X713" s="12" t="n">
        <v>5552000</v>
      </c>
      <c r="Y713" s="12" t="n">
        <v>244000</v>
      </c>
      <c r="Z713" s="15" t="n">
        <f aca="false">IFERROR(X713/Y713,"")</f>
        <v>22.7540983606557</v>
      </c>
      <c r="AA713" s="12" t="n">
        <v>756000</v>
      </c>
      <c r="AB713" s="14" t="n">
        <f aca="false">W713-0.02*P713</f>
        <v>-3210824.38</v>
      </c>
      <c r="AC713" s="16" t="n">
        <v>15</v>
      </c>
      <c r="AD713" s="13" t="n">
        <f aca="false">IFERROR(AC713/AC712-1,"")</f>
        <v>0.0714285714285714</v>
      </c>
      <c r="AE713" s="17" t="n">
        <v>0.136</v>
      </c>
      <c r="AF713" s="17" t="n">
        <v>0.112</v>
      </c>
      <c r="AG713" s="13" t="n">
        <f aca="false">1-AF713</f>
        <v>0.888</v>
      </c>
      <c r="AH713" s="17" t="n">
        <v>1.175</v>
      </c>
      <c r="AI713" s="12" t="n">
        <v>26800</v>
      </c>
      <c r="AJ713" s="14" t="n">
        <f aca="false">IFERROR(AM713*U713*MIN(1/AE713,5),"")</f>
        <v>81004.381552603</v>
      </c>
      <c r="AK713" s="18" t="n">
        <f aca="false">IFERROR(AJ713/AI713,"")</f>
        <v>3.02255155047026</v>
      </c>
      <c r="AL713" s="15" t="n">
        <f aca="false">IFERROR(AI713/(AM713*U713/12),"")</f>
        <v>19.8507780589102</v>
      </c>
      <c r="AM713" s="12" t="n">
        <v>20140</v>
      </c>
      <c r="AN713" s="12" t="n">
        <v>3452239</v>
      </c>
      <c r="AO713" s="12" t="n">
        <v>9873110</v>
      </c>
      <c r="AP713" s="17" t="n">
        <v>0.208</v>
      </c>
      <c r="AQ713" s="16" t="n">
        <v>28</v>
      </c>
      <c r="AR713" s="16" t="n">
        <v>4</v>
      </c>
      <c r="AS713" s="13" t="n">
        <f aca="false">IFERROR(AR713/AR712-1,"")</f>
        <v>0</v>
      </c>
      <c r="AT713" s="11" t="s">
        <v>134</v>
      </c>
      <c r="AU713" s="14" t="n">
        <f aca="false">IFERROR(P713/AR713,"")</f>
        <v>502829.75</v>
      </c>
      <c r="AV713" s="12" t="n">
        <v>4712929</v>
      </c>
      <c r="AW713" s="12" t="n">
        <v>1793089</v>
      </c>
      <c r="AX713" s="12" t="n">
        <v>1444754</v>
      </c>
      <c r="AY713" s="16" t="n">
        <v>10514</v>
      </c>
      <c r="AZ713" s="13" t="n">
        <f aca="false">IFERROR(AY713/AY712-1,"")</f>
        <v>0.128232642987445</v>
      </c>
      <c r="BA713" s="17" t="n">
        <v>0.86</v>
      </c>
      <c r="BB713" s="11" t="s">
        <v>81</v>
      </c>
      <c r="BC713" s="11" t="s">
        <v>126</v>
      </c>
      <c r="BD713" s="11" t="s">
        <v>101</v>
      </c>
      <c r="BE713" s="12" t="n">
        <v>2290374</v>
      </c>
      <c r="BF713" s="13" t="n">
        <f aca="false">IFERROR(P713/BE713-1,"")</f>
        <v>-0.121838180140012</v>
      </c>
      <c r="BG713" s="17" t="n">
        <v>0.04</v>
      </c>
      <c r="BH713" s="17" t="n">
        <v>-0.001</v>
      </c>
      <c r="BI713" s="14" t="n">
        <f aca="false">P713*(1+IFERROR(Q713,0))^4</f>
        <v>2725697.35451338</v>
      </c>
      <c r="BJ713" s="12" t="n">
        <v>-2205479</v>
      </c>
      <c r="BK713" s="11" t="s">
        <v>110</v>
      </c>
      <c r="BL713" s="11" t="s">
        <v>162</v>
      </c>
      <c r="BM713" s="14" t="n">
        <f aca="false">O713</f>
        <v>25039897</v>
      </c>
      <c r="BN713" s="11" t="s">
        <v>688</v>
      </c>
      <c r="BO713" s="13" t="n">
        <f aca="false">IFERROR(1-L713/M713,"")</f>
        <v>0.13698946234905</v>
      </c>
      <c r="BP713" s="11" t="s">
        <v>142</v>
      </c>
      <c r="BQ713" s="12" t="n">
        <v>4164270</v>
      </c>
      <c r="BR713" s="11" t="s">
        <v>88</v>
      </c>
      <c r="BS713" s="11" t="s">
        <v>89</v>
      </c>
      <c r="BT713" s="19" t="str">
        <f aca="false">IF(OR(Z713&lt;6,AH713&lt;0.9,S713&lt;0.02,AK713&lt;1),"REVIEW",IF(AND(S713&gt;0.25,AH713&gt;1.2),"ACCELERATING","STABLE"))</f>
        <v>STABLE</v>
      </c>
    </row>
    <row r="714" customFormat="false" ht="15" hidden="false" customHeight="false" outlineLevel="0" collapsed="false">
      <c r="A714" s="3" t="s">
        <v>689</v>
      </c>
      <c r="B714" s="3" t="s">
        <v>73</v>
      </c>
      <c r="C714" s="3" t="s">
        <v>74</v>
      </c>
      <c r="D714" s="3" t="s">
        <v>165</v>
      </c>
      <c r="E714" s="3" t="s">
        <v>105</v>
      </c>
      <c r="F714" s="3" t="s">
        <v>690</v>
      </c>
      <c r="G714" s="3" t="s">
        <v>78</v>
      </c>
      <c r="H714" s="3" t="s">
        <v>644</v>
      </c>
      <c r="I714" s="3" t="s">
        <v>78</v>
      </c>
      <c r="J714" s="4" t="n">
        <v>3042000</v>
      </c>
      <c r="K714" s="5" t="n">
        <f aca="false">IFERROR(J714/M714,"")</f>
        <v>0.104586398954824</v>
      </c>
      <c r="L714" s="4" t="n">
        <v>26044000</v>
      </c>
      <c r="M714" s="6" t="n">
        <f aca="false">L714+J714</f>
        <v>29086000</v>
      </c>
      <c r="N714" s="4" t="n">
        <v>3042000</v>
      </c>
      <c r="O714" s="4" t="n">
        <v>28025697</v>
      </c>
      <c r="P714" s="4" t="n">
        <v>1140574</v>
      </c>
      <c r="Q714" s="7"/>
      <c r="R714" s="4" t="n">
        <v>1247347</v>
      </c>
      <c r="S714" s="7"/>
      <c r="T714" s="4" t="n">
        <v>954326</v>
      </c>
      <c r="U714" s="5" t="n">
        <f aca="false">IFERROR(T714/P714,"")</f>
        <v>0.836706780971686</v>
      </c>
      <c r="V714" s="6" t="n">
        <f aca="false">T714-AV714</f>
        <v>-1904870</v>
      </c>
      <c r="W714" s="6" t="n">
        <f aca="false">V714-AA714*0.1</f>
        <v>-1922170</v>
      </c>
      <c r="X714" s="4" t="n">
        <v>5822055</v>
      </c>
      <c r="Y714" s="4" t="n">
        <v>186550</v>
      </c>
      <c r="Z714" s="8" t="n">
        <f aca="false">IFERROR(X714/Y714,"")</f>
        <v>31.2090860359153</v>
      </c>
      <c r="AA714" s="4" t="n">
        <v>173000</v>
      </c>
      <c r="AB714" s="6" t="n">
        <f aca="false">W714-0.02*P714</f>
        <v>-1944981.48</v>
      </c>
      <c r="AC714" s="9" t="n">
        <v>23</v>
      </c>
      <c r="AD714" s="7"/>
      <c r="AE714" s="7" t="n">
        <v>0.14</v>
      </c>
      <c r="AF714" s="7" t="n">
        <v>0.095</v>
      </c>
      <c r="AG714" s="5" t="n">
        <f aca="false">1-AF714</f>
        <v>0.905</v>
      </c>
      <c r="AH714" s="7" t="n">
        <v>1.136</v>
      </c>
      <c r="AI714" s="4" t="n">
        <v>38690</v>
      </c>
      <c r="AJ714" s="6" t="n">
        <f aca="false">IFERROR(AM714*U714*MIN(1/AE714,5),"")</f>
        <v>83670.6780971686</v>
      </c>
      <c r="AK714" s="10" t="n">
        <f aca="false">IFERROR(AJ714/AI714,"")</f>
        <v>2.16259183502633</v>
      </c>
      <c r="AL714" s="8" t="n">
        <f aca="false">IFERROR(AI714/(AM714*U714/12),"")</f>
        <v>27.7444865129945</v>
      </c>
      <c r="AM714" s="4" t="n">
        <v>20000</v>
      </c>
      <c r="AN714" s="4" t="n">
        <v>1553108</v>
      </c>
      <c r="AO714" s="4" t="n">
        <v>2452102</v>
      </c>
      <c r="AP714" s="7" t="n">
        <v>0.356</v>
      </c>
      <c r="AQ714" s="9" t="n">
        <v>39</v>
      </c>
      <c r="AR714" s="9" t="n">
        <v>2</v>
      </c>
      <c r="AS714" s="7"/>
      <c r="AT714" s="3" t="s">
        <v>201</v>
      </c>
      <c r="AU714" s="6" t="n">
        <f aca="false">IFERROR(P714/AR714,"")</f>
        <v>570287</v>
      </c>
      <c r="AV714" s="4" t="n">
        <v>2859196</v>
      </c>
      <c r="AW714" s="4" t="n">
        <v>1089133</v>
      </c>
      <c r="AX714" s="4" t="n">
        <v>694484</v>
      </c>
      <c r="AY714" s="9" t="n">
        <v>2099</v>
      </c>
      <c r="AZ714" s="7"/>
      <c r="BA714" s="7" t="n">
        <v>0.858</v>
      </c>
      <c r="BB714" s="3" t="s">
        <v>107</v>
      </c>
      <c r="BC714" s="3" t="s">
        <v>82</v>
      </c>
      <c r="BD714" s="3" t="s">
        <v>83</v>
      </c>
      <c r="BE714" s="4" t="n">
        <v>1161125</v>
      </c>
      <c r="BF714" s="5" t="n">
        <f aca="false">IFERROR(P714/BE714-1,"")</f>
        <v>-0.0176992141242329</v>
      </c>
      <c r="BG714" s="7" t="n">
        <v>0.05</v>
      </c>
      <c r="BH714" s="7" t="n">
        <v>-0.062</v>
      </c>
      <c r="BI714" s="6" t="n">
        <f aca="false">P714</f>
        <v>1140574</v>
      </c>
      <c r="BJ714" s="4" t="n">
        <v>-2095703</v>
      </c>
      <c r="BK714" s="3" t="s">
        <v>192</v>
      </c>
      <c r="BL714" s="3" t="s">
        <v>128</v>
      </c>
      <c r="BM714" s="6" t="n">
        <f aca="false">O714</f>
        <v>28025697</v>
      </c>
      <c r="BN714" s="3" t="s">
        <v>691</v>
      </c>
      <c r="BO714" s="5" t="n">
        <f aca="false">IFERROR(1-L714/M714,"")</f>
        <v>0.104586398954824</v>
      </c>
      <c r="BP714" s="3" t="s">
        <v>198</v>
      </c>
      <c r="BQ714" s="4" t="n">
        <v>3599112</v>
      </c>
      <c r="BR714" s="3" t="s">
        <v>88</v>
      </c>
      <c r="BS714" s="3" t="s">
        <v>89</v>
      </c>
      <c r="BT714" s="3" t="s">
        <v>90</v>
      </c>
    </row>
    <row r="715" customFormat="false" ht="15" hidden="false" customHeight="false" outlineLevel="0" collapsed="false">
      <c r="A715" s="11" t="s">
        <v>689</v>
      </c>
      <c r="B715" s="11" t="s">
        <v>91</v>
      </c>
      <c r="C715" s="11" t="s">
        <v>74</v>
      </c>
      <c r="D715" s="11" t="s">
        <v>165</v>
      </c>
      <c r="E715" s="11" t="s">
        <v>105</v>
      </c>
      <c r="F715" s="11" t="s">
        <v>690</v>
      </c>
      <c r="G715" s="11" t="s">
        <v>78</v>
      </c>
      <c r="H715" s="11" t="s">
        <v>644</v>
      </c>
      <c r="I715" s="11" t="s">
        <v>78</v>
      </c>
      <c r="J715" s="12" t="n">
        <v>3042000</v>
      </c>
      <c r="K715" s="13" t="n">
        <f aca="false">IFERROR(J715/M715,"")</f>
        <v>0.104586398954824</v>
      </c>
      <c r="L715" s="12" t="n">
        <v>26044000</v>
      </c>
      <c r="M715" s="14" t="n">
        <f aca="false">L715+J715</f>
        <v>29086000</v>
      </c>
      <c r="N715" s="12" t="n">
        <v>3042000</v>
      </c>
      <c r="O715" s="12" t="n">
        <v>28025697</v>
      </c>
      <c r="P715" s="12" t="n">
        <v>1386394</v>
      </c>
      <c r="Q715" s="13" t="n">
        <f aca="false">IFERROR(P715/P714-1,"")</f>
        <v>0.215523061195503</v>
      </c>
      <c r="R715" s="12" t="n">
        <v>1600816</v>
      </c>
      <c r="S715" s="13" t="n">
        <f aca="false">IFERROR(R715/R714-1,"")</f>
        <v>0.283376638577717</v>
      </c>
      <c r="T715" s="12" t="n">
        <v>1164702</v>
      </c>
      <c r="U715" s="13" t="n">
        <f aca="false">IFERROR(T715/P715,"")</f>
        <v>0.840094518585626</v>
      </c>
      <c r="V715" s="14" t="n">
        <f aca="false">T715-AV715</f>
        <v>-1946480</v>
      </c>
      <c r="W715" s="14" t="n">
        <f aca="false">V715-AA715*0.1</f>
        <v>-1963780</v>
      </c>
      <c r="X715" s="12" t="n">
        <v>5351580</v>
      </c>
      <c r="Y715" s="12" t="n">
        <v>192700</v>
      </c>
      <c r="Z715" s="15" t="n">
        <f aca="false">IFERROR(X715/Y715,"")</f>
        <v>27.7715620134925</v>
      </c>
      <c r="AA715" s="12" t="n">
        <v>173000</v>
      </c>
      <c r="AB715" s="14" t="n">
        <f aca="false">W715-0.02*P715</f>
        <v>-1991507.88</v>
      </c>
      <c r="AC715" s="16" t="n">
        <v>26</v>
      </c>
      <c r="AD715" s="13" t="n">
        <f aca="false">IFERROR(AC715/AC714-1,"")</f>
        <v>0.130434782608696</v>
      </c>
      <c r="AE715" s="17" t="n">
        <v>0.136</v>
      </c>
      <c r="AF715" s="17" t="n">
        <v>0.087</v>
      </c>
      <c r="AG715" s="13" t="n">
        <f aca="false">1-AF715</f>
        <v>0.913</v>
      </c>
      <c r="AH715" s="17" t="n">
        <v>1.131</v>
      </c>
      <c r="AI715" s="12" t="n">
        <v>37960</v>
      </c>
      <c r="AJ715" s="14" t="n">
        <f aca="false">IFERROR(AM715*U715*MIN(1/AE715,5),"")</f>
        <v>85689.6408957338</v>
      </c>
      <c r="AK715" s="18" t="n">
        <f aca="false">IFERROR(AJ715/AI715,"")</f>
        <v>2.25736672538814</v>
      </c>
      <c r="AL715" s="15" t="n">
        <f aca="false">IFERROR(AI715/(AM715*U715/12),"")</f>
        <v>26.5796422553732</v>
      </c>
      <c r="AM715" s="12" t="n">
        <v>20400</v>
      </c>
      <c r="AN715" s="12" t="n">
        <v>1489682</v>
      </c>
      <c r="AO715" s="12" t="n">
        <v>3891274</v>
      </c>
      <c r="AP715" s="17" t="n">
        <v>0.356</v>
      </c>
      <c r="AQ715" s="16" t="n">
        <v>39</v>
      </c>
      <c r="AR715" s="16" t="n">
        <v>2</v>
      </c>
      <c r="AS715" s="13" t="n">
        <f aca="false">IFERROR(AR715/AR714-1,"")</f>
        <v>0</v>
      </c>
      <c r="AT715" s="11" t="s">
        <v>201</v>
      </c>
      <c r="AU715" s="14" t="n">
        <f aca="false">IFERROR(P715/AR715,"")</f>
        <v>693197</v>
      </c>
      <c r="AV715" s="12" t="n">
        <v>3111182</v>
      </c>
      <c r="AW715" s="12" t="n">
        <v>1034475</v>
      </c>
      <c r="AX715" s="12" t="n">
        <v>736826</v>
      </c>
      <c r="AY715" s="16" t="n">
        <v>2465</v>
      </c>
      <c r="AZ715" s="13" t="n">
        <f aca="false">IFERROR(AY715/AY714-1,"")</f>
        <v>0.174368747022392</v>
      </c>
      <c r="BA715" s="17" t="n">
        <v>0.857</v>
      </c>
      <c r="BB715" s="11" t="s">
        <v>107</v>
      </c>
      <c r="BC715" s="11" t="s">
        <v>82</v>
      </c>
      <c r="BD715" s="11" t="s">
        <v>83</v>
      </c>
      <c r="BE715" s="12" t="n">
        <v>1466067</v>
      </c>
      <c r="BF715" s="13" t="n">
        <f aca="false">IFERROR(P715/BE715-1,"")</f>
        <v>-0.0543447195796645</v>
      </c>
      <c r="BG715" s="17" t="n">
        <v>0.07</v>
      </c>
      <c r="BH715" s="17" t="n">
        <v>0.067</v>
      </c>
      <c r="BI715" s="14" t="n">
        <f aca="false">P715*(1+IFERROR(Q715,0))^4</f>
        <v>3026491.65922529</v>
      </c>
      <c r="BJ715" s="12" t="n">
        <v>-1725693</v>
      </c>
      <c r="BK715" s="11" t="s">
        <v>192</v>
      </c>
      <c r="BL715" s="11" t="s">
        <v>128</v>
      </c>
      <c r="BM715" s="14" t="n">
        <f aca="false">O715</f>
        <v>28025697</v>
      </c>
      <c r="BN715" s="11" t="s">
        <v>691</v>
      </c>
      <c r="BO715" s="13" t="n">
        <f aca="false">IFERROR(1-L715/M715,"")</f>
        <v>0.104586398954824</v>
      </c>
      <c r="BP715" s="11" t="s">
        <v>198</v>
      </c>
      <c r="BQ715" s="12" t="n">
        <v>3467870</v>
      </c>
      <c r="BR715" s="11" t="s">
        <v>88</v>
      </c>
      <c r="BS715" s="11" t="s">
        <v>89</v>
      </c>
      <c r="BT715" s="19" t="str">
        <f aca="false">IF(OR(Z715&lt;6,AH715&lt;0.9,S715&lt;0.02,AK715&lt;1),"REVIEW",IF(AND(S715&gt;0.25,AH715&gt;1.2),"ACCELERATING","STABLE"))</f>
        <v>STABLE</v>
      </c>
    </row>
    <row r="716" customFormat="false" ht="15" hidden="false" customHeight="false" outlineLevel="0" collapsed="false">
      <c r="A716" s="11" t="s">
        <v>689</v>
      </c>
      <c r="B716" s="11" t="s">
        <v>92</v>
      </c>
      <c r="C716" s="11" t="s">
        <v>74</v>
      </c>
      <c r="D716" s="11" t="s">
        <v>165</v>
      </c>
      <c r="E716" s="11" t="s">
        <v>105</v>
      </c>
      <c r="F716" s="11" t="s">
        <v>690</v>
      </c>
      <c r="G716" s="11" t="s">
        <v>78</v>
      </c>
      <c r="H716" s="11" t="s">
        <v>644</v>
      </c>
      <c r="I716" s="11" t="s">
        <v>78</v>
      </c>
      <c r="J716" s="12" t="n">
        <v>3042000</v>
      </c>
      <c r="K716" s="13" t="n">
        <f aca="false">IFERROR(J716/M716,"")</f>
        <v>0.104586398954824</v>
      </c>
      <c r="L716" s="12" t="n">
        <v>26044000</v>
      </c>
      <c r="M716" s="14" t="n">
        <f aca="false">L716+J716</f>
        <v>29086000</v>
      </c>
      <c r="N716" s="12" t="n">
        <v>3042000</v>
      </c>
      <c r="O716" s="12" t="n">
        <v>28025697</v>
      </c>
      <c r="P716" s="12" t="n">
        <v>1577833</v>
      </c>
      <c r="Q716" s="13" t="n">
        <f aca="false">IFERROR(P716/P715-1,"")</f>
        <v>0.138084123272316</v>
      </c>
      <c r="R716" s="12" t="n">
        <v>1848754</v>
      </c>
      <c r="S716" s="13" t="n">
        <f aca="false">IFERROR(R716/R715-1,"")</f>
        <v>0.154882260047376</v>
      </c>
      <c r="T716" s="12" t="n">
        <v>1330874</v>
      </c>
      <c r="U716" s="13" t="n">
        <f aca="false">IFERROR(T716/P716,"")</f>
        <v>0.843482168264956</v>
      </c>
      <c r="V716" s="14" t="n">
        <f aca="false">T716-AV716</f>
        <v>-2163129</v>
      </c>
      <c r="W716" s="14" t="n">
        <f aca="false">V716-AA716*0.1</f>
        <v>-2180429</v>
      </c>
      <c r="X716" s="12" t="n">
        <v>4847895</v>
      </c>
      <c r="Y716" s="12" t="n">
        <v>198850</v>
      </c>
      <c r="Z716" s="15" t="n">
        <f aca="false">IFERROR(X716/Y716,"")</f>
        <v>24.3796580336937</v>
      </c>
      <c r="AA716" s="12" t="n">
        <v>173000</v>
      </c>
      <c r="AB716" s="14" t="n">
        <f aca="false">W716-0.02*P716</f>
        <v>-2211985.66</v>
      </c>
      <c r="AC716" s="16" t="n">
        <v>30</v>
      </c>
      <c r="AD716" s="13" t="n">
        <f aca="false">IFERROR(AC716/AC715-1,"")</f>
        <v>0.153846153846154</v>
      </c>
      <c r="AE716" s="17" t="n">
        <v>0.132</v>
      </c>
      <c r="AF716" s="17" t="n">
        <v>0.132</v>
      </c>
      <c r="AG716" s="13" t="n">
        <f aca="false">1-AF716</f>
        <v>0.868</v>
      </c>
      <c r="AH716" s="17" t="n">
        <v>1.126</v>
      </c>
      <c r="AI716" s="12" t="n">
        <v>37230</v>
      </c>
      <c r="AJ716" s="14" t="n">
        <f aca="false">IFERROR(AM716*U716*MIN(1/AE716,5),"")</f>
        <v>87722.1454995554</v>
      </c>
      <c r="AK716" s="18" t="n">
        <f aca="false">IFERROR(AJ716/AI716,"")</f>
        <v>2.35622201180648</v>
      </c>
      <c r="AL716" s="15" t="n">
        <f aca="false">IFERROR(AI716/(AM716*U716/12),"")</f>
        <v>25.4644934557753</v>
      </c>
      <c r="AM716" s="12" t="n">
        <v>20800</v>
      </c>
      <c r="AN716" s="12" t="n">
        <v>2308351</v>
      </c>
      <c r="AO716" s="12" t="n">
        <v>4018527</v>
      </c>
      <c r="AP716" s="17" t="n">
        <v>0.356</v>
      </c>
      <c r="AQ716" s="16" t="n">
        <v>39</v>
      </c>
      <c r="AR716" s="16" t="n">
        <v>2</v>
      </c>
      <c r="AS716" s="13" t="n">
        <f aca="false">IFERROR(AR716/AR715-1,"")</f>
        <v>0</v>
      </c>
      <c r="AT716" s="11" t="s">
        <v>201</v>
      </c>
      <c r="AU716" s="14" t="n">
        <f aca="false">IFERROR(P716/AR716,"")</f>
        <v>788916.5</v>
      </c>
      <c r="AV716" s="12" t="n">
        <v>3494003</v>
      </c>
      <c r="AW716" s="12" t="n">
        <v>1612754</v>
      </c>
      <c r="AX716" s="12" t="n">
        <v>985263</v>
      </c>
      <c r="AY716" s="16" t="n">
        <v>2990</v>
      </c>
      <c r="AZ716" s="13" t="n">
        <f aca="false">IFERROR(AY716/AY715-1,"")</f>
        <v>0.212981744421907</v>
      </c>
      <c r="BA716" s="17" t="n">
        <v>0.86</v>
      </c>
      <c r="BB716" s="11" t="s">
        <v>107</v>
      </c>
      <c r="BC716" s="11" t="s">
        <v>82</v>
      </c>
      <c r="BD716" s="11" t="s">
        <v>83</v>
      </c>
      <c r="BE716" s="12" t="n">
        <v>1880388</v>
      </c>
      <c r="BF716" s="13" t="n">
        <f aca="false">IFERROR(P716/BE716-1,"")</f>
        <v>-0.160900303554373</v>
      </c>
      <c r="BG716" s="17" t="n">
        <v>0.066</v>
      </c>
      <c r="BH716" s="17" t="n">
        <v>0.055</v>
      </c>
      <c r="BI716" s="14" t="n">
        <f aca="false">P716*(1+IFERROR(Q716,0))^4</f>
        <v>2647027.74978297</v>
      </c>
      <c r="BJ716" s="12" t="n">
        <v>-2040474</v>
      </c>
      <c r="BK716" s="11" t="s">
        <v>192</v>
      </c>
      <c r="BL716" s="11" t="s">
        <v>128</v>
      </c>
      <c r="BM716" s="14" t="n">
        <f aca="false">O716</f>
        <v>28025697</v>
      </c>
      <c r="BN716" s="11" t="s">
        <v>691</v>
      </c>
      <c r="BO716" s="13" t="n">
        <f aca="false">IFERROR(1-L716/M716,"")</f>
        <v>0.104586398954824</v>
      </c>
      <c r="BP716" s="11" t="s">
        <v>198</v>
      </c>
      <c r="BQ716" s="12" t="n">
        <v>3617527</v>
      </c>
      <c r="BR716" s="11" t="s">
        <v>88</v>
      </c>
      <c r="BS716" s="11" t="s">
        <v>89</v>
      </c>
      <c r="BT716" s="19" t="str">
        <f aca="false">IF(OR(Z716&lt;6,AH716&lt;0.9,S716&lt;0.02,AK716&lt;1),"REVIEW",IF(AND(S716&gt;0.25,AH716&gt;1.2),"ACCELERATING","STABLE"))</f>
        <v>STABLE</v>
      </c>
    </row>
    <row r="717" customFormat="false" ht="15" hidden="false" customHeight="false" outlineLevel="0" collapsed="false">
      <c r="A717" s="11" t="s">
        <v>689</v>
      </c>
      <c r="B717" s="11" t="s">
        <v>93</v>
      </c>
      <c r="C717" s="11" t="s">
        <v>74</v>
      </c>
      <c r="D717" s="11" t="s">
        <v>165</v>
      </c>
      <c r="E717" s="11" t="s">
        <v>105</v>
      </c>
      <c r="F717" s="11" t="s">
        <v>690</v>
      </c>
      <c r="G717" s="11" t="s">
        <v>78</v>
      </c>
      <c r="H717" s="11" t="s">
        <v>644</v>
      </c>
      <c r="I717" s="11" t="s">
        <v>78</v>
      </c>
      <c r="J717" s="12" t="n">
        <v>3042000</v>
      </c>
      <c r="K717" s="13" t="n">
        <f aca="false">IFERROR(J717/M717,"")</f>
        <v>0.104586398954824</v>
      </c>
      <c r="L717" s="12" t="n">
        <v>26044000</v>
      </c>
      <c r="M717" s="14" t="n">
        <f aca="false">L717+J717</f>
        <v>29086000</v>
      </c>
      <c r="N717" s="12" t="n">
        <v>3042000</v>
      </c>
      <c r="O717" s="12" t="n">
        <v>28025697</v>
      </c>
      <c r="P717" s="12" t="n">
        <v>2000888</v>
      </c>
      <c r="Q717" s="13" t="n">
        <f aca="false">IFERROR(P717/P716-1,"")</f>
        <v>0.268124066361903</v>
      </c>
      <c r="R717" s="12" t="n">
        <v>2326158</v>
      </c>
      <c r="S717" s="13" t="n">
        <f aca="false">IFERROR(R717/R716-1,"")</f>
        <v>0.258230137703556</v>
      </c>
      <c r="T717" s="12" t="n">
        <v>1694491</v>
      </c>
      <c r="U717" s="13" t="n">
        <f aca="false">IFERROR(T717/P717,"")</f>
        <v>0.846869489946464</v>
      </c>
      <c r="V717" s="14" t="n">
        <f aca="false">T717-AV717</f>
        <v>-1859906</v>
      </c>
      <c r="W717" s="14" t="n">
        <f aca="false">V717-AA717*0.1</f>
        <v>-1877206</v>
      </c>
      <c r="X717" s="12" t="n">
        <v>4311000</v>
      </c>
      <c r="Y717" s="12" t="n">
        <v>205000</v>
      </c>
      <c r="Z717" s="15" t="n">
        <f aca="false">IFERROR(X717/Y717,"")</f>
        <v>21.0292682926829</v>
      </c>
      <c r="AA717" s="12" t="n">
        <v>173000</v>
      </c>
      <c r="AB717" s="14" t="n">
        <f aca="false">W717-0.02*P717</f>
        <v>-1917223.76</v>
      </c>
      <c r="AC717" s="16" t="n">
        <v>36</v>
      </c>
      <c r="AD717" s="13" t="n">
        <f aca="false">IFERROR(AC717/AC716-1,"")</f>
        <v>0.2</v>
      </c>
      <c r="AE717" s="17" t="n">
        <v>0.128</v>
      </c>
      <c r="AF717" s="17" t="n">
        <v>0.115</v>
      </c>
      <c r="AG717" s="13" t="n">
        <f aca="false">1-AF717</f>
        <v>0.885</v>
      </c>
      <c r="AH717" s="17" t="n">
        <v>1.121</v>
      </c>
      <c r="AI717" s="12" t="n">
        <v>36500</v>
      </c>
      <c r="AJ717" s="14" t="n">
        <f aca="false">IFERROR(AM717*U717*MIN(1/AE717,5),"")</f>
        <v>89768.1659343252</v>
      </c>
      <c r="AK717" s="18" t="n">
        <f aca="false">IFERROR(AJ717/AI717,"")</f>
        <v>2.45940180641987</v>
      </c>
      <c r="AL717" s="15" t="n">
        <f aca="false">IFERROR(AI717/(AM717*U717/12),"")</f>
        <v>24.3961762748079</v>
      </c>
      <c r="AM717" s="12" t="n">
        <v>21200</v>
      </c>
      <c r="AN717" s="12" t="n">
        <v>3003758</v>
      </c>
      <c r="AO717" s="12" t="n">
        <v>8979322</v>
      </c>
      <c r="AP717" s="17" t="n">
        <v>0.356</v>
      </c>
      <c r="AQ717" s="16" t="n">
        <v>39</v>
      </c>
      <c r="AR717" s="16" t="n">
        <v>2</v>
      </c>
      <c r="AS717" s="13" t="n">
        <f aca="false">IFERROR(AR717/AR716-1,"")</f>
        <v>0</v>
      </c>
      <c r="AT717" s="11" t="s">
        <v>201</v>
      </c>
      <c r="AU717" s="14" t="n">
        <f aca="false">IFERROR(P717/AR717,"")</f>
        <v>1000444</v>
      </c>
      <c r="AV717" s="12" t="n">
        <v>3554397</v>
      </c>
      <c r="AW717" s="12" t="n">
        <v>1332541</v>
      </c>
      <c r="AX717" s="12" t="n">
        <v>887763</v>
      </c>
      <c r="AY717" s="16" t="n">
        <v>3668</v>
      </c>
      <c r="AZ717" s="13" t="n">
        <f aca="false">IFERROR(AY717/AY716-1,"")</f>
        <v>0.226755852842809</v>
      </c>
      <c r="BA717" s="17" t="n">
        <v>0.876</v>
      </c>
      <c r="BB717" s="11" t="s">
        <v>107</v>
      </c>
      <c r="BC717" s="11" t="s">
        <v>82</v>
      </c>
      <c r="BD717" s="11" t="s">
        <v>83</v>
      </c>
      <c r="BE717" s="12" t="n">
        <v>2208069</v>
      </c>
      <c r="BF717" s="13" t="n">
        <f aca="false">IFERROR(P717/BE717-1,"")</f>
        <v>-0.0938290424801037</v>
      </c>
      <c r="BG717" s="17" t="n">
        <v>0.065</v>
      </c>
      <c r="BH717" s="17" t="n">
        <v>0.051</v>
      </c>
      <c r="BI717" s="14" t="n">
        <f aca="false">P717*(1+IFERROR(Q717,0))^4</f>
        <v>5174516.28596455</v>
      </c>
      <c r="BJ717" s="12" t="n">
        <v>-2075390</v>
      </c>
      <c r="BK717" s="11" t="s">
        <v>192</v>
      </c>
      <c r="BL717" s="11" t="s">
        <v>128</v>
      </c>
      <c r="BM717" s="14" t="n">
        <f aca="false">O717</f>
        <v>28025697</v>
      </c>
      <c r="BN717" s="11" t="s">
        <v>691</v>
      </c>
      <c r="BO717" s="13" t="n">
        <f aca="false">IFERROR(1-L717/M717,"")</f>
        <v>0.104586398954824</v>
      </c>
      <c r="BP717" s="11" t="s">
        <v>198</v>
      </c>
      <c r="BQ717" s="12" t="n">
        <v>3971521</v>
      </c>
      <c r="BR717" s="11" t="s">
        <v>88</v>
      </c>
      <c r="BS717" s="11" t="s">
        <v>89</v>
      </c>
      <c r="BT717" s="19" t="str">
        <f aca="false">IF(OR(Z717&lt;6,AH717&lt;0.9,S717&lt;0.02,AK717&lt;1),"REVIEW",IF(AND(S717&gt;0.25,AH717&gt;1.2),"ACCELERATING","STABLE"))</f>
        <v>STABLE</v>
      </c>
    </row>
    <row r="718" customFormat="false" ht="15" hidden="false" customHeight="false" outlineLevel="0" collapsed="false">
      <c r="A718" s="3" t="s">
        <v>692</v>
      </c>
      <c r="B718" s="3" t="s">
        <v>73</v>
      </c>
      <c r="C718" s="3" t="s">
        <v>74</v>
      </c>
      <c r="D718" s="3" t="s">
        <v>95</v>
      </c>
      <c r="E718" s="3" t="s">
        <v>187</v>
      </c>
      <c r="F718" s="3" t="s">
        <v>693</v>
      </c>
      <c r="G718" s="3" t="s">
        <v>78</v>
      </c>
      <c r="H718" s="3" t="s">
        <v>644</v>
      </c>
      <c r="I718" s="3" t="s">
        <v>78</v>
      </c>
      <c r="J718" s="4" t="n">
        <v>2484000</v>
      </c>
      <c r="K718" s="5" t="n">
        <f aca="false">IFERROR(J718/M718,"")</f>
        <v>0.150027178836746</v>
      </c>
      <c r="L718" s="4" t="n">
        <v>14073000</v>
      </c>
      <c r="M718" s="6" t="n">
        <f aca="false">L718+J718</f>
        <v>16557000</v>
      </c>
      <c r="N718" s="4" t="n">
        <v>6194000</v>
      </c>
      <c r="O718" s="4" t="n">
        <v>20723894</v>
      </c>
      <c r="P718" s="4" t="n">
        <v>162804</v>
      </c>
      <c r="Q718" s="7"/>
      <c r="R718" s="4" t="n">
        <v>180162</v>
      </c>
      <c r="S718" s="7"/>
      <c r="T718" s="4" t="n">
        <v>98606</v>
      </c>
      <c r="U718" s="5" t="n">
        <f aca="false">IFERROR(T718/P718,"")</f>
        <v>0.605673079285521</v>
      </c>
      <c r="V718" s="6" t="n">
        <f aca="false">T718-AV718</f>
        <v>-1631230</v>
      </c>
      <c r="W718" s="6" t="n">
        <f aca="false">V718-AA718*0.1</f>
        <v>-1631230</v>
      </c>
      <c r="X718" s="4" t="n">
        <v>4064989</v>
      </c>
      <c r="Y718" s="4" t="n">
        <v>144690</v>
      </c>
      <c r="Z718" s="8" t="n">
        <f aca="false">IFERROR(X718/Y718,"")</f>
        <v>28.0944709378672</v>
      </c>
      <c r="AA718" s="4" t="n">
        <v>0</v>
      </c>
      <c r="AB718" s="6" t="n">
        <f aca="false">W718-0.02*P718</f>
        <v>-1634486.08</v>
      </c>
      <c r="AC718" s="9" t="n">
        <v>11</v>
      </c>
      <c r="AD718" s="7"/>
      <c r="AE718" s="7" t="n">
        <v>0.048</v>
      </c>
      <c r="AF718" s="7" t="n">
        <v>0.041</v>
      </c>
      <c r="AG718" s="5" t="n">
        <f aca="false">1-AF718</f>
        <v>0.959</v>
      </c>
      <c r="AH718" s="7" t="n">
        <v>1.118</v>
      </c>
      <c r="AI718" s="4" t="n">
        <v>27136</v>
      </c>
      <c r="AJ718" s="6" t="n">
        <f aca="false">IFERROR(AM718*U718*MIN(1/AE718,5),"")</f>
        <v>51482.2117392693</v>
      </c>
      <c r="AK718" s="10" t="n">
        <f aca="false">IFERROR(AJ718/AI718,"")</f>
        <v>1.8971923547785</v>
      </c>
      <c r="AL718" s="8" t="n">
        <f aca="false">IFERROR(AI718/(AM718*U718/12),"")</f>
        <v>31.6256808904362</v>
      </c>
      <c r="AM718" s="4" t="n">
        <v>17000</v>
      </c>
      <c r="AN718" s="4" t="n">
        <v>162469</v>
      </c>
      <c r="AO718" s="4" t="n">
        <v>444751</v>
      </c>
      <c r="AP718" s="7" t="n">
        <v>0.371</v>
      </c>
      <c r="AQ718" s="9" t="n">
        <v>54</v>
      </c>
      <c r="AR718" s="9" t="n">
        <v>1</v>
      </c>
      <c r="AS718" s="7"/>
      <c r="AT718" s="3" t="s">
        <v>98</v>
      </c>
      <c r="AU718" s="6" t="n">
        <f aca="false">IFERROR(P718/AR718,"")</f>
        <v>162804</v>
      </c>
      <c r="AV718" s="4" t="n">
        <v>1729836</v>
      </c>
      <c r="AW718" s="4" t="n">
        <v>856677</v>
      </c>
      <c r="AX718" s="4" t="n">
        <v>510214</v>
      </c>
      <c r="AY718" s="9" t="n">
        <v>16989</v>
      </c>
      <c r="AZ718" s="7"/>
      <c r="BA718" s="7" t="n">
        <v>0.956</v>
      </c>
      <c r="BB718" s="3" t="s">
        <v>81</v>
      </c>
      <c r="BC718" s="3" t="s">
        <v>108</v>
      </c>
      <c r="BD718" s="3" t="s">
        <v>157</v>
      </c>
      <c r="BE718" s="4" t="n">
        <v>171890</v>
      </c>
      <c r="BF718" s="5" t="n">
        <f aca="false">IFERROR(P718/BE718-1,"")</f>
        <v>-0.0528593868171505</v>
      </c>
      <c r="BG718" s="7" t="n">
        <v>0.031</v>
      </c>
      <c r="BH718" s="7" t="n">
        <v>-0.063</v>
      </c>
      <c r="BI718" s="6" t="n">
        <f aca="false">P718</f>
        <v>162804</v>
      </c>
      <c r="BJ718" s="4" t="n">
        <v>-1077789</v>
      </c>
      <c r="BK718" s="3" t="s">
        <v>192</v>
      </c>
      <c r="BL718" s="3" t="s">
        <v>128</v>
      </c>
      <c r="BM718" s="6" t="n">
        <f aca="false">O718</f>
        <v>20723894</v>
      </c>
      <c r="BN718" s="3" t="s">
        <v>694</v>
      </c>
      <c r="BO718" s="5" t="n">
        <f aca="false">IFERROR(1-L718/M718,"")</f>
        <v>0.150027178836746</v>
      </c>
      <c r="BP718" s="3" t="s">
        <v>113</v>
      </c>
      <c r="BQ718" s="4" t="n">
        <v>2837910</v>
      </c>
      <c r="BR718" s="3" t="s">
        <v>695</v>
      </c>
      <c r="BS718" s="3" t="s">
        <v>89</v>
      </c>
      <c r="BT718" s="3" t="s">
        <v>90</v>
      </c>
    </row>
    <row r="719" customFormat="false" ht="15" hidden="false" customHeight="false" outlineLevel="0" collapsed="false">
      <c r="A719" s="11" t="s">
        <v>692</v>
      </c>
      <c r="B719" s="11" t="s">
        <v>91</v>
      </c>
      <c r="C719" s="11" t="s">
        <v>74</v>
      </c>
      <c r="D719" s="11" t="s">
        <v>95</v>
      </c>
      <c r="E719" s="11" t="s">
        <v>187</v>
      </c>
      <c r="F719" s="11" t="s">
        <v>693</v>
      </c>
      <c r="G719" s="11" t="s">
        <v>78</v>
      </c>
      <c r="H719" s="11" t="s">
        <v>644</v>
      </c>
      <c r="I719" s="11" t="s">
        <v>78</v>
      </c>
      <c r="J719" s="12" t="n">
        <v>2484000</v>
      </c>
      <c r="K719" s="13" t="n">
        <f aca="false">IFERROR(J719/M719,"")</f>
        <v>0.150027178836746</v>
      </c>
      <c r="L719" s="12" t="n">
        <v>14073000</v>
      </c>
      <c r="M719" s="14" t="n">
        <f aca="false">L719+J719</f>
        <v>16557000</v>
      </c>
      <c r="N719" s="12" t="n">
        <v>6194000</v>
      </c>
      <c r="O719" s="12" t="n">
        <v>20723894</v>
      </c>
      <c r="P719" s="12" t="n">
        <v>186134</v>
      </c>
      <c r="Q719" s="13" t="n">
        <f aca="false">IFERROR(P719/P718-1,"")</f>
        <v>0.143301147391956</v>
      </c>
      <c r="R719" s="12" t="n">
        <v>203341</v>
      </c>
      <c r="S719" s="13" t="n">
        <f aca="false">IFERROR(R719/R718-1,"")</f>
        <v>0.128656431433932</v>
      </c>
      <c r="T719" s="12" t="n">
        <v>113192</v>
      </c>
      <c r="U719" s="13" t="n">
        <f aca="false">IFERROR(T719/P719,"")</f>
        <v>0.608121031085132</v>
      </c>
      <c r="V719" s="14" t="n">
        <f aca="false">T719-AV719</f>
        <v>-1839513</v>
      </c>
      <c r="W719" s="14" t="n">
        <f aca="false">V719-AA719*0.1</f>
        <v>-1839513</v>
      </c>
      <c r="X719" s="12" t="n">
        <v>3700084</v>
      </c>
      <c r="Y719" s="12" t="n">
        <v>149460</v>
      </c>
      <c r="Z719" s="15" t="n">
        <f aca="false">IFERROR(X719/Y719,"")</f>
        <v>24.7563495249565</v>
      </c>
      <c r="AA719" s="12" t="n">
        <v>0</v>
      </c>
      <c r="AB719" s="14" t="n">
        <f aca="false">W719-0.02*P719</f>
        <v>-1843235.68</v>
      </c>
      <c r="AC719" s="16" t="n">
        <v>13</v>
      </c>
      <c r="AD719" s="13" t="n">
        <f aca="false">IFERROR(AC719/AC718-1,"")</f>
        <v>0.181818181818182</v>
      </c>
      <c r="AE719" s="17" t="n">
        <v>0.047</v>
      </c>
      <c r="AF719" s="17" t="n">
        <v>0.038</v>
      </c>
      <c r="AG719" s="13" t="n">
        <f aca="false">1-AF719</f>
        <v>0.962</v>
      </c>
      <c r="AH719" s="17" t="n">
        <v>1.113</v>
      </c>
      <c r="AI719" s="12" t="n">
        <v>26624</v>
      </c>
      <c r="AJ719" s="14" t="n">
        <f aca="false">IFERROR(AM719*U719*MIN(1/AE719,5),"")</f>
        <v>52724.093395081</v>
      </c>
      <c r="AK719" s="18" t="n">
        <f aca="false">IFERROR(AJ719/AI719,"")</f>
        <v>1.98032201754361</v>
      </c>
      <c r="AL719" s="15" t="n">
        <f aca="false">IFERROR(AI719/(AM719*U719/12),"")</f>
        <v>30.2981027673591</v>
      </c>
      <c r="AM719" s="12" t="n">
        <v>17340</v>
      </c>
      <c r="AN719" s="12" t="n">
        <v>207076</v>
      </c>
      <c r="AO719" s="12" t="n">
        <v>594254</v>
      </c>
      <c r="AP719" s="17" t="n">
        <v>0.371</v>
      </c>
      <c r="AQ719" s="16" t="n">
        <v>54</v>
      </c>
      <c r="AR719" s="16" t="n">
        <v>1</v>
      </c>
      <c r="AS719" s="13" t="n">
        <f aca="false">IFERROR(AR719/AR718-1,"")</f>
        <v>0</v>
      </c>
      <c r="AT719" s="11" t="s">
        <v>98</v>
      </c>
      <c r="AU719" s="14" t="n">
        <f aca="false">IFERROR(P719/AR719,"")</f>
        <v>186134</v>
      </c>
      <c r="AV719" s="12" t="n">
        <v>1952705</v>
      </c>
      <c r="AW719" s="12" t="n">
        <v>635761</v>
      </c>
      <c r="AX719" s="12" t="n">
        <v>642937</v>
      </c>
      <c r="AY719" s="16" t="n">
        <v>21024</v>
      </c>
      <c r="AZ719" s="13" t="n">
        <f aca="false">IFERROR(AY719/AY718-1,"")</f>
        <v>0.237506621931838</v>
      </c>
      <c r="BA719" s="17" t="n">
        <v>0.965</v>
      </c>
      <c r="BB719" s="11" t="s">
        <v>81</v>
      </c>
      <c r="BC719" s="11" t="s">
        <v>108</v>
      </c>
      <c r="BD719" s="11" t="s">
        <v>157</v>
      </c>
      <c r="BE719" s="12" t="n">
        <v>202516</v>
      </c>
      <c r="BF719" s="13" t="n">
        <f aca="false">IFERROR(P719/BE719-1,"")</f>
        <v>-0.0808923739358866</v>
      </c>
      <c r="BG719" s="17" t="n">
        <v>-0.034</v>
      </c>
      <c r="BH719" s="17" t="n">
        <v>-0.049</v>
      </c>
      <c r="BI719" s="14" t="n">
        <f aca="false">P719*(1+IFERROR(Q719,0))^4</f>
        <v>318030.13072939</v>
      </c>
      <c r="BJ719" s="12" t="n">
        <v>-1272983</v>
      </c>
      <c r="BK719" s="11" t="s">
        <v>192</v>
      </c>
      <c r="BL719" s="11" t="s">
        <v>128</v>
      </c>
      <c r="BM719" s="14" t="n">
        <f aca="false">O719</f>
        <v>20723894</v>
      </c>
      <c r="BN719" s="11" t="s">
        <v>694</v>
      </c>
      <c r="BO719" s="13" t="n">
        <f aca="false">IFERROR(1-L719/M719,"")</f>
        <v>0.150027178836746</v>
      </c>
      <c r="BP719" s="11" t="s">
        <v>113</v>
      </c>
      <c r="BQ719" s="12" t="n">
        <v>2585378</v>
      </c>
      <c r="BR719" s="11" t="s">
        <v>695</v>
      </c>
      <c r="BS719" s="11" t="s">
        <v>89</v>
      </c>
      <c r="BT719" s="19" t="str">
        <f aca="false">IF(OR(Z719&lt;6,AH719&lt;0.9,S719&lt;0.02,AK719&lt;1),"REVIEW",IF(AND(S719&gt;0.25,AH719&gt;1.2),"ACCELERATING","STABLE"))</f>
        <v>STABLE</v>
      </c>
    </row>
    <row r="720" customFormat="false" ht="15" hidden="false" customHeight="false" outlineLevel="0" collapsed="false">
      <c r="A720" s="11" t="s">
        <v>692</v>
      </c>
      <c r="B720" s="11" t="s">
        <v>92</v>
      </c>
      <c r="C720" s="11" t="s">
        <v>74</v>
      </c>
      <c r="D720" s="11" t="s">
        <v>95</v>
      </c>
      <c r="E720" s="11" t="s">
        <v>187</v>
      </c>
      <c r="F720" s="11" t="s">
        <v>693</v>
      </c>
      <c r="G720" s="11" t="s">
        <v>78</v>
      </c>
      <c r="H720" s="11" t="s">
        <v>644</v>
      </c>
      <c r="I720" s="11" t="s">
        <v>78</v>
      </c>
      <c r="J720" s="12" t="n">
        <v>2484000</v>
      </c>
      <c r="K720" s="13" t="n">
        <f aca="false">IFERROR(J720/M720,"")</f>
        <v>0.150027178836746</v>
      </c>
      <c r="L720" s="12" t="n">
        <v>14073000</v>
      </c>
      <c r="M720" s="14" t="n">
        <f aca="false">L720+J720</f>
        <v>16557000</v>
      </c>
      <c r="N720" s="12" t="n">
        <v>6194000</v>
      </c>
      <c r="O720" s="12" t="n">
        <v>20723894</v>
      </c>
      <c r="P720" s="12" t="n">
        <v>207665</v>
      </c>
      <c r="Q720" s="13" t="n">
        <f aca="false">IFERROR(P720/P719-1,"")</f>
        <v>0.115674728958707</v>
      </c>
      <c r="R720" s="12" t="n">
        <v>248914</v>
      </c>
      <c r="S720" s="13" t="n">
        <f aca="false">IFERROR(R720/R719-1,"")</f>
        <v>0.22412105773061</v>
      </c>
      <c r="T720" s="12" t="n">
        <v>126795</v>
      </c>
      <c r="U720" s="13" t="n">
        <f aca="false">IFERROR(T720/P720,"")</f>
        <v>0.610574723713674</v>
      </c>
      <c r="V720" s="14" t="n">
        <f aca="false">T720-AV720</f>
        <v>-1610429</v>
      </c>
      <c r="W720" s="14" t="n">
        <f aca="false">V720-AA720*0.1</f>
        <v>-1610429</v>
      </c>
      <c r="X720" s="12" t="n">
        <v>3309421</v>
      </c>
      <c r="Y720" s="12" t="n">
        <v>154230</v>
      </c>
      <c r="Z720" s="15" t="n">
        <f aca="false">IFERROR(X720/Y720,"")</f>
        <v>21.4576995396486</v>
      </c>
      <c r="AA720" s="12" t="n">
        <v>0</v>
      </c>
      <c r="AB720" s="14" t="n">
        <f aca="false">W720-0.02*P720</f>
        <v>-1614582.3</v>
      </c>
      <c r="AC720" s="16" t="n">
        <v>14</v>
      </c>
      <c r="AD720" s="13" t="n">
        <f aca="false">IFERROR(AC720/AC719-1,"")</f>
        <v>0.0769230769230769</v>
      </c>
      <c r="AE720" s="17" t="n">
        <v>0.045</v>
      </c>
      <c r="AF720" s="17" t="n">
        <v>0.043</v>
      </c>
      <c r="AG720" s="13" t="n">
        <f aca="false">1-AF720</f>
        <v>0.957</v>
      </c>
      <c r="AH720" s="17" t="n">
        <v>1.108</v>
      </c>
      <c r="AI720" s="12" t="n">
        <v>26112</v>
      </c>
      <c r="AJ720" s="14" t="n">
        <f aca="false">IFERROR(AM720*U720*MIN(1/AE720,5),"")</f>
        <v>53974.8055762887</v>
      </c>
      <c r="AK720" s="18" t="n">
        <f aca="false">IFERROR(AJ720/AI720,"")</f>
        <v>2.06704984590567</v>
      </c>
      <c r="AL720" s="15" t="n">
        <f aca="false">IFERROR(AI720/(AM720*U720/12),"")</f>
        <v>29.0268762114497</v>
      </c>
      <c r="AM720" s="12" t="n">
        <v>17680</v>
      </c>
      <c r="AN720" s="12" t="n">
        <v>260124</v>
      </c>
      <c r="AO720" s="12" t="n">
        <v>608815</v>
      </c>
      <c r="AP720" s="17" t="n">
        <v>0.371</v>
      </c>
      <c r="AQ720" s="16" t="n">
        <v>54</v>
      </c>
      <c r="AR720" s="16" t="n">
        <v>1</v>
      </c>
      <c r="AS720" s="13" t="n">
        <f aca="false">IFERROR(AR720/AR719-1,"")</f>
        <v>0</v>
      </c>
      <c r="AT720" s="11" t="s">
        <v>98</v>
      </c>
      <c r="AU720" s="14" t="n">
        <f aca="false">IFERROR(P720/AR720,"")</f>
        <v>207665</v>
      </c>
      <c r="AV720" s="12" t="n">
        <v>1737224</v>
      </c>
      <c r="AW720" s="12" t="n">
        <v>712892</v>
      </c>
      <c r="AX720" s="12" t="n">
        <v>542741</v>
      </c>
      <c r="AY720" s="16" t="n">
        <v>24272</v>
      </c>
      <c r="AZ720" s="13" t="n">
        <f aca="false">IFERROR(AY720/AY719-1,"")</f>
        <v>0.154490106544901</v>
      </c>
      <c r="BA720" s="17" t="n">
        <v>0.964</v>
      </c>
      <c r="BB720" s="11" t="s">
        <v>81</v>
      </c>
      <c r="BC720" s="11" t="s">
        <v>108</v>
      </c>
      <c r="BD720" s="11" t="s">
        <v>157</v>
      </c>
      <c r="BE720" s="12" t="n">
        <v>215889</v>
      </c>
      <c r="BF720" s="13" t="n">
        <f aca="false">IFERROR(P720/BE720-1,"")</f>
        <v>-0.0380936499775347</v>
      </c>
      <c r="BG720" s="17" t="n">
        <v>-0.044</v>
      </c>
      <c r="BH720" s="17" t="n">
        <v>-0.045</v>
      </c>
      <c r="BI720" s="14" t="n">
        <f aca="false">P720*(1+IFERROR(Q720,0))^4</f>
        <v>321746.395714403</v>
      </c>
      <c r="BJ720" s="12" t="n">
        <v>-995017</v>
      </c>
      <c r="BK720" s="11" t="s">
        <v>192</v>
      </c>
      <c r="BL720" s="11" t="s">
        <v>128</v>
      </c>
      <c r="BM720" s="14" t="n">
        <f aca="false">O720</f>
        <v>20723894</v>
      </c>
      <c r="BN720" s="11" t="s">
        <v>694</v>
      </c>
      <c r="BO720" s="13" t="n">
        <f aca="false">IFERROR(1-L720/M720,"")</f>
        <v>0.150027178836746</v>
      </c>
      <c r="BP720" s="11" t="s">
        <v>113</v>
      </c>
      <c r="BQ720" s="12" t="n">
        <v>2769181</v>
      </c>
      <c r="BR720" s="11" t="s">
        <v>695</v>
      </c>
      <c r="BS720" s="11" t="s">
        <v>89</v>
      </c>
      <c r="BT720" s="19" t="str">
        <f aca="false">IF(OR(Z720&lt;6,AH720&lt;0.9,S720&lt;0.02,AK720&lt;1),"REVIEW",IF(AND(S720&gt;0.25,AH720&gt;1.2),"ACCELERATING","STABLE"))</f>
        <v>STABLE</v>
      </c>
    </row>
    <row r="721" customFormat="false" ht="15" hidden="false" customHeight="false" outlineLevel="0" collapsed="false">
      <c r="A721" s="11" t="s">
        <v>692</v>
      </c>
      <c r="B721" s="11" t="s">
        <v>93</v>
      </c>
      <c r="C721" s="11" t="s">
        <v>74</v>
      </c>
      <c r="D721" s="11" t="s">
        <v>95</v>
      </c>
      <c r="E721" s="11" t="s">
        <v>187</v>
      </c>
      <c r="F721" s="11" t="s">
        <v>693</v>
      </c>
      <c r="G721" s="11" t="s">
        <v>78</v>
      </c>
      <c r="H721" s="11" t="s">
        <v>644</v>
      </c>
      <c r="I721" s="11" t="s">
        <v>78</v>
      </c>
      <c r="J721" s="12" t="n">
        <v>2484000</v>
      </c>
      <c r="K721" s="13" t="n">
        <f aca="false">IFERROR(J721/M721,"")</f>
        <v>0.150027178836746</v>
      </c>
      <c r="L721" s="12" t="n">
        <v>14073000</v>
      </c>
      <c r="M721" s="14" t="n">
        <f aca="false">L721+J721</f>
        <v>16557000</v>
      </c>
      <c r="N721" s="12" t="n">
        <v>6194000</v>
      </c>
      <c r="O721" s="12" t="n">
        <v>20723894</v>
      </c>
      <c r="P721" s="12" t="n">
        <v>259041</v>
      </c>
      <c r="Q721" s="13" t="n">
        <f aca="false">IFERROR(P721/P720-1,"")</f>
        <v>0.247398454241206</v>
      </c>
      <c r="R721" s="12" t="n">
        <v>274422</v>
      </c>
      <c r="S721" s="13" t="n">
        <f aca="false">IFERROR(R721/R720-1,"")</f>
        <v>0.102477160786456</v>
      </c>
      <c r="T721" s="12" t="n">
        <v>158799</v>
      </c>
      <c r="U721" s="13" t="n">
        <f aca="false">IFERROR(T721/P721,"")</f>
        <v>0.613026509317058</v>
      </c>
      <c r="V721" s="14" t="n">
        <f aca="false">T721-AV721</f>
        <v>-1719744</v>
      </c>
      <c r="W721" s="14" t="n">
        <f aca="false">V721-AA721*0.1</f>
        <v>-1719744</v>
      </c>
      <c r="X721" s="12" t="n">
        <v>2893000</v>
      </c>
      <c r="Y721" s="12" t="n">
        <v>159000</v>
      </c>
      <c r="Z721" s="15" t="n">
        <f aca="false">IFERROR(X721/Y721,"")</f>
        <v>18.1949685534591</v>
      </c>
      <c r="AA721" s="12" t="n">
        <v>0</v>
      </c>
      <c r="AB721" s="14" t="n">
        <f aca="false">W721-0.02*P721</f>
        <v>-1724924.82</v>
      </c>
      <c r="AC721" s="16" t="n">
        <v>16</v>
      </c>
      <c r="AD721" s="13" t="n">
        <f aca="false">IFERROR(AC721/AC720-1,"")</f>
        <v>0.142857142857143</v>
      </c>
      <c r="AE721" s="17" t="n">
        <v>0.044</v>
      </c>
      <c r="AF721" s="17" t="n">
        <v>0.042</v>
      </c>
      <c r="AG721" s="13" t="n">
        <f aca="false">1-AF721</f>
        <v>0.958</v>
      </c>
      <c r="AH721" s="17" t="n">
        <v>1.103</v>
      </c>
      <c r="AI721" s="12" t="n">
        <v>25600</v>
      </c>
      <c r="AJ721" s="14" t="n">
        <f aca="false">IFERROR(AM721*U721*MIN(1/AE721,5),"")</f>
        <v>55233.6884894669</v>
      </c>
      <c r="AK721" s="18" t="n">
        <f aca="false">IFERROR(AJ721/AI721,"")</f>
        <v>2.1575659566198</v>
      </c>
      <c r="AL721" s="15" t="n">
        <f aca="false">IFERROR(AI721/(AM721*U721/12),"")</f>
        <v>27.8091150891166</v>
      </c>
      <c r="AM721" s="12" t="n">
        <v>18020</v>
      </c>
      <c r="AN721" s="12" t="n">
        <v>383548</v>
      </c>
      <c r="AO721" s="12" t="n">
        <v>432090</v>
      </c>
      <c r="AP721" s="17" t="n">
        <v>0.371</v>
      </c>
      <c r="AQ721" s="16" t="n">
        <v>54</v>
      </c>
      <c r="AR721" s="16" t="n">
        <v>1</v>
      </c>
      <c r="AS721" s="13" t="n">
        <f aca="false">IFERROR(AR721/AR720-1,"")</f>
        <v>0</v>
      </c>
      <c r="AT721" s="11" t="s">
        <v>98</v>
      </c>
      <c r="AU721" s="14" t="n">
        <f aca="false">IFERROR(P721/AR721,"")</f>
        <v>259041</v>
      </c>
      <c r="AV721" s="12" t="n">
        <v>1878543</v>
      </c>
      <c r="AW721" s="12" t="n">
        <v>686558</v>
      </c>
      <c r="AX721" s="12" t="n">
        <v>358678</v>
      </c>
      <c r="AY721" s="16" t="n">
        <v>27242</v>
      </c>
      <c r="AZ721" s="13" t="n">
        <f aca="false">IFERROR(AY721/AY720-1,"")</f>
        <v>0.122363216875412</v>
      </c>
      <c r="BA721" s="17" t="n">
        <v>0.966</v>
      </c>
      <c r="BB721" s="11" t="s">
        <v>81</v>
      </c>
      <c r="BC721" s="11" t="s">
        <v>108</v>
      </c>
      <c r="BD721" s="11" t="s">
        <v>157</v>
      </c>
      <c r="BE721" s="12" t="n">
        <v>246142</v>
      </c>
      <c r="BF721" s="13" t="n">
        <f aca="false">IFERROR(P721/BE721-1,"")</f>
        <v>0.0524047094766436</v>
      </c>
      <c r="BG721" s="17" t="n">
        <v>-0.013</v>
      </c>
      <c r="BH721" s="17" t="n">
        <v>0.057</v>
      </c>
      <c r="BI721" s="14" t="n">
        <f aca="false">P721*(1+IFERROR(Q721,0))^4</f>
        <v>627175.831308435</v>
      </c>
      <c r="BJ721" s="12" t="n">
        <v>-1093836</v>
      </c>
      <c r="BK721" s="11" t="s">
        <v>192</v>
      </c>
      <c r="BL721" s="11" t="s">
        <v>128</v>
      </c>
      <c r="BM721" s="14" t="n">
        <f aca="false">O721</f>
        <v>20723894</v>
      </c>
      <c r="BN721" s="11" t="s">
        <v>694</v>
      </c>
      <c r="BO721" s="13" t="n">
        <f aca="false">IFERROR(1-L721/M721,"")</f>
        <v>0.150027178836746</v>
      </c>
      <c r="BP721" s="11" t="s">
        <v>113</v>
      </c>
      <c r="BQ721" s="12" t="n">
        <v>3084409</v>
      </c>
      <c r="BR721" s="11" t="s">
        <v>695</v>
      </c>
      <c r="BS721" s="11" t="s">
        <v>89</v>
      </c>
      <c r="BT721" s="19" t="str">
        <f aca="false">IF(OR(Z721&lt;6,AH721&lt;0.9,S721&lt;0.02,AK721&lt;1),"REVIEW",IF(AND(S721&gt;0.25,AH721&gt;1.2),"ACCELERATING","STABLE"))</f>
        <v>STABLE</v>
      </c>
    </row>
    <row r="722" customFormat="false" ht="15" hidden="false" customHeight="false" outlineLevel="0" collapsed="false">
      <c r="A722" s="3" t="s">
        <v>696</v>
      </c>
      <c r="B722" s="3" t="s">
        <v>73</v>
      </c>
      <c r="C722" s="3" t="s">
        <v>74</v>
      </c>
      <c r="D722" s="3" t="s">
        <v>151</v>
      </c>
      <c r="E722" s="3" t="s">
        <v>105</v>
      </c>
      <c r="F722" s="3" t="s">
        <v>697</v>
      </c>
      <c r="G722" s="3" t="s">
        <v>78</v>
      </c>
      <c r="H722" s="3" t="s">
        <v>644</v>
      </c>
      <c r="I722" s="3" t="s">
        <v>78</v>
      </c>
      <c r="J722" s="4" t="n">
        <v>6223000</v>
      </c>
      <c r="K722" s="5" t="n">
        <f aca="false">IFERROR(J722/M722,"")</f>
        <v>0.194189602446483</v>
      </c>
      <c r="L722" s="4" t="n">
        <v>25823000</v>
      </c>
      <c r="M722" s="6" t="n">
        <f aca="false">L722+J722</f>
        <v>32046000</v>
      </c>
      <c r="N722" s="4" t="n">
        <v>6223000</v>
      </c>
      <c r="O722" s="4" t="n">
        <v>33454298</v>
      </c>
      <c r="P722" s="4" t="n">
        <v>827684</v>
      </c>
      <c r="Q722" s="7"/>
      <c r="R722" s="4" t="n">
        <v>940916</v>
      </c>
      <c r="S722" s="7"/>
      <c r="T722" s="4" t="n">
        <v>685381</v>
      </c>
      <c r="U722" s="5" t="n">
        <f aca="false">IFERROR(T722/P722,"")</f>
        <v>0.828070857960284</v>
      </c>
      <c r="V722" s="6" t="n">
        <f aca="false">T722-AV722</f>
        <v>-1973054</v>
      </c>
      <c r="W722" s="6" t="n">
        <f aca="false">V722-AA722*0.1</f>
        <v>-2105954</v>
      </c>
      <c r="X722" s="4" t="n">
        <v>5258409</v>
      </c>
      <c r="Y722" s="4" t="n">
        <v>162890</v>
      </c>
      <c r="Z722" s="8" t="n">
        <f aca="false">IFERROR(X722/Y722,"")</f>
        <v>32.2819632881085</v>
      </c>
      <c r="AA722" s="4" t="n">
        <v>1329000</v>
      </c>
      <c r="AB722" s="6" t="n">
        <f aca="false">W722-0.02*P722</f>
        <v>-2122507.68</v>
      </c>
      <c r="AC722" s="9" t="n">
        <v>13</v>
      </c>
      <c r="AD722" s="7"/>
      <c r="AE722" s="7" t="n">
        <v>0.119</v>
      </c>
      <c r="AF722" s="7" t="n">
        <v>0.112</v>
      </c>
      <c r="AG722" s="5" t="n">
        <f aca="false">1-AF722</f>
        <v>0.888</v>
      </c>
      <c r="AH722" s="7" t="n">
        <v>1.186</v>
      </c>
      <c r="AI722" s="4" t="n">
        <v>40704</v>
      </c>
      <c r="AJ722" s="6" t="n">
        <f aca="false">IFERROR(AM722*U722*MIN(1/AE722,5),"")</f>
        <v>99368.5029552341</v>
      </c>
      <c r="AK722" s="10" t="n">
        <f aca="false">IFERROR(AJ722/AI722,"")</f>
        <v>2.44124663313763</v>
      </c>
      <c r="AL722" s="8" t="n">
        <f aca="false">IFERROR(AI722/(AM722*U722/12),"")</f>
        <v>24.5776068610014</v>
      </c>
      <c r="AM722" s="4" t="n">
        <v>24000</v>
      </c>
      <c r="AN722" s="4" t="n">
        <v>913032</v>
      </c>
      <c r="AO722" s="4" t="n">
        <v>2754268</v>
      </c>
      <c r="AP722" s="7" t="n">
        <v>0.317</v>
      </c>
      <c r="AQ722" s="9" t="n">
        <v>67</v>
      </c>
      <c r="AR722" s="9" t="n">
        <v>7</v>
      </c>
      <c r="AS722" s="7"/>
      <c r="AT722" s="3" t="s">
        <v>153</v>
      </c>
      <c r="AU722" s="6" t="n">
        <f aca="false">IFERROR(P722/AR722,"")</f>
        <v>118240.571428571</v>
      </c>
      <c r="AV722" s="4" t="n">
        <v>2658435</v>
      </c>
      <c r="AW722" s="4" t="n">
        <v>977269</v>
      </c>
      <c r="AX722" s="4" t="n">
        <v>562484</v>
      </c>
      <c r="AY722" s="9" t="n">
        <v>7619</v>
      </c>
      <c r="AZ722" s="7"/>
      <c r="BA722" s="7" t="n">
        <v>0.894</v>
      </c>
      <c r="BB722" s="3" t="s">
        <v>161</v>
      </c>
      <c r="BC722" s="3" t="s">
        <v>108</v>
      </c>
      <c r="BD722" s="3" t="s">
        <v>83</v>
      </c>
      <c r="BE722" s="4" t="n">
        <v>859672</v>
      </c>
      <c r="BF722" s="5" t="n">
        <f aca="false">IFERROR(P722/BE722-1,"")</f>
        <v>-0.0372095403828437</v>
      </c>
      <c r="BG722" s="7" t="n">
        <v>0.015</v>
      </c>
      <c r="BH722" s="7" t="n">
        <v>-0.023</v>
      </c>
      <c r="BI722" s="6" t="n">
        <f aca="false">P722</f>
        <v>827684</v>
      </c>
      <c r="BJ722" s="4" t="n">
        <v>-1040099</v>
      </c>
      <c r="BK722" s="3" t="s">
        <v>192</v>
      </c>
      <c r="BL722" s="3" t="s">
        <v>85</v>
      </c>
      <c r="BM722" s="6" t="n">
        <f aca="false">O722</f>
        <v>33454298</v>
      </c>
      <c r="BN722" s="3" t="s">
        <v>698</v>
      </c>
      <c r="BO722" s="5" t="n">
        <f aca="false">IFERROR(1-L722/M722,"")</f>
        <v>0.194189602446483</v>
      </c>
      <c r="BP722" s="3" t="s">
        <v>142</v>
      </c>
      <c r="BQ722" s="4" t="n">
        <v>2769795</v>
      </c>
      <c r="BR722" s="3" t="s">
        <v>88</v>
      </c>
      <c r="BS722" s="3" t="s">
        <v>89</v>
      </c>
      <c r="BT722" s="3" t="s">
        <v>90</v>
      </c>
    </row>
    <row r="723" customFormat="false" ht="15" hidden="false" customHeight="false" outlineLevel="0" collapsed="false">
      <c r="A723" s="11" t="s">
        <v>696</v>
      </c>
      <c r="B723" s="11" t="s">
        <v>91</v>
      </c>
      <c r="C723" s="11" t="s">
        <v>74</v>
      </c>
      <c r="D723" s="11" t="s">
        <v>151</v>
      </c>
      <c r="E723" s="11" t="s">
        <v>105</v>
      </c>
      <c r="F723" s="11" t="s">
        <v>697</v>
      </c>
      <c r="G723" s="11" t="s">
        <v>78</v>
      </c>
      <c r="H723" s="11" t="s">
        <v>644</v>
      </c>
      <c r="I723" s="11" t="s">
        <v>78</v>
      </c>
      <c r="J723" s="12" t="n">
        <v>6223000</v>
      </c>
      <c r="K723" s="13" t="n">
        <f aca="false">IFERROR(J723/M723,"")</f>
        <v>0.194189602446483</v>
      </c>
      <c r="L723" s="12" t="n">
        <v>25823000</v>
      </c>
      <c r="M723" s="14" t="n">
        <f aca="false">L723+J723</f>
        <v>32046000</v>
      </c>
      <c r="N723" s="12" t="n">
        <v>6223000</v>
      </c>
      <c r="O723" s="12" t="n">
        <v>33454298</v>
      </c>
      <c r="P723" s="12" t="n">
        <v>985129</v>
      </c>
      <c r="Q723" s="13" t="n">
        <f aca="false">IFERROR(P723/P722-1,"")</f>
        <v>0.190223563582237</v>
      </c>
      <c r="R723" s="12" t="n">
        <v>1066506</v>
      </c>
      <c r="S723" s="13" t="n">
        <f aca="false">IFERROR(R723/R722-1,"")</f>
        <v>0.133476314570057</v>
      </c>
      <c r="T723" s="12" t="n">
        <v>819060</v>
      </c>
      <c r="U723" s="13" t="n">
        <f aca="false">IFERROR(T723/P723,"")</f>
        <v>0.831424107908711</v>
      </c>
      <c r="V723" s="14" t="n">
        <f aca="false">T723-AV723</f>
        <v>-1937427</v>
      </c>
      <c r="W723" s="14" t="n">
        <f aca="false">V723-AA723*0.1</f>
        <v>-2070327</v>
      </c>
      <c r="X723" s="12" t="n">
        <v>4847604</v>
      </c>
      <c r="Y723" s="12" t="n">
        <v>168260</v>
      </c>
      <c r="Z723" s="15" t="n">
        <f aca="false">IFERROR(X723/Y723,"")</f>
        <v>28.8101985023178</v>
      </c>
      <c r="AA723" s="12" t="n">
        <v>1329000</v>
      </c>
      <c r="AB723" s="14" t="n">
        <f aca="false">W723-0.02*P723</f>
        <v>-2090029.58</v>
      </c>
      <c r="AC723" s="16" t="n">
        <v>15</v>
      </c>
      <c r="AD723" s="13" t="n">
        <f aca="false">IFERROR(AC723/AC722-1,"")</f>
        <v>0.153846153846154</v>
      </c>
      <c r="AE723" s="17" t="n">
        <v>0.116</v>
      </c>
      <c r="AF723" s="17" t="n">
        <v>0.084</v>
      </c>
      <c r="AG723" s="13" t="n">
        <f aca="false">1-AF723</f>
        <v>0.916</v>
      </c>
      <c r="AH723" s="17" t="n">
        <v>1.181</v>
      </c>
      <c r="AI723" s="12" t="n">
        <v>39936</v>
      </c>
      <c r="AJ723" s="14" t="n">
        <f aca="false">IFERROR(AM723*U723*MIN(1/AE723,5),"")</f>
        <v>101766.310808026</v>
      </c>
      <c r="AK723" s="18" t="n">
        <f aca="false">IFERROR(AJ723/AI723,"")</f>
        <v>2.54823494611444</v>
      </c>
      <c r="AL723" s="15" t="n">
        <f aca="false">IFERROR(AI723/(AM723*U723/12),"")</f>
        <v>23.5457095867429</v>
      </c>
      <c r="AM723" s="12" t="n">
        <v>24480</v>
      </c>
      <c r="AN723" s="12" t="n">
        <v>1419456</v>
      </c>
      <c r="AO723" s="12" t="n">
        <v>1940811</v>
      </c>
      <c r="AP723" s="17" t="n">
        <v>0.317</v>
      </c>
      <c r="AQ723" s="16" t="n">
        <v>67</v>
      </c>
      <c r="AR723" s="16" t="n">
        <v>7</v>
      </c>
      <c r="AS723" s="13" t="n">
        <f aca="false">IFERROR(AR723/AR722-1,"")</f>
        <v>0</v>
      </c>
      <c r="AT723" s="11" t="s">
        <v>153</v>
      </c>
      <c r="AU723" s="14" t="n">
        <f aca="false">IFERROR(P723/AR723,"")</f>
        <v>140732.714285714</v>
      </c>
      <c r="AV723" s="12" t="n">
        <v>2756487</v>
      </c>
      <c r="AW723" s="12" t="n">
        <v>1080197</v>
      </c>
      <c r="AX723" s="12" t="n">
        <v>864409</v>
      </c>
      <c r="AY723" s="16" t="n">
        <v>8356</v>
      </c>
      <c r="AZ723" s="13" t="n">
        <f aca="false">IFERROR(AY723/AY722-1,"")</f>
        <v>0.0967318545740912</v>
      </c>
      <c r="BA723" s="17" t="n">
        <v>0.875</v>
      </c>
      <c r="BB723" s="11" t="s">
        <v>161</v>
      </c>
      <c r="BC723" s="11" t="s">
        <v>108</v>
      </c>
      <c r="BD723" s="11" t="s">
        <v>83</v>
      </c>
      <c r="BE723" s="12" t="n">
        <v>953817</v>
      </c>
      <c r="BF723" s="13" t="n">
        <f aca="false">IFERROR(P723/BE723-1,"")</f>
        <v>0.0328281001491901</v>
      </c>
      <c r="BG723" s="17" t="n">
        <v>0.088</v>
      </c>
      <c r="BH723" s="17" t="n">
        <v>0.055</v>
      </c>
      <c r="BI723" s="14" t="n">
        <f aca="false">P723*(1+IFERROR(Q723,0))^4</f>
        <v>1977002.77972878</v>
      </c>
      <c r="BJ723" s="12" t="n">
        <v>-1757990</v>
      </c>
      <c r="BK723" s="11" t="s">
        <v>192</v>
      </c>
      <c r="BL723" s="11" t="s">
        <v>85</v>
      </c>
      <c r="BM723" s="14" t="n">
        <f aca="false">O723</f>
        <v>33454298</v>
      </c>
      <c r="BN723" s="11" t="s">
        <v>698</v>
      </c>
      <c r="BO723" s="13" t="n">
        <f aca="false">IFERROR(1-L723/M723,"")</f>
        <v>0.194189602446483</v>
      </c>
      <c r="BP723" s="11" t="s">
        <v>142</v>
      </c>
      <c r="BQ723" s="12" t="n">
        <v>3014913</v>
      </c>
      <c r="BR723" s="11" t="s">
        <v>88</v>
      </c>
      <c r="BS723" s="11" t="s">
        <v>89</v>
      </c>
      <c r="BT723" s="19" t="str">
        <f aca="false">IF(OR(Z723&lt;6,AH723&lt;0.9,S723&lt;0.02,AK723&lt;1),"REVIEW",IF(AND(S723&gt;0.25,AH723&gt;1.2),"ACCELERATING","STABLE"))</f>
        <v>STABLE</v>
      </c>
    </row>
    <row r="724" customFormat="false" ht="15" hidden="false" customHeight="false" outlineLevel="0" collapsed="false">
      <c r="A724" s="11" t="s">
        <v>696</v>
      </c>
      <c r="B724" s="11" t="s">
        <v>92</v>
      </c>
      <c r="C724" s="11" t="s">
        <v>74</v>
      </c>
      <c r="D724" s="11" t="s">
        <v>151</v>
      </c>
      <c r="E724" s="11" t="s">
        <v>105</v>
      </c>
      <c r="F724" s="11" t="s">
        <v>697</v>
      </c>
      <c r="G724" s="11" t="s">
        <v>78</v>
      </c>
      <c r="H724" s="11" t="s">
        <v>644</v>
      </c>
      <c r="I724" s="11" t="s">
        <v>78</v>
      </c>
      <c r="J724" s="12" t="n">
        <v>6223000</v>
      </c>
      <c r="K724" s="13" t="n">
        <f aca="false">IFERROR(J724/M724,"")</f>
        <v>0.194189602446483</v>
      </c>
      <c r="L724" s="12" t="n">
        <v>25823000</v>
      </c>
      <c r="M724" s="14" t="n">
        <f aca="false">L724+J724</f>
        <v>32046000</v>
      </c>
      <c r="N724" s="12" t="n">
        <v>6223000</v>
      </c>
      <c r="O724" s="12" t="n">
        <v>33454298</v>
      </c>
      <c r="P724" s="12" t="n">
        <v>1041189</v>
      </c>
      <c r="Q724" s="13" t="n">
        <f aca="false">IFERROR(P724/P723-1,"")</f>
        <v>0.0569062528866777</v>
      </c>
      <c r="R724" s="12" t="n">
        <v>1219801</v>
      </c>
      <c r="S724" s="13" t="n">
        <f aca="false">IFERROR(R724/R723-1,"")</f>
        <v>0.143735712691724</v>
      </c>
      <c r="T724" s="12" t="n">
        <v>869160</v>
      </c>
      <c r="U724" s="13" t="n">
        <f aca="false">IFERROR(T724/P724,"")</f>
        <v>0.83477639506372</v>
      </c>
      <c r="V724" s="14" t="n">
        <f aca="false">T724-AV724</f>
        <v>-1905995</v>
      </c>
      <c r="W724" s="14" t="n">
        <f aca="false">V724-AA724*0.1</f>
        <v>-2038895</v>
      </c>
      <c r="X724" s="12" t="n">
        <v>4407801</v>
      </c>
      <c r="Y724" s="12" t="n">
        <v>173630</v>
      </c>
      <c r="Z724" s="15" t="n">
        <f aca="false">IFERROR(X724/Y724,"")</f>
        <v>25.3861717445142</v>
      </c>
      <c r="AA724" s="12" t="n">
        <v>1329000</v>
      </c>
      <c r="AB724" s="14" t="n">
        <f aca="false">W724-0.02*P724</f>
        <v>-2059718.78</v>
      </c>
      <c r="AC724" s="16" t="n">
        <v>16</v>
      </c>
      <c r="AD724" s="13" t="n">
        <f aca="false">IFERROR(AC724/AC723-1,"")</f>
        <v>0.0666666666666667</v>
      </c>
      <c r="AE724" s="17" t="n">
        <v>0.112</v>
      </c>
      <c r="AF724" s="17" t="n">
        <v>0.068</v>
      </c>
      <c r="AG724" s="13" t="n">
        <f aca="false">1-AF724</f>
        <v>0.932</v>
      </c>
      <c r="AH724" s="17" t="n">
        <v>1.176</v>
      </c>
      <c r="AI724" s="12" t="n">
        <v>39168</v>
      </c>
      <c r="AJ724" s="14" t="n">
        <f aca="false">IFERROR(AM724*U724*MIN(1/AE724,5),"")</f>
        <v>104180.094103952</v>
      </c>
      <c r="AK724" s="18" t="n">
        <f aca="false">IFERROR(AJ724/AI724,"")</f>
        <v>2.65982674897754</v>
      </c>
      <c r="AL724" s="15" t="n">
        <f aca="false">IFERROR(AI724/(AM724*U724/12),"")</f>
        <v>22.557860215168</v>
      </c>
      <c r="AM724" s="12" t="n">
        <v>24960</v>
      </c>
      <c r="AN724" s="12" t="n">
        <v>1785295</v>
      </c>
      <c r="AO724" s="12" t="n">
        <v>3645320</v>
      </c>
      <c r="AP724" s="17" t="n">
        <v>0.317</v>
      </c>
      <c r="AQ724" s="16" t="n">
        <v>67</v>
      </c>
      <c r="AR724" s="16" t="n">
        <v>8</v>
      </c>
      <c r="AS724" s="13" t="n">
        <f aca="false">IFERROR(AR724/AR723-1,"")</f>
        <v>0.142857142857143</v>
      </c>
      <c r="AT724" s="11" t="s">
        <v>153</v>
      </c>
      <c r="AU724" s="14" t="n">
        <f aca="false">IFERROR(P724/AR724,"")</f>
        <v>130148.625</v>
      </c>
      <c r="AV724" s="12" t="n">
        <v>2775155</v>
      </c>
      <c r="AW724" s="12" t="n">
        <v>902109</v>
      </c>
      <c r="AX724" s="12" t="n">
        <v>765496</v>
      </c>
      <c r="AY724" s="16" t="n">
        <v>9254</v>
      </c>
      <c r="AZ724" s="13" t="n">
        <f aca="false">IFERROR(AY724/AY723-1,"")</f>
        <v>0.107467687888942</v>
      </c>
      <c r="BA724" s="17" t="n">
        <v>0.915</v>
      </c>
      <c r="BB724" s="11" t="s">
        <v>161</v>
      </c>
      <c r="BC724" s="11" t="s">
        <v>108</v>
      </c>
      <c r="BD724" s="11" t="s">
        <v>83</v>
      </c>
      <c r="BE724" s="12" t="n">
        <v>1223894</v>
      </c>
      <c r="BF724" s="13" t="n">
        <f aca="false">IFERROR(P724/BE724-1,"")</f>
        <v>-0.149281718841664</v>
      </c>
      <c r="BG724" s="17" t="n">
        <v>-0.019</v>
      </c>
      <c r="BH724" s="17" t="n">
        <v>-0.055</v>
      </c>
      <c r="BI724" s="14" t="n">
        <f aca="false">P724*(1+IFERROR(Q724,0))^4</f>
        <v>1299198.29024693</v>
      </c>
      <c r="BJ724" s="12" t="n">
        <v>-1431524</v>
      </c>
      <c r="BK724" s="11" t="s">
        <v>192</v>
      </c>
      <c r="BL724" s="11" t="s">
        <v>85</v>
      </c>
      <c r="BM724" s="14" t="n">
        <f aca="false">O724</f>
        <v>33454298</v>
      </c>
      <c r="BN724" s="11" t="s">
        <v>698</v>
      </c>
      <c r="BO724" s="13" t="n">
        <f aca="false">IFERROR(1-L724/M724,"")</f>
        <v>0.194189602446483</v>
      </c>
      <c r="BP724" s="11" t="s">
        <v>142</v>
      </c>
      <c r="BQ724" s="12" t="n">
        <v>3093450</v>
      </c>
      <c r="BR724" s="11" t="s">
        <v>88</v>
      </c>
      <c r="BS724" s="11" t="s">
        <v>89</v>
      </c>
      <c r="BT724" s="19" t="str">
        <f aca="false">IF(OR(Z724&lt;6,AH724&lt;0.9,S724&lt;0.02,AK724&lt;1),"REVIEW",IF(AND(S724&gt;0.25,AH724&gt;1.2),"ACCELERATING","STABLE"))</f>
        <v>STABLE</v>
      </c>
    </row>
    <row r="725" customFormat="false" ht="15" hidden="false" customHeight="false" outlineLevel="0" collapsed="false">
      <c r="A725" s="11" t="s">
        <v>696</v>
      </c>
      <c r="B725" s="11" t="s">
        <v>93</v>
      </c>
      <c r="C725" s="11" t="s">
        <v>74</v>
      </c>
      <c r="D725" s="11" t="s">
        <v>151</v>
      </c>
      <c r="E725" s="11" t="s">
        <v>105</v>
      </c>
      <c r="F725" s="11" t="s">
        <v>697</v>
      </c>
      <c r="G725" s="11" t="s">
        <v>78</v>
      </c>
      <c r="H725" s="11" t="s">
        <v>644</v>
      </c>
      <c r="I725" s="11" t="s">
        <v>78</v>
      </c>
      <c r="J725" s="12" t="n">
        <v>6223000</v>
      </c>
      <c r="K725" s="13" t="n">
        <f aca="false">IFERROR(J725/M725,"")</f>
        <v>0.194189602446483</v>
      </c>
      <c r="L725" s="12" t="n">
        <v>25823000</v>
      </c>
      <c r="M725" s="14" t="n">
        <f aca="false">L725+J725</f>
        <v>32046000</v>
      </c>
      <c r="N725" s="12" t="n">
        <v>6223000</v>
      </c>
      <c r="O725" s="12" t="n">
        <v>33454298</v>
      </c>
      <c r="P725" s="12" t="n">
        <v>1295590</v>
      </c>
      <c r="Q725" s="13" t="n">
        <f aca="false">IFERROR(P725/P724-1,"")</f>
        <v>0.244337003176176</v>
      </c>
      <c r="R725" s="12" t="n">
        <v>1392903</v>
      </c>
      <c r="S725" s="13" t="n">
        <f aca="false">IFERROR(R725/R724-1,"")</f>
        <v>0.141910032866017</v>
      </c>
      <c r="T725" s="12" t="n">
        <v>1085873</v>
      </c>
      <c r="U725" s="13" t="n">
        <f aca="false">IFERROR(T725/P725,"")</f>
        <v>0.83813011832447</v>
      </c>
      <c r="V725" s="14" t="n">
        <f aca="false">T725-AV725</f>
        <v>-1963007</v>
      </c>
      <c r="W725" s="14" t="n">
        <f aca="false">V725-AA725*0.1</f>
        <v>-2095907</v>
      </c>
      <c r="X725" s="12" t="n">
        <v>3939000</v>
      </c>
      <c r="Y725" s="12" t="n">
        <v>179000</v>
      </c>
      <c r="Z725" s="15" t="n">
        <f aca="false">IFERROR(X725/Y725,"")</f>
        <v>22.0055865921788</v>
      </c>
      <c r="AA725" s="12" t="n">
        <v>1329000</v>
      </c>
      <c r="AB725" s="14" t="n">
        <f aca="false">W725-0.02*P725</f>
        <v>-2121818.8</v>
      </c>
      <c r="AC725" s="16" t="n">
        <v>18</v>
      </c>
      <c r="AD725" s="13" t="n">
        <f aca="false">IFERROR(AC725/AC724-1,"")</f>
        <v>0.125</v>
      </c>
      <c r="AE725" s="17" t="n">
        <v>0.109</v>
      </c>
      <c r="AF725" s="17" t="n">
        <v>0.087</v>
      </c>
      <c r="AG725" s="13" t="n">
        <f aca="false">1-AF725</f>
        <v>0.913</v>
      </c>
      <c r="AH725" s="17" t="n">
        <v>1.171</v>
      </c>
      <c r="AI725" s="12" t="n">
        <v>38400</v>
      </c>
      <c r="AJ725" s="14" t="n">
        <f aca="false">IFERROR(AM725*U725*MIN(1/AE725,5),"")</f>
        <v>106610.151050873</v>
      </c>
      <c r="AK725" s="18" t="n">
        <f aca="false">IFERROR(AJ725/AI725,"")</f>
        <v>2.77630601694981</v>
      </c>
      <c r="AL725" s="15" t="n">
        <f aca="false">IFERROR(AI725/(AM725*U725/12),"")</f>
        <v>21.6114504790503</v>
      </c>
      <c r="AM725" s="12" t="n">
        <v>25440</v>
      </c>
      <c r="AN725" s="12" t="n">
        <v>1872315</v>
      </c>
      <c r="AO725" s="12" t="n">
        <v>3316270</v>
      </c>
      <c r="AP725" s="17" t="n">
        <v>0.317</v>
      </c>
      <c r="AQ725" s="16" t="n">
        <v>67</v>
      </c>
      <c r="AR725" s="16" t="n">
        <v>8</v>
      </c>
      <c r="AS725" s="13" t="n">
        <f aca="false">IFERROR(AR725/AR724-1,"")</f>
        <v>0</v>
      </c>
      <c r="AT725" s="11" t="s">
        <v>153</v>
      </c>
      <c r="AU725" s="14" t="n">
        <f aca="false">IFERROR(P725/AR725,"")</f>
        <v>161948.75</v>
      </c>
      <c r="AV725" s="12" t="n">
        <v>3048880</v>
      </c>
      <c r="AW725" s="12" t="n">
        <v>1265203</v>
      </c>
      <c r="AX725" s="12" t="n">
        <v>1025285</v>
      </c>
      <c r="AY725" s="16" t="n">
        <v>10789</v>
      </c>
      <c r="AZ725" s="13" t="n">
        <f aca="false">IFERROR(AY725/AY724-1,"")</f>
        <v>0.165874216555003</v>
      </c>
      <c r="BA725" s="17" t="n">
        <v>0.9</v>
      </c>
      <c r="BB725" s="11" t="s">
        <v>161</v>
      </c>
      <c r="BC725" s="11" t="s">
        <v>108</v>
      </c>
      <c r="BD725" s="11" t="s">
        <v>83</v>
      </c>
      <c r="BE725" s="12" t="n">
        <v>1378024</v>
      </c>
      <c r="BF725" s="13" t="n">
        <f aca="false">IFERROR(P725/BE725-1,"")</f>
        <v>-0.0598204385409833</v>
      </c>
      <c r="BG725" s="17" t="n">
        <v>0.087</v>
      </c>
      <c r="BH725" s="17" t="n">
        <v>-0.036</v>
      </c>
      <c r="BI725" s="14" t="n">
        <f aca="false">P725*(1+IFERROR(Q725,0))^4</f>
        <v>3106130.16631613</v>
      </c>
      <c r="BJ725" s="12" t="n">
        <v>-1661913</v>
      </c>
      <c r="BK725" s="11" t="s">
        <v>192</v>
      </c>
      <c r="BL725" s="11" t="s">
        <v>85</v>
      </c>
      <c r="BM725" s="14" t="n">
        <f aca="false">O725</f>
        <v>33454298</v>
      </c>
      <c r="BN725" s="11" t="s">
        <v>698</v>
      </c>
      <c r="BO725" s="13" t="n">
        <f aca="false">IFERROR(1-L725/M725,"")</f>
        <v>0.194189602446483</v>
      </c>
      <c r="BP725" s="11" t="s">
        <v>142</v>
      </c>
      <c r="BQ725" s="12" t="n">
        <v>2156129</v>
      </c>
      <c r="BR725" s="11" t="s">
        <v>88</v>
      </c>
      <c r="BS725" s="11" t="s">
        <v>89</v>
      </c>
      <c r="BT725" s="19" t="str">
        <f aca="false">IF(OR(Z725&lt;6,AH725&lt;0.9,S725&lt;0.02,AK725&lt;1),"REVIEW",IF(AND(S725&gt;0.25,AH725&gt;1.2),"ACCELERATING","STABLE"))</f>
        <v>STABLE</v>
      </c>
    </row>
    <row r="726" customFormat="false" ht="15" hidden="false" customHeight="false" outlineLevel="0" collapsed="false">
      <c r="A726" s="3" t="s">
        <v>699</v>
      </c>
      <c r="B726" s="3" t="s">
        <v>73</v>
      </c>
      <c r="C726" s="3" t="s">
        <v>74</v>
      </c>
      <c r="D726" s="3" t="s">
        <v>115</v>
      </c>
      <c r="E726" s="3" t="s">
        <v>477</v>
      </c>
      <c r="F726" s="3" t="s">
        <v>700</v>
      </c>
      <c r="G726" s="3" t="s">
        <v>78</v>
      </c>
      <c r="H726" s="3" t="s">
        <v>644</v>
      </c>
      <c r="I726" s="3" t="s">
        <v>78</v>
      </c>
      <c r="J726" s="4" t="n">
        <v>1998000</v>
      </c>
      <c r="K726" s="5" t="n">
        <f aca="false">IFERROR(J726/M726,"")</f>
        <v>0.10871694417238</v>
      </c>
      <c r="L726" s="4" t="n">
        <v>16380000</v>
      </c>
      <c r="M726" s="6" t="n">
        <f aca="false">L726+J726</f>
        <v>18378000</v>
      </c>
      <c r="N726" s="4" t="n">
        <v>5280000</v>
      </c>
      <c r="O726" s="4" t="n">
        <v>35510335</v>
      </c>
      <c r="P726" s="4" t="n">
        <v>536078</v>
      </c>
      <c r="Q726" s="7"/>
      <c r="R726" s="4" t="n">
        <v>662874</v>
      </c>
      <c r="S726" s="7"/>
      <c r="T726" s="4" t="n">
        <v>297647</v>
      </c>
      <c r="U726" s="5" t="n">
        <f aca="false">IFERROR(T726/P726,"")</f>
        <v>0.5552307686568</v>
      </c>
      <c r="V726" s="6" t="n">
        <f aca="false">T726-AV726</f>
        <v>-2131765</v>
      </c>
      <c r="W726" s="6" t="n">
        <f aca="false">V726-AA726*0.1</f>
        <v>-2131765</v>
      </c>
      <c r="X726" s="4" t="n">
        <v>3798330</v>
      </c>
      <c r="Y726" s="4" t="n">
        <v>182000</v>
      </c>
      <c r="Z726" s="8" t="n">
        <f aca="false">IFERROR(X726/Y726,"")</f>
        <v>20.8699450549451</v>
      </c>
      <c r="AA726" s="4" t="n">
        <v>0</v>
      </c>
      <c r="AB726" s="6" t="n">
        <f aca="false">W726-0.02*P726</f>
        <v>-2142486.56</v>
      </c>
      <c r="AC726" s="9" t="n">
        <v>28</v>
      </c>
      <c r="AD726" s="7"/>
      <c r="AE726" s="7" t="n">
        <v>0.083</v>
      </c>
      <c r="AF726" s="7" t="n">
        <v>0.073</v>
      </c>
      <c r="AG726" s="5" t="n">
        <f aca="false">1-AF726</f>
        <v>0.927</v>
      </c>
      <c r="AH726" s="7" t="n">
        <v>1.082</v>
      </c>
      <c r="AI726" s="4" t="n">
        <v>23532</v>
      </c>
      <c r="AJ726" s="6" t="n">
        <f aca="false">IFERROR(AM726*U726*MIN(1/AE726,5),"")</f>
        <v>72179.999925384</v>
      </c>
      <c r="AK726" s="10" t="n">
        <f aca="false">IFERROR(AJ726/AI726,"")</f>
        <v>3.06731259244365</v>
      </c>
      <c r="AL726" s="8" t="n">
        <f aca="false">IFERROR(AI726/(AM726*U726/12),"")</f>
        <v>19.5610972770791</v>
      </c>
      <c r="AM726" s="4" t="n">
        <v>26000</v>
      </c>
      <c r="AN726" s="4" t="n">
        <v>896820</v>
      </c>
      <c r="AO726" s="4" t="n">
        <v>2269659</v>
      </c>
      <c r="AP726" s="7" t="n">
        <v>0.136</v>
      </c>
      <c r="AQ726" s="9" t="n">
        <v>63</v>
      </c>
      <c r="AR726" s="9" t="n">
        <v>2</v>
      </c>
      <c r="AS726" s="7"/>
      <c r="AT726" s="3" t="s">
        <v>98</v>
      </c>
      <c r="AU726" s="6" t="n">
        <f aca="false">IFERROR(P726/AR726,"")</f>
        <v>268039</v>
      </c>
      <c r="AV726" s="4" t="n">
        <v>2429412</v>
      </c>
      <c r="AW726" s="4" t="n">
        <v>1010988</v>
      </c>
      <c r="AX726" s="4" t="n">
        <v>725424</v>
      </c>
      <c r="AY726" s="9" t="n">
        <v>11745</v>
      </c>
      <c r="AZ726" s="7"/>
      <c r="BA726" s="7" t="n">
        <v>0.934</v>
      </c>
      <c r="BB726" s="3" t="s">
        <v>99</v>
      </c>
      <c r="BC726" s="3" t="s">
        <v>100</v>
      </c>
      <c r="BD726" s="3" t="s">
        <v>175</v>
      </c>
      <c r="BE726" s="4" t="n">
        <v>484095</v>
      </c>
      <c r="BF726" s="5" t="n">
        <f aca="false">IFERROR(P726/BE726-1,"")</f>
        <v>0.107381815552732</v>
      </c>
      <c r="BG726" s="7" t="n">
        <v>0.002</v>
      </c>
      <c r="BH726" s="7" t="n">
        <v>-0.052</v>
      </c>
      <c r="BI726" s="6" t="n">
        <f aca="false">P726</f>
        <v>536078</v>
      </c>
      <c r="BJ726" s="4" t="n">
        <v>-2017924</v>
      </c>
      <c r="BK726" s="3" t="s">
        <v>110</v>
      </c>
      <c r="BL726" s="3" t="s">
        <v>111</v>
      </c>
      <c r="BM726" s="6" t="n">
        <f aca="false">O726</f>
        <v>35510335</v>
      </c>
      <c r="BN726" s="3" t="s">
        <v>701</v>
      </c>
      <c r="BO726" s="5" t="n">
        <f aca="false">IFERROR(1-L726/M726,"")</f>
        <v>0.10871694417238</v>
      </c>
      <c r="BP726" s="3" t="s">
        <v>130</v>
      </c>
      <c r="BQ726" s="4" t="n">
        <v>2265470</v>
      </c>
      <c r="BR726" s="3" t="s">
        <v>88</v>
      </c>
      <c r="BS726" s="3" t="s">
        <v>89</v>
      </c>
      <c r="BT726" s="3" t="s">
        <v>90</v>
      </c>
    </row>
    <row r="727" customFormat="false" ht="15" hidden="false" customHeight="false" outlineLevel="0" collapsed="false">
      <c r="A727" s="11" t="s">
        <v>699</v>
      </c>
      <c r="B727" s="11" t="s">
        <v>91</v>
      </c>
      <c r="C727" s="11" t="s">
        <v>74</v>
      </c>
      <c r="D727" s="11" t="s">
        <v>115</v>
      </c>
      <c r="E727" s="11" t="s">
        <v>477</v>
      </c>
      <c r="F727" s="11" t="s">
        <v>700</v>
      </c>
      <c r="G727" s="11" t="s">
        <v>78</v>
      </c>
      <c r="H727" s="11" t="s">
        <v>644</v>
      </c>
      <c r="I727" s="11" t="s">
        <v>78</v>
      </c>
      <c r="J727" s="12" t="n">
        <v>1998000</v>
      </c>
      <c r="K727" s="13" t="n">
        <f aca="false">IFERROR(J727/M727,"")</f>
        <v>0.10871694417238</v>
      </c>
      <c r="L727" s="12" t="n">
        <v>16380000</v>
      </c>
      <c r="M727" s="14" t="n">
        <f aca="false">L727+J727</f>
        <v>18378000</v>
      </c>
      <c r="N727" s="12" t="n">
        <v>5280000</v>
      </c>
      <c r="O727" s="12" t="n">
        <v>35510335</v>
      </c>
      <c r="P727" s="12" t="n">
        <v>703468</v>
      </c>
      <c r="Q727" s="13" t="n">
        <f aca="false">IFERROR(P727/P726-1,"")</f>
        <v>0.312249336850234</v>
      </c>
      <c r="R727" s="12" t="n">
        <v>831463</v>
      </c>
      <c r="S727" s="13" t="n">
        <f aca="false">IFERROR(R727/R726-1,"")</f>
        <v>0.254330385563471</v>
      </c>
      <c r="T727" s="12" t="n">
        <v>392168</v>
      </c>
      <c r="U727" s="13" t="n">
        <f aca="false">IFERROR(T727/P727,"")</f>
        <v>0.557478094241671</v>
      </c>
      <c r="V727" s="14" t="n">
        <f aca="false">T727-AV727</f>
        <v>-1926902</v>
      </c>
      <c r="W727" s="14" t="n">
        <f aca="false">V727-AA727*0.1</f>
        <v>-1926902</v>
      </c>
      <c r="X727" s="12" t="n">
        <v>3339330</v>
      </c>
      <c r="Y727" s="12" t="n">
        <v>188000</v>
      </c>
      <c r="Z727" s="15" t="n">
        <f aca="false">IFERROR(X727/Y727,"")</f>
        <v>17.7623936170213</v>
      </c>
      <c r="AA727" s="12" t="n">
        <v>0</v>
      </c>
      <c r="AB727" s="14" t="n">
        <f aca="false">W727-0.02*P727</f>
        <v>-1940971.36</v>
      </c>
      <c r="AC727" s="16" t="n">
        <v>35</v>
      </c>
      <c r="AD727" s="13" t="n">
        <f aca="false">IFERROR(AC727/AC726-1,"")</f>
        <v>0.25</v>
      </c>
      <c r="AE727" s="17" t="n">
        <v>0.081</v>
      </c>
      <c r="AF727" s="17" t="n">
        <v>0.072</v>
      </c>
      <c r="AG727" s="13" t="n">
        <f aca="false">1-AF727</f>
        <v>0.928</v>
      </c>
      <c r="AH727" s="17" t="n">
        <v>1.077</v>
      </c>
      <c r="AI727" s="12" t="n">
        <v>23088</v>
      </c>
      <c r="AJ727" s="14" t="n">
        <f aca="false">IFERROR(AM727*U727*MIN(1/AE727,5),"")</f>
        <v>73921.5952964456</v>
      </c>
      <c r="AK727" s="18" t="n">
        <f aca="false">IFERROR(AJ727/AI727,"")</f>
        <v>3.2017322980096</v>
      </c>
      <c r="AL727" s="15" t="n">
        <f aca="false">IFERROR(AI727/(AM727*U727/12),"")</f>
        <v>18.7398553081093</v>
      </c>
      <c r="AM727" s="12" t="n">
        <v>26520</v>
      </c>
      <c r="AN727" s="12" t="n">
        <v>1109224</v>
      </c>
      <c r="AO727" s="12" t="n">
        <v>3160016</v>
      </c>
      <c r="AP727" s="17" t="n">
        <v>0.136</v>
      </c>
      <c r="AQ727" s="16" t="n">
        <v>63</v>
      </c>
      <c r="AR727" s="16" t="n">
        <v>2</v>
      </c>
      <c r="AS727" s="13" t="n">
        <f aca="false">IFERROR(AR727/AR726-1,"")</f>
        <v>0</v>
      </c>
      <c r="AT727" s="11" t="s">
        <v>98</v>
      </c>
      <c r="AU727" s="14" t="n">
        <f aca="false">IFERROR(P727/AR727,"")</f>
        <v>351734</v>
      </c>
      <c r="AV727" s="12" t="n">
        <v>2319070</v>
      </c>
      <c r="AW727" s="12" t="n">
        <v>836932</v>
      </c>
      <c r="AX727" s="12" t="n">
        <v>482882</v>
      </c>
      <c r="AY727" s="16" t="n">
        <v>13074</v>
      </c>
      <c r="AZ727" s="13" t="n">
        <f aca="false">IFERROR(AY727/AY726-1,"")</f>
        <v>0.113154533844189</v>
      </c>
      <c r="BA727" s="17" t="n">
        <v>0.912</v>
      </c>
      <c r="BB727" s="11" t="s">
        <v>99</v>
      </c>
      <c r="BC727" s="11" t="s">
        <v>100</v>
      </c>
      <c r="BD727" s="11" t="s">
        <v>175</v>
      </c>
      <c r="BE727" s="12" t="n">
        <v>815554</v>
      </c>
      <c r="BF727" s="13" t="n">
        <f aca="false">IFERROR(P727/BE727-1,"")</f>
        <v>-0.137435412002148</v>
      </c>
      <c r="BG727" s="17" t="n">
        <v>-0.013</v>
      </c>
      <c r="BH727" s="17" t="n">
        <v>-0.033</v>
      </c>
      <c r="BI727" s="14" t="n">
        <f aca="false">P727*(1+IFERROR(Q727,0))^4</f>
        <v>2085978.33970466</v>
      </c>
      <c r="BJ727" s="12" t="n">
        <v>-2068442</v>
      </c>
      <c r="BK727" s="11" t="s">
        <v>110</v>
      </c>
      <c r="BL727" s="11" t="s">
        <v>111</v>
      </c>
      <c r="BM727" s="14" t="n">
        <f aca="false">O727</f>
        <v>35510335</v>
      </c>
      <c r="BN727" s="11" t="s">
        <v>701</v>
      </c>
      <c r="BO727" s="13" t="n">
        <f aca="false">IFERROR(1-L727/M727,"")</f>
        <v>0.10871694417238</v>
      </c>
      <c r="BP727" s="11" t="s">
        <v>130</v>
      </c>
      <c r="BQ727" s="12" t="n">
        <v>3120035</v>
      </c>
      <c r="BR727" s="11" t="s">
        <v>88</v>
      </c>
      <c r="BS727" s="11" t="s">
        <v>89</v>
      </c>
      <c r="BT727" s="19" t="str">
        <f aca="false">IF(OR(Z727&lt;6,AH727&lt;0.9,S727&lt;0.02,AK727&lt;1),"REVIEW",IF(AND(S727&gt;0.25,AH727&gt;1.2),"ACCELERATING","STABLE"))</f>
        <v>STABLE</v>
      </c>
    </row>
    <row r="728" customFormat="false" ht="15" hidden="false" customHeight="false" outlineLevel="0" collapsed="false">
      <c r="A728" s="11" t="s">
        <v>699</v>
      </c>
      <c r="B728" s="11" t="s">
        <v>92</v>
      </c>
      <c r="C728" s="11" t="s">
        <v>74</v>
      </c>
      <c r="D728" s="11" t="s">
        <v>115</v>
      </c>
      <c r="E728" s="11" t="s">
        <v>477</v>
      </c>
      <c r="F728" s="11" t="s">
        <v>700</v>
      </c>
      <c r="G728" s="11" t="s">
        <v>78</v>
      </c>
      <c r="H728" s="11" t="s">
        <v>644</v>
      </c>
      <c r="I728" s="11" t="s">
        <v>78</v>
      </c>
      <c r="J728" s="12" t="n">
        <v>1998000</v>
      </c>
      <c r="K728" s="13" t="n">
        <f aca="false">IFERROR(J728/M728,"")</f>
        <v>0.10871694417238</v>
      </c>
      <c r="L728" s="12" t="n">
        <v>16380000</v>
      </c>
      <c r="M728" s="14" t="n">
        <f aca="false">L728+J728</f>
        <v>18378000</v>
      </c>
      <c r="N728" s="12" t="n">
        <v>5280000</v>
      </c>
      <c r="O728" s="12" t="n">
        <v>35510335</v>
      </c>
      <c r="P728" s="12" t="n">
        <v>810817</v>
      </c>
      <c r="Q728" s="13" t="n">
        <f aca="false">IFERROR(P728/P727-1,"")</f>
        <v>0.152599691812563</v>
      </c>
      <c r="R728" s="12" t="n">
        <v>952179</v>
      </c>
      <c r="S728" s="13" t="n">
        <f aca="false">IFERROR(R728/R727-1,"")</f>
        <v>0.145185053333702</v>
      </c>
      <c r="T728" s="12" t="n">
        <v>453836</v>
      </c>
      <c r="U728" s="13" t="n">
        <f aca="false">IFERROR(T728/P728,"")</f>
        <v>0.559726794085472</v>
      </c>
      <c r="V728" s="14" t="n">
        <f aca="false">T728-AV728</f>
        <v>-2313333</v>
      </c>
      <c r="W728" s="14" t="n">
        <f aca="false">V728-AA728*0.1</f>
        <v>-2313333</v>
      </c>
      <c r="X728" s="12" t="n">
        <v>2847930</v>
      </c>
      <c r="Y728" s="12" t="n">
        <v>194000</v>
      </c>
      <c r="Z728" s="15" t="n">
        <f aca="false">IFERROR(X728/Y728,"")</f>
        <v>14.6800515463918</v>
      </c>
      <c r="AA728" s="12" t="n">
        <v>0</v>
      </c>
      <c r="AB728" s="14" t="n">
        <f aca="false">W728-0.02*P728</f>
        <v>-2329549.34</v>
      </c>
      <c r="AC728" s="16" t="n">
        <v>41</v>
      </c>
      <c r="AD728" s="13" t="n">
        <f aca="false">IFERROR(AC728/AC727-1,"")</f>
        <v>0.171428571428571</v>
      </c>
      <c r="AE728" s="17" t="n">
        <v>0.078</v>
      </c>
      <c r="AF728" s="17" t="n">
        <v>0.077</v>
      </c>
      <c r="AG728" s="13" t="n">
        <f aca="false">1-AF728</f>
        <v>0.923</v>
      </c>
      <c r="AH728" s="17" t="n">
        <v>1.072</v>
      </c>
      <c r="AI728" s="12" t="n">
        <v>22644</v>
      </c>
      <c r="AJ728" s="14" t="n">
        <f aca="false">IFERROR(AM728*U728*MIN(1/AE728,5),"")</f>
        <v>75675.0625603558</v>
      </c>
      <c r="AK728" s="18" t="n">
        <f aca="false">IFERROR(AJ728/AI728,"")</f>
        <v>3.34194764884101</v>
      </c>
      <c r="AL728" s="15" t="n">
        <f aca="false">IFERROR(AI728/(AM728*U728/12),"")</f>
        <v>17.9536026008092</v>
      </c>
      <c r="AM728" s="12" t="n">
        <v>27040</v>
      </c>
      <c r="AN728" s="12" t="n">
        <v>1107239</v>
      </c>
      <c r="AO728" s="12" t="n">
        <v>1803017</v>
      </c>
      <c r="AP728" s="17" t="n">
        <v>0.136</v>
      </c>
      <c r="AQ728" s="16" t="n">
        <v>63</v>
      </c>
      <c r="AR728" s="16" t="n">
        <v>2</v>
      </c>
      <c r="AS728" s="13" t="n">
        <f aca="false">IFERROR(AR728/AR727-1,"")</f>
        <v>0</v>
      </c>
      <c r="AT728" s="11" t="s">
        <v>98</v>
      </c>
      <c r="AU728" s="14" t="n">
        <f aca="false">IFERROR(P728/AR728,"")</f>
        <v>405408.5</v>
      </c>
      <c r="AV728" s="12" t="n">
        <v>2767169</v>
      </c>
      <c r="AW728" s="12" t="n">
        <v>1301534</v>
      </c>
      <c r="AX728" s="12" t="n">
        <v>585356</v>
      </c>
      <c r="AY728" s="16" t="n">
        <v>16571</v>
      </c>
      <c r="AZ728" s="13" t="n">
        <f aca="false">IFERROR(AY728/AY727-1,"")</f>
        <v>0.267477436132783</v>
      </c>
      <c r="BA728" s="17" t="n">
        <v>0.923</v>
      </c>
      <c r="BB728" s="11" t="s">
        <v>99</v>
      </c>
      <c r="BC728" s="11" t="s">
        <v>100</v>
      </c>
      <c r="BD728" s="11" t="s">
        <v>175</v>
      </c>
      <c r="BE728" s="12" t="n">
        <v>930931</v>
      </c>
      <c r="BF728" s="13" t="n">
        <f aca="false">IFERROR(P728/BE728-1,"")</f>
        <v>-0.129025674298095</v>
      </c>
      <c r="BG728" s="17" t="n">
        <v>0.08</v>
      </c>
      <c r="BH728" s="17" t="n">
        <v>0.084</v>
      </c>
      <c r="BI728" s="14" t="n">
        <f aca="false">P728*(1+IFERROR(Q728,0))^4</f>
        <v>1430990.80197823</v>
      </c>
      <c r="BJ728" s="12" t="n">
        <v>-2008657</v>
      </c>
      <c r="BK728" s="11" t="s">
        <v>110</v>
      </c>
      <c r="BL728" s="11" t="s">
        <v>111</v>
      </c>
      <c r="BM728" s="14" t="n">
        <f aca="false">O728</f>
        <v>35510335</v>
      </c>
      <c r="BN728" s="11" t="s">
        <v>701</v>
      </c>
      <c r="BO728" s="13" t="n">
        <f aca="false">IFERROR(1-L728/M728,"")</f>
        <v>0.10871694417238</v>
      </c>
      <c r="BP728" s="11" t="s">
        <v>130</v>
      </c>
      <c r="BQ728" s="12" t="n">
        <v>3010022</v>
      </c>
      <c r="BR728" s="11" t="s">
        <v>88</v>
      </c>
      <c r="BS728" s="11" t="s">
        <v>89</v>
      </c>
      <c r="BT728" s="19" t="str">
        <f aca="false">IF(OR(Z728&lt;6,AH728&lt;0.9,S728&lt;0.02,AK728&lt;1),"REVIEW",IF(AND(S728&gt;0.25,AH728&gt;1.2),"ACCELERATING","STABLE"))</f>
        <v>STABLE</v>
      </c>
    </row>
    <row r="729" customFormat="false" ht="15" hidden="false" customHeight="false" outlineLevel="0" collapsed="false">
      <c r="A729" s="11" t="s">
        <v>699</v>
      </c>
      <c r="B729" s="11" t="s">
        <v>93</v>
      </c>
      <c r="C729" s="11" t="s">
        <v>74</v>
      </c>
      <c r="D729" s="11" t="s">
        <v>115</v>
      </c>
      <c r="E729" s="11" t="s">
        <v>477</v>
      </c>
      <c r="F729" s="11" t="s">
        <v>700</v>
      </c>
      <c r="G729" s="11" t="s">
        <v>78</v>
      </c>
      <c r="H729" s="11" t="s">
        <v>644</v>
      </c>
      <c r="I729" s="11" t="s">
        <v>78</v>
      </c>
      <c r="J729" s="12" t="n">
        <v>1998000</v>
      </c>
      <c r="K729" s="13" t="n">
        <f aca="false">IFERROR(J729/M729,"")</f>
        <v>0.10871694417238</v>
      </c>
      <c r="L729" s="12" t="n">
        <v>16380000</v>
      </c>
      <c r="M729" s="14" t="n">
        <f aca="false">L729+J729</f>
        <v>18378000</v>
      </c>
      <c r="N729" s="12" t="n">
        <v>5280000</v>
      </c>
      <c r="O729" s="12" t="n">
        <v>35510335</v>
      </c>
      <c r="P729" s="12" t="n">
        <v>1005863</v>
      </c>
      <c r="Q729" s="13" t="n">
        <f aca="false">IFERROR(P729/P728-1,"")</f>
        <v>0.240554897097619</v>
      </c>
      <c r="R729" s="12" t="n">
        <v>1124609</v>
      </c>
      <c r="S729" s="13" t="n">
        <f aca="false">IFERROR(R729/R728-1,"")</f>
        <v>0.181089900113319</v>
      </c>
      <c r="T729" s="12" t="n">
        <v>565270</v>
      </c>
      <c r="U729" s="13" t="n">
        <f aca="false">IFERROR(T729/P729,"")</f>
        <v>0.561975139755613</v>
      </c>
      <c r="V729" s="14" t="n">
        <f aca="false">T729-AV729</f>
        <v>-2125761</v>
      </c>
      <c r="W729" s="14" t="n">
        <f aca="false">V729-AA729*0.1</f>
        <v>-2125761</v>
      </c>
      <c r="X729" s="12" t="n">
        <v>2324130</v>
      </c>
      <c r="Y729" s="12" t="n">
        <v>200000</v>
      </c>
      <c r="Z729" s="15" t="n">
        <f aca="false">IFERROR(X729/Y729,"")</f>
        <v>11.62065</v>
      </c>
      <c r="AA729" s="12" t="n">
        <v>0</v>
      </c>
      <c r="AB729" s="14" t="n">
        <f aca="false">W729-0.02*P729</f>
        <v>-2145878.26</v>
      </c>
      <c r="AC729" s="16" t="n">
        <v>47</v>
      </c>
      <c r="AD729" s="13" t="n">
        <f aca="false">IFERROR(AC729/AC728-1,"")</f>
        <v>0.146341463414634</v>
      </c>
      <c r="AE729" s="17" t="n">
        <v>0.076</v>
      </c>
      <c r="AF729" s="17" t="n">
        <v>0.074</v>
      </c>
      <c r="AG729" s="13" t="n">
        <f aca="false">1-AF729</f>
        <v>0.926</v>
      </c>
      <c r="AH729" s="17" t="n">
        <v>1.067</v>
      </c>
      <c r="AI729" s="12" t="n">
        <v>22200</v>
      </c>
      <c r="AJ729" s="14" t="n">
        <f aca="false">IFERROR(AM729*U729*MIN(1/AE729,5),"")</f>
        <v>77440.1742583234</v>
      </c>
      <c r="AK729" s="18" t="n">
        <f aca="false">IFERROR(AJ729/AI729,"")</f>
        <v>3.48829613776232</v>
      </c>
      <c r="AL729" s="15" t="n">
        <f aca="false">IFERROR(AI729/(AM729*U729/12),"")</f>
        <v>17.200374518228</v>
      </c>
      <c r="AM729" s="12" t="n">
        <v>27560</v>
      </c>
      <c r="AN729" s="12" t="n">
        <v>1139514</v>
      </c>
      <c r="AO729" s="12" t="n">
        <v>3501472</v>
      </c>
      <c r="AP729" s="17" t="n">
        <v>0.136</v>
      </c>
      <c r="AQ729" s="16" t="n">
        <v>63</v>
      </c>
      <c r="AR729" s="16" t="n">
        <v>2</v>
      </c>
      <c r="AS729" s="13" t="n">
        <f aca="false">IFERROR(AR729/AR728-1,"")</f>
        <v>0</v>
      </c>
      <c r="AT729" s="11" t="s">
        <v>98</v>
      </c>
      <c r="AU729" s="14" t="n">
        <f aca="false">IFERROR(P729/AR729,"")</f>
        <v>502931.5</v>
      </c>
      <c r="AV729" s="12" t="n">
        <v>2691031</v>
      </c>
      <c r="AW729" s="12" t="n">
        <v>1268315</v>
      </c>
      <c r="AX729" s="12" t="n">
        <v>802675</v>
      </c>
      <c r="AY729" s="16" t="n">
        <v>19095</v>
      </c>
      <c r="AZ729" s="13" t="n">
        <f aca="false">IFERROR(AY729/AY728-1,"")</f>
        <v>0.152314283990103</v>
      </c>
      <c r="BA729" s="17" t="n">
        <v>0.935</v>
      </c>
      <c r="BB729" s="11" t="s">
        <v>99</v>
      </c>
      <c r="BC729" s="11" t="s">
        <v>100</v>
      </c>
      <c r="BD729" s="11" t="s">
        <v>175</v>
      </c>
      <c r="BE729" s="12" t="n">
        <v>1109166</v>
      </c>
      <c r="BF729" s="13" t="n">
        <f aca="false">IFERROR(P729/BE729-1,"")</f>
        <v>-0.0931357434324529</v>
      </c>
      <c r="BG729" s="17" t="n">
        <v>0.035</v>
      </c>
      <c r="BH729" s="17" t="n">
        <v>-0.053</v>
      </c>
      <c r="BI729" s="14" t="n">
        <f aca="false">P729*(1+IFERROR(Q729,0))^4</f>
        <v>2382334.73568924</v>
      </c>
      <c r="BJ729" s="12" t="n">
        <v>-2246717</v>
      </c>
      <c r="BK729" s="11" t="s">
        <v>110</v>
      </c>
      <c r="BL729" s="11" t="s">
        <v>111</v>
      </c>
      <c r="BM729" s="14" t="n">
        <f aca="false">O729</f>
        <v>35510335</v>
      </c>
      <c r="BN729" s="11" t="s">
        <v>701</v>
      </c>
      <c r="BO729" s="13" t="n">
        <f aca="false">IFERROR(1-L729/M729,"")</f>
        <v>0.10871694417238</v>
      </c>
      <c r="BP729" s="11" t="s">
        <v>130</v>
      </c>
      <c r="BQ729" s="12" t="n">
        <v>2562389</v>
      </c>
      <c r="BR729" s="11" t="s">
        <v>88</v>
      </c>
      <c r="BS729" s="11" t="s">
        <v>89</v>
      </c>
      <c r="BT729" s="19" t="str">
        <f aca="false">IF(OR(Z729&lt;6,AH729&lt;0.9,S729&lt;0.02,AK729&lt;1),"REVIEW",IF(AND(S729&gt;0.25,AH729&gt;1.2),"ACCELERATING","STABLE"))</f>
        <v>STABLE</v>
      </c>
    </row>
    <row r="730" customFormat="false" ht="15" hidden="false" customHeight="false" outlineLevel="0" collapsed="false">
      <c r="A730" s="3" t="s">
        <v>702</v>
      </c>
      <c r="B730" s="3" t="s">
        <v>73</v>
      </c>
      <c r="C730" s="3" t="s">
        <v>74</v>
      </c>
      <c r="D730" s="3" t="s">
        <v>151</v>
      </c>
      <c r="E730" s="3" t="s">
        <v>105</v>
      </c>
      <c r="F730" s="3" t="s">
        <v>703</v>
      </c>
      <c r="G730" s="3" t="s">
        <v>78</v>
      </c>
      <c r="H730" s="3" t="s">
        <v>644</v>
      </c>
      <c r="I730" s="3" t="s">
        <v>78</v>
      </c>
      <c r="J730" s="4" t="n">
        <v>4291000</v>
      </c>
      <c r="K730" s="5" t="n">
        <f aca="false">IFERROR(J730/M730,"")</f>
        <v>0.177769492087165</v>
      </c>
      <c r="L730" s="4" t="n">
        <v>19847000</v>
      </c>
      <c r="M730" s="6" t="n">
        <f aca="false">L730+J730</f>
        <v>24138000</v>
      </c>
      <c r="N730" s="4" t="n">
        <v>6038000</v>
      </c>
      <c r="O730" s="4" t="n">
        <v>20270466</v>
      </c>
      <c r="P730" s="4" t="n">
        <v>1156467</v>
      </c>
      <c r="Q730" s="7"/>
      <c r="R730" s="4" t="n">
        <v>1426928</v>
      </c>
      <c r="S730" s="7"/>
      <c r="T730" s="4" t="n">
        <v>749330</v>
      </c>
      <c r="U730" s="5" t="n">
        <f aca="false">IFERROR(T730/P730,"")</f>
        <v>0.647947585188337</v>
      </c>
      <c r="V730" s="6" t="n">
        <f aca="false">T730-AV730</f>
        <v>-1100241</v>
      </c>
      <c r="W730" s="6" t="n">
        <f aca="false">V730-AA730*0.1</f>
        <v>-1221541</v>
      </c>
      <c r="X730" s="4" t="n">
        <v>1585897</v>
      </c>
      <c r="Y730" s="4" t="n">
        <v>110700</v>
      </c>
      <c r="Z730" s="8" t="n">
        <f aca="false">IFERROR(X730/Y730,"")</f>
        <v>14.3260794941283</v>
      </c>
      <c r="AA730" s="4" t="n">
        <v>1213000</v>
      </c>
      <c r="AB730" s="6" t="n">
        <f aca="false">W730-0.02*P730</f>
        <v>-1244670.34</v>
      </c>
      <c r="AC730" s="9" t="n">
        <v>16</v>
      </c>
      <c r="AD730" s="7"/>
      <c r="AE730" s="7" t="n">
        <v>0.236</v>
      </c>
      <c r="AF730" s="7" t="n">
        <v>0.238</v>
      </c>
      <c r="AG730" s="5" t="n">
        <f aca="false">1-AF730</f>
        <v>0.762</v>
      </c>
      <c r="AH730" s="7" t="n">
        <v>0.991</v>
      </c>
      <c r="AI730" s="4" t="n">
        <v>50844</v>
      </c>
      <c r="AJ730" s="6" t="n">
        <f aca="false">IFERROR(AM730*U730*MIN(1/AE730,5),"")</f>
        <v>79620.6778409397</v>
      </c>
      <c r="AK730" s="10" t="n">
        <f aca="false">IFERROR(AJ730/AI730,"")</f>
        <v>1.5659798174994</v>
      </c>
      <c r="AL730" s="8" t="n">
        <f aca="false">IFERROR(AI730/(AM730*U730/12),"")</f>
        <v>32.4700593576699</v>
      </c>
      <c r="AM730" s="4" t="n">
        <v>29000</v>
      </c>
      <c r="AN730" s="4" t="n">
        <v>1983868</v>
      </c>
      <c r="AO730" s="4" t="n">
        <v>3892347</v>
      </c>
      <c r="AP730" s="7" t="n">
        <v>0.329</v>
      </c>
      <c r="AQ730" s="9" t="n">
        <v>86</v>
      </c>
      <c r="AR730" s="9" t="n">
        <v>11</v>
      </c>
      <c r="AS730" s="7"/>
      <c r="AT730" s="3" t="s">
        <v>196</v>
      </c>
      <c r="AU730" s="6" t="n">
        <f aca="false">IFERROR(P730/AR730,"")</f>
        <v>105133.363636364</v>
      </c>
      <c r="AV730" s="4" t="n">
        <v>1849571</v>
      </c>
      <c r="AW730" s="4" t="n">
        <v>712285</v>
      </c>
      <c r="AX730" s="4" t="n">
        <v>405906</v>
      </c>
      <c r="AY730" s="9" t="n">
        <v>14000</v>
      </c>
      <c r="AZ730" s="7"/>
      <c r="BA730" s="7" t="n">
        <v>0.769</v>
      </c>
      <c r="BB730" s="3" t="s">
        <v>171</v>
      </c>
      <c r="BC730" s="3" t="s">
        <v>120</v>
      </c>
      <c r="BD730" s="3" t="s">
        <v>157</v>
      </c>
      <c r="BE730" s="4" t="n">
        <v>1770165</v>
      </c>
      <c r="BF730" s="5" t="n">
        <f aca="false">IFERROR(P730/BE730-1,"")</f>
        <v>-0.346689715365517</v>
      </c>
      <c r="BG730" s="7" t="n">
        <v>0.302</v>
      </c>
      <c r="BH730" s="7" t="n">
        <v>0.203</v>
      </c>
      <c r="BI730" s="6" t="n">
        <f aca="false">P730</f>
        <v>1156467</v>
      </c>
      <c r="BJ730" s="4" t="n">
        <v>-805780</v>
      </c>
      <c r="BK730" s="3" t="s">
        <v>121</v>
      </c>
      <c r="BL730" s="3" t="s">
        <v>140</v>
      </c>
      <c r="BM730" s="6" t="n">
        <f aca="false">O730</f>
        <v>20270466</v>
      </c>
      <c r="BN730" s="3" t="s">
        <v>704</v>
      </c>
      <c r="BO730" s="5" t="n">
        <f aca="false">IFERROR(1-L730/M730,"")</f>
        <v>0.177769492087165</v>
      </c>
      <c r="BP730" s="3" t="s">
        <v>130</v>
      </c>
      <c r="BQ730" s="4" t="n">
        <v>1604378</v>
      </c>
      <c r="BR730" s="3" t="s">
        <v>88</v>
      </c>
      <c r="BS730" s="3" t="s">
        <v>89</v>
      </c>
      <c r="BT730" s="3" t="s">
        <v>90</v>
      </c>
    </row>
    <row r="731" customFormat="false" ht="15" hidden="false" customHeight="false" outlineLevel="0" collapsed="false">
      <c r="A731" s="11" t="s">
        <v>702</v>
      </c>
      <c r="B731" s="11" t="s">
        <v>91</v>
      </c>
      <c r="C731" s="11" t="s">
        <v>74</v>
      </c>
      <c r="D731" s="11" t="s">
        <v>151</v>
      </c>
      <c r="E731" s="11" t="s">
        <v>105</v>
      </c>
      <c r="F731" s="11" t="s">
        <v>703</v>
      </c>
      <c r="G731" s="11" t="s">
        <v>78</v>
      </c>
      <c r="H731" s="11" t="s">
        <v>644</v>
      </c>
      <c r="I731" s="11" t="s">
        <v>78</v>
      </c>
      <c r="J731" s="12" t="n">
        <v>4291000</v>
      </c>
      <c r="K731" s="13" t="n">
        <f aca="false">IFERROR(J731/M731,"")</f>
        <v>0.177769492087165</v>
      </c>
      <c r="L731" s="12" t="n">
        <v>19847000</v>
      </c>
      <c r="M731" s="14" t="n">
        <f aca="false">L731+J731</f>
        <v>24138000</v>
      </c>
      <c r="N731" s="12" t="n">
        <v>6038000</v>
      </c>
      <c r="O731" s="12" t="n">
        <v>20270466</v>
      </c>
      <c r="P731" s="12" t="n">
        <v>1020993</v>
      </c>
      <c r="Q731" s="13" t="n">
        <f aca="false">IFERROR(P731/P730-1,"")</f>
        <v>-0.117144717488696</v>
      </c>
      <c r="R731" s="12" t="n">
        <v>1272044</v>
      </c>
      <c r="S731" s="13" t="n">
        <f aca="false">IFERROR(R731/R730-1,"")</f>
        <v>-0.108543668636399</v>
      </c>
      <c r="T731" s="12" t="n">
        <v>649068</v>
      </c>
      <c r="U731" s="13" t="n">
        <f aca="false">IFERROR(T731/P731,"")</f>
        <v>0.635722282131219</v>
      </c>
      <c r="V731" s="14" t="n">
        <f aca="false">T731-AV731</f>
        <v>-1426838</v>
      </c>
      <c r="W731" s="14" t="n">
        <f aca="false">V731-AA731*0.1</f>
        <v>-1548138</v>
      </c>
      <c r="X731" s="12" t="n">
        <v>1274047</v>
      </c>
      <c r="Y731" s="12" t="n">
        <v>118800</v>
      </c>
      <c r="Z731" s="15" t="n">
        <f aca="false">IFERROR(X731/Y731,"")</f>
        <v>10.7243013468013</v>
      </c>
      <c r="AA731" s="12" t="n">
        <v>1213000</v>
      </c>
      <c r="AB731" s="14" t="n">
        <f aca="false">W731-0.02*P731</f>
        <v>-1568557.86</v>
      </c>
      <c r="AC731" s="16" t="n">
        <v>15</v>
      </c>
      <c r="AD731" s="13" t="n">
        <f aca="false">IFERROR(AC731/AC730-1,"")</f>
        <v>-0.0625</v>
      </c>
      <c r="AE731" s="17" t="n">
        <v>0.28</v>
      </c>
      <c r="AF731" s="17" t="n">
        <v>0.228</v>
      </c>
      <c r="AG731" s="13" t="n">
        <f aca="false">1-AF731</f>
        <v>0.772</v>
      </c>
      <c r="AH731" s="17" t="n">
        <v>0.951</v>
      </c>
      <c r="AI731" s="12" t="n">
        <v>56196</v>
      </c>
      <c r="AJ731" s="14" t="n">
        <f aca="false">IFERROR(AM731*U731*MIN(1/AE731,5),"")</f>
        <v>67159.5182337195</v>
      </c>
      <c r="AK731" s="18" t="n">
        <f aca="false">IFERROR(AJ731/AI731,"")</f>
        <v>1.19509428133176</v>
      </c>
      <c r="AL731" s="15" t="n">
        <f aca="false">IFERROR(AI731/(AM731*U731/12),"")</f>
        <v>35.8608885730629</v>
      </c>
      <c r="AM731" s="12" t="n">
        <v>29580</v>
      </c>
      <c r="AN731" s="12" t="n">
        <v>1473800</v>
      </c>
      <c r="AO731" s="12" t="n">
        <v>3712426</v>
      </c>
      <c r="AP731" s="17" t="n">
        <v>0.329</v>
      </c>
      <c r="AQ731" s="16" t="n">
        <v>86</v>
      </c>
      <c r="AR731" s="16" t="n">
        <v>11</v>
      </c>
      <c r="AS731" s="13" t="n">
        <f aca="false">IFERROR(AR731/AR730-1,"")</f>
        <v>0</v>
      </c>
      <c r="AT731" s="11" t="s">
        <v>196</v>
      </c>
      <c r="AU731" s="14" t="n">
        <f aca="false">IFERROR(P731/AR731,"")</f>
        <v>92817.5454545455</v>
      </c>
      <c r="AV731" s="12" t="n">
        <v>2075906</v>
      </c>
      <c r="AW731" s="12" t="n">
        <v>695412</v>
      </c>
      <c r="AX731" s="12" t="n">
        <v>393162</v>
      </c>
      <c r="AY731" s="16" t="n">
        <v>12639</v>
      </c>
      <c r="AZ731" s="13" t="n">
        <f aca="false">IFERROR(AY731/AY730-1,"")</f>
        <v>-0.0972142857142857</v>
      </c>
      <c r="BA731" s="17" t="n">
        <v>0.723</v>
      </c>
      <c r="BB731" s="11" t="s">
        <v>171</v>
      </c>
      <c r="BC731" s="11" t="s">
        <v>120</v>
      </c>
      <c r="BD731" s="11" t="s">
        <v>157</v>
      </c>
      <c r="BE731" s="12" t="n">
        <v>1320406</v>
      </c>
      <c r="BF731" s="13" t="n">
        <f aca="false">IFERROR(P731/BE731-1,"")</f>
        <v>-0.22675828495175</v>
      </c>
      <c r="BG731" s="17" t="n">
        <v>0.296</v>
      </c>
      <c r="BH731" s="17" t="n">
        <v>0.248</v>
      </c>
      <c r="BI731" s="14" t="n">
        <f aca="false">P731*(1+IFERROR(Q731,0))^4</f>
        <v>620270.096700114</v>
      </c>
      <c r="BJ731" s="12" t="n">
        <v>-1336307</v>
      </c>
      <c r="BK731" s="11" t="s">
        <v>121</v>
      </c>
      <c r="BL731" s="11" t="s">
        <v>140</v>
      </c>
      <c r="BM731" s="14" t="n">
        <f aca="false">O731</f>
        <v>20270466</v>
      </c>
      <c r="BN731" s="11" t="s">
        <v>704</v>
      </c>
      <c r="BO731" s="13" t="n">
        <f aca="false">IFERROR(1-L731/M731,"")</f>
        <v>0.177769492087165</v>
      </c>
      <c r="BP731" s="11" t="s">
        <v>130</v>
      </c>
      <c r="BQ731" s="12" t="n">
        <v>1826128</v>
      </c>
      <c r="BR731" s="11" t="s">
        <v>88</v>
      </c>
      <c r="BS731" s="11" t="s">
        <v>89</v>
      </c>
      <c r="BT731" s="19" t="str">
        <f aca="false">IF(OR(Z731&lt;6,AH731&lt;0.9,S731&lt;0.02,AK731&lt;1),"REVIEW",IF(AND(S731&gt;0.25,AH731&gt;1.2),"ACCELERATING","STABLE"))</f>
        <v>REVIEW</v>
      </c>
    </row>
    <row r="732" customFormat="false" ht="15" hidden="false" customHeight="false" outlineLevel="0" collapsed="false">
      <c r="A732" s="11" t="s">
        <v>702</v>
      </c>
      <c r="B732" s="11" t="s">
        <v>92</v>
      </c>
      <c r="C732" s="11" t="s">
        <v>74</v>
      </c>
      <c r="D732" s="11" t="s">
        <v>151</v>
      </c>
      <c r="E732" s="11" t="s">
        <v>105</v>
      </c>
      <c r="F732" s="11" t="s">
        <v>703</v>
      </c>
      <c r="G732" s="11" t="s">
        <v>78</v>
      </c>
      <c r="H732" s="11" t="s">
        <v>644</v>
      </c>
      <c r="I732" s="11" t="s">
        <v>78</v>
      </c>
      <c r="J732" s="12" t="n">
        <v>4291000</v>
      </c>
      <c r="K732" s="13" t="n">
        <f aca="false">IFERROR(J732/M732,"")</f>
        <v>0.177769492087165</v>
      </c>
      <c r="L732" s="12" t="n">
        <v>19847000</v>
      </c>
      <c r="M732" s="14" t="n">
        <f aca="false">L732+J732</f>
        <v>24138000</v>
      </c>
      <c r="N732" s="12" t="n">
        <v>6038000</v>
      </c>
      <c r="O732" s="12" t="n">
        <v>20270466</v>
      </c>
      <c r="P732" s="12" t="n">
        <v>899737</v>
      </c>
      <c r="Q732" s="13" t="n">
        <f aca="false">IFERROR(P732/P731-1,"")</f>
        <v>-0.118762812281769</v>
      </c>
      <c r="R732" s="12" t="n">
        <v>1109285</v>
      </c>
      <c r="S732" s="13" t="n">
        <f aca="false">IFERROR(R732/R731-1,"")</f>
        <v>-0.127950762709466</v>
      </c>
      <c r="T732" s="12" t="n">
        <v>560983</v>
      </c>
      <c r="U732" s="13" t="n">
        <f aca="false">IFERROR(T732/P732,"")</f>
        <v>0.623496644019308</v>
      </c>
      <c r="V732" s="14" t="n">
        <f aca="false">T732-AV732</f>
        <v>-1501650</v>
      </c>
      <c r="W732" s="14" t="n">
        <f aca="false">V732-AA732*0.1</f>
        <v>-1622950</v>
      </c>
      <c r="X732" s="12" t="n">
        <v>908737</v>
      </c>
      <c r="Y732" s="12" t="n">
        <v>126900</v>
      </c>
      <c r="Z732" s="15" t="n">
        <f aca="false">IFERROR(X732/Y732,"")</f>
        <v>7.16104806934594</v>
      </c>
      <c r="AA732" s="12" t="n">
        <v>1213000</v>
      </c>
      <c r="AB732" s="14" t="n">
        <f aca="false">W732-0.02*P732</f>
        <v>-1640944.74</v>
      </c>
      <c r="AC732" s="16" t="n">
        <v>13</v>
      </c>
      <c r="AD732" s="13" t="n">
        <f aca="false">IFERROR(AC732/AC731-1,"")</f>
        <v>-0.133333333333333</v>
      </c>
      <c r="AE732" s="17" t="n">
        <v>0.325</v>
      </c>
      <c r="AF732" s="17" t="n">
        <v>0.262</v>
      </c>
      <c r="AG732" s="13" t="n">
        <f aca="false">1-AF732</f>
        <v>0.738</v>
      </c>
      <c r="AH732" s="17" t="n">
        <v>0.911</v>
      </c>
      <c r="AI732" s="12" t="n">
        <v>61548</v>
      </c>
      <c r="AJ732" s="14" t="n">
        <f aca="false">IFERROR(AM732*U732*MIN(1/AE732,5),"")</f>
        <v>57860.4885649918</v>
      </c>
      <c r="AK732" s="18" t="n">
        <f aca="false">IFERROR(AJ732/AI732,"")</f>
        <v>0.940087225661139</v>
      </c>
      <c r="AL732" s="15" t="n">
        <f aca="false">IFERROR(AI732/(AM732*U732/12),"")</f>
        <v>39.2762244983277</v>
      </c>
      <c r="AM732" s="12" t="n">
        <v>30160</v>
      </c>
      <c r="AN732" s="12" t="n">
        <v>1208517</v>
      </c>
      <c r="AO732" s="12" t="n">
        <v>3818690</v>
      </c>
      <c r="AP732" s="17" t="n">
        <v>0.329</v>
      </c>
      <c r="AQ732" s="16" t="n">
        <v>86</v>
      </c>
      <c r="AR732" s="16" t="n">
        <v>10</v>
      </c>
      <c r="AS732" s="13" t="n">
        <f aca="false">IFERROR(AR732/AR731-1,"")</f>
        <v>-0.0909090909090909</v>
      </c>
      <c r="AT732" s="11" t="s">
        <v>196</v>
      </c>
      <c r="AU732" s="14" t="n">
        <f aca="false">IFERROR(P732/AR732,"")</f>
        <v>89973.7</v>
      </c>
      <c r="AV732" s="12" t="n">
        <v>2062633</v>
      </c>
      <c r="AW732" s="12" t="n">
        <v>952830</v>
      </c>
      <c r="AX732" s="12" t="n">
        <v>622211</v>
      </c>
      <c r="AY732" s="16" t="n">
        <v>11173</v>
      </c>
      <c r="AZ732" s="13" t="n">
        <f aca="false">IFERROR(AY732/AY731-1,"")</f>
        <v>-0.115990189097239</v>
      </c>
      <c r="BA732" s="17" t="n">
        <v>0.737</v>
      </c>
      <c r="BB732" s="11" t="s">
        <v>171</v>
      </c>
      <c r="BC732" s="11" t="s">
        <v>120</v>
      </c>
      <c r="BD732" s="11" t="s">
        <v>157</v>
      </c>
      <c r="BE732" s="12" t="n">
        <v>1328405</v>
      </c>
      <c r="BF732" s="13" t="n">
        <f aca="false">IFERROR(P732/BE732-1,"")</f>
        <v>-0.322693756798567</v>
      </c>
      <c r="BG732" s="17" t="n">
        <v>0.254</v>
      </c>
      <c r="BH732" s="17" t="n">
        <v>0.305</v>
      </c>
      <c r="BI732" s="14" t="n">
        <f aca="false">P732*(1+IFERROR(Q732,0))^4</f>
        <v>542608.813680094</v>
      </c>
      <c r="BJ732" s="12" t="n">
        <v>-1260716</v>
      </c>
      <c r="BK732" s="11" t="s">
        <v>121</v>
      </c>
      <c r="BL732" s="11" t="s">
        <v>140</v>
      </c>
      <c r="BM732" s="14" t="n">
        <f aca="false">O732</f>
        <v>20270466</v>
      </c>
      <c r="BN732" s="11" t="s">
        <v>704</v>
      </c>
      <c r="BO732" s="13" t="n">
        <f aca="false">IFERROR(1-L732/M732,"")</f>
        <v>0.177769492087165</v>
      </c>
      <c r="BP732" s="11" t="s">
        <v>130</v>
      </c>
      <c r="BQ732" s="12" t="n">
        <v>2458316</v>
      </c>
      <c r="BR732" s="11" t="s">
        <v>88</v>
      </c>
      <c r="BS732" s="11" t="s">
        <v>89</v>
      </c>
      <c r="BT732" s="19" t="str">
        <f aca="false">IF(OR(Z732&lt;6,AH732&lt;0.9,S732&lt;0.02,AK732&lt;1),"REVIEW",IF(AND(S732&gt;0.25,AH732&gt;1.2),"ACCELERATING","STABLE"))</f>
        <v>REVIEW</v>
      </c>
    </row>
    <row r="733" customFormat="false" ht="15" hidden="false" customHeight="false" outlineLevel="0" collapsed="false">
      <c r="A733" s="11" t="s">
        <v>702</v>
      </c>
      <c r="B733" s="11" t="s">
        <v>93</v>
      </c>
      <c r="C733" s="11" t="s">
        <v>74</v>
      </c>
      <c r="D733" s="11" t="s">
        <v>151</v>
      </c>
      <c r="E733" s="11" t="s">
        <v>105</v>
      </c>
      <c r="F733" s="11" t="s">
        <v>703</v>
      </c>
      <c r="G733" s="11" t="s">
        <v>78</v>
      </c>
      <c r="H733" s="11" t="s">
        <v>644</v>
      </c>
      <c r="I733" s="11" t="s">
        <v>78</v>
      </c>
      <c r="J733" s="12" t="n">
        <v>4291000</v>
      </c>
      <c r="K733" s="13" t="n">
        <f aca="false">IFERROR(J733/M733,"")</f>
        <v>0.177769492087165</v>
      </c>
      <c r="L733" s="12" t="n">
        <v>19847000</v>
      </c>
      <c r="M733" s="14" t="n">
        <f aca="false">L733+J733</f>
        <v>24138000</v>
      </c>
      <c r="N733" s="12" t="n">
        <v>6038000</v>
      </c>
      <c r="O733" s="12" t="n">
        <v>20270466</v>
      </c>
      <c r="P733" s="12" t="n">
        <v>801279</v>
      </c>
      <c r="Q733" s="13" t="n">
        <f aca="false">IFERROR(P733/P732-1,"")</f>
        <v>-0.109429755584132</v>
      </c>
      <c r="R733" s="12" t="n">
        <v>991536</v>
      </c>
      <c r="S733" s="13" t="n">
        <f aca="false">IFERROR(R733/R732-1,"")</f>
        <v>-0.10614855515039</v>
      </c>
      <c r="T733" s="12" t="n">
        <v>489799</v>
      </c>
      <c r="U733" s="13" t="n">
        <f aca="false">IFERROR(T733/P733,"")</f>
        <v>0.611271479721795</v>
      </c>
      <c r="V733" s="14" t="n">
        <f aca="false">T733-AV733</f>
        <v>-1630162</v>
      </c>
      <c r="W733" s="14" t="n">
        <f aca="false">V733-AA733*0.1</f>
        <v>-1751462</v>
      </c>
      <c r="X733" s="12" t="n">
        <v>489967</v>
      </c>
      <c r="Y733" s="12" t="n">
        <v>135000</v>
      </c>
      <c r="Z733" s="15" t="n">
        <f aca="false">IFERROR(X733/Y733,"")</f>
        <v>3.62938518518519</v>
      </c>
      <c r="AA733" s="12" t="n">
        <v>1213000</v>
      </c>
      <c r="AB733" s="14" t="n">
        <f aca="false">W733-0.02*P733</f>
        <v>-1767487.58</v>
      </c>
      <c r="AC733" s="16" t="n">
        <v>12</v>
      </c>
      <c r="AD733" s="13" t="n">
        <f aca="false">IFERROR(AC733/AC732-1,"")</f>
        <v>-0.0769230769230769</v>
      </c>
      <c r="AE733" s="17" t="n">
        <v>0.369</v>
      </c>
      <c r="AF733" s="17" t="n">
        <v>0.355</v>
      </c>
      <c r="AG733" s="13" t="n">
        <f aca="false">1-AF733</f>
        <v>0.645</v>
      </c>
      <c r="AH733" s="17" t="n">
        <v>0.871</v>
      </c>
      <c r="AI733" s="12" t="n">
        <v>66900</v>
      </c>
      <c r="AJ733" s="14" t="n">
        <f aca="false">IFERROR(AM733*U733*MIN(1/AE733,5),"")</f>
        <v>50922.7243540595</v>
      </c>
      <c r="AK733" s="18" t="n">
        <f aca="false">IFERROR(AJ733/AI733,"")</f>
        <v>0.761176746697452</v>
      </c>
      <c r="AL733" s="15" t="n">
        <f aca="false">IFERROR(AI733/(AM733*U733/12),"")</f>
        <v>42.7237502253573</v>
      </c>
      <c r="AM733" s="12" t="n">
        <v>30740</v>
      </c>
      <c r="AN733" s="12" t="n">
        <v>934044</v>
      </c>
      <c r="AO733" s="12" t="n">
        <v>1978391</v>
      </c>
      <c r="AP733" s="17" t="n">
        <v>0.329</v>
      </c>
      <c r="AQ733" s="16" t="n">
        <v>86</v>
      </c>
      <c r="AR733" s="16" t="n">
        <v>10</v>
      </c>
      <c r="AS733" s="13" t="n">
        <f aca="false">IFERROR(AR733/AR732-1,"")</f>
        <v>0</v>
      </c>
      <c r="AT733" s="11" t="s">
        <v>196</v>
      </c>
      <c r="AU733" s="14" t="n">
        <f aca="false">IFERROR(P733/AR733,"")</f>
        <v>80127.9</v>
      </c>
      <c r="AV733" s="12" t="n">
        <v>2119961</v>
      </c>
      <c r="AW733" s="12" t="n">
        <v>1048734</v>
      </c>
      <c r="AX733" s="12" t="n">
        <v>503045</v>
      </c>
      <c r="AY733" s="16" t="n">
        <v>10247</v>
      </c>
      <c r="AZ733" s="13" t="n">
        <f aca="false">IFERROR(AY733/AY732-1,"")</f>
        <v>-0.0828783674930637</v>
      </c>
      <c r="BA733" s="17" t="n">
        <v>0.711</v>
      </c>
      <c r="BB733" s="11" t="s">
        <v>171</v>
      </c>
      <c r="BC733" s="11" t="s">
        <v>120</v>
      </c>
      <c r="BD733" s="11" t="s">
        <v>157</v>
      </c>
      <c r="BE733" s="12" t="n">
        <v>1166360</v>
      </c>
      <c r="BF733" s="13" t="n">
        <f aca="false">IFERROR(P733/BE733-1,"")</f>
        <v>-0.313008848040056</v>
      </c>
      <c r="BG733" s="17" t="n">
        <v>0.15</v>
      </c>
      <c r="BH733" s="17" t="n">
        <v>0.183</v>
      </c>
      <c r="BI733" s="14" t="n">
        <f aca="false">P733*(1+IFERROR(Q733,0))^4</f>
        <v>504030.111613127</v>
      </c>
      <c r="BJ733" s="12" t="n">
        <v>-1492809</v>
      </c>
      <c r="BK733" s="11" t="s">
        <v>121</v>
      </c>
      <c r="BL733" s="11" t="s">
        <v>140</v>
      </c>
      <c r="BM733" s="14" t="n">
        <f aca="false">O733</f>
        <v>20270466</v>
      </c>
      <c r="BN733" s="11" t="s">
        <v>704</v>
      </c>
      <c r="BO733" s="13" t="n">
        <f aca="false">IFERROR(1-L733/M733,"")</f>
        <v>0.177769492087165</v>
      </c>
      <c r="BP733" s="11" t="s">
        <v>130</v>
      </c>
      <c r="BQ733" s="12" t="n">
        <v>1660531</v>
      </c>
      <c r="BR733" s="11" t="s">
        <v>88</v>
      </c>
      <c r="BS733" s="11" t="s">
        <v>89</v>
      </c>
      <c r="BT733" s="19" t="str">
        <f aca="false">IF(OR(Z733&lt;6,AH733&lt;0.9,S733&lt;0.02,AK733&lt;1),"REVIEW",IF(AND(S733&gt;0.25,AH733&gt;1.2),"ACCELERATING","STABLE"))</f>
        <v>REVIEW</v>
      </c>
    </row>
    <row r="734" customFormat="false" ht="15" hidden="false" customHeight="false" outlineLevel="0" collapsed="false">
      <c r="A734" s="3" t="s">
        <v>705</v>
      </c>
      <c r="B734" s="3" t="s">
        <v>73</v>
      </c>
      <c r="C734" s="3" t="s">
        <v>74</v>
      </c>
      <c r="D734" s="3" t="s">
        <v>165</v>
      </c>
      <c r="E734" s="3" t="s">
        <v>96</v>
      </c>
      <c r="F734" s="3" t="s">
        <v>706</v>
      </c>
      <c r="G734" s="3" t="s">
        <v>78</v>
      </c>
      <c r="H734" s="3" t="s">
        <v>644</v>
      </c>
      <c r="I734" s="3" t="s">
        <v>78</v>
      </c>
      <c r="J734" s="4" t="n">
        <v>2430000</v>
      </c>
      <c r="K734" s="5" t="n">
        <f aca="false">IFERROR(J734/M734,"")</f>
        <v>0.140665701881331</v>
      </c>
      <c r="L734" s="4" t="n">
        <v>14845000</v>
      </c>
      <c r="M734" s="6" t="n">
        <f aca="false">L734+J734</f>
        <v>17275000</v>
      </c>
      <c r="N734" s="4" t="n">
        <v>7062000</v>
      </c>
      <c r="O734" s="4" t="n">
        <v>20743444</v>
      </c>
      <c r="P734" s="4" t="n">
        <v>815081</v>
      </c>
      <c r="Q734" s="7"/>
      <c r="R734" s="4" t="n">
        <v>955030</v>
      </c>
      <c r="S734" s="7"/>
      <c r="T734" s="4" t="n">
        <v>668131</v>
      </c>
      <c r="U734" s="5" t="n">
        <f aca="false">IFERROR(T734/P734,"")</f>
        <v>0.819711169810117</v>
      </c>
      <c r="V734" s="6" t="n">
        <f aca="false">T734-AV734</f>
        <v>-2475254</v>
      </c>
      <c r="W734" s="6" t="n">
        <f aca="false">V734-AA734*0.1</f>
        <v>-2475254</v>
      </c>
      <c r="X734" s="4" t="n">
        <v>7278072</v>
      </c>
      <c r="Y734" s="4" t="n">
        <v>211120</v>
      </c>
      <c r="Z734" s="8" t="n">
        <f aca="false">IFERROR(X734/Y734,"")</f>
        <v>34.4736263736264</v>
      </c>
      <c r="AA734" s="4" t="n">
        <v>0</v>
      </c>
      <c r="AB734" s="6" t="n">
        <f aca="false">W734-0.02*P734</f>
        <v>-2491555.62</v>
      </c>
      <c r="AC734" s="9" t="n">
        <v>51</v>
      </c>
      <c r="AD734" s="7"/>
      <c r="AE734" s="7" t="n">
        <v>0.06</v>
      </c>
      <c r="AF734" s="7" t="n">
        <v>0.049</v>
      </c>
      <c r="AG734" s="5" t="n">
        <f aca="false">1-AF734</f>
        <v>0.951</v>
      </c>
      <c r="AH734" s="7" t="n">
        <v>1.191</v>
      </c>
      <c r="AI734" s="4" t="n">
        <v>51728</v>
      </c>
      <c r="AJ734" s="6" t="n">
        <f aca="false">IFERROR(AM734*U734*MIN(1/AE734,5),"")</f>
        <v>155745.122263922</v>
      </c>
      <c r="AK734" s="10" t="n">
        <f aca="false">IFERROR(AJ734/AI734,"")</f>
        <v>3.01084755381848</v>
      </c>
      <c r="AL734" s="8" t="n">
        <f aca="false">IFERROR(AI734/(AM734*U734/12),"")</f>
        <v>19.9279435200582</v>
      </c>
      <c r="AM734" s="4" t="n">
        <v>38000</v>
      </c>
      <c r="AN734" s="4" t="n">
        <v>1153169</v>
      </c>
      <c r="AO734" s="4" t="n">
        <v>2809437</v>
      </c>
      <c r="AP734" s="7" t="n">
        <v>0.215</v>
      </c>
      <c r="AQ734" s="9" t="n">
        <v>79</v>
      </c>
      <c r="AR734" s="9" t="n">
        <v>2</v>
      </c>
      <c r="AS734" s="7"/>
      <c r="AT734" s="3" t="s">
        <v>134</v>
      </c>
      <c r="AU734" s="6" t="n">
        <f aca="false">IFERROR(P734/AR734,"")</f>
        <v>407540.5</v>
      </c>
      <c r="AV734" s="4" t="n">
        <v>3143385</v>
      </c>
      <c r="AW734" s="4" t="n">
        <v>1314065</v>
      </c>
      <c r="AX734" s="4" t="n">
        <v>651925</v>
      </c>
      <c r="AY734" s="9" t="n">
        <v>23075</v>
      </c>
      <c r="AZ734" s="7"/>
      <c r="BA734" s="7" t="n">
        <v>0.939</v>
      </c>
      <c r="BB734" s="3" t="s">
        <v>161</v>
      </c>
      <c r="BC734" s="3" t="s">
        <v>126</v>
      </c>
      <c r="BD734" s="3" t="s">
        <v>157</v>
      </c>
      <c r="BE734" s="4" t="n">
        <v>892145</v>
      </c>
      <c r="BF734" s="5" t="n">
        <f aca="false">IFERROR(P734/BE734-1,"")</f>
        <v>-0.0863805771483335</v>
      </c>
      <c r="BG734" s="7" t="n">
        <v>-0.012</v>
      </c>
      <c r="BH734" s="7" t="n">
        <v>0.054</v>
      </c>
      <c r="BI734" s="6" t="n">
        <f aca="false">P734</f>
        <v>815081</v>
      </c>
      <c r="BJ734" s="4" t="n">
        <v>-2515278</v>
      </c>
      <c r="BK734" s="3" t="s">
        <v>102</v>
      </c>
      <c r="BL734" s="3" t="s">
        <v>128</v>
      </c>
      <c r="BM734" s="6" t="n">
        <f aca="false">O734</f>
        <v>20743444</v>
      </c>
      <c r="BN734" s="3" t="s">
        <v>707</v>
      </c>
      <c r="BO734" s="5" t="n">
        <f aca="false">IFERROR(1-L734/M734,"")</f>
        <v>0.140665701881331</v>
      </c>
      <c r="BP734" s="3" t="s">
        <v>130</v>
      </c>
      <c r="BQ734" s="4" t="n">
        <v>3138307</v>
      </c>
      <c r="BR734" s="3" t="s">
        <v>88</v>
      </c>
      <c r="BS734" s="3" t="s">
        <v>89</v>
      </c>
      <c r="BT734" s="3" t="s">
        <v>90</v>
      </c>
    </row>
    <row r="735" customFormat="false" ht="15" hidden="false" customHeight="false" outlineLevel="0" collapsed="false">
      <c r="A735" s="11" t="s">
        <v>705</v>
      </c>
      <c r="B735" s="11" t="s">
        <v>91</v>
      </c>
      <c r="C735" s="11" t="s">
        <v>74</v>
      </c>
      <c r="D735" s="11" t="s">
        <v>165</v>
      </c>
      <c r="E735" s="11" t="s">
        <v>96</v>
      </c>
      <c r="F735" s="11" t="s">
        <v>706</v>
      </c>
      <c r="G735" s="11" t="s">
        <v>78</v>
      </c>
      <c r="H735" s="11" t="s">
        <v>644</v>
      </c>
      <c r="I735" s="11" t="s">
        <v>78</v>
      </c>
      <c r="J735" s="12" t="n">
        <v>2430000</v>
      </c>
      <c r="K735" s="13" t="n">
        <f aca="false">IFERROR(J735/M735,"")</f>
        <v>0.140665701881331</v>
      </c>
      <c r="L735" s="12" t="n">
        <v>14845000</v>
      </c>
      <c r="M735" s="14" t="n">
        <f aca="false">L735+J735</f>
        <v>17275000</v>
      </c>
      <c r="N735" s="12" t="n">
        <v>7062000</v>
      </c>
      <c r="O735" s="12" t="n">
        <v>20743444</v>
      </c>
      <c r="P735" s="12" t="n">
        <v>962004</v>
      </c>
      <c r="Q735" s="13" t="n">
        <f aca="false">IFERROR(P735/P734-1,"")</f>
        <v>0.180255704647759</v>
      </c>
      <c r="R735" s="12" t="n">
        <v>1204792</v>
      </c>
      <c r="S735" s="13" t="n">
        <f aca="false">IFERROR(R735/R734-1,"")</f>
        <v>0.261522674680377</v>
      </c>
      <c r="T735" s="12" t="n">
        <v>791757</v>
      </c>
      <c r="U735" s="13" t="n">
        <f aca="false">IFERROR(T735/P735,"")</f>
        <v>0.823028802375042</v>
      </c>
      <c r="V735" s="14" t="n">
        <f aca="false">T735-AV735</f>
        <v>-2461555</v>
      </c>
      <c r="W735" s="14" t="n">
        <f aca="false">V735-AA735*0.1</f>
        <v>-2461555</v>
      </c>
      <c r="X735" s="12" t="n">
        <v>6745632</v>
      </c>
      <c r="Y735" s="12" t="n">
        <v>218080</v>
      </c>
      <c r="Z735" s="15" t="n">
        <f aca="false">IFERROR(X735/Y735,"")</f>
        <v>30.931914893617</v>
      </c>
      <c r="AA735" s="12" t="n">
        <v>0</v>
      </c>
      <c r="AB735" s="14" t="n">
        <f aca="false">W735-0.02*P735</f>
        <v>-2480795.08</v>
      </c>
      <c r="AC735" s="16" t="n">
        <v>57</v>
      </c>
      <c r="AD735" s="13" t="n">
        <f aca="false">IFERROR(AC735/AC734-1,"")</f>
        <v>0.117647058823529</v>
      </c>
      <c r="AE735" s="17" t="n">
        <v>0.058</v>
      </c>
      <c r="AF735" s="17" t="n">
        <v>0.045</v>
      </c>
      <c r="AG735" s="13" t="n">
        <f aca="false">1-AF735</f>
        <v>0.955</v>
      </c>
      <c r="AH735" s="17" t="n">
        <v>1.186</v>
      </c>
      <c r="AI735" s="12" t="n">
        <v>50752</v>
      </c>
      <c r="AJ735" s="14" t="n">
        <f aca="false">IFERROR(AM735*U735*MIN(1/AE735,5),"")</f>
        <v>159502.981900283</v>
      </c>
      <c r="AK735" s="18" t="n">
        <f aca="false">IFERROR(AJ735/AI735,"")</f>
        <v>3.14279204563925</v>
      </c>
      <c r="AL735" s="15" t="n">
        <f aca="false">IFERROR(AI735/(AM735*U735/12),"")</f>
        <v>19.0913045243488</v>
      </c>
      <c r="AM735" s="12" t="n">
        <v>38760</v>
      </c>
      <c r="AN735" s="12" t="n">
        <v>1702360</v>
      </c>
      <c r="AO735" s="12" t="n">
        <v>1819251</v>
      </c>
      <c r="AP735" s="17" t="n">
        <v>0.215</v>
      </c>
      <c r="AQ735" s="16" t="n">
        <v>79</v>
      </c>
      <c r="AR735" s="16" t="n">
        <v>2</v>
      </c>
      <c r="AS735" s="13" t="n">
        <f aca="false">IFERROR(AR735/AR734-1,"")</f>
        <v>0</v>
      </c>
      <c r="AT735" s="11" t="s">
        <v>134</v>
      </c>
      <c r="AU735" s="14" t="n">
        <f aca="false">IFERROR(P735/AR735,"")</f>
        <v>481002</v>
      </c>
      <c r="AV735" s="12" t="n">
        <v>3253312</v>
      </c>
      <c r="AW735" s="12" t="n">
        <v>1516692</v>
      </c>
      <c r="AX735" s="12" t="n">
        <v>1032857</v>
      </c>
      <c r="AY735" s="16" t="n">
        <v>27124</v>
      </c>
      <c r="AZ735" s="13" t="n">
        <f aca="false">IFERROR(AY735/AY734-1,"")</f>
        <v>0.175471289274106</v>
      </c>
      <c r="BA735" s="17" t="n">
        <v>0.948</v>
      </c>
      <c r="BB735" s="11" t="s">
        <v>161</v>
      </c>
      <c r="BC735" s="11" t="s">
        <v>126</v>
      </c>
      <c r="BD735" s="11" t="s">
        <v>157</v>
      </c>
      <c r="BE735" s="12" t="n">
        <v>1100819</v>
      </c>
      <c r="BF735" s="13" t="n">
        <f aca="false">IFERROR(P735/BE735-1,"")</f>
        <v>-0.126101566197531</v>
      </c>
      <c r="BG735" s="17" t="n">
        <v>0.052</v>
      </c>
      <c r="BH735" s="17" t="n">
        <v>0.022</v>
      </c>
      <c r="BI735" s="14" t="n">
        <f aca="false">P735*(1+IFERROR(Q735,0))^4</f>
        <v>1866729.15630063</v>
      </c>
      <c r="BJ735" s="12" t="n">
        <v>-1926643</v>
      </c>
      <c r="BK735" s="11" t="s">
        <v>102</v>
      </c>
      <c r="BL735" s="11" t="s">
        <v>128</v>
      </c>
      <c r="BM735" s="14" t="n">
        <f aca="false">O735</f>
        <v>20743444</v>
      </c>
      <c r="BN735" s="11" t="s">
        <v>707</v>
      </c>
      <c r="BO735" s="13" t="n">
        <f aca="false">IFERROR(1-L735/M735,"")</f>
        <v>0.140665701881331</v>
      </c>
      <c r="BP735" s="11" t="s">
        <v>130</v>
      </c>
      <c r="BQ735" s="12" t="n">
        <v>4241539</v>
      </c>
      <c r="BR735" s="11" t="s">
        <v>88</v>
      </c>
      <c r="BS735" s="11" t="s">
        <v>89</v>
      </c>
      <c r="BT735" s="19" t="str">
        <f aca="false">IF(OR(Z735&lt;6,AH735&lt;0.9,S735&lt;0.02,AK735&lt;1),"REVIEW",IF(AND(S735&gt;0.25,AH735&gt;1.2),"ACCELERATING","STABLE"))</f>
        <v>STABLE</v>
      </c>
    </row>
    <row r="736" customFormat="false" ht="15" hidden="false" customHeight="false" outlineLevel="0" collapsed="false">
      <c r="A736" s="11" t="s">
        <v>705</v>
      </c>
      <c r="B736" s="11" t="s">
        <v>92</v>
      </c>
      <c r="C736" s="11" t="s">
        <v>74</v>
      </c>
      <c r="D736" s="11" t="s">
        <v>165</v>
      </c>
      <c r="E736" s="11" t="s">
        <v>96</v>
      </c>
      <c r="F736" s="11" t="s">
        <v>706</v>
      </c>
      <c r="G736" s="11" t="s">
        <v>78</v>
      </c>
      <c r="H736" s="11" t="s">
        <v>644</v>
      </c>
      <c r="I736" s="11" t="s">
        <v>78</v>
      </c>
      <c r="J736" s="12" t="n">
        <v>2430000</v>
      </c>
      <c r="K736" s="13" t="n">
        <f aca="false">IFERROR(J736/M736,"")</f>
        <v>0.140665701881331</v>
      </c>
      <c r="L736" s="12" t="n">
        <v>14845000</v>
      </c>
      <c r="M736" s="14" t="n">
        <f aca="false">L736+J736</f>
        <v>17275000</v>
      </c>
      <c r="N736" s="12" t="n">
        <v>7062000</v>
      </c>
      <c r="O736" s="12" t="n">
        <v>20743444</v>
      </c>
      <c r="P736" s="12" t="n">
        <v>1187954</v>
      </c>
      <c r="Q736" s="13" t="n">
        <f aca="false">IFERROR(P736/P735-1,"")</f>
        <v>0.234874283267013</v>
      </c>
      <c r="R736" s="12" t="n">
        <v>1420922</v>
      </c>
      <c r="S736" s="13" t="n">
        <f aca="false">IFERROR(R736/R735-1,"")</f>
        <v>0.179391961434007</v>
      </c>
      <c r="T736" s="12" t="n">
        <v>981663</v>
      </c>
      <c r="U736" s="13" t="n">
        <f aca="false">IFERROR(T736/P736,"")</f>
        <v>0.826347653191959</v>
      </c>
      <c r="V736" s="14" t="n">
        <f aca="false">T736-AV736</f>
        <v>-2090247</v>
      </c>
      <c r="W736" s="14" t="n">
        <f aca="false">V736-AA736*0.1</f>
        <v>-2090247</v>
      </c>
      <c r="X736" s="12" t="n">
        <v>6175608</v>
      </c>
      <c r="Y736" s="12" t="n">
        <v>225040</v>
      </c>
      <c r="Z736" s="15" t="n">
        <f aca="false">IFERROR(X736/Y736,"")</f>
        <v>27.4422680412371</v>
      </c>
      <c r="AA736" s="12" t="n">
        <v>0</v>
      </c>
      <c r="AB736" s="14" t="n">
        <f aca="false">W736-0.02*P736</f>
        <v>-2114006.08</v>
      </c>
      <c r="AC736" s="16" t="n">
        <v>66</v>
      </c>
      <c r="AD736" s="13" t="n">
        <f aca="false">IFERROR(AC736/AC735-1,"")</f>
        <v>0.157894736842105</v>
      </c>
      <c r="AE736" s="17" t="n">
        <v>0.057</v>
      </c>
      <c r="AF736" s="17" t="n">
        <v>0.038</v>
      </c>
      <c r="AG736" s="13" t="n">
        <f aca="false">1-AF736</f>
        <v>0.962</v>
      </c>
      <c r="AH736" s="17" t="n">
        <v>1.181</v>
      </c>
      <c r="AI736" s="12" t="n">
        <v>49776</v>
      </c>
      <c r="AJ736" s="14" t="n">
        <f aca="false">IFERROR(AM736*U736*MIN(1/AE736,5),"")</f>
        <v>163286.296270731</v>
      </c>
      <c r="AK736" s="18" t="n">
        <f aca="false">IFERROR(AJ736/AI736,"")</f>
        <v>3.28042221694654</v>
      </c>
      <c r="AL736" s="15" t="n">
        <f aca="false">IFERROR(AI736/(AM736*U736/12),"")</f>
        <v>18.2903285101662</v>
      </c>
      <c r="AM736" s="12" t="n">
        <v>39520</v>
      </c>
      <c r="AN736" s="12" t="n">
        <v>1483106</v>
      </c>
      <c r="AO736" s="12" t="n">
        <v>3394080</v>
      </c>
      <c r="AP736" s="17" t="n">
        <v>0.215</v>
      </c>
      <c r="AQ736" s="16" t="n">
        <v>79</v>
      </c>
      <c r="AR736" s="16" t="n">
        <v>2</v>
      </c>
      <c r="AS736" s="13" t="n">
        <f aca="false">IFERROR(AR736/AR735-1,"")</f>
        <v>0</v>
      </c>
      <c r="AT736" s="11" t="s">
        <v>134</v>
      </c>
      <c r="AU736" s="14" t="n">
        <f aca="false">IFERROR(P736/AR736,"")</f>
        <v>593977</v>
      </c>
      <c r="AV736" s="12" t="n">
        <v>3071910</v>
      </c>
      <c r="AW736" s="12" t="n">
        <v>1380457</v>
      </c>
      <c r="AX736" s="12" t="n">
        <v>851635</v>
      </c>
      <c r="AY736" s="16" t="n">
        <v>33253</v>
      </c>
      <c r="AZ736" s="13" t="n">
        <f aca="false">IFERROR(AY736/AY735-1,"")</f>
        <v>0.225962247456127</v>
      </c>
      <c r="BA736" s="17" t="n">
        <v>0.951</v>
      </c>
      <c r="BB736" s="11" t="s">
        <v>161</v>
      </c>
      <c r="BC736" s="11" t="s">
        <v>126</v>
      </c>
      <c r="BD736" s="11" t="s">
        <v>157</v>
      </c>
      <c r="BE736" s="12" t="n">
        <v>1146044</v>
      </c>
      <c r="BF736" s="13" t="n">
        <f aca="false">IFERROR(P736/BE736-1,"")</f>
        <v>0.0365692765722783</v>
      </c>
      <c r="BG736" s="17" t="n">
        <v>-0.058</v>
      </c>
      <c r="BH736" s="17" t="n">
        <v>-0.03</v>
      </c>
      <c r="BI736" s="14" t="n">
        <f aca="false">P736*(1+IFERROR(Q736,0))^4</f>
        <v>2762425.72483273</v>
      </c>
      <c r="BJ736" s="12" t="n">
        <v>-2111774</v>
      </c>
      <c r="BK736" s="11" t="s">
        <v>102</v>
      </c>
      <c r="BL736" s="11" t="s">
        <v>128</v>
      </c>
      <c r="BM736" s="14" t="n">
        <f aca="false">O736</f>
        <v>20743444</v>
      </c>
      <c r="BN736" s="11" t="s">
        <v>707</v>
      </c>
      <c r="BO736" s="13" t="n">
        <f aca="false">IFERROR(1-L736/M736,"")</f>
        <v>0.140665701881331</v>
      </c>
      <c r="BP736" s="11" t="s">
        <v>130</v>
      </c>
      <c r="BQ736" s="12" t="n">
        <v>3507501</v>
      </c>
      <c r="BR736" s="11" t="s">
        <v>88</v>
      </c>
      <c r="BS736" s="11" t="s">
        <v>89</v>
      </c>
      <c r="BT736" s="19" t="str">
        <f aca="false">IF(OR(Z736&lt;6,AH736&lt;0.9,S736&lt;0.02,AK736&lt;1),"REVIEW",IF(AND(S736&gt;0.25,AH736&gt;1.2),"ACCELERATING","STABLE"))</f>
        <v>STABLE</v>
      </c>
    </row>
    <row r="737" customFormat="false" ht="15" hidden="false" customHeight="false" outlineLevel="0" collapsed="false">
      <c r="A737" s="11" t="s">
        <v>705</v>
      </c>
      <c r="B737" s="11" t="s">
        <v>93</v>
      </c>
      <c r="C737" s="11" t="s">
        <v>74</v>
      </c>
      <c r="D737" s="11" t="s">
        <v>165</v>
      </c>
      <c r="E737" s="11" t="s">
        <v>96</v>
      </c>
      <c r="F737" s="11" t="s">
        <v>706</v>
      </c>
      <c r="G737" s="11" t="s">
        <v>78</v>
      </c>
      <c r="H737" s="11" t="s">
        <v>644</v>
      </c>
      <c r="I737" s="11" t="s">
        <v>78</v>
      </c>
      <c r="J737" s="12" t="n">
        <v>2430000</v>
      </c>
      <c r="K737" s="13" t="n">
        <f aca="false">IFERROR(J737/M737,"")</f>
        <v>0.140665701881331</v>
      </c>
      <c r="L737" s="12" t="n">
        <v>14845000</v>
      </c>
      <c r="M737" s="14" t="n">
        <f aca="false">L737+J737</f>
        <v>17275000</v>
      </c>
      <c r="N737" s="12" t="n">
        <v>7062000</v>
      </c>
      <c r="O737" s="12" t="n">
        <v>20743444</v>
      </c>
      <c r="P737" s="12" t="n">
        <v>1531297</v>
      </c>
      <c r="Q737" s="13" t="n">
        <f aca="false">IFERROR(P737/P736-1,"")</f>
        <v>0.289020450286796</v>
      </c>
      <c r="R737" s="12" t="n">
        <v>1661261</v>
      </c>
      <c r="S737" s="13" t="n">
        <f aca="false">IFERROR(R737/R736-1,"")</f>
        <v>0.169142993070696</v>
      </c>
      <c r="T737" s="12" t="n">
        <v>1270466</v>
      </c>
      <c r="U737" s="13" t="n">
        <f aca="false">IFERROR(T737/P737,"")</f>
        <v>0.829666615947135</v>
      </c>
      <c r="V737" s="14" t="n">
        <f aca="false">T737-AV737</f>
        <v>-2864088</v>
      </c>
      <c r="W737" s="14" t="n">
        <f aca="false">V737-AA737*0.1</f>
        <v>-2864088</v>
      </c>
      <c r="X737" s="12" t="n">
        <v>5568000</v>
      </c>
      <c r="Y737" s="12" t="n">
        <v>232000</v>
      </c>
      <c r="Z737" s="15" t="n">
        <f aca="false">IFERROR(X737/Y737,"")</f>
        <v>24</v>
      </c>
      <c r="AA737" s="12" t="n">
        <v>0</v>
      </c>
      <c r="AB737" s="14" t="n">
        <f aca="false">W737-0.02*P737</f>
        <v>-2894713.94</v>
      </c>
      <c r="AC737" s="16" t="n">
        <v>83</v>
      </c>
      <c r="AD737" s="13" t="n">
        <f aca="false">IFERROR(AC737/AC736-1,"")</f>
        <v>0.257575757575758</v>
      </c>
      <c r="AE737" s="17" t="n">
        <v>0.055</v>
      </c>
      <c r="AF737" s="17" t="n">
        <v>0.041</v>
      </c>
      <c r="AG737" s="13" t="n">
        <f aca="false">1-AF737</f>
        <v>0.959</v>
      </c>
      <c r="AH737" s="17" t="n">
        <v>1.176</v>
      </c>
      <c r="AI737" s="12" t="n">
        <v>48800</v>
      </c>
      <c r="AJ737" s="14" t="n">
        <f aca="false">IFERROR(AM737*U737*MIN(1/AE737,5),"")</f>
        <v>167094.856451753</v>
      </c>
      <c r="AK737" s="18" t="n">
        <f aca="false">IFERROR(AJ737/AI737,"")</f>
        <v>3.42407492729002</v>
      </c>
      <c r="AL737" s="15" t="n">
        <f aca="false">IFERROR(AI737/(AM737*U737/12),"")</f>
        <v>17.5229810311093</v>
      </c>
      <c r="AM737" s="12" t="n">
        <v>40280</v>
      </c>
      <c r="AN737" s="12" t="n">
        <v>2131843</v>
      </c>
      <c r="AO737" s="12" t="n">
        <v>5329958</v>
      </c>
      <c r="AP737" s="17" t="n">
        <v>0.215</v>
      </c>
      <c r="AQ737" s="16" t="n">
        <v>79</v>
      </c>
      <c r="AR737" s="16" t="n">
        <v>2</v>
      </c>
      <c r="AS737" s="13" t="n">
        <f aca="false">IFERROR(AR737/AR736-1,"")</f>
        <v>0</v>
      </c>
      <c r="AT737" s="11" t="s">
        <v>134</v>
      </c>
      <c r="AU737" s="14" t="n">
        <f aca="false">IFERROR(P737/AR737,"")</f>
        <v>765648.5</v>
      </c>
      <c r="AV737" s="12" t="n">
        <v>4134554</v>
      </c>
      <c r="AW737" s="12" t="n">
        <v>1770185</v>
      </c>
      <c r="AX737" s="12" t="n">
        <v>1274807</v>
      </c>
      <c r="AY737" s="16" t="n">
        <v>38031</v>
      </c>
      <c r="AZ737" s="13" t="n">
        <f aca="false">IFERROR(AY737/AY736-1,"")</f>
        <v>0.143686283944306</v>
      </c>
      <c r="BA737" s="17" t="n">
        <v>0.943</v>
      </c>
      <c r="BB737" s="11" t="s">
        <v>161</v>
      </c>
      <c r="BC737" s="11" t="s">
        <v>126</v>
      </c>
      <c r="BD737" s="11" t="s">
        <v>157</v>
      </c>
      <c r="BE737" s="12" t="n">
        <v>1687828</v>
      </c>
      <c r="BF737" s="13" t="n">
        <f aca="false">IFERROR(P737/BE737-1,"")</f>
        <v>-0.0927410849920727</v>
      </c>
      <c r="BG737" s="17" t="n">
        <v>-0.048</v>
      </c>
      <c r="BH737" s="17" t="n">
        <v>0.017</v>
      </c>
      <c r="BI737" s="14" t="n">
        <f aca="false">P737*(1+IFERROR(Q737,0))^4</f>
        <v>4227646.45661466</v>
      </c>
      <c r="BJ737" s="12" t="n">
        <v>-1595207</v>
      </c>
      <c r="BK737" s="11" t="s">
        <v>102</v>
      </c>
      <c r="BL737" s="11" t="s">
        <v>128</v>
      </c>
      <c r="BM737" s="14" t="n">
        <f aca="false">O737</f>
        <v>20743444</v>
      </c>
      <c r="BN737" s="11" t="s">
        <v>707</v>
      </c>
      <c r="BO737" s="13" t="n">
        <f aca="false">IFERROR(1-L737/M737,"")</f>
        <v>0.140665701881331</v>
      </c>
      <c r="BP737" s="11" t="s">
        <v>130</v>
      </c>
      <c r="BQ737" s="12" t="n">
        <v>4436724</v>
      </c>
      <c r="BR737" s="11" t="s">
        <v>88</v>
      </c>
      <c r="BS737" s="11" t="s">
        <v>89</v>
      </c>
      <c r="BT737" s="19" t="str">
        <f aca="false">IF(OR(Z737&lt;6,AH737&lt;0.9,S737&lt;0.02,AK737&lt;1),"REVIEW",IF(AND(S737&gt;0.25,AH737&gt;1.2),"ACCELERATING","STABLE"))</f>
        <v>STABLE</v>
      </c>
    </row>
    <row r="738" customFormat="false" ht="15" hidden="false" customHeight="false" outlineLevel="0" collapsed="false">
      <c r="A738" s="3" t="s">
        <v>708</v>
      </c>
      <c r="B738" s="3" t="s">
        <v>73</v>
      </c>
      <c r="C738" s="3" t="s">
        <v>74</v>
      </c>
      <c r="D738" s="3" t="s">
        <v>132</v>
      </c>
      <c r="E738" s="3" t="s">
        <v>105</v>
      </c>
      <c r="F738" s="3" t="s">
        <v>709</v>
      </c>
      <c r="G738" s="3" t="s">
        <v>78</v>
      </c>
      <c r="H738" s="3" t="s">
        <v>644</v>
      </c>
      <c r="I738" s="3" t="s">
        <v>78</v>
      </c>
      <c r="J738" s="4" t="n">
        <v>1543000</v>
      </c>
      <c r="K738" s="5" t="n">
        <f aca="false">IFERROR(J738/M738,"")</f>
        <v>0.137657239718084</v>
      </c>
      <c r="L738" s="4" t="n">
        <v>9666000</v>
      </c>
      <c r="M738" s="6" t="n">
        <f aca="false">L738+J738</f>
        <v>11209000</v>
      </c>
      <c r="N738" s="4" t="n">
        <v>5642000</v>
      </c>
      <c r="O738" s="4" t="n">
        <v>15754676</v>
      </c>
      <c r="P738" s="4" t="n">
        <v>1033443</v>
      </c>
      <c r="Q738" s="7"/>
      <c r="R738" s="4" t="n">
        <v>1277731</v>
      </c>
      <c r="S738" s="7"/>
      <c r="T738" s="4" t="n">
        <v>721326</v>
      </c>
      <c r="U738" s="5" t="n">
        <f aca="false">IFERROR(T738/P738,"")</f>
        <v>0.697983343058108</v>
      </c>
      <c r="V738" s="6" t="n">
        <f aca="false">T738-AV738</f>
        <v>-1875759</v>
      </c>
      <c r="W738" s="6" t="n">
        <f aca="false">V738-AA738*0.1</f>
        <v>-1875759</v>
      </c>
      <c r="X738" s="4" t="n">
        <v>2770572</v>
      </c>
      <c r="Y738" s="4" t="n">
        <v>151970</v>
      </c>
      <c r="Z738" s="8" t="n">
        <f aca="false">IFERROR(X738/Y738,"")</f>
        <v>18.2310456011055</v>
      </c>
      <c r="AA738" s="4" t="n">
        <v>0</v>
      </c>
      <c r="AB738" s="6" t="n">
        <f aca="false">W738-0.02*P738</f>
        <v>-1896427.86</v>
      </c>
      <c r="AC738" s="9" t="n">
        <v>46</v>
      </c>
      <c r="AD738" s="7"/>
      <c r="AE738" s="7" t="n">
        <v>0.051</v>
      </c>
      <c r="AF738" s="7" t="n">
        <v>0.048</v>
      </c>
      <c r="AG738" s="5" t="n">
        <f aca="false">1-AF738</f>
        <v>0.952</v>
      </c>
      <c r="AH738" s="7" t="n">
        <v>1.157</v>
      </c>
      <c r="AI738" s="4" t="n">
        <v>57452</v>
      </c>
      <c r="AJ738" s="6" t="n">
        <f aca="false">IFERROR(AM738*U738*MIN(1/AE738,5),"")</f>
        <v>188455.502625689</v>
      </c>
      <c r="AK738" s="10" t="n">
        <f aca="false">IFERROR(AJ738/AI738,"")</f>
        <v>3.28022527719991</v>
      </c>
      <c r="AL738" s="8" t="n">
        <f aca="false">IFERROR(AI738/(AM738*U738/12),"")</f>
        <v>18.2914266337273</v>
      </c>
      <c r="AM738" s="4" t="n">
        <v>54000</v>
      </c>
      <c r="AN738" s="4" t="n">
        <v>1657477</v>
      </c>
      <c r="AO738" s="4" t="n">
        <v>3542496</v>
      </c>
      <c r="AP738" s="7" t="n">
        <v>0.224</v>
      </c>
      <c r="AQ738" s="9" t="n">
        <v>82</v>
      </c>
      <c r="AR738" s="9" t="n">
        <v>3</v>
      </c>
      <c r="AS738" s="7"/>
      <c r="AT738" s="3" t="s">
        <v>134</v>
      </c>
      <c r="AU738" s="6" t="n">
        <f aca="false">IFERROR(P738/AR738,"")</f>
        <v>344481</v>
      </c>
      <c r="AV738" s="4" t="n">
        <v>2597085</v>
      </c>
      <c r="AW738" s="4" t="n">
        <v>1046653</v>
      </c>
      <c r="AX738" s="4" t="n">
        <v>570593</v>
      </c>
      <c r="AY738" s="9" t="n">
        <v>12092</v>
      </c>
      <c r="AZ738" s="7"/>
      <c r="BA738" s="7" t="n">
        <v>0.963</v>
      </c>
      <c r="BB738" s="3" t="s">
        <v>107</v>
      </c>
      <c r="BC738" s="3" t="s">
        <v>126</v>
      </c>
      <c r="BD738" s="3" t="s">
        <v>175</v>
      </c>
      <c r="BE738" s="4" t="n">
        <v>1227147</v>
      </c>
      <c r="BF738" s="5" t="n">
        <f aca="false">IFERROR(P738/BE738-1,"")</f>
        <v>-0.157849059648111</v>
      </c>
      <c r="BG738" s="7" t="n">
        <v>0.07</v>
      </c>
      <c r="BH738" s="7" t="n">
        <v>0.088</v>
      </c>
      <c r="BI738" s="6" t="n">
        <f aca="false">P738</f>
        <v>1033443</v>
      </c>
      <c r="BJ738" s="4" t="n">
        <v>-913351</v>
      </c>
      <c r="BK738" s="3" t="s">
        <v>84</v>
      </c>
      <c r="BL738" s="3" t="s">
        <v>111</v>
      </c>
      <c r="BM738" s="6" t="n">
        <f aca="false">O738</f>
        <v>15754676</v>
      </c>
      <c r="BN738" s="3" t="s">
        <v>710</v>
      </c>
      <c r="BO738" s="5" t="n">
        <f aca="false">IFERROR(1-L738/M738,"")</f>
        <v>0.137657239718084</v>
      </c>
      <c r="BP738" s="3" t="s">
        <v>87</v>
      </c>
      <c r="BQ738" s="4" t="n">
        <v>2492353</v>
      </c>
      <c r="BR738" s="3" t="s">
        <v>88</v>
      </c>
      <c r="BS738" s="3" t="s">
        <v>89</v>
      </c>
      <c r="BT738" s="3" t="s">
        <v>90</v>
      </c>
    </row>
    <row r="739" customFormat="false" ht="15" hidden="false" customHeight="false" outlineLevel="0" collapsed="false">
      <c r="A739" s="11" t="s">
        <v>708</v>
      </c>
      <c r="B739" s="11" t="s">
        <v>91</v>
      </c>
      <c r="C739" s="11" t="s">
        <v>74</v>
      </c>
      <c r="D739" s="11" t="s">
        <v>132</v>
      </c>
      <c r="E739" s="11" t="s">
        <v>105</v>
      </c>
      <c r="F739" s="11" t="s">
        <v>709</v>
      </c>
      <c r="G739" s="11" t="s">
        <v>78</v>
      </c>
      <c r="H739" s="11" t="s">
        <v>644</v>
      </c>
      <c r="I739" s="11" t="s">
        <v>78</v>
      </c>
      <c r="J739" s="12" t="n">
        <v>1543000</v>
      </c>
      <c r="K739" s="13" t="n">
        <f aca="false">IFERROR(J739/M739,"")</f>
        <v>0.137657239718084</v>
      </c>
      <c r="L739" s="12" t="n">
        <v>9666000</v>
      </c>
      <c r="M739" s="14" t="n">
        <f aca="false">L739+J739</f>
        <v>11209000</v>
      </c>
      <c r="N739" s="12" t="n">
        <v>5642000</v>
      </c>
      <c r="O739" s="12" t="n">
        <v>15754676</v>
      </c>
      <c r="P739" s="12" t="n">
        <v>1230298</v>
      </c>
      <c r="Q739" s="13" t="n">
        <f aca="false">IFERROR(P739/P738-1,"")</f>
        <v>0.190484622761004</v>
      </c>
      <c r="R739" s="12" t="n">
        <v>1567067</v>
      </c>
      <c r="S739" s="13" t="n">
        <f aca="false">IFERROR(R739/R738-1,"")</f>
        <v>0.226445159427141</v>
      </c>
      <c r="T739" s="12" t="n">
        <v>862204</v>
      </c>
      <c r="U739" s="13" t="n">
        <f aca="false">IFERROR(T739/P739,"")</f>
        <v>0.700809072273547</v>
      </c>
      <c r="V739" s="14" t="n">
        <f aca="false">T739-AV739</f>
        <v>-1515401</v>
      </c>
      <c r="W739" s="14" t="n">
        <f aca="false">V739-AA739*0.1</f>
        <v>-1515401</v>
      </c>
      <c r="X739" s="12" t="n">
        <v>2387307</v>
      </c>
      <c r="Y739" s="12" t="n">
        <v>156980</v>
      </c>
      <c r="Z739" s="15" t="n">
        <f aca="false">IFERROR(X739/Y739,"")</f>
        <v>15.207714358517</v>
      </c>
      <c r="AA739" s="12" t="n">
        <v>0</v>
      </c>
      <c r="AB739" s="14" t="n">
        <f aca="false">W739-0.02*P739</f>
        <v>-1540006.96</v>
      </c>
      <c r="AC739" s="16" t="n">
        <v>59</v>
      </c>
      <c r="AD739" s="13" t="n">
        <f aca="false">IFERROR(AC739/AC738-1,"")</f>
        <v>0.282608695652174</v>
      </c>
      <c r="AE739" s="17" t="n">
        <v>0.05</v>
      </c>
      <c r="AF739" s="17" t="n">
        <v>0.051</v>
      </c>
      <c r="AG739" s="13" t="n">
        <f aca="false">1-AF739</f>
        <v>0.949</v>
      </c>
      <c r="AH739" s="17" t="n">
        <v>1.152</v>
      </c>
      <c r="AI739" s="12" t="n">
        <v>56368</v>
      </c>
      <c r="AJ739" s="14" t="n">
        <f aca="false">IFERROR(AM739*U739*MIN(1/AE739,5),"")</f>
        <v>193002.818504135</v>
      </c>
      <c r="AK739" s="18" t="n">
        <f aca="false">IFERROR(AJ739/AI739,"")</f>
        <v>3.42397847190134</v>
      </c>
      <c r="AL739" s="15" t="n">
        <f aca="false">IFERROR(AI739/(AM739*U739/12),"")</f>
        <v>17.523474663286</v>
      </c>
      <c r="AM739" s="12" t="n">
        <v>55080</v>
      </c>
      <c r="AN739" s="12" t="n">
        <v>1842607</v>
      </c>
      <c r="AO739" s="12" t="n">
        <v>4745492</v>
      </c>
      <c r="AP739" s="17" t="n">
        <v>0.224</v>
      </c>
      <c r="AQ739" s="16" t="n">
        <v>82</v>
      </c>
      <c r="AR739" s="16" t="n">
        <v>3</v>
      </c>
      <c r="AS739" s="13" t="n">
        <f aca="false">IFERROR(AR739/AR738-1,"")</f>
        <v>0</v>
      </c>
      <c r="AT739" s="11" t="s">
        <v>134</v>
      </c>
      <c r="AU739" s="14" t="n">
        <f aca="false">IFERROR(P739/AR739,"")</f>
        <v>410099.333333333</v>
      </c>
      <c r="AV739" s="12" t="n">
        <v>2377605</v>
      </c>
      <c r="AW739" s="12" t="n">
        <v>1155250</v>
      </c>
      <c r="AX739" s="12" t="n">
        <v>639567</v>
      </c>
      <c r="AY739" s="16" t="n">
        <v>15050</v>
      </c>
      <c r="AZ739" s="13" t="n">
        <f aca="false">IFERROR(AY739/AY738-1,"")</f>
        <v>0.244624545153821</v>
      </c>
      <c r="BA739" s="17" t="n">
        <v>0.947</v>
      </c>
      <c r="BB739" s="11" t="s">
        <v>107</v>
      </c>
      <c r="BC739" s="11" t="s">
        <v>126</v>
      </c>
      <c r="BD739" s="11" t="s">
        <v>175</v>
      </c>
      <c r="BE739" s="12" t="n">
        <v>1516794</v>
      </c>
      <c r="BF739" s="13" t="n">
        <f aca="false">IFERROR(P739/BE739-1,"")</f>
        <v>-0.188882603702283</v>
      </c>
      <c r="BG739" s="17" t="n">
        <v>-0.014</v>
      </c>
      <c r="BH739" s="17" t="n">
        <v>-0.024</v>
      </c>
      <c r="BI739" s="14" t="n">
        <f aca="false">P739*(1+IFERROR(Q739,0))^4</f>
        <v>2471186.24730715</v>
      </c>
      <c r="BJ739" s="12" t="n">
        <v>-1114865</v>
      </c>
      <c r="BK739" s="11" t="s">
        <v>84</v>
      </c>
      <c r="BL739" s="11" t="s">
        <v>111</v>
      </c>
      <c r="BM739" s="14" t="n">
        <f aca="false">O739</f>
        <v>15754676</v>
      </c>
      <c r="BN739" s="11" t="s">
        <v>710</v>
      </c>
      <c r="BO739" s="13" t="n">
        <f aca="false">IFERROR(1-L739/M739,"")</f>
        <v>0.137657239718084</v>
      </c>
      <c r="BP739" s="11" t="s">
        <v>87</v>
      </c>
      <c r="BQ739" s="12" t="n">
        <v>2582885</v>
      </c>
      <c r="BR739" s="11" t="s">
        <v>88</v>
      </c>
      <c r="BS739" s="11" t="s">
        <v>89</v>
      </c>
      <c r="BT739" s="19" t="str">
        <f aca="false">IF(OR(Z739&lt;6,AH739&lt;0.9,S739&lt;0.02,AK739&lt;1),"REVIEW",IF(AND(S739&gt;0.25,AH739&gt;1.2),"ACCELERATING","STABLE"))</f>
        <v>STABLE</v>
      </c>
    </row>
    <row r="740" customFormat="false" ht="15" hidden="false" customHeight="false" outlineLevel="0" collapsed="false">
      <c r="A740" s="11" t="s">
        <v>708</v>
      </c>
      <c r="B740" s="11" t="s">
        <v>92</v>
      </c>
      <c r="C740" s="11" t="s">
        <v>74</v>
      </c>
      <c r="D740" s="11" t="s">
        <v>132</v>
      </c>
      <c r="E740" s="11" t="s">
        <v>105</v>
      </c>
      <c r="F740" s="11" t="s">
        <v>709</v>
      </c>
      <c r="G740" s="11" t="s">
        <v>78</v>
      </c>
      <c r="H740" s="11" t="s">
        <v>644</v>
      </c>
      <c r="I740" s="11" t="s">
        <v>78</v>
      </c>
      <c r="J740" s="12" t="n">
        <v>1543000</v>
      </c>
      <c r="K740" s="13" t="n">
        <f aca="false">IFERROR(J740/M740,"")</f>
        <v>0.137657239718084</v>
      </c>
      <c r="L740" s="12" t="n">
        <v>9666000</v>
      </c>
      <c r="M740" s="14" t="n">
        <f aca="false">L740+J740</f>
        <v>11209000</v>
      </c>
      <c r="N740" s="12" t="n">
        <v>5642000</v>
      </c>
      <c r="O740" s="12" t="n">
        <v>15754676</v>
      </c>
      <c r="P740" s="12" t="n">
        <v>1480897</v>
      </c>
      <c r="Q740" s="13" t="n">
        <f aca="false">IFERROR(P740/P739-1,"")</f>
        <v>0.203689675184386</v>
      </c>
      <c r="R740" s="12" t="n">
        <v>2012666</v>
      </c>
      <c r="S740" s="13" t="n">
        <f aca="false">IFERROR(R740/R739-1,"")</f>
        <v>0.284352232546534</v>
      </c>
      <c r="T740" s="12" t="n">
        <v>1042010</v>
      </c>
      <c r="U740" s="13" t="n">
        <f aca="false">IFERROR(T740/P740,"")</f>
        <v>0.703634351342463</v>
      </c>
      <c r="V740" s="14" t="n">
        <f aca="false">T740-AV740</f>
        <v>-1633653</v>
      </c>
      <c r="W740" s="14" t="n">
        <f aca="false">V740-AA740*0.1</f>
        <v>-1633653</v>
      </c>
      <c r="X740" s="12" t="n">
        <v>1976988</v>
      </c>
      <c r="Y740" s="12" t="n">
        <v>161990</v>
      </c>
      <c r="Z740" s="15" t="n">
        <f aca="false">IFERROR(X740/Y740,"")</f>
        <v>12.2043829866041</v>
      </c>
      <c r="AA740" s="12" t="n">
        <v>0</v>
      </c>
      <c r="AB740" s="14" t="n">
        <f aca="false">W740-0.02*P740</f>
        <v>-1663270.94</v>
      </c>
      <c r="AC740" s="16" t="n">
        <v>63</v>
      </c>
      <c r="AD740" s="13" t="n">
        <f aca="false">IFERROR(AC740/AC739-1,"")</f>
        <v>0.0677966101694916</v>
      </c>
      <c r="AE740" s="17" t="n">
        <v>0.048</v>
      </c>
      <c r="AF740" s="17" t="n">
        <v>0.048</v>
      </c>
      <c r="AG740" s="13" t="n">
        <f aca="false">1-AF740</f>
        <v>0.952</v>
      </c>
      <c r="AH740" s="17" t="n">
        <v>1.147</v>
      </c>
      <c r="AI740" s="12" t="n">
        <v>55284</v>
      </c>
      <c r="AJ740" s="14" t="n">
        <f aca="false">IFERROR(AM740*U740*MIN(1/AE740,5),"")</f>
        <v>197580.525856964</v>
      </c>
      <c r="AK740" s="18" t="n">
        <f aca="false">IFERROR(AJ740/AI740,"")</f>
        <v>3.57391878042406</v>
      </c>
      <c r="AL740" s="15" t="n">
        <f aca="false">IFERROR(AI740/(AM740*U740/12),"")</f>
        <v>16.7882942188409</v>
      </c>
      <c r="AM740" s="12" t="n">
        <v>56160</v>
      </c>
      <c r="AN740" s="12" t="n">
        <v>2228088</v>
      </c>
      <c r="AO740" s="12" t="n">
        <v>3509322</v>
      </c>
      <c r="AP740" s="17" t="n">
        <v>0.224</v>
      </c>
      <c r="AQ740" s="16" t="n">
        <v>82</v>
      </c>
      <c r="AR740" s="16" t="n">
        <v>3</v>
      </c>
      <c r="AS740" s="13" t="n">
        <f aca="false">IFERROR(AR740/AR739-1,"")</f>
        <v>0</v>
      </c>
      <c r="AT740" s="11" t="s">
        <v>134</v>
      </c>
      <c r="AU740" s="14" t="n">
        <f aca="false">IFERROR(P740/AR740,"")</f>
        <v>493632.333333333</v>
      </c>
      <c r="AV740" s="12" t="n">
        <v>2675663</v>
      </c>
      <c r="AW740" s="12" t="n">
        <v>1337714</v>
      </c>
      <c r="AX740" s="12" t="n">
        <v>583566</v>
      </c>
      <c r="AY740" s="16" t="n">
        <v>19140</v>
      </c>
      <c r="AZ740" s="13" t="n">
        <f aca="false">IFERROR(AY740/AY739-1,"")</f>
        <v>0.271760797342193</v>
      </c>
      <c r="BA740" s="17" t="n">
        <v>0.959</v>
      </c>
      <c r="BB740" s="11" t="s">
        <v>107</v>
      </c>
      <c r="BC740" s="11" t="s">
        <v>126</v>
      </c>
      <c r="BD740" s="11" t="s">
        <v>175</v>
      </c>
      <c r="BE740" s="12" t="n">
        <v>1674085</v>
      </c>
      <c r="BF740" s="13" t="n">
        <f aca="false">IFERROR(P740/BE740-1,"")</f>
        <v>-0.115399158346201</v>
      </c>
      <c r="BG740" s="17" t="n">
        <v>0.072</v>
      </c>
      <c r="BH740" s="17" t="n">
        <v>-0.044</v>
      </c>
      <c r="BI740" s="14" t="n">
        <f aca="false">P740*(1+IFERROR(Q740,0))^4</f>
        <v>3108729.93101203</v>
      </c>
      <c r="BJ740" s="12" t="n">
        <v>-1274624</v>
      </c>
      <c r="BK740" s="11" t="s">
        <v>84</v>
      </c>
      <c r="BL740" s="11" t="s">
        <v>111</v>
      </c>
      <c r="BM740" s="14" t="n">
        <f aca="false">O740</f>
        <v>15754676</v>
      </c>
      <c r="BN740" s="11" t="s">
        <v>710</v>
      </c>
      <c r="BO740" s="13" t="n">
        <f aca="false">IFERROR(1-L740/M740,"")</f>
        <v>0.137657239718084</v>
      </c>
      <c r="BP740" s="11" t="s">
        <v>87</v>
      </c>
      <c r="BQ740" s="12" t="n">
        <v>2918805</v>
      </c>
      <c r="BR740" s="11" t="s">
        <v>88</v>
      </c>
      <c r="BS740" s="11" t="s">
        <v>89</v>
      </c>
      <c r="BT740" s="19" t="str">
        <f aca="false">IF(OR(Z740&lt;6,AH740&lt;0.9,S740&lt;0.02,AK740&lt;1),"REVIEW",IF(AND(S740&gt;0.25,AH740&gt;1.2),"ACCELERATING","STABLE"))</f>
        <v>STABLE</v>
      </c>
    </row>
    <row r="741" customFormat="false" ht="15" hidden="false" customHeight="false" outlineLevel="0" collapsed="false">
      <c r="A741" s="11" t="s">
        <v>708</v>
      </c>
      <c r="B741" s="11" t="s">
        <v>93</v>
      </c>
      <c r="C741" s="11" t="s">
        <v>74</v>
      </c>
      <c r="D741" s="11" t="s">
        <v>132</v>
      </c>
      <c r="E741" s="11" t="s">
        <v>105</v>
      </c>
      <c r="F741" s="11" t="s">
        <v>709</v>
      </c>
      <c r="G741" s="11" t="s">
        <v>78</v>
      </c>
      <c r="H741" s="11" t="s">
        <v>644</v>
      </c>
      <c r="I741" s="11" t="s">
        <v>78</v>
      </c>
      <c r="J741" s="12" t="n">
        <v>1543000</v>
      </c>
      <c r="K741" s="13" t="n">
        <f aca="false">IFERROR(J741/M741,"")</f>
        <v>0.137657239718084</v>
      </c>
      <c r="L741" s="12" t="n">
        <v>9666000</v>
      </c>
      <c r="M741" s="14" t="n">
        <f aca="false">L741+J741</f>
        <v>11209000</v>
      </c>
      <c r="N741" s="12" t="n">
        <v>5642000</v>
      </c>
      <c r="O741" s="12" t="n">
        <v>15754676</v>
      </c>
      <c r="P741" s="12" t="n">
        <v>1956173</v>
      </c>
      <c r="Q741" s="13" t="n">
        <f aca="false">IFERROR(P741/P740-1,"")</f>
        <v>0.320937918032112</v>
      </c>
      <c r="R741" s="12" t="n">
        <v>2262728</v>
      </c>
      <c r="S741" s="13" t="n">
        <f aca="false">IFERROR(R741/R740-1,"")</f>
        <v>0.124244161723803</v>
      </c>
      <c r="T741" s="12" t="n">
        <v>1381959</v>
      </c>
      <c r="U741" s="13" t="n">
        <f aca="false">IFERROR(T741/P741,"")</f>
        <v>0.706460522663384</v>
      </c>
      <c r="V741" s="14" t="n">
        <f aca="false">T741-AV741</f>
        <v>-2010699</v>
      </c>
      <c r="W741" s="14" t="n">
        <f aca="false">V741-AA741*0.1</f>
        <v>-2010699</v>
      </c>
      <c r="X741" s="12" t="n">
        <v>1539615</v>
      </c>
      <c r="Y741" s="12" t="n">
        <v>167000</v>
      </c>
      <c r="Z741" s="15" t="n">
        <f aca="false">IFERROR(X741/Y741,"")</f>
        <v>9.21925149700599</v>
      </c>
      <c r="AA741" s="12" t="n">
        <v>0</v>
      </c>
      <c r="AB741" s="14" t="n">
        <f aca="false">W741-0.02*P741</f>
        <v>-2049822.46</v>
      </c>
      <c r="AC741" s="16" t="n">
        <v>77</v>
      </c>
      <c r="AD741" s="13" t="n">
        <f aca="false">IFERROR(AC741/AC740-1,"")</f>
        <v>0.222222222222222</v>
      </c>
      <c r="AE741" s="17" t="n">
        <v>0.047</v>
      </c>
      <c r="AF741" s="17" t="n">
        <v>0.046</v>
      </c>
      <c r="AG741" s="13" t="n">
        <f aca="false">1-AF741</f>
        <v>0.954</v>
      </c>
      <c r="AH741" s="17" t="n">
        <v>1.142</v>
      </c>
      <c r="AI741" s="12" t="n">
        <v>54200</v>
      </c>
      <c r="AJ741" s="14" t="n">
        <f aca="false">IFERROR(AM741*U741*MIN(1/AE741,5),"")</f>
        <v>202189.001586261</v>
      </c>
      <c r="AK741" s="18" t="n">
        <f aca="false">IFERROR(AJ741/AI741,"")</f>
        <v>3.73042438351034</v>
      </c>
      <c r="AL741" s="15" t="n">
        <f aca="false">IFERROR(AI741/(AM741*U741/12),"")</f>
        <v>16.0839609201621</v>
      </c>
      <c r="AM741" s="12" t="n">
        <v>57240</v>
      </c>
      <c r="AN741" s="12" t="n">
        <v>3077723</v>
      </c>
      <c r="AO741" s="12" t="n">
        <v>4762427</v>
      </c>
      <c r="AP741" s="17" t="n">
        <v>0.224</v>
      </c>
      <c r="AQ741" s="16" t="n">
        <v>82</v>
      </c>
      <c r="AR741" s="16" t="n">
        <v>3</v>
      </c>
      <c r="AS741" s="13" t="n">
        <f aca="false">IFERROR(AR741/AR740-1,"")</f>
        <v>0</v>
      </c>
      <c r="AT741" s="11" t="s">
        <v>134</v>
      </c>
      <c r="AU741" s="14" t="n">
        <f aca="false">IFERROR(P741/AR741,"")</f>
        <v>652057.666666667</v>
      </c>
      <c r="AV741" s="12" t="n">
        <v>3392658</v>
      </c>
      <c r="AW741" s="12" t="n">
        <v>1531983</v>
      </c>
      <c r="AX741" s="12" t="n">
        <v>663333</v>
      </c>
      <c r="AY741" s="16" t="n">
        <v>21195</v>
      </c>
      <c r="AZ741" s="13" t="n">
        <f aca="false">IFERROR(AY741/AY740-1,"")</f>
        <v>0.107366771159875</v>
      </c>
      <c r="BA741" s="17" t="n">
        <v>0.963</v>
      </c>
      <c r="BB741" s="11" t="s">
        <v>107</v>
      </c>
      <c r="BC741" s="11" t="s">
        <v>126</v>
      </c>
      <c r="BD741" s="11" t="s">
        <v>175</v>
      </c>
      <c r="BE741" s="12" t="n">
        <v>1972096</v>
      </c>
      <c r="BF741" s="13" t="n">
        <f aca="false">IFERROR(P741/BE741-1,"")</f>
        <v>-0.00807415054845195</v>
      </c>
      <c r="BG741" s="17" t="n">
        <v>0.075</v>
      </c>
      <c r="BH741" s="17" t="n">
        <v>-0.039</v>
      </c>
      <c r="BI741" s="14" t="n">
        <f aca="false">P741*(1+IFERROR(Q741,0))^4</f>
        <v>5955755.87849857</v>
      </c>
      <c r="BJ741" s="12" t="n">
        <v>-1160017</v>
      </c>
      <c r="BK741" s="11" t="s">
        <v>84</v>
      </c>
      <c r="BL741" s="11" t="s">
        <v>111</v>
      </c>
      <c r="BM741" s="14" t="n">
        <f aca="false">O741</f>
        <v>15754676</v>
      </c>
      <c r="BN741" s="11" t="s">
        <v>710</v>
      </c>
      <c r="BO741" s="13" t="n">
        <f aca="false">IFERROR(1-L741/M741,"")</f>
        <v>0.137657239718084</v>
      </c>
      <c r="BP741" s="11" t="s">
        <v>87</v>
      </c>
      <c r="BQ741" s="12" t="n">
        <v>2922182</v>
      </c>
      <c r="BR741" s="11" t="s">
        <v>88</v>
      </c>
      <c r="BS741" s="11" t="s">
        <v>89</v>
      </c>
      <c r="BT741" s="19" t="str">
        <f aca="false">IF(OR(Z741&lt;6,AH741&lt;0.9,S741&lt;0.02,AK741&lt;1),"REVIEW",IF(AND(S741&gt;0.25,AH741&gt;1.2),"ACCELERATING","STABLE"))</f>
        <v>STABLE</v>
      </c>
    </row>
    <row r="742" customFormat="false" ht="15" hidden="false" customHeight="false" outlineLevel="0" collapsed="false">
      <c r="A742" s="3" t="s">
        <v>711</v>
      </c>
      <c r="B742" s="3" t="s">
        <v>73</v>
      </c>
      <c r="C742" s="3" t="s">
        <v>74</v>
      </c>
      <c r="D742" s="3" t="s">
        <v>151</v>
      </c>
      <c r="E742" s="3" t="s">
        <v>96</v>
      </c>
      <c r="F742" s="3" t="s">
        <v>712</v>
      </c>
      <c r="G742" s="3" t="s">
        <v>78</v>
      </c>
      <c r="H742" s="3" t="s">
        <v>644</v>
      </c>
      <c r="I742" s="3" t="s">
        <v>78</v>
      </c>
      <c r="J742" s="4" t="n">
        <v>2759000</v>
      </c>
      <c r="K742" s="5" t="n">
        <f aca="false">IFERROR(J742/M742,"")</f>
        <v>0.110245344841365</v>
      </c>
      <c r="L742" s="4" t="n">
        <v>22267000</v>
      </c>
      <c r="M742" s="6" t="n">
        <f aca="false">L742+J742</f>
        <v>25026000</v>
      </c>
      <c r="N742" s="4" t="n">
        <v>7990000</v>
      </c>
      <c r="O742" s="4" t="n">
        <v>18722406</v>
      </c>
      <c r="P742" s="4" t="n">
        <v>405161</v>
      </c>
      <c r="Q742" s="7"/>
      <c r="R742" s="4" t="n">
        <v>467505</v>
      </c>
      <c r="S742" s="7"/>
      <c r="T742" s="4" t="n">
        <v>210555</v>
      </c>
      <c r="U742" s="5" t="n">
        <f aca="false">IFERROR(T742/P742,"")</f>
        <v>0.519682299135405</v>
      </c>
      <c r="V742" s="6" t="n">
        <f aca="false">T742-AV742</f>
        <v>-2266670</v>
      </c>
      <c r="W742" s="6" t="n">
        <f aca="false">V742-AA742*0.1</f>
        <v>-2266670</v>
      </c>
      <c r="X742" s="4" t="n">
        <v>2381317</v>
      </c>
      <c r="Y742" s="4" t="n">
        <v>174660</v>
      </c>
      <c r="Z742" s="8" t="n">
        <f aca="false">IFERROR(X742/Y742,"")</f>
        <v>13.634014657048</v>
      </c>
      <c r="AA742" s="4" t="n">
        <v>0</v>
      </c>
      <c r="AB742" s="6" t="n">
        <f aca="false">W742-0.02*P742</f>
        <v>-2274773.22</v>
      </c>
      <c r="AC742" s="9" t="n">
        <v>64</v>
      </c>
      <c r="AD742" s="7"/>
      <c r="AE742" s="7" t="n">
        <v>0.233</v>
      </c>
      <c r="AF742" s="7" t="n">
        <v>0.147</v>
      </c>
      <c r="AG742" s="5" t="n">
        <f aca="false">1-AF742</f>
        <v>0.853</v>
      </c>
      <c r="AH742" s="7" t="n">
        <v>0.858</v>
      </c>
      <c r="AI742" s="4" t="n">
        <v>59204</v>
      </c>
      <c r="AJ742" s="6" t="n">
        <f aca="false">IFERROR(AM742*U742*MIN(1/AE742,5),"")</f>
        <v>82524.6569442489</v>
      </c>
      <c r="AK742" s="10" t="n">
        <f aca="false">IFERROR(AJ742/AI742,"")</f>
        <v>1.3939034008555</v>
      </c>
      <c r="AL742" s="8" t="n">
        <f aca="false">IFERROR(AI742/(AM742*U742/12),"")</f>
        <v>36.9481456829345</v>
      </c>
      <c r="AM742" s="4" t="n">
        <v>37000</v>
      </c>
      <c r="AN742" s="4" t="n">
        <v>488653</v>
      </c>
      <c r="AO742" s="4" t="n">
        <v>1429442</v>
      </c>
      <c r="AP742" s="7" t="n">
        <v>0.4</v>
      </c>
      <c r="AQ742" s="9" t="n">
        <v>47</v>
      </c>
      <c r="AR742" s="9" t="n">
        <v>3</v>
      </c>
      <c r="AS742" s="7"/>
      <c r="AT742" s="3" t="s">
        <v>196</v>
      </c>
      <c r="AU742" s="6" t="n">
        <f aca="false">IFERROR(P742/AR742,"")</f>
        <v>135053.666666667</v>
      </c>
      <c r="AV742" s="4" t="n">
        <v>2477225</v>
      </c>
      <c r="AW742" s="4" t="n">
        <v>1165049</v>
      </c>
      <c r="AX742" s="4" t="n">
        <v>817632</v>
      </c>
      <c r="AY742" s="9" t="n">
        <v>43880</v>
      </c>
      <c r="AZ742" s="7"/>
      <c r="BA742" s="7" t="n">
        <v>0.768</v>
      </c>
      <c r="BB742" s="3" t="s">
        <v>119</v>
      </c>
      <c r="BC742" s="3" t="s">
        <v>120</v>
      </c>
      <c r="BD742" s="3" t="s">
        <v>175</v>
      </c>
      <c r="BE742" s="4" t="n">
        <v>580965</v>
      </c>
      <c r="BF742" s="5" t="n">
        <f aca="false">IFERROR(P742/BE742-1,"")</f>
        <v>-0.302606869604882</v>
      </c>
      <c r="BG742" s="7" t="n">
        <v>0.175</v>
      </c>
      <c r="BH742" s="7" t="n">
        <v>0.262</v>
      </c>
      <c r="BI742" s="6" t="n">
        <f aca="false">P742</f>
        <v>405161</v>
      </c>
      <c r="BJ742" s="4" t="n">
        <v>-1969186</v>
      </c>
      <c r="BK742" s="3" t="s">
        <v>147</v>
      </c>
      <c r="BL742" s="3" t="s">
        <v>140</v>
      </c>
      <c r="BM742" s="6" t="n">
        <f aca="false">O742</f>
        <v>18722406</v>
      </c>
      <c r="BN742" s="3" t="s">
        <v>713</v>
      </c>
      <c r="BO742" s="5" t="n">
        <f aca="false">IFERROR(1-L742/M742,"")</f>
        <v>0.110245344841365</v>
      </c>
      <c r="BP742" s="3" t="s">
        <v>113</v>
      </c>
      <c r="BQ742" s="4" t="n">
        <v>3012943</v>
      </c>
      <c r="BR742" s="3" t="s">
        <v>88</v>
      </c>
      <c r="BS742" s="3" t="s">
        <v>89</v>
      </c>
      <c r="BT742" s="3" t="s">
        <v>90</v>
      </c>
    </row>
    <row r="743" customFormat="false" ht="15" hidden="false" customHeight="false" outlineLevel="0" collapsed="false">
      <c r="A743" s="11" t="s">
        <v>711</v>
      </c>
      <c r="B743" s="11" t="s">
        <v>91</v>
      </c>
      <c r="C743" s="11" t="s">
        <v>74</v>
      </c>
      <c r="D743" s="11" t="s">
        <v>151</v>
      </c>
      <c r="E743" s="11" t="s">
        <v>96</v>
      </c>
      <c r="F743" s="11" t="s">
        <v>712</v>
      </c>
      <c r="G743" s="11" t="s">
        <v>78</v>
      </c>
      <c r="H743" s="11" t="s">
        <v>644</v>
      </c>
      <c r="I743" s="11" t="s">
        <v>78</v>
      </c>
      <c r="J743" s="12" t="n">
        <v>2759000</v>
      </c>
      <c r="K743" s="13" t="n">
        <f aca="false">IFERROR(J743/M743,"")</f>
        <v>0.110245344841365</v>
      </c>
      <c r="L743" s="12" t="n">
        <v>22267000</v>
      </c>
      <c r="M743" s="14" t="n">
        <f aca="false">L743+J743</f>
        <v>25026000</v>
      </c>
      <c r="N743" s="12" t="n">
        <v>7990000</v>
      </c>
      <c r="O743" s="12" t="n">
        <v>18722406</v>
      </c>
      <c r="P743" s="12" t="n">
        <v>384664</v>
      </c>
      <c r="Q743" s="13" t="n">
        <f aca="false">IFERROR(P743/P742-1,"")</f>
        <v>-0.0505897655499913</v>
      </c>
      <c r="R743" s="12" t="n">
        <v>446865</v>
      </c>
      <c r="S743" s="13" t="n">
        <f aca="false">IFERROR(R743/R742-1,"")</f>
        <v>-0.0441492604357173</v>
      </c>
      <c r="T743" s="12" t="n">
        <v>196131</v>
      </c>
      <c r="U743" s="13" t="n">
        <f aca="false">IFERROR(T743/P743,"")</f>
        <v>0.509876151654431</v>
      </c>
      <c r="V743" s="14" t="n">
        <f aca="false">T743-AV743</f>
        <v>-1758490</v>
      </c>
      <c r="W743" s="14" t="n">
        <f aca="false">V743-AA743*0.1</f>
        <v>-1758490</v>
      </c>
      <c r="X743" s="12" t="n">
        <v>1889287</v>
      </c>
      <c r="Y743" s="12" t="n">
        <v>187440</v>
      </c>
      <c r="Z743" s="15" t="n">
        <f aca="false">IFERROR(X743/Y743,"")</f>
        <v>10.0794227486129</v>
      </c>
      <c r="AA743" s="12" t="n">
        <v>0</v>
      </c>
      <c r="AB743" s="14" t="n">
        <f aca="false">W743-0.02*P743</f>
        <v>-1766183.28</v>
      </c>
      <c r="AC743" s="16" t="n">
        <v>61</v>
      </c>
      <c r="AD743" s="13" t="n">
        <f aca="false">IFERROR(AC743/AC742-1,"")</f>
        <v>-0.046875</v>
      </c>
      <c r="AE743" s="17" t="n">
        <v>0.277</v>
      </c>
      <c r="AF743" s="17" t="n">
        <v>0.225</v>
      </c>
      <c r="AG743" s="13" t="n">
        <f aca="false">1-AF743</f>
        <v>0.775</v>
      </c>
      <c r="AH743" s="17" t="n">
        <v>0.818</v>
      </c>
      <c r="AI743" s="12" t="n">
        <v>65436</v>
      </c>
      <c r="AJ743" s="14" t="n">
        <f aca="false">IFERROR(AM743*U743*MIN(1/AE743,5),"")</f>
        <v>69468.3247777553</v>
      </c>
      <c r="AK743" s="18" t="n">
        <f aca="false">IFERROR(AJ743/AI743,"")</f>
        <v>1.06162242156848</v>
      </c>
      <c r="AL743" s="15" t="n">
        <f aca="false">IFERROR(AI743/(AM743*U743/12),"")</f>
        <v>40.8066924349474</v>
      </c>
      <c r="AM743" s="12" t="n">
        <v>37740</v>
      </c>
      <c r="AN743" s="12" t="n">
        <v>649214</v>
      </c>
      <c r="AO743" s="12" t="n">
        <v>1548783</v>
      </c>
      <c r="AP743" s="17" t="n">
        <v>0.4</v>
      </c>
      <c r="AQ743" s="16" t="n">
        <v>47</v>
      </c>
      <c r="AR743" s="16" t="n">
        <v>2</v>
      </c>
      <c r="AS743" s="13" t="n">
        <f aca="false">IFERROR(AR743/AR742-1,"")</f>
        <v>-0.333333333333333</v>
      </c>
      <c r="AT743" s="11" t="s">
        <v>196</v>
      </c>
      <c r="AU743" s="14" t="n">
        <f aca="false">IFERROR(P743/AR743,"")</f>
        <v>192332</v>
      </c>
      <c r="AV743" s="12" t="n">
        <v>1954621</v>
      </c>
      <c r="AW743" s="12" t="n">
        <v>903849</v>
      </c>
      <c r="AX743" s="12" t="n">
        <v>574503</v>
      </c>
      <c r="AY743" s="16" t="n">
        <v>41600</v>
      </c>
      <c r="AZ743" s="13" t="n">
        <f aca="false">IFERROR(AY743/AY742-1,"")</f>
        <v>-0.0519598906107566</v>
      </c>
      <c r="BA743" s="17" t="n">
        <v>0.789</v>
      </c>
      <c r="BB743" s="11" t="s">
        <v>119</v>
      </c>
      <c r="BC743" s="11" t="s">
        <v>120</v>
      </c>
      <c r="BD743" s="11" t="s">
        <v>175</v>
      </c>
      <c r="BE743" s="12" t="n">
        <v>544233</v>
      </c>
      <c r="BF743" s="13" t="n">
        <f aca="false">IFERROR(P743/BE743-1,"")</f>
        <v>-0.293199787590977</v>
      </c>
      <c r="BG743" s="17" t="n">
        <v>0.259</v>
      </c>
      <c r="BH743" s="17" t="n">
        <v>0.326</v>
      </c>
      <c r="BI743" s="14" t="n">
        <f aca="false">P743*(1+IFERROR(Q743,0))^4</f>
        <v>312533.934577638</v>
      </c>
      <c r="BJ743" s="12" t="n">
        <v>-1461903</v>
      </c>
      <c r="BK743" s="11" t="s">
        <v>147</v>
      </c>
      <c r="BL743" s="11" t="s">
        <v>140</v>
      </c>
      <c r="BM743" s="14" t="n">
        <f aca="false">O743</f>
        <v>18722406</v>
      </c>
      <c r="BN743" s="11" t="s">
        <v>713</v>
      </c>
      <c r="BO743" s="13" t="n">
        <f aca="false">IFERROR(1-L743/M743,"")</f>
        <v>0.110245344841365</v>
      </c>
      <c r="BP743" s="11" t="s">
        <v>113</v>
      </c>
      <c r="BQ743" s="12" t="n">
        <v>3058599</v>
      </c>
      <c r="BR743" s="11" t="s">
        <v>88</v>
      </c>
      <c r="BS743" s="11" t="s">
        <v>89</v>
      </c>
      <c r="BT743" s="19" t="str">
        <f aca="false">IF(OR(Z743&lt;6,AH743&lt;0.9,S743&lt;0.02,AK743&lt;1),"REVIEW",IF(AND(S743&gt;0.25,AH743&gt;1.2),"ACCELERATING","STABLE"))</f>
        <v>REVIEW</v>
      </c>
    </row>
    <row r="744" customFormat="false" ht="15" hidden="false" customHeight="false" outlineLevel="0" collapsed="false">
      <c r="A744" s="11" t="s">
        <v>711</v>
      </c>
      <c r="B744" s="11" t="s">
        <v>92</v>
      </c>
      <c r="C744" s="11" t="s">
        <v>74</v>
      </c>
      <c r="D744" s="11" t="s">
        <v>151</v>
      </c>
      <c r="E744" s="11" t="s">
        <v>96</v>
      </c>
      <c r="F744" s="11" t="s">
        <v>712</v>
      </c>
      <c r="G744" s="11" t="s">
        <v>78</v>
      </c>
      <c r="H744" s="11" t="s">
        <v>644</v>
      </c>
      <c r="I744" s="11" t="s">
        <v>78</v>
      </c>
      <c r="J744" s="12" t="n">
        <v>2759000</v>
      </c>
      <c r="K744" s="13" t="n">
        <f aca="false">IFERROR(J744/M744,"")</f>
        <v>0.110245344841365</v>
      </c>
      <c r="L744" s="12" t="n">
        <v>22267000</v>
      </c>
      <c r="M744" s="14" t="n">
        <f aca="false">L744+J744</f>
        <v>25026000</v>
      </c>
      <c r="N744" s="12" t="n">
        <v>7990000</v>
      </c>
      <c r="O744" s="12" t="n">
        <v>18722406</v>
      </c>
      <c r="P744" s="12" t="n">
        <v>355092</v>
      </c>
      <c r="Q744" s="13" t="n">
        <f aca="false">IFERROR(P744/P743-1,"")</f>
        <v>-0.0768774826861884</v>
      </c>
      <c r="R744" s="12" t="n">
        <v>408867</v>
      </c>
      <c r="S744" s="13" t="n">
        <f aca="false">IFERROR(R744/R743-1,"")</f>
        <v>-0.085032392333255</v>
      </c>
      <c r="T744" s="12" t="n">
        <v>177571</v>
      </c>
      <c r="U744" s="13" t="n">
        <f aca="false">IFERROR(T744/P744,"")</f>
        <v>0.500070404289593</v>
      </c>
      <c r="V744" s="14" t="n">
        <f aca="false">T744-AV744</f>
        <v>-2546008</v>
      </c>
      <c r="W744" s="14" t="n">
        <f aca="false">V744-AA744*0.1</f>
        <v>-2546008</v>
      </c>
      <c r="X744" s="12" t="n">
        <v>1312909</v>
      </c>
      <c r="Y744" s="12" t="n">
        <v>200220</v>
      </c>
      <c r="Z744" s="15" t="n">
        <f aca="false">IFERROR(X744/Y744,"")</f>
        <v>6.55733193487164</v>
      </c>
      <c r="AA744" s="12" t="n">
        <v>0</v>
      </c>
      <c r="AB744" s="14" t="n">
        <f aca="false">W744-0.02*P744</f>
        <v>-2553109.84</v>
      </c>
      <c r="AC744" s="16" t="n">
        <v>56</v>
      </c>
      <c r="AD744" s="13" t="n">
        <f aca="false">IFERROR(AC744/AC743-1,"")</f>
        <v>-0.0819672131147541</v>
      </c>
      <c r="AE744" s="17" t="n">
        <v>0.32</v>
      </c>
      <c r="AF744" s="17" t="n">
        <v>0.311</v>
      </c>
      <c r="AG744" s="13" t="n">
        <f aca="false">1-AF744</f>
        <v>0.689</v>
      </c>
      <c r="AH744" s="17" t="n">
        <v>0.778</v>
      </c>
      <c r="AI744" s="12" t="n">
        <v>71668</v>
      </c>
      <c r="AJ744" s="14" t="n">
        <f aca="false">IFERROR(AM744*U744*MIN(1/AE744,5),"")</f>
        <v>60133.4661158235</v>
      </c>
      <c r="AK744" s="18" t="n">
        <f aca="false">IFERROR(AJ744/AI744,"")</f>
        <v>0.839056009876423</v>
      </c>
      <c r="AL744" s="15" t="n">
        <f aca="false">IFERROR(AI744/(AM744*U744/12),"")</f>
        <v>44.6930831298414</v>
      </c>
      <c r="AM744" s="12" t="n">
        <v>38480</v>
      </c>
      <c r="AN744" s="12" t="n">
        <v>505966</v>
      </c>
      <c r="AO744" s="12" t="n">
        <v>865559</v>
      </c>
      <c r="AP744" s="17" t="n">
        <v>0.4</v>
      </c>
      <c r="AQ744" s="16" t="n">
        <v>47</v>
      </c>
      <c r="AR744" s="16" t="n">
        <v>2</v>
      </c>
      <c r="AS744" s="13" t="n">
        <f aca="false">IFERROR(AR744/AR743-1,"")</f>
        <v>0</v>
      </c>
      <c r="AT744" s="11" t="s">
        <v>196</v>
      </c>
      <c r="AU744" s="14" t="n">
        <f aca="false">IFERROR(P744/AR744,"")</f>
        <v>177546</v>
      </c>
      <c r="AV744" s="12" t="n">
        <v>2723579</v>
      </c>
      <c r="AW744" s="12" t="n">
        <v>932638</v>
      </c>
      <c r="AX744" s="12" t="n">
        <v>924329</v>
      </c>
      <c r="AY744" s="16" t="n">
        <v>38897</v>
      </c>
      <c r="AZ744" s="13" t="n">
        <f aca="false">IFERROR(AY744/AY743-1,"")</f>
        <v>-0.0649759615384615</v>
      </c>
      <c r="BA744" s="17" t="n">
        <v>0.667</v>
      </c>
      <c r="BB744" s="11" t="s">
        <v>119</v>
      </c>
      <c r="BC744" s="11" t="s">
        <v>120</v>
      </c>
      <c r="BD744" s="11" t="s">
        <v>175</v>
      </c>
      <c r="BE744" s="12" t="n">
        <v>562374</v>
      </c>
      <c r="BF744" s="13" t="n">
        <f aca="false">IFERROR(P744/BE744-1,"")</f>
        <v>-0.368583896126066</v>
      </c>
      <c r="BG744" s="17" t="n">
        <v>0.215</v>
      </c>
      <c r="BH744" s="17" t="n">
        <v>0.255</v>
      </c>
      <c r="BI744" s="14" t="n">
        <f aca="false">P744*(1+IFERROR(Q744,0))^4</f>
        <v>257856.60872507</v>
      </c>
      <c r="BJ744" s="12" t="n">
        <v>-2395279</v>
      </c>
      <c r="BK744" s="11" t="s">
        <v>147</v>
      </c>
      <c r="BL744" s="11" t="s">
        <v>140</v>
      </c>
      <c r="BM744" s="14" t="n">
        <f aca="false">O744</f>
        <v>18722406</v>
      </c>
      <c r="BN744" s="11" t="s">
        <v>713</v>
      </c>
      <c r="BO744" s="13" t="n">
        <f aca="false">IFERROR(1-L744/M744,"")</f>
        <v>0.110245344841365</v>
      </c>
      <c r="BP744" s="11" t="s">
        <v>113</v>
      </c>
      <c r="BQ744" s="12" t="n">
        <v>3808719</v>
      </c>
      <c r="BR744" s="11" t="s">
        <v>88</v>
      </c>
      <c r="BS744" s="11" t="s">
        <v>89</v>
      </c>
      <c r="BT744" s="19" t="str">
        <f aca="false">IF(OR(Z744&lt;6,AH744&lt;0.9,S744&lt;0.02,AK744&lt;1),"REVIEW",IF(AND(S744&gt;0.25,AH744&gt;1.2),"ACCELERATING","STABLE"))</f>
        <v>REVIEW</v>
      </c>
    </row>
    <row r="745" customFormat="false" ht="15" hidden="false" customHeight="false" outlineLevel="0" collapsed="false">
      <c r="A745" s="11" t="s">
        <v>711</v>
      </c>
      <c r="B745" s="11" t="s">
        <v>93</v>
      </c>
      <c r="C745" s="11" t="s">
        <v>74</v>
      </c>
      <c r="D745" s="11" t="s">
        <v>151</v>
      </c>
      <c r="E745" s="11" t="s">
        <v>96</v>
      </c>
      <c r="F745" s="11" t="s">
        <v>712</v>
      </c>
      <c r="G745" s="11" t="s">
        <v>78</v>
      </c>
      <c r="H745" s="11" t="s">
        <v>644</v>
      </c>
      <c r="I745" s="11" t="s">
        <v>78</v>
      </c>
      <c r="J745" s="12" t="n">
        <v>2759000</v>
      </c>
      <c r="K745" s="13" t="n">
        <f aca="false">IFERROR(J745/M745,"")</f>
        <v>0.110245344841365</v>
      </c>
      <c r="L745" s="12" t="n">
        <v>22267000</v>
      </c>
      <c r="M745" s="14" t="n">
        <f aca="false">L745+J745</f>
        <v>25026000</v>
      </c>
      <c r="N745" s="12" t="n">
        <v>7990000</v>
      </c>
      <c r="O745" s="12" t="n">
        <v>18722406</v>
      </c>
      <c r="P745" s="12" t="n">
        <v>332798</v>
      </c>
      <c r="Q745" s="13" t="n">
        <f aca="false">IFERROR(P745/P744-1,"")</f>
        <v>-0.062783729287058</v>
      </c>
      <c r="R745" s="12" t="n">
        <v>387016</v>
      </c>
      <c r="S745" s="13" t="n">
        <f aca="false">IFERROR(R745/R744-1,"")</f>
        <v>-0.0534428065850264</v>
      </c>
      <c r="T745" s="12" t="n">
        <v>163159</v>
      </c>
      <c r="U745" s="13" t="n">
        <f aca="false">IFERROR(T745/P745,"")</f>
        <v>0.490264364569499</v>
      </c>
      <c r="V745" s="14" t="n">
        <f aca="false">T745-AV745</f>
        <v>-2266297</v>
      </c>
      <c r="W745" s="14" t="n">
        <f aca="false">V745-AA745*0.1</f>
        <v>-2266297</v>
      </c>
      <c r="X745" s="12" t="n">
        <v>652183</v>
      </c>
      <c r="Y745" s="12" t="n">
        <v>213000</v>
      </c>
      <c r="Z745" s="15" t="n">
        <f aca="false">IFERROR(X745/Y745,"")</f>
        <v>3.06189201877934</v>
      </c>
      <c r="AA745" s="12" t="n">
        <v>0</v>
      </c>
      <c r="AB745" s="14" t="n">
        <f aca="false">W745-0.02*P745</f>
        <v>-2272952.96</v>
      </c>
      <c r="AC745" s="16" t="n">
        <v>55</v>
      </c>
      <c r="AD745" s="13" t="n">
        <f aca="false">IFERROR(AC745/AC744-1,"")</f>
        <v>-0.0178571428571429</v>
      </c>
      <c r="AE745" s="17" t="n">
        <v>0.364</v>
      </c>
      <c r="AF745" s="17" t="n">
        <v>0.327</v>
      </c>
      <c r="AG745" s="13" t="n">
        <f aca="false">1-AF745</f>
        <v>0.673</v>
      </c>
      <c r="AH745" s="17" t="n">
        <v>0.738</v>
      </c>
      <c r="AI745" s="12" t="n">
        <v>77900</v>
      </c>
      <c r="AJ745" s="14" t="n">
        <f aca="false">IFERROR(AM745*U745*MIN(1/AE745,5),"")</f>
        <v>52824.638402241</v>
      </c>
      <c r="AK745" s="18" t="n">
        <f aca="false">IFERROR(AJ745/AI745,"")</f>
        <v>0.678108323520424</v>
      </c>
      <c r="AL745" s="15" t="n">
        <f aca="false">IFERROR(AI745/(AM745*U745/12),"")</f>
        <v>48.616175061653</v>
      </c>
      <c r="AM745" s="12" t="n">
        <v>39220</v>
      </c>
      <c r="AN745" s="12" t="n">
        <v>543820</v>
      </c>
      <c r="AO745" s="12" t="n">
        <v>892095</v>
      </c>
      <c r="AP745" s="17" t="n">
        <v>0.4</v>
      </c>
      <c r="AQ745" s="16" t="n">
        <v>47</v>
      </c>
      <c r="AR745" s="16" t="n">
        <v>2</v>
      </c>
      <c r="AS745" s="13" t="n">
        <f aca="false">IFERROR(AR745/AR744-1,"")</f>
        <v>0</v>
      </c>
      <c r="AT745" s="11" t="s">
        <v>196</v>
      </c>
      <c r="AU745" s="14" t="n">
        <f aca="false">IFERROR(P745/AR745,"")</f>
        <v>166399</v>
      </c>
      <c r="AV745" s="12" t="n">
        <v>2429456</v>
      </c>
      <c r="AW745" s="12" t="n">
        <v>865597</v>
      </c>
      <c r="AX745" s="12" t="n">
        <v>797980</v>
      </c>
      <c r="AY745" s="16" t="n">
        <v>36666</v>
      </c>
      <c r="AZ745" s="13" t="n">
        <f aca="false">IFERROR(AY745/AY744-1,"")</f>
        <v>-0.057356608478803</v>
      </c>
      <c r="BA745" s="17" t="n">
        <v>0.668</v>
      </c>
      <c r="BB745" s="11" t="s">
        <v>119</v>
      </c>
      <c r="BC745" s="11" t="s">
        <v>120</v>
      </c>
      <c r="BD745" s="11" t="s">
        <v>175</v>
      </c>
      <c r="BE745" s="12" t="n">
        <v>476882</v>
      </c>
      <c r="BF745" s="13" t="n">
        <f aca="false">IFERROR(P745/BE745-1,"")</f>
        <v>-0.3021376357254</v>
      </c>
      <c r="BG745" s="17" t="n">
        <v>0.258</v>
      </c>
      <c r="BH745" s="17" t="n">
        <v>0.304</v>
      </c>
      <c r="BI745" s="14" t="n">
        <f aca="false">P745*(1+IFERROR(Q745,0))^4</f>
        <v>256767.460733351</v>
      </c>
      <c r="BJ745" s="12" t="n">
        <v>-2231645</v>
      </c>
      <c r="BK745" s="11" t="s">
        <v>147</v>
      </c>
      <c r="BL745" s="11" t="s">
        <v>140</v>
      </c>
      <c r="BM745" s="14" t="n">
        <f aca="false">O745</f>
        <v>18722406</v>
      </c>
      <c r="BN745" s="11" t="s">
        <v>713</v>
      </c>
      <c r="BO745" s="13" t="n">
        <f aca="false">IFERROR(1-L745/M745,"")</f>
        <v>0.110245344841365</v>
      </c>
      <c r="BP745" s="11" t="s">
        <v>113</v>
      </c>
      <c r="BQ745" s="12" t="n">
        <v>3715890</v>
      </c>
      <c r="BR745" s="11" t="s">
        <v>88</v>
      </c>
      <c r="BS745" s="11" t="s">
        <v>89</v>
      </c>
      <c r="BT745" s="19" t="str">
        <f aca="false">IF(OR(Z745&lt;6,AH745&lt;0.9,S745&lt;0.02,AK745&lt;1),"REVIEW",IF(AND(S745&gt;0.25,AH745&gt;1.2),"ACCELERATING","STABLE"))</f>
        <v>REVIEW</v>
      </c>
    </row>
    <row r="746" customFormat="false" ht="15" hidden="false" customHeight="false" outlineLevel="0" collapsed="false">
      <c r="A746" s="3" t="s">
        <v>714</v>
      </c>
      <c r="B746" s="3" t="s">
        <v>73</v>
      </c>
      <c r="C746" s="3" t="s">
        <v>74</v>
      </c>
      <c r="D746" s="3" t="s">
        <v>151</v>
      </c>
      <c r="E746" s="3" t="s">
        <v>96</v>
      </c>
      <c r="F746" s="3" t="s">
        <v>715</v>
      </c>
      <c r="G746" s="3" t="s">
        <v>78</v>
      </c>
      <c r="H746" s="3" t="s">
        <v>644</v>
      </c>
      <c r="I746" s="3" t="s">
        <v>78</v>
      </c>
      <c r="J746" s="4" t="n">
        <v>6155000</v>
      </c>
      <c r="K746" s="5" t="n">
        <f aca="false">IFERROR(J746/M746,"")</f>
        <v>0.183583380558952</v>
      </c>
      <c r="L746" s="4" t="n">
        <v>27372000</v>
      </c>
      <c r="M746" s="6" t="n">
        <f aca="false">L746+J746</f>
        <v>33527000</v>
      </c>
      <c r="N746" s="4" t="n">
        <v>6155000</v>
      </c>
      <c r="O746" s="4" t="n">
        <v>50096616</v>
      </c>
      <c r="P746" s="4" t="n">
        <v>220340</v>
      </c>
      <c r="Q746" s="7"/>
      <c r="R746" s="4" t="n">
        <v>268327</v>
      </c>
      <c r="S746" s="7"/>
      <c r="T746" s="4" t="n">
        <v>130011</v>
      </c>
      <c r="U746" s="5" t="n">
        <f aca="false">IFERROR(T746/P746,"")</f>
        <v>0.590047199782155</v>
      </c>
      <c r="V746" s="6" t="n">
        <f aca="false">T746-AV746</f>
        <v>-2131895</v>
      </c>
      <c r="W746" s="6" t="n">
        <f aca="false">V746-AA746*0.1</f>
        <v>-2245095</v>
      </c>
      <c r="X746" s="4" t="n">
        <v>5001008</v>
      </c>
      <c r="Y746" s="4" t="n">
        <v>225680</v>
      </c>
      <c r="Z746" s="8" t="n">
        <f aca="false">IFERROR(X746/Y746,"")</f>
        <v>22.1597305919887</v>
      </c>
      <c r="AA746" s="4" t="n">
        <v>1132000</v>
      </c>
      <c r="AB746" s="6" t="n">
        <f aca="false">W746-0.02*P746</f>
        <v>-2249501.8</v>
      </c>
      <c r="AC746" s="9" t="n">
        <v>61</v>
      </c>
      <c r="AD746" s="7"/>
      <c r="AE746" s="7" t="n">
        <v>0.15</v>
      </c>
      <c r="AF746" s="7" t="n">
        <v>0.156</v>
      </c>
      <c r="AG746" s="5" t="n">
        <f aca="false">1-AF746</f>
        <v>0.844</v>
      </c>
      <c r="AH746" s="7" t="n">
        <v>1.081</v>
      </c>
      <c r="AI746" s="4" t="n">
        <v>47382</v>
      </c>
      <c r="AJ746" s="6" t="n">
        <f aca="false">IFERROR(AM746*U746*MIN(1/AE746,5),"")</f>
        <v>135710.855949896</v>
      </c>
      <c r="AK746" s="10" t="n">
        <f aca="false">IFERROR(AJ746/AI746,"")</f>
        <v>2.86418589231978</v>
      </c>
      <c r="AL746" s="8" t="n">
        <f aca="false">IFERROR(AI746/(AM746*U746/12),"")</f>
        <v>20.9483609848397</v>
      </c>
      <c r="AM746" s="4" t="n">
        <v>46000</v>
      </c>
      <c r="AN746" s="4" t="n">
        <v>260830</v>
      </c>
      <c r="AO746" s="4" t="n">
        <v>1033027</v>
      </c>
      <c r="AP746" s="7" t="n">
        <v>0.299</v>
      </c>
      <c r="AQ746" s="9" t="n">
        <v>44</v>
      </c>
      <c r="AR746" s="9" t="n">
        <v>2</v>
      </c>
      <c r="AS746" s="7"/>
      <c r="AT746" s="3" t="s">
        <v>80</v>
      </c>
      <c r="AU746" s="6" t="n">
        <f aca="false">IFERROR(P746/AR746,"")</f>
        <v>110170</v>
      </c>
      <c r="AV746" s="4" t="n">
        <v>2261906</v>
      </c>
      <c r="AW746" s="4" t="n">
        <v>1127780</v>
      </c>
      <c r="AX746" s="4" t="n">
        <v>520607</v>
      </c>
      <c r="AY746" s="9" t="n">
        <v>25438</v>
      </c>
      <c r="AZ746" s="7"/>
      <c r="BA746" s="7" t="n">
        <v>0.849</v>
      </c>
      <c r="BB746" s="3" t="s">
        <v>81</v>
      </c>
      <c r="BC746" s="3" t="s">
        <v>108</v>
      </c>
      <c r="BD746" s="3" t="s">
        <v>175</v>
      </c>
      <c r="BE746" s="4" t="n">
        <v>268134</v>
      </c>
      <c r="BF746" s="5" t="n">
        <f aca="false">IFERROR(P746/BE746-1,"")</f>
        <v>-0.178246697546749</v>
      </c>
      <c r="BG746" s="7" t="n">
        <v>0.081</v>
      </c>
      <c r="BH746" s="7" t="n">
        <v>-0.068</v>
      </c>
      <c r="BI746" s="6" t="n">
        <f aca="false">P746</f>
        <v>220340</v>
      </c>
      <c r="BJ746" s="4" t="n">
        <v>-1390304</v>
      </c>
      <c r="BK746" s="3" t="s">
        <v>127</v>
      </c>
      <c r="BL746" s="3" t="s">
        <v>128</v>
      </c>
      <c r="BM746" s="6" t="n">
        <f aca="false">O746</f>
        <v>50096616</v>
      </c>
      <c r="BN746" s="3" t="s">
        <v>716</v>
      </c>
      <c r="BO746" s="5" t="n">
        <f aca="false">IFERROR(1-L746/M746,"")</f>
        <v>0.183583380558953</v>
      </c>
      <c r="BP746" s="3" t="s">
        <v>142</v>
      </c>
      <c r="BQ746" s="4" t="n">
        <v>4057817</v>
      </c>
      <c r="BR746" s="3" t="s">
        <v>88</v>
      </c>
      <c r="BS746" s="3" t="s">
        <v>89</v>
      </c>
      <c r="BT746" s="3" t="s">
        <v>90</v>
      </c>
    </row>
    <row r="747" customFormat="false" ht="15" hidden="false" customHeight="false" outlineLevel="0" collapsed="false">
      <c r="A747" s="11" t="s">
        <v>714</v>
      </c>
      <c r="B747" s="11" t="s">
        <v>91</v>
      </c>
      <c r="C747" s="11" t="s">
        <v>74</v>
      </c>
      <c r="D747" s="11" t="s">
        <v>151</v>
      </c>
      <c r="E747" s="11" t="s">
        <v>96</v>
      </c>
      <c r="F747" s="11" t="s">
        <v>715</v>
      </c>
      <c r="G747" s="11" t="s">
        <v>78</v>
      </c>
      <c r="H747" s="11" t="s">
        <v>644</v>
      </c>
      <c r="I747" s="11" t="s">
        <v>78</v>
      </c>
      <c r="J747" s="12" t="n">
        <v>6155000</v>
      </c>
      <c r="K747" s="13" t="n">
        <f aca="false">IFERROR(J747/M747,"")</f>
        <v>0.183583380558952</v>
      </c>
      <c r="L747" s="12" t="n">
        <v>27372000</v>
      </c>
      <c r="M747" s="14" t="n">
        <f aca="false">L747+J747</f>
        <v>33527000</v>
      </c>
      <c r="N747" s="12" t="n">
        <v>6155000</v>
      </c>
      <c r="O747" s="12" t="n">
        <v>50096616</v>
      </c>
      <c r="P747" s="12" t="n">
        <v>256023</v>
      </c>
      <c r="Q747" s="13" t="n">
        <f aca="false">IFERROR(P747/P746-1,"")</f>
        <v>0.161945175637651</v>
      </c>
      <c r="R747" s="12" t="n">
        <v>280994</v>
      </c>
      <c r="S747" s="13" t="n">
        <f aca="false">IFERROR(R747/R746-1,"")</f>
        <v>0.0472073253902887</v>
      </c>
      <c r="T747" s="12" t="n">
        <v>151677</v>
      </c>
      <c r="U747" s="13" t="n">
        <f aca="false">IFERROR(T747/P747,"")</f>
        <v>0.592435054663058</v>
      </c>
      <c r="V747" s="14" t="n">
        <f aca="false">T747-AV747</f>
        <v>-2837527</v>
      </c>
      <c r="W747" s="14" t="n">
        <f aca="false">V747-AA747*0.1</f>
        <v>-2950727</v>
      </c>
      <c r="X747" s="12" t="n">
        <v>4431848</v>
      </c>
      <c r="Y747" s="12" t="n">
        <v>233120</v>
      </c>
      <c r="Z747" s="15" t="n">
        <f aca="false">IFERROR(X747/Y747,"")</f>
        <v>19.0110157858614</v>
      </c>
      <c r="AA747" s="12" t="n">
        <v>1132000</v>
      </c>
      <c r="AB747" s="14" t="n">
        <f aca="false">W747-0.02*P747</f>
        <v>-2955847.46</v>
      </c>
      <c r="AC747" s="16" t="n">
        <v>65</v>
      </c>
      <c r="AD747" s="13" t="n">
        <f aca="false">IFERROR(AC747/AC746-1,"")</f>
        <v>0.0655737704918034</v>
      </c>
      <c r="AE747" s="17" t="n">
        <v>0.146</v>
      </c>
      <c r="AF747" s="17" t="n">
        <v>0.094</v>
      </c>
      <c r="AG747" s="13" t="n">
        <f aca="false">1-AF747</f>
        <v>0.906</v>
      </c>
      <c r="AH747" s="17" t="n">
        <v>1.076</v>
      </c>
      <c r="AI747" s="12" t="n">
        <v>46488</v>
      </c>
      <c r="AJ747" s="14" t="n">
        <f aca="false">IFERROR(AM747*U747*MIN(1/AE747,5),"")</f>
        <v>138985.263823953</v>
      </c>
      <c r="AK747" s="18" t="n">
        <f aca="false">IFERROR(AJ747/AI747,"")</f>
        <v>2.98970194080092</v>
      </c>
      <c r="AL747" s="15" t="n">
        <f aca="false">IFERROR(AI747/(AM747*U747/12),"")</f>
        <v>20.0688902064687</v>
      </c>
      <c r="AM747" s="12" t="n">
        <v>46920</v>
      </c>
      <c r="AN747" s="12" t="n">
        <v>274692</v>
      </c>
      <c r="AO747" s="12" t="n">
        <v>1113938</v>
      </c>
      <c r="AP747" s="17" t="n">
        <v>0.299</v>
      </c>
      <c r="AQ747" s="16" t="n">
        <v>44</v>
      </c>
      <c r="AR747" s="16" t="n">
        <v>2</v>
      </c>
      <c r="AS747" s="13" t="n">
        <f aca="false">IFERROR(AR747/AR746-1,"")</f>
        <v>0</v>
      </c>
      <c r="AT747" s="11" t="s">
        <v>80</v>
      </c>
      <c r="AU747" s="14" t="n">
        <f aca="false">IFERROR(P747/AR747,"")</f>
        <v>128011.5</v>
      </c>
      <c r="AV747" s="12" t="n">
        <v>2989204</v>
      </c>
      <c r="AW747" s="12" t="n">
        <v>1300595</v>
      </c>
      <c r="AX747" s="12" t="n">
        <v>1011428</v>
      </c>
      <c r="AY747" s="16" t="n">
        <v>26540</v>
      </c>
      <c r="AZ747" s="13" t="n">
        <f aca="false">IFERROR(AY747/AY746-1,"")</f>
        <v>0.0433210158031292</v>
      </c>
      <c r="BA747" s="17" t="n">
        <v>0.856</v>
      </c>
      <c r="BB747" s="11" t="s">
        <v>81</v>
      </c>
      <c r="BC747" s="11" t="s">
        <v>108</v>
      </c>
      <c r="BD747" s="11" t="s">
        <v>175</v>
      </c>
      <c r="BE747" s="12" t="n">
        <v>276755</v>
      </c>
      <c r="BF747" s="13" t="n">
        <f aca="false">IFERROR(P747/BE747-1,"")</f>
        <v>-0.0749110223844194</v>
      </c>
      <c r="BG747" s="17" t="n">
        <v>-0.025</v>
      </c>
      <c r="BH747" s="17" t="n">
        <v>0.002</v>
      </c>
      <c r="BI747" s="14" t="n">
        <f aca="false">P747*(1+IFERROR(Q747,0))^4</f>
        <v>466682.51604944</v>
      </c>
      <c r="BJ747" s="12" t="n">
        <v>-2103362</v>
      </c>
      <c r="BK747" s="11" t="s">
        <v>127</v>
      </c>
      <c r="BL747" s="11" t="s">
        <v>128</v>
      </c>
      <c r="BM747" s="14" t="n">
        <f aca="false">O747</f>
        <v>50096616</v>
      </c>
      <c r="BN747" s="11" t="s">
        <v>716</v>
      </c>
      <c r="BO747" s="13" t="n">
        <f aca="false">IFERROR(1-L747/M747,"")</f>
        <v>0.183583380558953</v>
      </c>
      <c r="BP747" s="11" t="s">
        <v>142</v>
      </c>
      <c r="BQ747" s="12" t="n">
        <v>3235644</v>
      </c>
      <c r="BR747" s="11" t="s">
        <v>88</v>
      </c>
      <c r="BS747" s="11" t="s">
        <v>89</v>
      </c>
      <c r="BT747" s="19" t="str">
        <f aca="false">IF(OR(Z747&lt;6,AH747&lt;0.9,S747&lt;0.02,AK747&lt;1),"REVIEW",IF(AND(S747&gt;0.25,AH747&gt;1.2),"ACCELERATING","STABLE"))</f>
        <v>STABLE</v>
      </c>
    </row>
    <row r="748" customFormat="false" ht="15" hidden="false" customHeight="false" outlineLevel="0" collapsed="false">
      <c r="A748" s="11" t="s">
        <v>714</v>
      </c>
      <c r="B748" s="11" t="s">
        <v>92</v>
      </c>
      <c r="C748" s="11" t="s">
        <v>74</v>
      </c>
      <c r="D748" s="11" t="s">
        <v>151</v>
      </c>
      <c r="E748" s="11" t="s">
        <v>96</v>
      </c>
      <c r="F748" s="11" t="s">
        <v>715</v>
      </c>
      <c r="G748" s="11" t="s">
        <v>78</v>
      </c>
      <c r="H748" s="11" t="s">
        <v>644</v>
      </c>
      <c r="I748" s="11" t="s">
        <v>78</v>
      </c>
      <c r="J748" s="12" t="n">
        <v>6155000</v>
      </c>
      <c r="K748" s="13" t="n">
        <f aca="false">IFERROR(J748/M748,"")</f>
        <v>0.183583380558952</v>
      </c>
      <c r="L748" s="12" t="n">
        <v>27372000</v>
      </c>
      <c r="M748" s="14" t="n">
        <f aca="false">L748+J748</f>
        <v>33527000</v>
      </c>
      <c r="N748" s="12" t="n">
        <v>6155000</v>
      </c>
      <c r="O748" s="12" t="n">
        <v>50096616</v>
      </c>
      <c r="P748" s="12" t="n">
        <v>291844</v>
      </c>
      <c r="Q748" s="13" t="n">
        <f aca="false">IFERROR(P748/P747-1,"")</f>
        <v>0.139913210922456</v>
      </c>
      <c r="R748" s="12" t="n">
        <v>349506</v>
      </c>
      <c r="S748" s="13" t="n">
        <f aca="false">IFERROR(R748/R747-1,"")</f>
        <v>0.243820152743475</v>
      </c>
      <c r="T748" s="12" t="n">
        <v>173596</v>
      </c>
      <c r="U748" s="13" t="n">
        <f aca="false">IFERROR(T748/P748,"")</f>
        <v>0.594824632337824</v>
      </c>
      <c r="V748" s="14" t="n">
        <f aca="false">T748-AV748</f>
        <v>-3105566</v>
      </c>
      <c r="W748" s="14" t="n">
        <f aca="false">V748-AA748*0.1</f>
        <v>-3218766</v>
      </c>
      <c r="X748" s="12" t="n">
        <v>3822512</v>
      </c>
      <c r="Y748" s="12" t="n">
        <v>240560</v>
      </c>
      <c r="Z748" s="15" t="n">
        <f aca="false">IFERROR(X748/Y748,"")</f>
        <v>15.8900565347522</v>
      </c>
      <c r="AA748" s="12" t="n">
        <v>1132000</v>
      </c>
      <c r="AB748" s="14" t="n">
        <f aca="false">W748-0.02*P748</f>
        <v>-3224602.88</v>
      </c>
      <c r="AC748" s="16" t="n">
        <v>75</v>
      </c>
      <c r="AD748" s="13" t="n">
        <f aca="false">IFERROR(AC748/AC747-1,"")</f>
        <v>0.153846153846154</v>
      </c>
      <c r="AE748" s="17" t="n">
        <v>0.142</v>
      </c>
      <c r="AF748" s="17" t="n">
        <v>0.121</v>
      </c>
      <c r="AG748" s="13" t="n">
        <f aca="false">1-AF748</f>
        <v>0.879</v>
      </c>
      <c r="AH748" s="17" t="n">
        <v>1.071</v>
      </c>
      <c r="AI748" s="12" t="n">
        <v>45594</v>
      </c>
      <c r="AJ748" s="14" t="n">
        <f aca="false">IFERROR(AM748*U748*MIN(1/AE748,5),"")</f>
        <v>142282.052055208</v>
      </c>
      <c r="AK748" s="18" t="n">
        <f aca="false">IFERROR(AJ748/AI748,"")</f>
        <v>3.12063104915576</v>
      </c>
      <c r="AL748" s="15" t="n">
        <f aca="false">IFERROR(AI748/(AM748*U748/12),"")</f>
        <v>19.2268804145342</v>
      </c>
      <c r="AM748" s="12" t="n">
        <v>47840</v>
      </c>
      <c r="AN748" s="12" t="n">
        <v>368231</v>
      </c>
      <c r="AO748" s="12" t="n">
        <v>927392</v>
      </c>
      <c r="AP748" s="17" t="n">
        <v>0.299</v>
      </c>
      <c r="AQ748" s="16" t="n">
        <v>44</v>
      </c>
      <c r="AR748" s="16" t="n">
        <v>2</v>
      </c>
      <c r="AS748" s="13" t="n">
        <f aca="false">IFERROR(AR748/AR747-1,"")</f>
        <v>0</v>
      </c>
      <c r="AT748" s="11" t="s">
        <v>80</v>
      </c>
      <c r="AU748" s="14" t="n">
        <f aca="false">IFERROR(P748/AR748,"")</f>
        <v>145922</v>
      </c>
      <c r="AV748" s="12" t="n">
        <v>3279162</v>
      </c>
      <c r="AW748" s="12" t="n">
        <v>1035254</v>
      </c>
      <c r="AX748" s="12" t="n">
        <v>1082293</v>
      </c>
      <c r="AY748" s="16" t="n">
        <v>31302</v>
      </c>
      <c r="AZ748" s="13" t="n">
        <f aca="false">IFERROR(AY748/AY747-1,"")</f>
        <v>0.179427279577995</v>
      </c>
      <c r="BA748" s="17" t="n">
        <v>0.869</v>
      </c>
      <c r="BB748" s="11" t="s">
        <v>81</v>
      </c>
      <c r="BC748" s="11" t="s">
        <v>108</v>
      </c>
      <c r="BD748" s="11" t="s">
        <v>175</v>
      </c>
      <c r="BE748" s="12" t="n">
        <v>330889</v>
      </c>
      <c r="BF748" s="13" t="n">
        <f aca="false">IFERROR(P748/BE748-1,"")</f>
        <v>-0.118000296171828</v>
      </c>
      <c r="BG748" s="17" t="n">
        <v>0.063</v>
      </c>
      <c r="BH748" s="17" t="n">
        <v>0.012</v>
      </c>
      <c r="BI748" s="14" t="n">
        <f aca="false">P748*(1+IFERROR(Q748,0))^4</f>
        <v>492762.802724728</v>
      </c>
      <c r="BJ748" s="12" t="n">
        <v>-1838171</v>
      </c>
      <c r="BK748" s="11" t="s">
        <v>127</v>
      </c>
      <c r="BL748" s="11" t="s">
        <v>128</v>
      </c>
      <c r="BM748" s="14" t="n">
        <f aca="false">O748</f>
        <v>50096616</v>
      </c>
      <c r="BN748" s="11" t="s">
        <v>716</v>
      </c>
      <c r="BO748" s="13" t="n">
        <f aca="false">IFERROR(1-L748/M748,"")</f>
        <v>0.183583380558953</v>
      </c>
      <c r="BP748" s="11" t="s">
        <v>142</v>
      </c>
      <c r="BQ748" s="12" t="n">
        <v>3088754</v>
      </c>
      <c r="BR748" s="11" t="s">
        <v>88</v>
      </c>
      <c r="BS748" s="11" t="s">
        <v>89</v>
      </c>
      <c r="BT748" s="19" t="str">
        <f aca="false">IF(OR(Z748&lt;6,AH748&lt;0.9,S748&lt;0.02,AK748&lt;1),"REVIEW",IF(AND(S748&gt;0.25,AH748&gt;1.2),"ACCELERATING","STABLE"))</f>
        <v>STABLE</v>
      </c>
    </row>
    <row r="749" customFormat="false" ht="15" hidden="false" customHeight="false" outlineLevel="0" collapsed="false">
      <c r="A749" s="11" t="s">
        <v>714</v>
      </c>
      <c r="B749" s="11" t="s">
        <v>93</v>
      </c>
      <c r="C749" s="11" t="s">
        <v>74</v>
      </c>
      <c r="D749" s="11" t="s">
        <v>151</v>
      </c>
      <c r="E749" s="11" t="s">
        <v>96</v>
      </c>
      <c r="F749" s="11" t="s">
        <v>715</v>
      </c>
      <c r="G749" s="11" t="s">
        <v>78</v>
      </c>
      <c r="H749" s="11" t="s">
        <v>644</v>
      </c>
      <c r="I749" s="11" t="s">
        <v>78</v>
      </c>
      <c r="J749" s="12" t="n">
        <v>6155000</v>
      </c>
      <c r="K749" s="13" t="n">
        <f aca="false">IFERROR(J749/M749,"")</f>
        <v>0.183583380558952</v>
      </c>
      <c r="L749" s="12" t="n">
        <v>27372000</v>
      </c>
      <c r="M749" s="14" t="n">
        <f aca="false">L749+J749</f>
        <v>33527000</v>
      </c>
      <c r="N749" s="12" t="n">
        <v>6155000</v>
      </c>
      <c r="O749" s="12" t="n">
        <v>50096616</v>
      </c>
      <c r="P749" s="12" t="n">
        <v>333737</v>
      </c>
      <c r="Q749" s="13" t="n">
        <f aca="false">IFERROR(P749/P748-1,"")</f>
        <v>0.143545866970025</v>
      </c>
      <c r="R749" s="12" t="n">
        <v>391554</v>
      </c>
      <c r="S749" s="13" t="n">
        <f aca="false">IFERROR(R749/R748-1,"")</f>
        <v>0.120306947520214</v>
      </c>
      <c r="T749" s="12" t="n">
        <v>199312</v>
      </c>
      <c r="U749" s="13" t="n">
        <f aca="false">IFERROR(T749/P749,"")</f>
        <v>0.597212775329077</v>
      </c>
      <c r="V749" s="14" t="n">
        <f aca="false">T749-AV749</f>
        <v>-2917504</v>
      </c>
      <c r="W749" s="14" t="n">
        <f aca="false">V749-AA749*0.1</f>
        <v>-3030704</v>
      </c>
      <c r="X749" s="12" t="n">
        <v>3173000</v>
      </c>
      <c r="Y749" s="12" t="n">
        <v>248000</v>
      </c>
      <c r="Z749" s="15" t="n">
        <f aca="false">IFERROR(X749/Y749,"")</f>
        <v>12.7943548387097</v>
      </c>
      <c r="AA749" s="12" t="n">
        <v>1132000</v>
      </c>
      <c r="AB749" s="14" t="n">
        <f aca="false">W749-0.02*P749</f>
        <v>-3037378.74</v>
      </c>
      <c r="AC749" s="16" t="n">
        <v>78</v>
      </c>
      <c r="AD749" s="13" t="n">
        <f aca="false">IFERROR(AC749/AC748-1,"")</f>
        <v>0.04</v>
      </c>
      <c r="AE749" s="17" t="n">
        <v>0.138</v>
      </c>
      <c r="AF749" s="17" t="n">
        <v>0.13</v>
      </c>
      <c r="AG749" s="13" t="n">
        <f aca="false">1-AF749</f>
        <v>0.87</v>
      </c>
      <c r="AH749" s="17" t="n">
        <v>1.066</v>
      </c>
      <c r="AI749" s="12" t="n">
        <v>44700</v>
      </c>
      <c r="AJ749" s="14" t="n">
        <f aca="false">IFERROR(AM749*U749*MIN(1/AE749,5),"")</f>
        <v>145600.474625229</v>
      </c>
      <c r="AK749" s="18" t="n">
        <f aca="false">IFERROR(AJ749/AI749,"")</f>
        <v>3.25728131152637</v>
      </c>
      <c r="AL749" s="15" t="n">
        <f aca="false">IFERROR(AI749/(AM749*U749/12),"")</f>
        <v>18.4202696241436</v>
      </c>
      <c r="AM749" s="12" t="n">
        <v>48760</v>
      </c>
      <c r="AN749" s="12" t="n">
        <v>397040</v>
      </c>
      <c r="AO749" s="12" t="n">
        <v>1024019</v>
      </c>
      <c r="AP749" s="17" t="n">
        <v>0.299</v>
      </c>
      <c r="AQ749" s="16" t="n">
        <v>44</v>
      </c>
      <c r="AR749" s="16" t="n">
        <v>2</v>
      </c>
      <c r="AS749" s="13" t="n">
        <f aca="false">IFERROR(AR749/AR748-1,"")</f>
        <v>0</v>
      </c>
      <c r="AT749" s="11" t="s">
        <v>80</v>
      </c>
      <c r="AU749" s="14" t="n">
        <f aca="false">IFERROR(P749/AR749,"")</f>
        <v>166868.5</v>
      </c>
      <c r="AV749" s="12" t="n">
        <v>3116816</v>
      </c>
      <c r="AW749" s="12" t="n">
        <v>1185925</v>
      </c>
      <c r="AX749" s="12" t="n">
        <v>958073</v>
      </c>
      <c r="AY749" s="16" t="n">
        <v>35556</v>
      </c>
      <c r="AZ749" s="13" t="n">
        <f aca="false">IFERROR(AY749/AY748-1,"")</f>
        <v>0.135901859306115</v>
      </c>
      <c r="BA749" s="17" t="n">
        <v>0.901</v>
      </c>
      <c r="BB749" s="11" t="s">
        <v>81</v>
      </c>
      <c r="BC749" s="11" t="s">
        <v>108</v>
      </c>
      <c r="BD749" s="11" t="s">
        <v>175</v>
      </c>
      <c r="BE749" s="12" t="n">
        <v>335869</v>
      </c>
      <c r="BF749" s="13" t="n">
        <f aca="false">IFERROR(P749/BE749-1,"")</f>
        <v>-0.0063477129476075</v>
      </c>
      <c r="BG749" s="17" t="n">
        <v>0.051</v>
      </c>
      <c r="BH749" s="17" t="n">
        <v>-0.074</v>
      </c>
      <c r="BI749" s="14" t="n">
        <f aca="false">P749*(1+IFERROR(Q749,0))^4</f>
        <v>570714.244252043</v>
      </c>
      <c r="BJ749" s="12" t="n">
        <v>-2658810</v>
      </c>
      <c r="BK749" s="11" t="s">
        <v>127</v>
      </c>
      <c r="BL749" s="11" t="s">
        <v>128</v>
      </c>
      <c r="BM749" s="14" t="n">
        <f aca="false">O749</f>
        <v>50096616</v>
      </c>
      <c r="BN749" s="11" t="s">
        <v>716</v>
      </c>
      <c r="BO749" s="13" t="n">
        <f aca="false">IFERROR(1-L749/M749,"")</f>
        <v>0.183583380558953</v>
      </c>
      <c r="BP749" s="11" t="s">
        <v>142</v>
      </c>
      <c r="BQ749" s="12" t="n">
        <v>3289239</v>
      </c>
      <c r="BR749" s="11" t="s">
        <v>88</v>
      </c>
      <c r="BS749" s="11" t="s">
        <v>89</v>
      </c>
      <c r="BT749" s="19" t="str">
        <f aca="false">IF(OR(Z749&lt;6,AH749&lt;0.9,S749&lt;0.02,AK749&lt;1),"REVIEW",IF(AND(S749&gt;0.25,AH749&gt;1.2),"ACCELERATING","STABLE"))</f>
        <v>STABLE</v>
      </c>
    </row>
    <row r="750" customFormat="false" ht="15" hidden="false" customHeight="false" outlineLevel="0" collapsed="false">
      <c r="A750" s="3" t="s">
        <v>717</v>
      </c>
      <c r="B750" s="3" t="s">
        <v>73</v>
      </c>
      <c r="C750" s="3" t="s">
        <v>74</v>
      </c>
      <c r="D750" s="3" t="s">
        <v>75</v>
      </c>
      <c r="E750" s="3" t="s">
        <v>105</v>
      </c>
      <c r="F750" s="3" t="s">
        <v>718</v>
      </c>
      <c r="G750" s="3" t="s">
        <v>78</v>
      </c>
      <c r="H750" s="3" t="s">
        <v>644</v>
      </c>
      <c r="I750" s="3" t="s">
        <v>78</v>
      </c>
      <c r="J750" s="4" t="n">
        <v>1792000</v>
      </c>
      <c r="K750" s="5" t="n">
        <f aca="false">IFERROR(J750/M750,"")</f>
        <v>0.138914728682171</v>
      </c>
      <c r="L750" s="4" t="n">
        <v>11108000</v>
      </c>
      <c r="M750" s="6" t="n">
        <f aca="false">L750+J750</f>
        <v>12900000</v>
      </c>
      <c r="N750" s="4" t="n">
        <v>2228000</v>
      </c>
      <c r="O750" s="4" t="n">
        <v>20170627</v>
      </c>
      <c r="P750" s="4" t="n">
        <v>860239</v>
      </c>
      <c r="Q750" s="7"/>
      <c r="R750" s="4" t="n">
        <v>916660</v>
      </c>
      <c r="S750" s="7"/>
      <c r="T750" s="4" t="n">
        <v>701077</v>
      </c>
      <c r="U750" s="5" t="n">
        <f aca="false">IFERROR(T750/P750,"")</f>
        <v>0.814979325513026</v>
      </c>
      <c r="V750" s="6" t="n">
        <f aca="false">T750-AV750</f>
        <v>-1367782</v>
      </c>
      <c r="W750" s="6" t="n">
        <f aca="false">V750-AA750*0.1</f>
        <v>-1380682</v>
      </c>
      <c r="X750" s="4" t="n">
        <v>2687128</v>
      </c>
      <c r="Y750" s="4" t="n">
        <v>145600</v>
      </c>
      <c r="Z750" s="8" t="n">
        <f aca="false">IFERROR(X750/Y750,"")</f>
        <v>18.4555494505495</v>
      </c>
      <c r="AA750" s="4" t="n">
        <v>129000</v>
      </c>
      <c r="AB750" s="6" t="n">
        <f aca="false">W750-0.02*P750</f>
        <v>-1397886.78</v>
      </c>
      <c r="AC750" s="9" t="n">
        <v>25</v>
      </c>
      <c r="AD750" s="7"/>
      <c r="AE750" s="7" t="n">
        <v>0.112</v>
      </c>
      <c r="AF750" s="7" t="n">
        <v>0.105</v>
      </c>
      <c r="AG750" s="5" t="n">
        <f aca="false">1-AF750</f>
        <v>0.895</v>
      </c>
      <c r="AH750" s="7" t="n">
        <v>1.168</v>
      </c>
      <c r="AI750" s="4" t="n">
        <v>63070</v>
      </c>
      <c r="AJ750" s="6" t="n">
        <f aca="false">IFERROR(AM750*U750*MIN(1/AE750,5),"")</f>
        <v>134471.588709649</v>
      </c>
      <c r="AK750" s="10" t="n">
        <f aca="false">IFERROR(AJ750/AI750,"")</f>
        <v>2.13210066132312</v>
      </c>
      <c r="AL750" s="8" t="n">
        <f aca="false">IFERROR(AI750/(AM750*U750/12),"")</f>
        <v>28.1412604425373</v>
      </c>
      <c r="AM750" s="4" t="n">
        <v>33000</v>
      </c>
      <c r="AN750" s="4" t="n">
        <v>1151853</v>
      </c>
      <c r="AO750" s="4" t="n">
        <v>2081084</v>
      </c>
      <c r="AP750" s="7" t="n">
        <v>0.14</v>
      </c>
      <c r="AQ750" s="9" t="n">
        <v>44</v>
      </c>
      <c r="AR750" s="9" t="n">
        <v>2</v>
      </c>
      <c r="AS750" s="7"/>
      <c r="AT750" s="3" t="s">
        <v>98</v>
      </c>
      <c r="AU750" s="6" t="n">
        <f aca="false">IFERROR(P750/AR750,"")</f>
        <v>430119.5</v>
      </c>
      <c r="AV750" s="4" t="n">
        <v>2068859</v>
      </c>
      <c r="AW750" s="4" t="n">
        <v>711876</v>
      </c>
      <c r="AX750" s="4" t="n">
        <v>435357</v>
      </c>
      <c r="AY750" s="9" t="n">
        <v>15455</v>
      </c>
      <c r="AZ750" s="7"/>
      <c r="BA750" s="7" t="n">
        <v>0.915</v>
      </c>
      <c r="BB750" s="3" t="s">
        <v>99</v>
      </c>
      <c r="BC750" s="3" t="s">
        <v>82</v>
      </c>
      <c r="BD750" s="3" t="s">
        <v>157</v>
      </c>
      <c r="BE750" s="4" t="n">
        <v>1020078</v>
      </c>
      <c r="BF750" s="5" t="n">
        <f aca="false">IFERROR(P750/BE750-1,"")</f>
        <v>-0.156692919561053</v>
      </c>
      <c r="BG750" s="7" t="n">
        <v>0.017</v>
      </c>
      <c r="BH750" s="7" t="n">
        <v>0.088</v>
      </c>
      <c r="BI750" s="6" t="n">
        <f aca="false">P750</f>
        <v>860239</v>
      </c>
      <c r="BJ750" s="4" t="n">
        <v>-1175982</v>
      </c>
      <c r="BK750" s="3" t="s">
        <v>192</v>
      </c>
      <c r="BL750" s="3" t="s">
        <v>162</v>
      </c>
      <c r="BM750" s="6" t="n">
        <f aca="false">O750</f>
        <v>20170627</v>
      </c>
      <c r="BN750" s="3" t="s">
        <v>719</v>
      </c>
      <c r="BO750" s="5" t="n">
        <f aca="false">IFERROR(1-L750/M750,"")</f>
        <v>0.138914728682171</v>
      </c>
      <c r="BP750" s="3" t="s">
        <v>198</v>
      </c>
      <c r="BQ750" s="4" t="n">
        <v>2289514</v>
      </c>
      <c r="BR750" s="3" t="s">
        <v>88</v>
      </c>
      <c r="BS750" s="3" t="s">
        <v>89</v>
      </c>
      <c r="BT750" s="3" t="s">
        <v>90</v>
      </c>
    </row>
    <row r="751" customFormat="false" ht="15" hidden="false" customHeight="false" outlineLevel="0" collapsed="false">
      <c r="A751" s="11" t="s">
        <v>717</v>
      </c>
      <c r="B751" s="11" t="s">
        <v>91</v>
      </c>
      <c r="C751" s="11" t="s">
        <v>74</v>
      </c>
      <c r="D751" s="11" t="s">
        <v>75</v>
      </c>
      <c r="E751" s="11" t="s">
        <v>105</v>
      </c>
      <c r="F751" s="11" t="s">
        <v>718</v>
      </c>
      <c r="G751" s="11" t="s">
        <v>78</v>
      </c>
      <c r="H751" s="11" t="s">
        <v>644</v>
      </c>
      <c r="I751" s="11" t="s">
        <v>78</v>
      </c>
      <c r="J751" s="12" t="n">
        <v>1792000</v>
      </c>
      <c r="K751" s="13" t="n">
        <f aca="false">IFERROR(J751/M751,"")</f>
        <v>0.138914728682171</v>
      </c>
      <c r="L751" s="12" t="n">
        <v>11108000</v>
      </c>
      <c r="M751" s="14" t="n">
        <f aca="false">L751+J751</f>
        <v>12900000</v>
      </c>
      <c r="N751" s="12" t="n">
        <v>2228000</v>
      </c>
      <c r="O751" s="12" t="n">
        <v>20170627</v>
      </c>
      <c r="P751" s="12" t="n">
        <v>985335</v>
      </c>
      <c r="Q751" s="13" t="n">
        <f aca="false">IFERROR(P751/P750-1,"")</f>
        <v>0.145420051869306</v>
      </c>
      <c r="R751" s="12" t="n">
        <v>1096394</v>
      </c>
      <c r="S751" s="13" t="n">
        <f aca="false">IFERROR(R751/R750-1,"")</f>
        <v>0.196074880544586</v>
      </c>
      <c r="T751" s="12" t="n">
        <v>806278</v>
      </c>
      <c r="U751" s="13" t="n">
        <f aca="false">IFERROR(T751/P751,"")</f>
        <v>0.818278047567579</v>
      </c>
      <c r="V751" s="14" t="n">
        <f aca="false">T751-AV751</f>
        <v>-1791875</v>
      </c>
      <c r="W751" s="14" t="n">
        <f aca="false">V751-AA751*0.1</f>
        <v>-1804775</v>
      </c>
      <c r="X751" s="12" t="n">
        <v>2319928</v>
      </c>
      <c r="Y751" s="12" t="n">
        <v>150400</v>
      </c>
      <c r="Z751" s="15" t="n">
        <f aca="false">IFERROR(X751/Y751,"")</f>
        <v>15.4250531914894</v>
      </c>
      <c r="AA751" s="12" t="n">
        <v>129000</v>
      </c>
      <c r="AB751" s="14" t="n">
        <f aca="false">W751-0.02*P751</f>
        <v>-1824481.7</v>
      </c>
      <c r="AC751" s="16" t="n">
        <v>26</v>
      </c>
      <c r="AD751" s="13" t="n">
        <f aca="false">IFERROR(AC751/AC750-1,"")</f>
        <v>0.04</v>
      </c>
      <c r="AE751" s="17" t="n">
        <v>0.109</v>
      </c>
      <c r="AF751" s="17" t="n">
        <v>0.102</v>
      </c>
      <c r="AG751" s="13" t="n">
        <f aca="false">1-AF751</f>
        <v>0.898</v>
      </c>
      <c r="AH751" s="17" t="n">
        <v>1.163</v>
      </c>
      <c r="AI751" s="12" t="n">
        <v>61880</v>
      </c>
      <c r="AJ751" s="14" t="n">
        <f aca="false">IFERROR(AM751*U751*MIN(1/AE751,5),"")</f>
        <v>137716.195405623</v>
      </c>
      <c r="AK751" s="18" t="n">
        <f aca="false">IFERROR(AJ751/AI751,"")</f>
        <v>2.22553644805468</v>
      </c>
      <c r="AL751" s="15" t="n">
        <f aca="false">IFERROR(AI751/(AM751*U751/12),"")</f>
        <v>26.9597921222299</v>
      </c>
      <c r="AM751" s="12" t="n">
        <v>33660</v>
      </c>
      <c r="AN751" s="12" t="n">
        <v>1623939</v>
      </c>
      <c r="AO751" s="12" t="n">
        <v>2442283</v>
      </c>
      <c r="AP751" s="17" t="n">
        <v>0.14</v>
      </c>
      <c r="AQ751" s="16" t="n">
        <v>44</v>
      </c>
      <c r="AR751" s="16" t="n">
        <v>2</v>
      </c>
      <c r="AS751" s="13" t="n">
        <f aca="false">IFERROR(AR751/AR750-1,"")</f>
        <v>0</v>
      </c>
      <c r="AT751" s="11" t="s">
        <v>98</v>
      </c>
      <c r="AU751" s="14" t="n">
        <f aca="false">IFERROR(P751/AR751,"")</f>
        <v>492667.5</v>
      </c>
      <c r="AV751" s="12" t="n">
        <v>2598153</v>
      </c>
      <c r="AW751" s="12" t="n">
        <v>897046</v>
      </c>
      <c r="AX751" s="12" t="n">
        <v>682779</v>
      </c>
      <c r="AY751" s="16" t="n">
        <v>18616</v>
      </c>
      <c r="AZ751" s="13" t="n">
        <f aca="false">IFERROR(AY751/AY750-1,"")</f>
        <v>0.204529278550631</v>
      </c>
      <c r="BA751" s="17" t="n">
        <v>0.909</v>
      </c>
      <c r="BB751" s="11" t="s">
        <v>99</v>
      </c>
      <c r="BC751" s="11" t="s">
        <v>82</v>
      </c>
      <c r="BD751" s="11" t="s">
        <v>157</v>
      </c>
      <c r="BE751" s="12" t="n">
        <v>1040428</v>
      </c>
      <c r="BF751" s="13" t="n">
        <f aca="false">IFERROR(P751/BE751-1,"")</f>
        <v>-0.0529522465754478</v>
      </c>
      <c r="BG751" s="17" t="n">
        <v>-0.019</v>
      </c>
      <c r="BH751" s="17" t="n">
        <v>0.032</v>
      </c>
      <c r="BI751" s="14" t="n">
        <f aca="false">P751*(1+IFERROR(Q751,0))^4</f>
        <v>1696067.12486077</v>
      </c>
      <c r="BJ751" s="12" t="n">
        <v>-1601769</v>
      </c>
      <c r="BK751" s="11" t="s">
        <v>192</v>
      </c>
      <c r="BL751" s="11" t="s">
        <v>162</v>
      </c>
      <c r="BM751" s="14" t="n">
        <f aca="false">O751</f>
        <v>20170627</v>
      </c>
      <c r="BN751" s="11" t="s">
        <v>719</v>
      </c>
      <c r="BO751" s="13" t="n">
        <f aca="false">IFERROR(1-L751/M751,"")</f>
        <v>0.138914728682171</v>
      </c>
      <c r="BP751" s="11" t="s">
        <v>198</v>
      </c>
      <c r="BQ751" s="12" t="n">
        <v>2771325</v>
      </c>
      <c r="BR751" s="11" t="s">
        <v>88</v>
      </c>
      <c r="BS751" s="11" t="s">
        <v>89</v>
      </c>
      <c r="BT751" s="19" t="str">
        <f aca="false">IF(OR(Z751&lt;6,AH751&lt;0.9,S751&lt;0.02,AK751&lt;1),"REVIEW",IF(AND(S751&gt;0.25,AH751&gt;1.2),"ACCELERATING","STABLE"))</f>
        <v>STABLE</v>
      </c>
    </row>
    <row r="752" customFormat="false" ht="15" hidden="false" customHeight="false" outlineLevel="0" collapsed="false">
      <c r="A752" s="11" t="s">
        <v>717</v>
      </c>
      <c r="B752" s="11" t="s">
        <v>92</v>
      </c>
      <c r="C752" s="11" t="s">
        <v>74</v>
      </c>
      <c r="D752" s="11" t="s">
        <v>75</v>
      </c>
      <c r="E752" s="11" t="s">
        <v>105</v>
      </c>
      <c r="F752" s="11" t="s">
        <v>718</v>
      </c>
      <c r="G752" s="11" t="s">
        <v>78</v>
      </c>
      <c r="H752" s="11" t="s">
        <v>644</v>
      </c>
      <c r="I752" s="11" t="s">
        <v>78</v>
      </c>
      <c r="J752" s="12" t="n">
        <v>1792000</v>
      </c>
      <c r="K752" s="13" t="n">
        <f aca="false">IFERROR(J752/M752,"")</f>
        <v>0.138914728682171</v>
      </c>
      <c r="L752" s="12" t="n">
        <v>11108000</v>
      </c>
      <c r="M752" s="14" t="n">
        <f aca="false">L752+J752</f>
        <v>12900000</v>
      </c>
      <c r="N752" s="12" t="n">
        <v>2228000</v>
      </c>
      <c r="O752" s="12" t="n">
        <v>20170627</v>
      </c>
      <c r="P752" s="12" t="n">
        <v>1236236</v>
      </c>
      <c r="Q752" s="13" t="n">
        <f aca="false">IFERROR(P752/P751-1,"")</f>
        <v>0.254635225583177</v>
      </c>
      <c r="R752" s="12" t="n">
        <v>1299578</v>
      </c>
      <c r="S752" s="13" t="n">
        <f aca="false">IFERROR(R752/R751-1,"")</f>
        <v>0.185320240716385</v>
      </c>
      <c r="T752" s="12" t="n">
        <v>1015664</v>
      </c>
      <c r="U752" s="13" t="n">
        <f aca="false">IFERROR(T752/P752,"")</f>
        <v>0.821577756997855</v>
      </c>
      <c r="V752" s="14" t="n">
        <f aca="false">T752-AV752</f>
        <v>-1782818</v>
      </c>
      <c r="W752" s="14" t="n">
        <f aca="false">V752-AA752*0.1</f>
        <v>-1795718</v>
      </c>
      <c r="X752" s="12" t="n">
        <v>1926808</v>
      </c>
      <c r="Y752" s="12" t="n">
        <v>155200</v>
      </c>
      <c r="Z752" s="15" t="n">
        <f aca="false">IFERROR(X752/Y752,"")</f>
        <v>12.415</v>
      </c>
      <c r="AA752" s="12" t="n">
        <v>129000</v>
      </c>
      <c r="AB752" s="14" t="n">
        <f aca="false">W752-0.02*P752</f>
        <v>-1820442.72</v>
      </c>
      <c r="AC752" s="16" t="n">
        <v>30</v>
      </c>
      <c r="AD752" s="13" t="n">
        <f aca="false">IFERROR(AC752/AC751-1,"")</f>
        <v>0.153846153846154</v>
      </c>
      <c r="AE752" s="17" t="n">
        <v>0.106</v>
      </c>
      <c r="AF752" s="17" t="n">
        <v>0.116</v>
      </c>
      <c r="AG752" s="13" t="n">
        <f aca="false">1-AF752</f>
        <v>0.884</v>
      </c>
      <c r="AH752" s="17" t="n">
        <v>1.158</v>
      </c>
      <c r="AI752" s="12" t="n">
        <v>60690</v>
      </c>
      <c r="AJ752" s="14" t="n">
        <f aca="false">IFERROR(AM752*U752*MIN(1/AE752,5),"")</f>
        <v>140982.743100832</v>
      </c>
      <c r="AK752" s="18" t="n">
        <f aca="false">IFERROR(AJ752/AI752,"")</f>
        <v>2.32299790905968</v>
      </c>
      <c r="AL752" s="15" t="n">
        <f aca="false">IFERROR(AI752/(AM752*U752/12),"")</f>
        <v>25.8286930719999</v>
      </c>
      <c r="AM752" s="12" t="n">
        <v>34320</v>
      </c>
      <c r="AN752" s="12" t="n">
        <v>1231657</v>
      </c>
      <c r="AO752" s="12" t="n">
        <v>4678968</v>
      </c>
      <c r="AP752" s="17" t="n">
        <v>0.14</v>
      </c>
      <c r="AQ752" s="16" t="n">
        <v>44</v>
      </c>
      <c r="AR752" s="16" t="n">
        <v>2</v>
      </c>
      <c r="AS752" s="13" t="n">
        <f aca="false">IFERROR(AR752/AR751-1,"")</f>
        <v>0</v>
      </c>
      <c r="AT752" s="11" t="s">
        <v>98</v>
      </c>
      <c r="AU752" s="14" t="n">
        <f aca="false">IFERROR(P752/AR752,"")</f>
        <v>618118</v>
      </c>
      <c r="AV752" s="12" t="n">
        <v>2798482</v>
      </c>
      <c r="AW752" s="12" t="n">
        <v>1334986</v>
      </c>
      <c r="AX752" s="12" t="n">
        <v>735862</v>
      </c>
      <c r="AY752" s="16" t="n">
        <v>21411</v>
      </c>
      <c r="AZ752" s="13" t="n">
        <f aca="false">IFERROR(AY752/AY751-1,"")</f>
        <v>0.150139664804469</v>
      </c>
      <c r="BA752" s="17" t="n">
        <v>0.916</v>
      </c>
      <c r="BB752" s="11" t="s">
        <v>99</v>
      </c>
      <c r="BC752" s="11" t="s">
        <v>82</v>
      </c>
      <c r="BD752" s="11" t="s">
        <v>157</v>
      </c>
      <c r="BE752" s="12" t="n">
        <v>1178064</v>
      </c>
      <c r="BF752" s="13" t="n">
        <f aca="false">IFERROR(P752/BE752-1,"")</f>
        <v>0.0493793206481141</v>
      </c>
      <c r="BG752" s="17" t="n">
        <v>-0.023</v>
      </c>
      <c r="BH752" s="17" t="n">
        <v>0.059</v>
      </c>
      <c r="BI752" s="14" t="n">
        <f aca="false">P752*(1+IFERROR(Q752,0))^4</f>
        <v>3063171.36489751</v>
      </c>
      <c r="BJ752" s="12" t="n">
        <v>-1598091</v>
      </c>
      <c r="BK752" s="11" t="s">
        <v>192</v>
      </c>
      <c r="BL752" s="11" t="s">
        <v>162</v>
      </c>
      <c r="BM752" s="14" t="n">
        <f aca="false">O752</f>
        <v>20170627</v>
      </c>
      <c r="BN752" s="11" t="s">
        <v>719</v>
      </c>
      <c r="BO752" s="13" t="n">
        <f aca="false">IFERROR(1-L752/M752,"")</f>
        <v>0.138914728682171</v>
      </c>
      <c r="BP752" s="11" t="s">
        <v>198</v>
      </c>
      <c r="BQ752" s="12" t="n">
        <v>1963920</v>
      </c>
      <c r="BR752" s="11" t="s">
        <v>88</v>
      </c>
      <c r="BS752" s="11" t="s">
        <v>89</v>
      </c>
      <c r="BT752" s="19" t="str">
        <f aca="false">IF(OR(Z752&lt;6,AH752&lt;0.9,S752&lt;0.02,AK752&lt;1),"REVIEW",IF(AND(S752&gt;0.25,AH752&gt;1.2),"ACCELERATING","STABLE"))</f>
        <v>STABLE</v>
      </c>
    </row>
    <row r="753" customFormat="false" ht="15" hidden="false" customHeight="false" outlineLevel="0" collapsed="false">
      <c r="A753" s="11" t="s">
        <v>717</v>
      </c>
      <c r="B753" s="11" t="s">
        <v>93</v>
      </c>
      <c r="C753" s="11" t="s">
        <v>74</v>
      </c>
      <c r="D753" s="11" t="s">
        <v>75</v>
      </c>
      <c r="E753" s="11" t="s">
        <v>105</v>
      </c>
      <c r="F753" s="11" t="s">
        <v>718</v>
      </c>
      <c r="G753" s="11" t="s">
        <v>78</v>
      </c>
      <c r="H753" s="11" t="s">
        <v>644</v>
      </c>
      <c r="I753" s="11" t="s">
        <v>78</v>
      </c>
      <c r="J753" s="12" t="n">
        <v>1792000</v>
      </c>
      <c r="K753" s="13" t="n">
        <f aca="false">IFERROR(J753/M753,"")</f>
        <v>0.138914728682171</v>
      </c>
      <c r="L753" s="12" t="n">
        <v>11108000</v>
      </c>
      <c r="M753" s="14" t="n">
        <f aca="false">L753+J753</f>
        <v>12900000</v>
      </c>
      <c r="N753" s="12" t="n">
        <v>2228000</v>
      </c>
      <c r="O753" s="12" t="n">
        <v>20170627</v>
      </c>
      <c r="P753" s="12" t="n">
        <v>1519057</v>
      </c>
      <c r="Q753" s="13" t="n">
        <f aca="false">IFERROR(P753/P752-1,"")</f>
        <v>0.228775897158795</v>
      </c>
      <c r="R753" s="12" t="n">
        <v>1600722</v>
      </c>
      <c r="S753" s="13" t="n">
        <f aca="false">IFERROR(R753/R752-1,"")</f>
        <v>0.231724452091371</v>
      </c>
      <c r="T753" s="12" t="n">
        <v>1253036</v>
      </c>
      <c r="U753" s="13" t="n">
        <f aca="false">IFERROR(T753/P753,"")</f>
        <v>0.824877539157517</v>
      </c>
      <c r="V753" s="14" t="n">
        <f aca="false">T753-AV753</f>
        <v>-1789723</v>
      </c>
      <c r="W753" s="14" t="n">
        <f aca="false">V753-AA753*0.1</f>
        <v>-1802623</v>
      </c>
      <c r="X753" s="12" t="n">
        <v>1507768</v>
      </c>
      <c r="Y753" s="12" t="n">
        <v>160000</v>
      </c>
      <c r="Z753" s="15" t="n">
        <f aca="false">IFERROR(X753/Y753,"")</f>
        <v>9.42355</v>
      </c>
      <c r="AA753" s="12" t="n">
        <v>129000</v>
      </c>
      <c r="AB753" s="14" t="n">
        <f aca="false">W753-0.02*P753</f>
        <v>-1833004.14</v>
      </c>
      <c r="AC753" s="16" t="n">
        <v>34</v>
      </c>
      <c r="AD753" s="13" t="n">
        <f aca="false">IFERROR(AC753/AC752-1,"")</f>
        <v>0.133333333333333</v>
      </c>
      <c r="AE753" s="17" t="n">
        <v>0.103</v>
      </c>
      <c r="AF753" s="17" t="n">
        <v>0.108</v>
      </c>
      <c r="AG753" s="13" t="n">
        <f aca="false">1-AF753</f>
        <v>0.892</v>
      </c>
      <c r="AH753" s="17" t="n">
        <v>1.153</v>
      </c>
      <c r="AI753" s="12" t="n">
        <v>59500</v>
      </c>
      <c r="AJ753" s="14" t="n">
        <f aca="false">IFERROR(AM753*U753*MIN(1/AE753,5),"")</f>
        <v>144271.08159865</v>
      </c>
      <c r="AK753" s="18" t="n">
        <f aca="false">IFERROR(AJ753/AI753,"")</f>
        <v>2.42472406048151</v>
      </c>
      <c r="AL753" s="15" t="n">
        <f aca="false">IFERROR(AI753/(AM753*U753/12),"")</f>
        <v>24.745083771753</v>
      </c>
      <c r="AM753" s="12" t="n">
        <v>34980</v>
      </c>
      <c r="AN753" s="12" t="n">
        <v>1652337</v>
      </c>
      <c r="AO753" s="12" t="n">
        <v>4891362</v>
      </c>
      <c r="AP753" s="17" t="n">
        <v>0.14</v>
      </c>
      <c r="AQ753" s="16" t="n">
        <v>44</v>
      </c>
      <c r="AR753" s="16" t="n">
        <v>2</v>
      </c>
      <c r="AS753" s="13" t="n">
        <f aca="false">IFERROR(AR753/AR752-1,"")</f>
        <v>0</v>
      </c>
      <c r="AT753" s="11" t="s">
        <v>98</v>
      </c>
      <c r="AU753" s="14" t="n">
        <f aca="false">IFERROR(P753/AR753,"")</f>
        <v>759528.5</v>
      </c>
      <c r="AV753" s="12" t="n">
        <v>3042759</v>
      </c>
      <c r="AW753" s="12" t="n">
        <v>1134834</v>
      </c>
      <c r="AX753" s="12" t="n">
        <v>583756</v>
      </c>
      <c r="AY753" s="16" t="n">
        <v>27457</v>
      </c>
      <c r="AZ753" s="13" t="n">
        <f aca="false">IFERROR(AY753/AY752-1,"")</f>
        <v>0.282378216804446</v>
      </c>
      <c r="BA753" s="17" t="n">
        <v>0.894</v>
      </c>
      <c r="BB753" s="11" t="s">
        <v>99</v>
      </c>
      <c r="BC753" s="11" t="s">
        <v>82</v>
      </c>
      <c r="BD753" s="11" t="s">
        <v>157</v>
      </c>
      <c r="BE753" s="12" t="n">
        <v>1575642</v>
      </c>
      <c r="BF753" s="13" t="n">
        <f aca="false">IFERROR(P753/BE753-1,"")</f>
        <v>-0.0359123455708847</v>
      </c>
      <c r="BG753" s="17" t="n">
        <v>0.07</v>
      </c>
      <c r="BH753" s="17" t="n">
        <v>-0.045</v>
      </c>
      <c r="BI753" s="14" t="n">
        <f aca="false">P753*(1+IFERROR(Q753,0))^4</f>
        <v>3463098.19573598</v>
      </c>
      <c r="BJ753" s="12" t="n">
        <v>-1455230</v>
      </c>
      <c r="BK753" s="11" t="s">
        <v>192</v>
      </c>
      <c r="BL753" s="11" t="s">
        <v>162</v>
      </c>
      <c r="BM753" s="14" t="n">
        <f aca="false">O753</f>
        <v>20170627</v>
      </c>
      <c r="BN753" s="11" t="s">
        <v>719</v>
      </c>
      <c r="BO753" s="13" t="n">
        <f aca="false">IFERROR(1-L753/M753,"")</f>
        <v>0.138914728682171</v>
      </c>
      <c r="BP753" s="11" t="s">
        <v>198</v>
      </c>
      <c r="BQ753" s="12" t="n">
        <v>2151730</v>
      </c>
      <c r="BR753" s="11" t="s">
        <v>88</v>
      </c>
      <c r="BS753" s="11" t="s">
        <v>89</v>
      </c>
      <c r="BT753" s="19" t="str">
        <f aca="false">IF(OR(Z753&lt;6,AH753&lt;0.9,S753&lt;0.02,AK753&lt;1),"REVIEW",IF(AND(S753&gt;0.25,AH753&gt;1.2),"ACCELERATING","STABLE"))</f>
        <v>STABLE</v>
      </c>
    </row>
    <row r="754" customFormat="false" ht="15" hidden="false" customHeight="false" outlineLevel="0" collapsed="false">
      <c r="A754" s="3" t="s">
        <v>720</v>
      </c>
      <c r="B754" s="3" t="s">
        <v>73</v>
      </c>
      <c r="C754" s="3" t="s">
        <v>74</v>
      </c>
      <c r="D754" s="3" t="s">
        <v>165</v>
      </c>
      <c r="E754" s="3" t="s">
        <v>105</v>
      </c>
      <c r="F754" s="3" t="s">
        <v>721</v>
      </c>
      <c r="G754" s="3" t="s">
        <v>78</v>
      </c>
      <c r="H754" s="3" t="s">
        <v>644</v>
      </c>
      <c r="I754" s="3" t="s">
        <v>78</v>
      </c>
      <c r="J754" s="4" t="n">
        <v>3039000</v>
      </c>
      <c r="K754" s="5" t="n">
        <f aca="false">IFERROR(J754/M754,"")</f>
        <v>0.126487971364355</v>
      </c>
      <c r="L754" s="4" t="n">
        <v>20987000</v>
      </c>
      <c r="M754" s="6" t="n">
        <f aca="false">L754+J754</f>
        <v>24026000</v>
      </c>
      <c r="N754" s="4" t="n">
        <v>4072000</v>
      </c>
      <c r="O754" s="4" t="n">
        <v>51812238</v>
      </c>
      <c r="P754" s="4" t="n">
        <v>1032061</v>
      </c>
      <c r="Q754" s="7"/>
      <c r="R754" s="4" t="n">
        <v>1068378</v>
      </c>
      <c r="S754" s="7"/>
      <c r="T754" s="4" t="n">
        <v>626342</v>
      </c>
      <c r="U754" s="5" t="n">
        <f aca="false">IFERROR(T754/P754,"")</f>
        <v>0.606884670576642</v>
      </c>
      <c r="V754" s="6" t="n">
        <f aca="false">T754-AV754</f>
        <v>-985180</v>
      </c>
      <c r="W754" s="6" t="n">
        <f aca="false">V754-AA754*0.1</f>
        <v>-1064480</v>
      </c>
      <c r="X754" s="4" t="n">
        <v>3042987</v>
      </c>
      <c r="Y754" s="4" t="n">
        <v>88270</v>
      </c>
      <c r="Z754" s="8" t="n">
        <f aca="false">IFERROR(X754/Y754,"")</f>
        <v>34.4736263736264</v>
      </c>
      <c r="AA754" s="4" t="n">
        <v>793000</v>
      </c>
      <c r="AB754" s="6" t="n">
        <f aca="false">W754-0.02*P754</f>
        <v>-1085121.22</v>
      </c>
      <c r="AC754" s="9" t="n">
        <v>19</v>
      </c>
      <c r="AD754" s="7"/>
      <c r="AE754" s="7" t="n">
        <v>0.065</v>
      </c>
      <c r="AF754" s="7" t="n">
        <v>0.071</v>
      </c>
      <c r="AG754" s="5" t="n">
        <f aca="false">1-AF754</f>
        <v>0.929</v>
      </c>
      <c r="AH754" s="7" t="n">
        <v>1.184</v>
      </c>
      <c r="AI754" s="4" t="n">
        <v>18974</v>
      </c>
      <c r="AJ754" s="6" t="n">
        <f aca="false">IFERROR(AM754*U754*MIN(1/AE754,5),"")</f>
        <v>36413.0802345985</v>
      </c>
      <c r="AK754" s="10" t="n">
        <f aca="false">IFERROR(AJ754/AI754,"")</f>
        <v>1.91910404946762</v>
      </c>
      <c r="AL754" s="8" t="n">
        <f aca="false">IFERROR(AI754/(AM754*U754/12),"")</f>
        <v>31.2645893361774</v>
      </c>
      <c r="AM754" s="4" t="n">
        <v>12000</v>
      </c>
      <c r="AN754" s="4" t="n">
        <v>1136605</v>
      </c>
      <c r="AO754" s="4" t="n">
        <v>1790007</v>
      </c>
      <c r="AP754" s="7" t="n">
        <v>0.158</v>
      </c>
      <c r="AQ754" s="9" t="n">
        <v>56</v>
      </c>
      <c r="AR754" s="9" t="n">
        <v>1</v>
      </c>
      <c r="AS754" s="7"/>
      <c r="AT754" s="3" t="s">
        <v>80</v>
      </c>
      <c r="AU754" s="6" t="n">
        <f aca="false">IFERROR(P754/AR754,"")</f>
        <v>1032061</v>
      </c>
      <c r="AV754" s="4" t="n">
        <v>1611522</v>
      </c>
      <c r="AW754" s="4" t="n">
        <v>649706</v>
      </c>
      <c r="AX754" s="4" t="n">
        <v>388150</v>
      </c>
      <c r="AY754" s="9" t="n">
        <v>10295</v>
      </c>
      <c r="AZ754" s="7"/>
      <c r="BA754" s="7" t="n">
        <v>0.941</v>
      </c>
      <c r="BB754" s="3" t="s">
        <v>99</v>
      </c>
      <c r="BC754" s="3" t="s">
        <v>82</v>
      </c>
      <c r="BD754" s="3" t="s">
        <v>83</v>
      </c>
      <c r="BE754" s="4" t="n">
        <v>1146937</v>
      </c>
      <c r="BF754" s="5" t="n">
        <f aca="false">IFERROR(P754/BE754-1,"")</f>
        <v>-0.100158945085911</v>
      </c>
      <c r="BG754" s="7" t="n">
        <v>0.029</v>
      </c>
      <c r="BH754" s="7" t="n">
        <v>-0.039</v>
      </c>
      <c r="BI754" s="6" t="n">
        <f aca="false">P754</f>
        <v>1032061</v>
      </c>
      <c r="BJ754" s="4" t="n">
        <v>-619855</v>
      </c>
      <c r="BK754" s="3" t="s">
        <v>127</v>
      </c>
      <c r="BL754" s="3" t="s">
        <v>85</v>
      </c>
      <c r="BM754" s="6" t="n">
        <f aca="false">O754</f>
        <v>51812238</v>
      </c>
      <c r="BN754" s="3" t="s">
        <v>722</v>
      </c>
      <c r="BO754" s="5" t="n">
        <f aca="false">IFERROR(1-L754/M754,"")</f>
        <v>0.126487971364355</v>
      </c>
      <c r="BP754" s="3" t="s">
        <v>198</v>
      </c>
      <c r="BQ754" s="4" t="n">
        <v>1075746</v>
      </c>
      <c r="BR754" s="3" t="s">
        <v>88</v>
      </c>
      <c r="BS754" s="3" t="s">
        <v>89</v>
      </c>
      <c r="BT754" s="3" t="s">
        <v>90</v>
      </c>
    </row>
    <row r="755" customFormat="false" ht="15" hidden="false" customHeight="false" outlineLevel="0" collapsed="false">
      <c r="A755" s="11" t="s">
        <v>720</v>
      </c>
      <c r="B755" s="11" t="s">
        <v>91</v>
      </c>
      <c r="C755" s="11" t="s">
        <v>74</v>
      </c>
      <c r="D755" s="11" t="s">
        <v>165</v>
      </c>
      <c r="E755" s="11" t="s">
        <v>105</v>
      </c>
      <c r="F755" s="11" t="s">
        <v>721</v>
      </c>
      <c r="G755" s="11" t="s">
        <v>78</v>
      </c>
      <c r="H755" s="11" t="s">
        <v>644</v>
      </c>
      <c r="I755" s="11" t="s">
        <v>78</v>
      </c>
      <c r="J755" s="12" t="n">
        <v>3039000</v>
      </c>
      <c r="K755" s="13" t="n">
        <f aca="false">IFERROR(J755/M755,"")</f>
        <v>0.126487971364355</v>
      </c>
      <c r="L755" s="12" t="n">
        <v>20987000</v>
      </c>
      <c r="M755" s="14" t="n">
        <f aca="false">L755+J755</f>
        <v>24026000</v>
      </c>
      <c r="N755" s="12" t="n">
        <v>4072000</v>
      </c>
      <c r="O755" s="12" t="n">
        <v>51812238</v>
      </c>
      <c r="P755" s="12" t="n">
        <v>1213812</v>
      </c>
      <c r="Q755" s="13" t="n">
        <f aca="false">IFERROR(P755/P754-1,"")</f>
        <v>0.176104900776214</v>
      </c>
      <c r="R755" s="12" t="n">
        <v>1348781</v>
      </c>
      <c r="S755" s="13" t="n">
        <f aca="false">IFERROR(R755/R754-1,"")</f>
        <v>0.262456733478226</v>
      </c>
      <c r="T755" s="12" t="n">
        <v>739626</v>
      </c>
      <c r="U755" s="13" t="n">
        <f aca="false">IFERROR(T755/P755,"")</f>
        <v>0.609341479570148</v>
      </c>
      <c r="V755" s="14" t="n">
        <f aca="false">T755-AV755</f>
        <v>-882875</v>
      </c>
      <c r="W755" s="14" t="n">
        <f aca="false">V755-AA755*0.1</f>
        <v>-962175</v>
      </c>
      <c r="X755" s="12" t="n">
        <v>2820372</v>
      </c>
      <c r="Y755" s="12" t="n">
        <v>91180</v>
      </c>
      <c r="Z755" s="15" t="n">
        <f aca="false">IFERROR(X755/Y755,"")</f>
        <v>30.931914893617</v>
      </c>
      <c r="AA755" s="12" t="n">
        <v>793000</v>
      </c>
      <c r="AB755" s="14" t="n">
        <f aca="false">W755-0.02*P755</f>
        <v>-986451.24</v>
      </c>
      <c r="AC755" s="16" t="n">
        <v>21</v>
      </c>
      <c r="AD755" s="13" t="n">
        <f aca="false">IFERROR(AC755/AC754-1,"")</f>
        <v>0.105263157894737</v>
      </c>
      <c r="AE755" s="17" t="n">
        <v>0.064</v>
      </c>
      <c r="AF755" s="17" t="n">
        <v>0.065</v>
      </c>
      <c r="AG755" s="13" t="n">
        <f aca="false">1-AF755</f>
        <v>0.935</v>
      </c>
      <c r="AH755" s="17" t="n">
        <v>1.179</v>
      </c>
      <c r="AI755" s="12" t="n">
        <v>18616</v>
      </c>
      <c r="AJ755" s="14" t="n">
        <f aca="false">IFERROR(AM755*U755*MIN(1/AE755,5),"")</f>
        <v>37291.698549693</v>
      </c>
      <c r="AK755" s="18" t="n">
        <f aca="false">IFERROR(AJ755/AI755,"")</f>
        <v>2.00320684087307</v>
      </c>
      <c r="AL755" s="15" t="n">
        <f aca="false">IFERROR(AI755/(AM755*U755/12),"")</f>
        <v>29.9519743921451</v>
      </c>
      <c r="AM755" s="12" t="n">
        <v>12240</v>
      </c>
      <c r="AN755" s="12" t="n">
        <v>1293723</v>
      </c>
      <c r="AO755" s="12" t="n">
        <v>3633207</v>
      </c>
      <c r="AP755" s="17" t="n">
        <v>0.158</v>
      </c>
      <c r="AQ755" s="16" t="n">
        <v>56</v>
      </c>
      <c r="AR755" s="16" t="n">
        <v>2</v>
      </c>
      <c r="AS755" s="13" t="n">
        <f aca="false">IFERROR(AR755/AR754-1,"")</f>
        <v>1</v>
      </c>
      <c r="AT755" s="11" t="s">
        <v>80</v>
      </c>
      <c r="AU755" s="14" t="n">
        <f aca="false">IFERROR(P755/AR755,"")</f>
        <v>606906</v>
      </c>
      <c r="AV755" s="12" t="n">
        <v>1622501</v>
      </c>
      <c r="AW755" s="12" t="n">
        <v>550044</v>
      </c>
      <c r="AX755" s="12" t="n">
        <v>431810</v>
      </c>
      <c r="AY755" s="16" t="n">
        <v>12430</v>
      </c>
      <c r="AZ755" s="13" t="n">
        <f aca="false">IFERROR(AY755/AY754-1,"")</f>
        <v>0.207382224380767</v>
      </c>
      <c r="BA755" s="17" t="n">
        <v>0.932</v>
      </c>
      <c r="BB755" s="11" t="s">
        <v>99</v>
      </c>
      <c r="BC755" s="11" t="s">
        <v>82</v>
      </c>
      <c r="BD755" s="11" t="s">
        <v>83</v>
      </c>
      <c r="BE755" s="12" t="n">
        <v>1175685</v>
      </c>
      <c r="BF755" s="13" t="n">
        <f aca="false">IFERROR(P755/BE755-1,"")</f>
        <v>0.032429604868651</v>
      </c>
      <c r="BG755" s="17" t="n">
        <v>-0.044</v>
      </c>
      <c r="BH755" s="17" t="n">
        <v>-0.014</v>
      </c>
      <c r="BI755" s="14" t="n">
        <f aca="false">P755*(1+IFERROR(Q755,0))^4</f>
        <v>2322392.74089526</v>
      </c>
      <c r="BJ755" s="12" t="n">
        <v>-865331</v>
      </c>
      <c r="BK755" s="11" t="s">
        <v>127</v>
      </c>
      <c r="BL755" s="11" t="s">
        <v>85</v>
      </c>
      <c r="BM755" s="14" t="n">
        <f aca="false">O755</f>
        <v>51812238</v>
      </c>
      <c r="BN755" s="11" t="s">
        <v>722</v>
      </c>
      <c r="BO755" s="13" t="n">
        <f aca="false">IFERROR(1-L755/M755,"")</f>
        <v>0.126487971364355</v>
      </c>
      <c r="BP755" s="11" t="s">
        <v>198</v>
      </c>
      <c r="BQ755" s="12" t="n">
        <v>1805781</v>
      </c>
      <c r="BR755" s="11" t="s">
        <v>88</v>
      </c>
      <c r="BS755" s="11" t="s">
        <v>89</v>
      </c>
      <c r="BT755" s="19" t="str">
        <f aca="false">IF(OR(Z755&lt;6,AH755&lt;0.9,S755&lt;0.02,AK755&lt;1),"REVIEW",IF(AND(S755&gt;0.25,AH755&gt;1.2),"ACCELERATING","STABLE"))</f>
        <v>STABLE</v>
      </c>
    </row>
    <row r="756" customFormat="false" ht="15" hidden="false" customHeight="false" outlineLevel="0" collapsed="false">
      <c r="A756" s="11" t="s">
        <v>720</v>
      </c>
      <c r="B756" s="11" t="s">
        <v>92</v>
      </c>
      <c r="C756" s="11" t="s">
        <v>74</v>
      </c>
      <c r="D756" s="11" t="s">
        <v>165</v>
      </c>
      <c r="E756" s="11" t="s">
        <v>105</v>
      </c>
      <c r="F756" s="11" t="s">
        <v>721</v>
      </c>
      <c r="G756" s="11" t="s">
        <v>78</v>
      </c>
      <c r="H756" s="11" t="s">
        <v>644</v>
      </c>
      <c r="I756" s="11" t="s">
        <v>78</v>
      </c>
      <c r="J756" s="12" t="n">
        <v>3039000</v>
      </c>
      <c r="K756" s="13" t="n">
        <f aca="false">IFERROR(J756/M756,"")</f>
        <v>0.126487971364355</v>
      </c>
      <c r="L756" s="12" t="n">
        <v>20987000</v>
      </c>
      <c r="M756" s="14" t="n">
        <f aca="false">L756+J756</f>
        <v>24026000</v>
      </c>
      <c r="N756" s="12" t="n">
        <v>4072000</v>
      </c>
      <c r="O756" s="12" t="n">
        <v>51812238</v>
      </c>
      <c r="P756" s="12" t="n">
        <v>1597279</v>
      </c>
      <c r="Q756" s="13" t="n">
        <f aca="false">IFERROR(P756/P755-1,"")</f>
        <v>0.315919598751701</v>
      </c>
      <c r="R756" s="12" t="n">
        <v>1732026</v>
      </c>
      <c r="S756" s="13" t="n">
        <f aca="false">IFERROR(R756/R755-1,"")</f>
        <v>0.28414175466588</v>
      </c>
      <c r="T756" s="12" t="n">
        <v>977213</v>
      </c>
      <c r="U756" s="13" t="n">
        <f aca="false">IFERROR(T756/P756,"")</f>
        <v>0.611798564934492</v>
      </c>
      <c r="V756" s="14" t="n">
        <f aca="false">T756-AV756</f>
        <v>-1207688</v>
      </c>
      <c r="W756" s="14" t="n">
        <f aca="false">V756-AA756*0.1</f>
        <v>-1286988</v>
      </c>
      <c r="X756" s="12" t="n">
        <v>2582043</v>
      </c>
      <c r="Y756" s="12" t="n">
        <v>94090</v>
      </c>
      <c r="Z756" s="15" t="n">
        <f aca="false">IFERROR(X756/Y756,"")</f>
        <v>27.4422680412371</v>
      </c>
      <c r="AA756" s="12" t="n">
        <v>793000</v>
      </c>
      <c r="AB756" s="14" t="n">
        <f aca="false">W756-0.02*P756</f>
        <v>-1318933.58</v>
      </c>
      <c r="AC756" s="16" t="n">
        <v>27</v>
      </c>
      <c r="AD756" s="13" t="n">
        <f aca="false">IFERROR(AC756/AC755-1,"")</f>
        <v>0.285714285714286</v>
      </c>
      <c r="AE756" s="17" t="n">
        <v>0.062</v>
      </c>
      <c r="AF756" s="17" t="n">
        <v>0.067</v>
      </c>
      <c r="AG756" s="13" t="n">
        <f aca="false">1-AF756</f>
        <v>0.933</v>
      </c>
      <c r="AH756" s="17" t="n">
        <v>1.174</v>
      </c>
      <c r="AI756" s="12" t="n">
        <v>18258</v>
      </c>
      <c r="AJ756" s="14" t="n">
        <f aca="false">IFERROR(AM756*U756*MIN(1/AE756,5),"")</f>
        <v>38176.2304519123</v>
      </c>
      <c r="AK756" s="18" t="n">
        <f aca="false">IFERROR(AJ756/AI756,"")</f>
        <v>2.09093167115304</v>
      </c>
      <c r="AL756" s="15" t="n">
        <f aca="false">IFERROR(AI756/(AM756*U756/12),"")</f>
        <v>28.6953422858208</v>
      </c>
      <c r="AM756" s="12" t="n">
        <v>12480</v>
      </c>
      <c r="AN756" s="12" t="n">
        <v>2537878</v>
      </c>
      <c r="AO756" s="12" t="n">
        <v>2833702</v>
      </c>
      <c r="AP756" s="17" t="n">
        <v>0.158</v>
      </c>
      <c r="AQ756" s="16" t="n">
        <v>56</v>
      </c>
      <c r="AR756" s="16" t="n">
        <v>2</v>
      </c>
      <c r="AS756" s="13" t="n">
        <f aca="false">IFERROR(AR756/AR755-1,"")</f>
        <v>0</v>
      </c>
      <c r="AT756" s="11" t="s">
        <v>80</v>
      </c>
      <c r="AU756" s="14" t="n">
        <f aca="false">IFERROR(P756/AR756,"")</f>
        <v>798639.5</v>
      </c>
      <c r="AV756" s="12" t="n">
        <v>2184901</v>
      </c>
      <c r="AW756" s="12" t="n">
        <v>898567</v>
      </c>
      <c r="AX756" s="12" t="n">
        <v>713542</v>
      </c>
      <c r="AY756" s="16" t="n">
        <v>15175</v>
      </c>
      <c r="AZ756" s="13" t="n">
        <f aca="false">IFERROR(AY756/AY755-1,"")</f>
        <v>0.220836685438455</v>
      </c>
      <c r="BA756" s="17" t="n">
        <v>0.932</v>
      </c>
      <c r="BB756" s="11" t="s">
        <v>99</v>
      </c>
      <c r="BC756" s="11" t="s">
        <v>82</v>
      </c>
      <c r="BD756" s="11" t="s">
        <v>83</v>
      </c>
      <c r="BE756" s="12" t="n">
        <v>1559841</v>
      </c>
      <c r="BF756" s="13" t="n">
        <f aca="false">IFERROR(P756/BE756-1,"")</f>
        <v>0.024001164221225</v>
      </c>
      <c r="BG756" s="17" t="n">
        <v>-0.03</v>
      </c>
      <c r="BH756" s="17" t="n">
        <v>-0.053</v>
      </c>
      <c r="BI756" s="14" t="n">
        <f aca="false">P756*(1+IFERROR(Q756,0))^4</f>
        <v>4789588.50193484</v>
      </c>
      <c r="BJ756" s="12" t="n">
        <v>-1088138</v>
      </c>
      <c r="BK756" s="11" t="s">
        <v>127</v>
      </c>
      <c r="BL756" s="11" t="s">
        <v>85</v>
      </c>
      <c r="BM756" s="14" t="n">
        <f aca="false">O756</f>
        <v>51812238</v>
      </c>
      <c r="BN756" s="11" t="s">
        <v>722</v>
      </c>
      <c r="BO756" s="13" t="n">
        <f aca="false">IFERROR(1-L756/M756,"")</f>
        <v>0.126487971364355</v>
      </c>
      <c r="BP756" s="11" t="s">
        <v>198</v>
      </c>
      <c r="BQ756" s="12" t="n">
        <v>1214564</v>
      </c>
      <c r="BR756" s="11" t="s">
        <v>88</v>
      </c>
      <c r="BS756" s="11" t="s">
        <v>89</v>
      </c>
      <c r="BT756" s="19" t="str">
        <f aca="false">IF(OR(Z756&lt;6,AH756&lt;0.9,S756&lt;0.02,AK756&lt;1),"REVIEW",IF(AND(S756&gt;0.25,AH756&gt;1.2),"ACCELERATING","STABLE"))</f>
        <v>STABLE</v>
      </c>
    </row>
    <row r="757" customFormat="false" ht="15" hidden="false" customHeight="false" outlineLevel="0" collapsed="false">
      <c r="A757" s="11" t="s">
        <v>720</v>
      </c>
      <c r="B757" s="11" t="s">
        <v>93</v>
      </c>
      <c r="C757" s="11" t="s">
        <v>74</v>
      </c>
      <c r="D757" s="11" t="s">
        <v>165</v>
      </c>
      <c r="E757" s="11" t="s">
        <v>105</v>
      </c>
      <c r="F757" s="11" t="s">
        <v>721</v>
      </c>
      <c r="G757" s="11" t="s">
        <v>78</v>
      </c>
      <c r="H757" s="11" t="s">
        <v>644</v>
      </c>
      <c r="I757" s="11" t="s">
        <v>78</v>
      </c>
      <c r="J757" s="12" t="n">
        <v>3039000</v>
      </c>
      <c r="K757" s="13" t="n">
        <f aca="false">IFERROR(J757/M757,"")</f>
        <v>0.126487971364355</v>
      </c>
      <c r="L757" s="12" t="n">
        <v>20987000</v>
      </c>
      <c r="M757" s="14" t="n">
        <f aca="false">L757+J757</f>
        <v>24026000</v>
      </c>
      <c r="N757" s="12" t="n">
        <v>4072000</v>
      </c>
      <c r="O757" s="12" t="n">
        <v>51812238</v>
      </c>
      <c r="P757" s="12" t="n">
        <v>1891160</v>
      </c>
      <c r="Q757" s="13" t="n">
        <f aca="false">IFERROR(P757/P756-1,"")</f>
        <v>0.183988520477637</v>
      </c>
      <c r="R757" s="12" t="n">
        <v>2121071</v>
      </c>
      <c r="S757" s="13" t="n">
        <f aca="false">IFERROR(R757/R756-1,"")</f>
        <v>0.224618452609834</v>
      </c>
      <c r="T757" s="12" t="n">
        <v>1161656</v>
      </c>
      <c r="U757" s="13" t="n">
        <f aca="false">IFERROR(T757/P757,"")</f>
        <v>0.614255800672603</v>
      </c>
      <c r="V757" s="14" t="n">
        <f aca="false">T757-AV757</f>
        <v>-903740</v>
      </c>
      <c r="W757" s="14" t="n">
        <f aca="false">V757-AA757*0.1</f>
        <v>-983040</v>
      </c>
      <c r="X757" s="12" t="n">
        <v>2328000</v>
      </c>
      <c r="Y757" s="12" t="n">
        <v>97000</v>
      </c>
      <c r="Z757" s="15" t="n">
        <f aca="false">IFERROR(X757/Y757,"")</f>
        <v>24</v>
      </c>
      <c r="AA757" s="12" t="n">
        <v>793000</v>
      </c>
      <c r="AB757" s="14" t="n">
        <f aca="false">W757-0.02*P757</f>
        <v>-1020863.2</v>
      </c>
      <c r="AC757" s="16" t="n">
        <v>32</v>
      </c>
      <c r="AD757" s="13" t="n">
        <f aca="false">IFERROR(AC757/AC756-1,"")</f>
        <v>0.185185185185185</v>
      </c>
      <c r="AE757" s="17" t="n">
        <v>0.06</v>
      </c>
      <c r="AF757" s="17" t="n">
        <v>0.042</v>
      </c>
      <c r="AG757" s="13" t="n">
        <f aca="false">1-AF757</f>
        <v>0.958</v>
      </c>
      <c r="AH757" s="17" t="n">
        <v>1.169</v>
      </c>
      <c r="AI757" s="12" t="n">
        <v>17900</v>
      </c>
      <c r="AJ757" s="14" t="n">
        <f aca="false">IFERROR(AM757*U757*MIN(1/AE757,5),"")</f>
        <v>39066.6689227776</v>
      </c>
      <c r="AK757" s="18" t="n">
        <f aca="false">IFERROR(AJ757/AI757,"")</f>
        <v>2.18249547054623</v>
      </c>
      <c r="AL757" s="15" t="n">
        <f aca="false">IFERROR(AI757/(AM757*U757/12),"")</f>
        <v>27.491465989152</v>
      </c>
      <c r="AM757" s="12" t="n">
        <v>12720</v>
      </c>
      <c r="AN757" s="12" t="n">
        <v>2922654</v>
      </c>
      <c r="AO757" s="12" t="n">
        <v>8168244</v>
      </c>
      <c r="AP757" s="17" t="n">
        <v>0.158</v>
      </c>
      <c r="AQ757" s="16" t="n">
        <v>56</v>
      </c>
      <c r="AR757" s="16" t="n">
        <v>2</v>
      </c>
      <c r="AS757" s="13" t="n">
        <f aca="false">IFERROR(AR757/AR756-1,"")</f>
        <v>0</v>
      </c>
      <c r="AT757" s="11" t="s">
        <v>80</v>
      </c>
      <c r="AU757" s="14" t="n">
        <f aca="false">IFERROR(P757/AR757,"")</f>
        <v>945580</v>
      </c>
      <c r="AV757" s="12" t="n">
        <v>2065396</v>
      </c>
      <c r="AW757" s="12" t="n">
        <v>768051</v>
      </c>
      <c r="AX757" s="12" t="n">
        <v>669416</v>
      </c>
      <c r="AY757" s="16" t="n">
        <v>17933</v>
      </c>
      <c r="AZ757" s="13" t="n">
        <f aca="false">IFERROR(AY757/AY756-1,"")</f>
        <v>0.181746293245469</v>
      </c>
      <c r="BA757" s="17" t="n">
        <v>0.951</v>
      </c>
      <c r="BB757" s="11" t="s">
        <v>99</v>
      </c>
      <c r="BC757" s="11" t="s">
        <v>82</v>
      </c>
      <c r="BD757" s="11" t="s">
        <v>83</v>
      </c>
      <c r="BE757" s="12" t="n">
        <v>2023010</v>
      </c>
      <c r="BF757" s="13" t="n">
        <f aca="false">IFERROR(P757/BE757-1,"")</f>
        <v>-0.0651751597866546</v>
      </c>
      <c r="BG757" s="17" t="n">
        <v>-0.014</v>
      </c>
      <c r="BH757" s="17" t="n">
        <v>-0.003</v>
      </c>
      <c r="BI757" s="14" t="n">
        <f aca="false">P757*(1+IFERROR(Q757,0))^4</f>
        <v>3716363.96268183</v>
      </c>
      <c r="BJ757" s="12" t="n">
        <v>-1068979</v>
      </c>
      <c r="BK757" s="11" t="s">
        <v>127</v>
      </c>
      <c r="BL757" s="11" t="s">
        <v>85</v>
      </c>
      <c r="BM757" s="14" t="n">
        <f aca="false">O757</f>
        <v>51812238</v>
      </c>
      <c r="BN757" s="11" t="s">
        <v>722</v>
      </c>
      <c r="BO757" s="13" t="n">
        <f aca="false">IFERROR(1-L757/M757,"")</f>
        <v>0.126487971364355</v>
      </c>
      <c r="BP757" s="11" t="s">
        <v>198</v>
      </c>
      <c r="BQ757" s="12" t="n">
        <v>1371981</v>
      </c>
      <c r="BR757" s="11" t="s">
        <v>88</v>
      </c>
      <c r="BS757" s="11" t="s">
        <v>89</v>
      </c>
      <c r="BT757" s="19" t="str">
        <f aca="false">IF(OR(Z757&lt;6,AH757&lt;0.9,S757&lt;0.02,AK757&lt;1),"REVIEW",IF(AND(S757&gt;0.25,AH757&gt;1.2),"ACCELERATING","STABLE"))</f>
        <v>STABLE</v>
      </c>
    </row>
    <row r="758" customFormat="false" ht="15" hidden="false" customHeight="false" outlineLevel="0" collapsed="false">
      <c r="A758" s="3" t="s">
        <v>723</v>
      </c>
      <c r="B758" s="3" t="s">
        <v>73</v>
      </c>
      <c r="C758" s="3" t="s">
        <v>74</v>
      </c>
      <c r="D758" s="3" t="s">
        <v>210</v>
      </c>
      <c r="E758" s="3" t="s">
        <v>105</v>
      </c>
      <c r="F758" s="3" t="s">
        <v>724</v>
      </c>
      <c r="G758" s="3" t="s">
        <v>78</v>
      </c>
      <c r="H758" s="3" t="s">
        <v>644</v>
      </c>
      <c r="I758" s="3" t="s">
        <v>78</v>
      </c>
      <c r="J758" s="4" t="n">
        <v>1792000</v>
      </c>
      <c r="K758" s="5" t="n">
        <f aca="false">IFERROR(J758/M758,"")</f>
        <v>0.155245603395998</v>
      </c>
      <c r="L758" s="4" t="n">
        <v>9751000</v>
      </c>
      <c r="M758" s="6" t="n">
        <f aca="false">L758+J758</f>
        <v>11543000</v>
      </c>
      <c r="N758" s="4" t="n">
        <v>2849000</v>
      </c>
      <c r="O758" s="4" t="n">
        <v>11531225</v>
      </c>
      <c r="P758" s="4" t="n">
        <v>932587</v>
      </c>
      <c r="Q758" s="7"/>
      <c r="R758" s="4" t="n">
        <v>1032266</v>
      </c>
      <c r="S758" s="7"/>
      <c r="T758" s="4" t="n">
        <v>595225</v>
      </c>
      <c r="U758" s="5" t="n">
        <f aca="false">IFERROR(T758/P758,"")</f>
        <v>0.638251444637337</v>
      </c>
      <c r="V758" s="6" t="n">
        <f aca="false">T758-AV758</f>
        <v>-1953768</v>
      </c>
      <c r="W758" s="6" t="n">
        <f aca="false">V758-AA758*0.1</f>
        <v>-1953768</v>
      </c>
      <c r="X758" s="4" t="n">
        <v>3661119</v>
      </c>
      <c r="Y758" s="4" t="n">
        <v>171990</v>
      </c>
      <c r="Z758" s="8" t="n">
        <f aca="false">IFERROR(X758/Y758,"")</f>
        <v>21.2868131868132</v>
      </c>
      <c r="AA758" s="4" t="n">
        <v>0</v>
      </c>
      <c r="AB758" s="6" t="n">
        <f aca="false">W758-0.02*P758</f>
        <v>-1972419.74</v>
      </c>
      <c r="AC758" s="9" t="n">
        <v>35</v>
      </c>
      <c r="AD758" s="7"/>
      <c r="AE758" s="7" t="n">
        <v>0.099</v>
      </c>
      <c r="AF758" s="7" t="n">
        <v>0.087</v>
      </c>
      <c r="AG758" s="5" t="n">
        <f aca="false">1-AF758</f>
        <v>0.913</v>
      </c>
      <c r="AH758" s="7" t="n">
        <v>1.136</v>
      </c>
      <c r="AI758" s="4" t="n">
        <v>17278</v>
      </c>
      <c r="AJ758" s="6" t="n">
        <f aca="false">IFERROR(AM758*U758*MIN(1/AE758,5),"")</f>
        <v>38295.0866782402</v>
      </c>
      <c r="AK758" s="10" t="n">
        <f aca="false">IFERROR(AJ758/AI758,"")</f>
        <v>2.21640737806692</v>
      </c>
      <c r="AL758" s="8" t="n">
        <f aca="false">IFERROR(AI758/(AM758*U758/12),"")</f>
        <v>27.0708357108656</v>
      </c>
      <c r="AM758" s="4" t="n">
        <v>12000</v>
      </c>
      <c r="AN758" s="4" t="n">
        <v>1075805</v>
      </c>
      <c r="AO758" s="4" t="n">
        <v>3237941</v>
      </c>
      <c r="AP758" s="7" t="n">
        <v>0.299</v>
      </c>
      <c r="AQ758" s="9" t="n">
        <v>41</v>
      </c>
      <c r="AR758" s="9" t="n">
        <v>2</v>
      </c>
      <c r="AS758" s="7"/>
      <c r="AT758" s="3" t="s">
        <v>218</v>
      </c>
      <c r="AU758" s="6" t="n">
        <f aca="false">IFERROR(P758/AR758,"")</f>
        <v>466293.5</v>
      </c>
      <c r="AV758" s="4" t="n">
        <v>2548993</v>
      </c>
      <c r="AW758" s="4" t="n">
        <v>994933</v>
      </c>
      <c r="AX758" s="4" t="n">
        <v>791514</v>
      </c>
      <c r="AY758" s="9" t="n">
        <v>28190</v>
      </c>
      <c r="AZ758" s="7"/>
      <c r="BA758" s="7" t="n">
        <v>0.91</v>
      </c>
      <c r="BB758" s="3" t="s">
        <v>107</v>
      </c>
      <c r="BC758" s="3" t="s">
        <v>82</v>
      </c>
      <c r="BD758" s="3" t="s">
        <v>157</v>
      </c>
      <c r="BE758" s="4" t="n">
        <v>846568</v>
      </c>
      <c r="BF758" s="5" t="n">
        <f aca="false">IFERROR(P758/BE758-1,"")</f>
        <v>0.101609085153231</v>
      </c>
      <c r="BG758" s="7" t="n">
        <v>0.02</v>
      </c>
      <c r="BH758" s="7" t="n">
        <v>-0.031</v>
      </c>
      <c r="BI758" s="6" t="n">
        <f aca="false">P758</f>
        <v>932587</v>
      </c>
      <c r="BJ758" s="4" t="n">
        <v>-1807887</v>
      </c>
      <c r="BK758" s="3" t="s">
        <v>127</v>
      </c>
      <c r="BL758" s="3" t="s">
        <v>162</v>
      </c>
      <c r="BM758" s="6" t="n">
        <f aca="false">O758</f>
        <v>11531225</v>
      </c>
      <c r="BN758" s="3" t="s">
        <v>725</v>
      </c>
      <c r="BO758" s="5" t="n">
        <f aca="false">IFERROR(1-L758/M758,"")</f>
        <v>0.155245603395998</v>
      </c>
      <c r="BP758" s="3" t="s">
        <v>142</v>
      </c>
      <c r="BQ758" s="4" t="n">
        <v>3159683</v>
      </c>
      <c r="BR758" s="3" t="s">
        <v>88</v>
      </c>
      <c r="BS758" s="3" t="s">
        <v>89</v>
      </c>
      <c r="BT758" s="3" t="s">
        <v>90</v>
      </c>
    </row>
    <row r="759" customFormat="false" ht="15" hidden="false" customHeight="false" outlineLevel="0" collapsed="false">
      <c r="A759" s="11" t="s">
        <v>723</v>
      </c>
      <c r="B759" s="11" t="s">
        <v>91</v>
      </c>
      <c r="C759" s="11" t="s">
        <v>74</v>
      </c>
      <c r="D759" s="11" t="s">
        <v>210</v>
      </c>
      <c r="E759" s="11" t="s">
        <v>105</v>
      </c>
      <c r="F759" s="11" t="s">
        <v>724</v>
      </c>
      <c r="G759" s="11" t="s">
        <v>78</v>
      </c>
      <c r="H759" s="11" t="s">
        <v>644</v>
      </c>
      <c r="I759" s="11" t="s">
        <v>78</v>
      </c>
      <c r="J759" s="12" t="n">
        <v>1792000</v>
      </c>
      <c r="K759" s="13" t="n">
        <f aca="false">IFERROR(J759/M759,"")</f>
        <v>0.155245603395998</v>
      </c>
      <c r="L759" s="12" t="n">
        <v>9751000</v>
      </c>
      <c r="M759" s="14" t="n">
        <f aca="false">L759+J759</f>
        <v>11543000</v>
      </c>
      <c r="N759" s="12" t="n">
        <v>2849000</v>
      </c>
      <c r="O759" s="12" t="n">
        <v>11531225</v>
      </c>
      <c r="P759" s="12" t="n">
        <v>999370</v>
      </c>
      <c r="Q759" s="13" t="n">
        <f aca="false">IFERROR(P759/P758-1,"")</f>
        <v>0.0716104770922177</v>
      </c>
      <c r="R759" s="12" t="n">
        <v>1035684</v>
      </c>
      <c r="S759" s="13" t="n">
        <f aca="false">IFERROR(R759/R758-1,"")</f>
        <v>0.0033111620454418</v>
      </c>
      <c r="T759" s="12" t="n">
        <v>640432</v>
      </c>
      <c r="U759" s="13" t="n">
        <f aca="false">IFERROR(T759/P759,"")</f>
        <v>0.6408357265077</v>
      </c>
      <c r="V759" s="14" t="n">
        <f aca="false">T759-AV759</f>
        <v>-1710412</v>
      </c>
      <c r="W759" s="14" t="n">
        <f aca="false">V759-AA759*0.1</f>
        <v>-1710412</v>
      </c>
      <c r="X759" s="12" t="n">
        <v>3227364</v>
      </c>
      <c r="Y759" s="12" t="n">
        <v>177660</v>
      </c>
      <c r="Z759" s="15" t="n">
        <f aca="false">IFERROR(X759/Y759,"")</f>
        <v>18.1659574468085</v>
      </c>
      <c r="AA759" s="12" t="n">
        <v>0</v>
      </c>
      <c r="AB759" s="14" t="n">
        <f aca="false">W759-0.02*P759</f>
        <v>-1730399.4</v>
      </c>
      <c r="AC759" s="16" t="n">
        <v>39</v>
      </c>
      <c r="AD759" s="13" t="n">
        <f aca="false">IFERROR(AC759/AC758-1,"")</f>
        <v>0.114285714285714</v>
      </c>
      <c r="AE759" s="17" t="n">
        <v>0.096</v>
      </c>
      <c r="AF759" s="17" t="n">
        <v>0.098</v>
      </c>
      <c r="AG759" s="13" t="n">
        <f aca="false">1-AF759</f>
        <v>0.902</v>
      </c>
      <c r="AH759" s="17" t="n">
        <v>1.131</v>
      </c>
      <c r="AI759" s="12" t="n">
        <v>16952</v>
      </c>
      <c r="AJ759" s="14" t="n">
        <f aca="false">IFERROR(AM759*U759*MIN(1/AE759,5),"")</f>
        <v>39219.1464622712</v>
      </c>
      <c r="AK759" s="18" t="n">
        <f aca="false">IFERROR(AJ759/AI759,"")</f>
        <v>2.31354096639165</v>
      </c>
      <c r="AL759" s="15" t="n">
        <f aca="false">IFERROR(AI759/(AM759*U759/12),"")</f>
        <v>25.9342716950372</v>
      </c>
      <c r="AM759" s="12" t="n">
        <v>12240</v>
      </c>
      <c r="AN759" s="12" t="n">
        <v>1426499</v>
      </c>
      <c r="AO759" s="12" t="n">
        <v>3513539</v>
      </c>
      <c r="AP759" s="17" t="n">
        <v>0.299</v>
      </c>
      <c r="AQ759" s="16" t="n">
        <v>41</v>
      </c>
      <c r="AR759" s="16" t="n">
        <v>2</v>
      </c>
      <c r="AS759" s="13" t="n">
        <f aca="false">IFERROR(AR759/AR758-1,"")</f>
        <v>0</v>
      </c>
      <c r="AT759" s="11" t="s">
        <v>218</v>
      </c>
      <c r="AU759" s="14" t="n">
        <f aca="false">IFERROR(P759/AR759,"")</f>
        <v>499685</v>
      </c>
      <c r="AV759" s="12" t="n">
        <v>2350844</v>
      </c>
      <c r="AW759" s="12" t="n">
        <v>833820</v>
      </c>
      <c r="AX759" s="12" t="n">
        <v>489287</v>
      </c>
      <c r="AY759" s="16" t="n">
        <v>28075</v>
      </c>
      <c r="AZ759" s="13" t="n">
        <f aca="false">IFERROR(AY759/AY758-1,"")</f>
        <v>-0.00407946080170274</v>
      </c>
      <c r="BA759" s="17" t="n">
        <v>0.922</v>
      </c>
      <c r="BB759" s="11" t="s">
        <v>107</v>
      </c>
      <c r="BC759" s="11" t="s">
        <v>82</v>
      </c>
      <c r="BD759" s="11" t="s">
        <v>157</v>
      </c>
      <c r="BE759" s="12" t="n">
        <v>1248971</v>
      </c>
      <c r="BF759" s="13" t="n">
        <f aca="false">IFERROR(P759/BE759-1,"")</f>
        <v>-0.199845312661383</v>
      </c>
      <c r="BG759" s="17" t="n">
        <v>-0.038</v>
      </c>
      <c r="BH759" s="17" t="n">
        <v>-0.001</v>
      </c>
      <c r="BI759" s="14" t="n">
        <f aca="false">P759*(1+IFERROR(Q759,0))^4</f>
        <v>1317874.67492511</v>
      </c>
      <c r="BJ759" s="12" t="n">
        <v>-1909220</v>
      </c>
      <c r="BK759" s="11" t="s">
        <v>127</v>
      </c>
      <c r="BL759" s="11" t="s">
        <v>162</v>
      </c>
      <c r="BM759" s="14" t="n">
        <f aca="false">O759</f>
        <v>11531225</v>
      </c>
      <c r="BN759" s="11" t="s">
        <v>725</v>
      </c>
      <c r="BO759" s="13" t="n">
        <f aca="false">IFERROR(1-L759/M759,"")</f>
        <v>0.155245603395998</v>
      </c>
      <c r="BP759" s="11" t="s">
        <v>142</v>
      </c>
      <c r="BQ759" s="12" t="n">
        <v>3528036</v>
      </c>
      <c r="BR759" s="11" t="s">
        <v>88</v>
      </c>
      <c r="BS759" s="11" t="s">
        <v>89</v>
      </c>
      <c r="BT759" s="19" t="str">
        <f aca="false">IF(OR(Z759&lt;6,AH759&lt;0.9,S759&lt;0.02,AK759&lt;1),"REVIEW",IF(AND(S759&gt;0.25,AH759&gt;1.2),"ACCELERATING","STABLE"))</f>
        <v>REVIEW</v>
      </c>
    </row>
    <row r="760" customFormat="false" ht="15" hidden="false" customHeight="false" outlineLevel="0" collapsed="false">
      <c r="A760" s="11" t="s">
        <v>723</v>
      </c>
      <c r="B760" s="11" t="s">
        <v>92</v>
      </c>
      <c r="C760" s="11" t="s">
        <v>74</v>
      </c>
      <c r="D760" s="11" t="s">
        <v>210</v>
      </c>
      <c r="E760" s="11" t="s">
        <v>105</v>
      </c>
      <c r="F760" s="11" t="s">
        <v>724</v>
      </c>
      <c r="G760" s="11" t="s">
        <v>78</v>
      </c>
      <c r="H760" s="11" t="s">
        <v>644</v>
      </c>
      <c r="I760" s="11" t="s">
        <v>78</v>
      </c>
      <c r="J760" s="12" t="n">
        <v>1792000</v>
      </c>
      <c r="K760" s="13" t="n">
        <f aca="false">IFERROR(J760/M760,"")</f>
        <v>0.155245603395998</v>
      </c>
      <c r="L760" s="12" t="n">
        <v>9751000</v>
      </c>
      <c r="M760" s="14" t="n">
        <f aca="false">L760+J760</f>
        <v>11543000</v>
      </c>
      <c r="N760" s="12" t="n">
        <v>2849000</v>
      </c>
      <c r="O760" s="12" t="n">
        <v>11531225</v>
      </c>
      <c r="P760" s="12" t="n">
        <v>1141142</v>
      </c>
      <c r="Q760" s="13" t="n">
        <f aca="false">IFERROR(P760/P759-1,"")</f>
        <v>0.141861372664779</v>
      </c>
      <c r="R760" s="12" t="n">
        <v>1091830</v>
      </c>
      <c r="S760" s="13" t="n">
        <f aca="false">IFERROR(R760/R759-1,"")</f>
        <v>0.0542115162539925</v>
      </c>
      <c r="T760" s="12" t="n">
        <v>734233</v>
      </c>
      <c r="U760" s="13" t="n">
        <f aca="false">IFERROR(T760/P760,"")</f>
        <v>0.643419486794807</v>
      </c>
      <c r="V760" s="14" t="n">
        <f aca="false">T760-AV760</f>
        <v>-2037886</v>
      </c>
      <c r="W760" s="14" t="n">
        <f aca="false">V760-AA760*0.1</f>
        <v>-2037886</v>
      </c>
      <c r="X760" s="12" t="n">
        <v>2762991</v>
      </c>
      <c r="Y760" s="12" t="n">
        <v>183330</v>
      </c>
      <c r="Z760" s="15" t="n">
        <f aca="false">IFERROR(X760/Y760,"")</f>
        <v>15.0711340206186</v>
      </c>
      <c r="AA760" s="12" t="n">
        <v>0</v>
      </c>
      <c r="AB760" s="14" t="n">
        <f aca="false">W760-0.02*P760</f>
        <v>-2060708.84</v>
      </c>
      <c r="AC760" s="16" t="n">
        <v>39</v>
      </c>
      <c r="AD760" s="13" t="n">
        <f aca="false">IFERROR(AC760/AC759-1,"")</f>
        <v>0</v>
      </c>
      <c r="AE760" s="17" t="n">
        <v>0.094</v>
      </c>
      <c r="AF760" s="17" t="n">
        <v>0.087</v>
      </c>
      <c r="AG760" s="13" t="n">
        <f aca="false">1-AF760</f>
        <v>0.913</v>
      </c>
      <c r="AH760" s="17" t="n">
        <v>1.126</v>
      </c>
      <c r="AI760" s="12" t="n">
        <v>16626</v>
      </c>
      <c r="AJ760" s="14" t="n">
        <f aca="false">IFERROR(AM760*U760*MIN(1/AE760,5),"")</f>
        <v>40149.375975996</v>
      </c>
      <c r="AK760" s="18" t="n">
        <f aca="false">IFERROR(AJ760/AI760,"")</f>
        <v>2.41485480428221</v>
      </c>
      <c r="AL760" s="15" t="n">
        <f aca="false">IFERROR(AI760/(AM760*U760/12),"")</f>
        <v>24.8462143121828</v>
      </c>
      <c r="AM760" s="12" t="n">
        <v>12480</v>
      </c>
      <c r="AN760" s="12" t="n">
        <v>1489709</v>
      </c>
      <c r="AO760" s="12" t="n">
        <v>2255002</v>
      </c>
      <c r="AP760" s="17" t="n">
        <v>0.299</v>
      </c>
      <c r="AQ760" s="16" t="n">
        <v>41</v>
      </c>
      <c r="AR760" s="16" t="n">
        <v>2</v>
      </c>
      <c r="AS760" s="13" t="n">
        <f aca="false">IFERROR(AR760/AR759-1,"")</f>
        <v>0</v>
      </c>
      <c r="AT760" s="11" t="s">
        <v>218</v>
      </c>
      <c r="AU760" s="14" t="n">
        <f aca="false">IFERROR(P760/AR760,"")</f>
        <v>570571</v>
      </c>
      <c r="AV760" s="12" t="n">
        <v>2772119</v>
      </c>
      <c r="AW760" s="12" t="n">
        <v>1001872</v>
      </c>
      <c r="AX760" s="12" t="n">
        <v>907567</v>
      </c>
      <c r="AY760" s="16" t="n">
        <v>33114</v>
      </c>
      <c r="AZ760" s="13" t="n">
        <f aca="false">IFERROR(AY760/AY759-1,"")</f>
        <v>0.179483526268923</v>
      </c>
      <c r="BA760" s="17" t="n">
        <v>0.905</v>
      </c>
      <c r="BB760" s="11" t="s">
        <v>107</v>
      </c>
      <c r="BC760" s="11" t="s">
        <v>82</v>
      </c>
      <c r="BD760" s="11" t="s">
        <v>157</v>
      </c>
      <c r="BE760" s="12" t="n">
        <v>1391550</v>
      </c>
      <c r="BF760" s="13" t="n">
        <f aca="false">IFERROR(P760/BE760-1,"")</f>
        <v>-0.179948977758615</v>
      </c>
      <c r="BG760" s="17" t="n">
        <v>-0.01</v>
      </c>
      <c r="BH760" s="17" t="n">
        <v>0.028</v>
      </c>
      <c r="BI760" s="14" t="n">
        <f aca="false">P760*(1+IFERROR(Q760,0))^4</f>
        <v>1939961.9723273</v>
      </c>
      <c r="BJ760" s="12" t="n">
        <v>-2005626</v>
      </c>
      <c r="BK760" s="11" t="s">
        <v>127</v>
      </c>
      <c r="BL760" s="11" t="s">
        <v>162</v>
      </c>
      <c r="BM760" s="14" t="n">
        <f aca="false">O760</f>
        <v>11531225</v>
      </c>
      <c r="BN760" s="11" t="s">
        <v>725</v>
      </c>
      <c r="BO760" s="13" t="n">
        <f aca="false">IFERROR(1-L760/M760,"")</f>
        <v>0.155245603395998</v>
      </c>
      <c r="BP760" s="11" t="s">
        <v>142</v>
      </c>
      <c r="BQ760" s="12" t="n">
        <v>2975635</v>
      </c>
      <c r="BR760" s="11" t="s">
        <v>88</v>
      </c>
      <c r="BS760" s="11" t="s">
        <v>89</v>
      </c>
      <c r="BT760" s="19" t="str">
        <f aca="false">IF(OR(Z760&lt;6,AH760&lt;0.9,S760&lt;0.02,AK760&lt;1),"REVIEW",IF(AND(S760&gt;0.25,AH760&gt;1.2),"ACCELERATING","STABLE"))</f>
        <v>STABLE</v>
      </c>
    </row>
    <row r="761" customFormat="false" ht="15" hidden="false" customHeight="false" outlineLevel="0" collapsed="false">
      <c r="A761" s="11" t="s">
        <v>723</v>
      </c>
      <c r="B761" s="11" t="s">
        <v>93</v>
      </c>
      <c r="C761" s="11" t="s">
        <v>74</v>
      </c>
      <c r="D761" s="11" t="s">
        <v>210</v>
      </c>
      <c r="E761" s="11" t="s">
        <v>105</v>
      </c>
      <c r="F761" s="11" t="s">
        <v>724</v>
      </c>
      <c r="G761" s="11" t="s">
        <v>78</v>
      </c>
      <c r="H761" s="11" t="s">
        <v>644</v>
      </c>
      <c r="I761" s="11" t="s">
        <v>78</v>
      </c>
      <c r="J761" s="12" t="n">
        <v>1792000</v>
      </c>
      <c r="K761" s="13" t="n">
        <f aca="false">IFERROR(J761/M761,"")</f>
        <v>0.155245603395998</v>
      </c>
      <c r="L761" s="12" t="n">
        <v>9751000</v>
      </c>
      <c r="M761" s="14" t="n">
        <f aca="false">L761+J761</f>
        <v>11543000</v>
      </c>
      <c r="N761" s="12" t="n">
        <v>2849000</v>
      </c>
      <c r="O761" s="12" t="n">
        <v>11531225</v>
      </c>
      <c r="P761" s="12" t="n">
        <v>1114552</v>
      </c>
      <c r="Q761" s="13" t="n">
        <f aca="false">IFERROR(P761/P760-1,"")</f>
        <v>-0.0233012193048718</v>
      </c>
      <c r="R761" s="12" t="n">
        <v>1303074</v>
      </c>
      <c r="S761" s="13" t="n">
        <f aca="false">IFERROR(R761/R760-1,"")</f>
        <v>0.193477006493685</v>
      </c>
      <c r="T761" s="12" t="n">
        <v>720005</v>
      </c>
      <c r="U761" s="13" t="n">
        <f aca="false">IFERROR(T761/P761,"")</f>
        <v>0.646003954952304</v>
      </c>
      <c r="V761" s="14" t="n">
        <f aca="false">T761-AV761</f>
        <v>-2006076</v>
      </c>
      <c r="W761" s="14" t="n">
        <f aca="false">V761-AA761*0.1</f>
        <v>-2006076</v>
      </c>
      <c r="X761" s="12" t="n">
        <v>2268000</v>
      </c>
      <c r="Y761" s="12" t="n">
        <v>189000</v>
      </c>
      <c r="Z761" s="15" t="n">
        <f aca="false">IFERROR(X761/Y761,"")</f>
        <v>12</v>
      </c>
      <c r="AA761" s="12" t="n">
        <v>0</v>
      </c>
      <c r="AB761" s="14" t="n">
        <f aca="false">W761-0.02*P761</f>
        <v>-2028367.04</v>
      </c>
      <c r="AC761" s="16" t="n">
        <v>45</v>
      </c>
      <c r="AD761" s="13" t="n">
        <f aca="false">IFERROR(AC761/AC760-1,"")</f>
        <v>0.153846153846154</v>
      </c>
      <c r="AE761" s="17" t="n">
        <v>0.091</v>
      </c>
      <c r="AF761" s="17" t="n">
        <v>0.093</v>
      </c>
      <c r="AG761" s="13" t="n">
        <f aca="false">1-AF761</f>
        <v>0.907</v>
      </c>
      <c r="AH761" s="17" t="n">
        <v>1.121</v>
      </c>
      <c r="AI761" s="12" t="n">
        <v>16300</v>
      </c>
      <c r="AJ761" s="14" t="n">
        <f aca="false">IFERROR(AM761*U761*MIN(1/AE761,5),"")</f>
        <v>41085.8515349665</v>
      </c>
      <c r="AK761" s="18" t="n">
        <f aca="false">IFERROR(AJ761/AI761,"")</f>
        <v>2.52060438864825</v>
      </c>
      <c r="AL761" s="15" t="n">
        <f aca="false">IFERROR(AI761/(AM761*U761/12),"")</f>
        <v>23.8038147795881</v>
      </c>
      <c r="AM761" s="12" t="n">
        <v>12720</v>
      </c>
      <c r="AN761" s="12" t="n">
        <v>1832351</v>
      </c>
      <c r="AO761" s="12" t="n">
        <v>3567291</v>
      </c>
      <c r="AP761" s="17" t="n">
        <v>0.299</v>
      </c>
      <c r="AQ761" s="16" t="n">
        <v>41</v>
      </c>
      <c r="AR761" s="16" t="n">
        <v>2</v>
      </c>
      <c r="AS761" s="13" t="n">
        <f aca="false">IFERROR(AR761/AR760-1,"")</f>
        <v>0</v>
      </c>
      <c r="AT761" s="11" t="s">
        <v>218</v>
      </c>
      <c r="AU761" s="14" t="n">
        <f aca="false">IFERROR(P761/AR761,"")</f>
        <v>557276</v>
      </c>
      <c r="AV761" s="12" t="n">
        <v>2726081</v>
      </c>
      <c r="AW761" s="12" t="n">
        <v>952970</v>
      </c>
      <c r="AX761" s="12" t="n">
        <v>854214</v>
      </c>
      <c r="AY761" s="16" t="n">
        <v>35675</v>
      </c>
      <c r="AZ761" s="13" t="n">
        <f aca="false">IFERROR(AY761/AY760-1,"")</f>
        <v>0.0773388898955125</v>
      </c>
      <c r="BA761" s="17" t="n">
        <v>0.922</v>
      </c>
      <c r="BB761" s="11" t="s">
        <v>107</v>
      </c>
      <c r="BC761" s="11" t="s">
        <v>82</v>
      </c>
      <c r="BD761" s="11" t="s">
        <v>157</v>
      </c>
      <c r="BE761" s="12" t="n">
        <v>1061824</v>
      </c>
      <c r="BF761" s="13" t="n">
        <f aca="false">IFERROR(P761/BE761-1,"")</f>
        <v>0.049657947079742</v>
      </c>
      <c r="BG761" s="17" t="n">
        <v>0.021</v>
      </c>
      <c r="BH761" s="17" t="n">
        <v>-0.01</v>
      </c>
      <c r="BI761" s="14" t="n">
        <f aca="false">P761*(1+IFERROR(Q761,0))^4</f>
        <v>1014245.09880832</v>
      </c>
      <c r="BJ761" s="12" t="n">
        <v>-1824113</v>
      </c>
      <c r="BK761" s="11" t="s">
        <v>127</v>
      </c>
      <c r="BL761" s="11" t="s">
        <v>162</v>
      </c>
      <c r="BM761" s="14" t="n">
        <f aca="false">O761</f>
        <v>11531225</v>
      </c>
      <c r="BN761" s="11" t="s">
        <v>725</v>
      </c>
      <c r="BO761" s="13" t="n">
        <f aca="false">IFERROR(1-L761/M761,"")</f>
        <v>0.155245603395998</v>
      </c>
      <c r="BP761" s="11" t="s">
        <v>142</v>
      </c>
      <c r="BQ761" s="12" t="n">
        <v>3652608</v>
      </c>
      <c r="BR761" s="11" t="s">
        <v>88</v>
      </c>
      <c r="BS761" s="11" t="s">
        <v>89</v>
      </c>
      <c r="BT761" s="19" t="str">
        <f aca="false">IF(OR(Z761&lt;6,AH761&lt;0.9,S761&lt;0.02,AK761&lt;1),"REVIEW",IF(AND(S761&gt;0.25,AH761&gt;1.2),"ACCELERATING","STABLE"))</f>
        <v>STABLE</v>
      </c>
    </row>
    <row r="762" customFormat="false" ht="15" hidden="false" customHeight="false" outlineLevel="0" collapsed="false">
      <c r="A762" s="3" t="s">
        <v>726</v>
      </c>
      <c r="B762" s="3" t="s">
        <v>73</v>
      </c>
      <c r="C762" s="3" t="s">
        <v>74</v>
      </c>
      <c r="D762" s="3" t="s">
        <v>132</v>
      </c>
      <c r="E762" s="3" t="s">
        <v>105</v>
      </c>
      <c r="F762" s="3" t="s">
        <v>727</v>
      </c>
      <c r="G762" s="3" t="s">
        <v>78</v>
      </c>
      <c r="H762" s="3" t="s">
        <v>644</v>
      </c>
      <c r="I762" s="3" t="s">
        <v>78</v>
      </c>
      <c r="J762" s="4" t="n">
        <v>2554000</v>
      </c>
      <c r="K762" s="5" t="n">
        <f aca="false">IFERROR(J762/M762,"")</f>
        <v>0.128814243203712</v>
      </c>
      <c r="L762" s="4" t="n">
        <v>17273000</v>
      </c>
      <c r="M762" s="6" t="n">
        <f aca="false">L762+J762</f>
        <v>19827000</v>
      </c>
      <c r="N762" s="4" t="n">
        <v>7095000</v>
      </c>
      <c r="O762" s="4" t="n">
        <v>32881969</v>
      </c>
      <c r="P762" s="4" t="n">
        <v>709434</v>
      </c>
      <c r="Q762" s="7"/>
      <c r="R762" s="4" t="n">
        <v>880337</v>
      </c>
      <c r="S762" s="7"/>
      <c r="T762" s="4" t="n">
        <v>506979</v>
      </c>
      <c r="U762" s="5" t="n">
        <f aca="false">IFERROR(T762/P762,"")</f>
        <v>0.714624616243372</v>
      </c>
      <c r="V762" s="6" t="n">
        <f aca="false">T762-AV762</f>
        <v>-2044784</v>
      </c>
      <c r="W762" s="6" t="n">
        <f aca="false">V762-AA762*0.1</f>
        <v>-2044784</v>
      </c>
      <c r="X762" s="4" t="n">
        <v>4105238</v>
      </c>
      <c r="Y762" s="4" t="n">
        <v>184730</v>
      </c>
      <c r="Z762" s="8" t="n">
        <f aca="false">IFERROR(X762/Y762,"")</f>
        <v>22.2229091105938</v>
      </c>
      <c r="AA762" s="4" t="n">
        <v>0</v>
      </c>
      <c r="AB762" s="6" t="n">
        <f aca="false">W762-0.02*P762</f>
        <v>-2058972.68</v>
      </c>
      <c r="AC762" s="9" t="n">
        <v>33</v>
      </c>
      <c r="AD762" s="7"/>
      <c r="AE762" s="7" t="n">
        <v>0.12</v>
      </c>
      <c r="AF762" s="7" t="n">
        <v>0.107</v>
      </c>
      <c r="AG762" s="5" t="n">
        <f aca="false">1-AF762</f>
        <v>0.893</v>
      </c>
      <c r="AH762" s="7" t="n">
        <v>1.046</v>
      </c>
      <c r="AI762" s="4" t="n">
        <v>91478</v>
      </c>
      <c r="AJ762" s="6" t="n">
        <f aca="false">IFERROR(AM762*U762*MIN(1/AE762,5),"")</f>
        <v>157217.415573542</v>
      </c>
      <c r="AK762" s="10" t="n">
        <f aca="false">IFERROR(AJ762/AI762,"")</f>
        <v>1.71863634506156</v>
      </c>
      <c r="AL762" s="8" t="n">
        <f aca="false">IFERROR(AI762/(AM762*U762/12),"")</f>
        <v>34.9113994780849</v>
      </c>
      <c r="AM762" s="4" t="n">
        <v>44000</v>
      </c>
      <c r="AN762" s="4" t="n">
        <v>1076326</v>
      </c>
      <c r="AO762" s="4" t="n">
        <v>2633311</v>
      </c>
      <c r="AP762" s="7" t="n">
        <v>0.13</v>
      </c>
      <c r="AQ762" s="9" t="n">
        <v>87</v>
      </c>
      <c r="AR762" s="9" t="n">
        <v>5</v>
      </c>
      <c r="AS762" s="7"/>
      <c r="AT762" s="3" t="s">
        <v>153</v>
      </c>
      <c r="AU762" s="6" t="n">
        <f aca="false">IFERROR(P762/AR762,"")</f>
        <v>141886.8</v>
      </c>
      <c r="AV762" s="4" t="n">
        <v>2551763</v>
      </c>
      <c r="AW762" s="4" t="n">
        <v>1221416</v>
      </c>
      <c r="AX762" s="4" t="n">
        <v>565923</v>
      </c>
      <c r="AY762" s="9" t="n">
        <v>1989</v>
      </c>
      <c r="AZ762" s="7"/>
      <c r="BA762" s="7" t="n">
        <v>0.883</v>
      </c>
      <c r="BB762" s="3" t="s">
        <v>161</v>
      </c>
      <c r="BC762" s="3" t="s">
        <v>100</v>
      </c>
      <c r="BD762" s="3" t="s">
        <v>109</v>
      </c>
      <c r="BE762" s="4" t="n">
        <v>863257</v>
      </c>
      <c r="BF762" s="5" t="n">
        <f aca="false">IFERROR(P762/BE762-1,"")</f>
        <v>-0.178189114018189</v>
      </c>
      <c r="BG762" s="7" t="n">
        <v>-0.01</v>
      </c>
      <c r="BH762" s="7" t="n">
        <v>-0.057</v>
      </c>
      <c r="BI762" s="6" t="n">
        <f aca="false">P762</f>
        <v>709434</v>
      </c>
      <c r="BJ762" s="4" t="n">
        <v>-1399753</v>
      </c>
      <c r="BK762" s="3" t="s">
        <v>110</v>
      </c>
      <c r="BL762" s="3" t="s">
        <v>128</v>
      </c>
      <c r="BM762" s="6" t="n">
        <f aca="false">O762</f>
        <v>32881969</v>
      </c>
      <c r="BN762" s="3" t="s">
        <v>728</v>
      </c>
      <c r="BO762" s="5" t="n">
        <f aca="false">IFERROR(1-L762/M762,"")</f>
        <v>0.128814243203712</v>
      </c>
      <c r="BP762" s="3" t="s">
        <v>87</v>
      </c>
      <c r="BQ762" s="4" t="n">
        <v>3539686</v>
      </c>
      <c r="BR762" s="3" t="s">
        <v>88</v>
      </c>
      <c r="BS762" s="3" t="s">
        <v>89</v>
      </c>
      <c r="BT762" s="3" t="s">
        <v>90</v>
      </c>
    </row>
    <row r="763" customFormat="false" ht="15" hidden="false" customHeight="false" outlineLevel="0" collapsed="false">
      <c r="A763" s="11" t="s">
        <v>726</v>
      </c>
      <c r="B763" s="11" t="s">
        <v>91</v>
      </c>
      <c r="C763" s="11" t="s">
        <v>74</v>
      </c>
      <c r="D763" s="11" t="s">
        <v>132</v>
      </c>
      <c r="E763" s="11" t="s">
        <v>105</v>
      </c>
      <c r="F763" s="11" t="s">
        <v>727</v>
      </c>
      <c r="G763" s="11" t="s">
        <v>78</v>
      </c>
      <c r="H763" s="11" t="s">
        <v>644</v>
      </c>
      <c r="I763" s="11" t="s">
        <v>78</v>
      </c>
      <c r="J763" s="12" t="n">
        <v>2554000</v>
      </c>
      <c r="K763" s="13" t="n">
        <f aca="false">IFERROR(J763/M763,"")</f>
        <v>0.128814243203712</v>
      </c>
      <c r="L763" s="12" t="n">
        <v>17273000</v>
      </c>
      <c r="M763" s="14" t="n">
        <f aca="false">L763+J763</f>
        <v>19827000</v>
      </c>
      <c r="N763" s="12" t="n">
        <v>7095000</v>
      </c>
      <c r="O763" s="12" t="n">
        <v>32881969</v>
      </c>
      <c r="P763" s="12" t="n">
        <v>856718</v>
      </c>
      <c r="Q763" s="13" t="n">
        <f aca="false">IFERROR(P763/P762-1,"")</f>
        <v>0.207607754914481</v>
      </c>
      <c r="R763" s="12" t="n">
        <v>937787</v>
      </c>
      <c r="S763" s="13" t="n">
        <f aca="false">IFERROR(R763/R762-1,"")</f>
        <v>0.0652590996402513</v>
      </c>
      <c r="T763" s="12" t="n">
        <v>614710</v>
      </c>
      <c r="U763" s="13" t="n">
        <f aca="false">IFERROR(T763/P763,"")</f>
        <v>0.717517316083005</v>
      </c>
      <c r="V763" s="14" t="n">
        <f aca="false">T763-AV763</f>
        <v>-2199606</v>
      </c>
      <c r="W763" s="14" t="n">
        <f aca="false">V763-AA763*0.1</f>
        <v>-2199606</v>
      </c>
      <c r="X763" s="12" t="n">
        <v>3639353</v>
      </c>
      <c r="Y763" s="12" t="n">
        <v>190820</v>
      </c>
      <c r="Z763" s="15" t="n">
        <f aca="false">IFERROR(X763/Y763,"")</f>
        <v>19.0721779687664</v>
      </c>
      <c r="AA763" s="12" t="n">
        <v>0</v>
      </c>
      <c r="AB763" s="14" t="n">
        <f aca="false">W763-0.02*P763</f>
        <v>-2216740.36</v>
      </c>
      <c r="AC763" s="16" t="n">
        <v>37</v>
      </c>
      <c r="AD763" s="13" t="n">
        <f aca="false">IFERROR(AC763/AC762-1,"")</f>
        <v>0.121212121212121</v>
      </c>
      <c r="AE763" s="17" t="n">
        <v>0.117</v>
      </c>
      <c r="AF763" s="17" t="n">
        <v>0.101</v>
      </c>
      <c r="AG763" s="13" t="n">
        <f aca="false">1-AF763</f>
        <v>0.899</v>
      </c>
      <c r="AH763" s="17" t="n">
        <v>1.041</v>
      </c>
      <c r="AI763" s="12" t="n">
        <v>89752</v>
      </c>
      <c r="AJ763" s="14" t="n">
        <f aca="false">IFERROR(AM763*U763*MIN(1/AE763,5),"")</f>
        <v>161010.885729026</v>
      </c>
      <c r="AK763" s="18" t="n">
        <f aca="false">IFERROR(AJ763/AI763,"")</f>
        <v>1.79395317908265</v>
      </c>
      <c r="AL763" s="15" t="n">
        <f aca="false">IFERROR(AI763/(AM763*U763/12),"")</f>
        <v>33.4456889397087</v>
      </c>
      <c r="AM763" s="12" t="n">
        <v>44880</v>
      </c>
      <c r="AN763" s="12" t="n">
        <v>1158552</v>
      </c>
      <c r="AO763" s="12" t="n">
        <v>2737541</v>
      </c>
      <c r="AP763" s="17" t="n">
        <v>0.13</v>
      </c>
      <c r="AQ763" s="16" t="n">
        <v>87</v>
      </c>
      <c r="AR763" s="16" t="n">
        <v>6</v>
      </c>
      <c r="AS763" s="13" t="n">
        <f aca="false">IFERROR(AR763/AR762-1,"")</f>
        <v>0.2</v>
      </c>
      <c r="AT763" s="11" t="s">
        <v>153</v>
      </c>
      <c r="AU763" s="14" t="n">
        <f aca="false">IFERROR(P763/AR763,"")</f>
        <v>142786.333333333</v>
      </c>
      <c r="AV763" s="12" t="n">
        <v>2814316</v>
      </c>
      <c r="AW763" s="12" t="n">
        <v>1034306</v>
      </c>
      <c r="AX763" s="12" t="n">
        <v>727603</v>
      </c>
      <c r="AY763" s="16" t="n">
        <v>2028</v>
      </c>
      <c r="AZ763" s="13" t="n">
        <f aca="false">IFERROR(AY763/AY762-1,"")</f>
        <v>0.0196078431372548</v>
      </c>
      <c r="BA763" s="17" t="n">
        <v>0.892</v>
      </c>
      <c r="BB763" s="11" t="s">
        <v>161</v>
      </c>
      <c r="BC763" s="11" t="s">
        <v>100</v>
      </c>
      <c r="BD763" s="11" t="s">
        <v>109</v>
      </c>
      <c r="BE763" s="12" t="n">
        <v>1028003</v>
      </c>
      <c r="BF763" s="13" t="n">
        <f aca="false">IFERROR(P763/BE763-1,"")</f>
        <v>-0.166619163562752</v>
      </c>
      <c r="BG763" s="17" t="n">
        <v>0.083</v>
      </c>
      <c r="BH763" s="17" t="n">
        <v>-0.009</v>
      </c>
      <c r="BI763" s="14" t="n">
        <f aca="false">P763*(1+IFERROR(Q763,0))^4</f>
        <v>1821971.01974463</v>
      </c>
      <c r="BJ763" s="12" t="n">
        <v>-1483264</v>
      </c>
      <c r="BK763" s="11" t="s">
        <v>110</v>
      </c>
      <c r="BL763" s="11" t="s">
        <v>128</v>
      </c>
      <c r="BM763" s="14" t="n">
        <f aca="false">O763</f>
        <v>32881969</v>
      </c>
      <c r="BN763" s="11" t="s">
        <v>728</v>
      </c>
      <c r="BO763" s="13" t="n">
        <f aca="false">IFERROR(1-L763/M763,"")</f>
        <v>0.128814243203712</v>
      </c>
      <c r="BP763" s="11" t="s">
        <v>87</v>
      </c>
      <c r="BQ763" s="12" t="n">
        <v>2917076</v>
      </c>
      <c r="BR763" s="11" t="s">
        <v>88</v>
      </c>
      <c r="BS763" s="11" t="s">
        <v>89</v>
      </c>
      <c r="BT763" s="19" t="str">
        <f aca="false">IF(OR(Z763&lt;6,AH763&lt;0.9,S763&lt;0.02,AK763&lt;1),"REVIEW",IF(AND(S763&gt;0.25,AH763&gt;1.2),"ACCELERATING","STABLE"))</f>
        <v>STABLE</v>
      </c>
    </row>
    <row r="764" customFormat="false" ht="15" hidden="false" customHeight="false" outlineLevel="0" collapsed="false">
      <c r="A764" s="11" t="s">
        <v>726</v>
      </c>
      <c r="B764" s="11" t="s">
        <v>92</v>
      </c>
      <c r="C764" s="11" t="s">
        <v>74</v>
      </c>
      <c r="D764" s="11" t="s">
        <v>132</v>
      </c>
      <c r="E764" s="11" t="s">
        <v>105</v>
      </c>
      <c r="F764" s="11" t="s">
        <v>727</v>
      </c>
      <c r="G764" s="11" t="s">
        <v>78</v>
      </c>
      <c r="H764" s="11" t="s">
        <v>644</v>
      </c>
      <c r="I764" s="11" t="s">
        <v>78</v>
      </c>
      <c r="J764" s="12" t="n">
        <v>2554000</v>
      </c>
      <c r="K764" s="13" t="n">
        <f aca="false">IFERROR(J764/M764,"")</f>
        <v>0.128814243203712</v>
      </c>
      <c r="L764" s="12" t="n">
        <v>17273000</v>
      </c>
      <c r="M764" s="14" t="n">
        <f aca="false">L764+J764</f>
        <v>19827000</v>
      </c>
      <c r="N764" s="12" t="n">
        <v>7095000</v>
      </c>
      <c r="O764" s="12" t="n">
        <v>32881969</v>
      </c>
      <c r="P764" s="12" t="n">
        <v>879303</v>
      </c>
      <c r="Q764" s="13" t="n">
        <f aca="false">IFERROR(P764/P763-1,"")</f>
        <v>0.0263622335470948</v>
      </c>
      <c r="R764" s="12" t="n">
        <v>1107493</v>
      </c>
      <c r="S764" s="13" t="n">
        <f aca="false">IFERROR(R764/R763-1,"")</f>
        <v>0.180964334118515</v>
      </c>
      <c r="T764" s="12" t="n">
        <v>633459</v>
      </c>
      <c r="U764" s="13" t="n">
        <f aca="false">IFERROR(T764/P764,"")</f>
        <v>0.720410370486624</v>
      </c>
      <c r="V764" s="14" t="n">
        <f aca="false">T764-AV764</f>
        <v>-1908499</v>
      </c>
      <c r="W764" s="14" t="n">
        <f aca="false">V764-AA764*0.1</f>
        <v>-1908499</v>
      </c>
      <c r="X764" s="12" t="n">
        <v>3140582</v>
      </c>
      <c r="Y764" s="12" t="n">
        <v>196910</v>
      </c>
      <c r="Z764" s="15" t="n">
        <f aca="false">IFERROR(X764/Y764,"")</f>
        <v>15.949327103753</v>
      </c>
      <c r="AA764" s="12" t="n">
        <v>0</v>
      </c>
      <c r="AB764" s="14" t="n">
        <f aca="false">W764-0.02*P764</f>
        <v>-1926085.06</v>
      </c>
      <c r="AC764" s="16" t="n">
        <v>41</v>
      </c>
      <c r="AD764" s="13" t="n">
        <f aca="false">IFERROR(AC764/AC763-1,"")</f>
        <v>0.108108108108108</v>
      </c>
      <c r="AE764" s="17" t="n">
        <v>0.113</v>
      </c>
      <c r="AF764" s="17" t="n">
        <v>0.076</v>
      </c>
      <c r="AG764" s="13" t="n">
        <f aca="false">1-AF764</f>
        <v>0.924</v>
      </c>
      <c r="AH764" s="17" t="n">
        <v>1.036</v>
      </c>
      <c r="AI764" s="12" t="n">
        <v>88026</v>
      </c>
      <c r="AJ764" s="14" t="n">
        <f aca="false">IFERROR(AM764*U764*MIN(1/AE764,5),"")</f>
        <v>164829.89276734</v>
      </c>
      <c r="AK764" s="18" t="n">
        <f aca="false">IFERROR(AJ764/AI764,"")</f>
        <v>1.87251372057505</v>
      </c>
      <c r="AL764" s="15" t="n">
        <f aca="false">IFERROR(AI764/(AM764*U764/12),"")</f>
        <v>32.0424888430585</v>
      </c>
      <c r="AM764" s="12" t="n">
        <v>45760</v>
      </c>
      <c r="AN764" s="12" t="n">
        <v>1629256</v>
      </c>
      <c r="AO764" s="12" t="n">
        <v>3035155</v>
      </c>
      <c r="AP764" s="17" t="n">
        <v>0.13</v>
      </c>
      <c r="AQ764" s="16" t="n">
        <v>87</v>
      </c>
      <c r="AR764" s="16" t="n">
        <v>6</v>
      </c>
      <c r="AS764" s="13" t="n">
        <f aca="false">IFERROR(AR764/AR763-1,"")</f>
        <v>0</v>
      </c>
      <c r="AT764" s="11" t="s">
        <v>153</v>
      </c>
      <c r="AU764" s="14" t="n">
        <f aca="false">IFERROR(P764/AR764,"")</f>
        <v>146550.5</v>
      </c>
      <c r="AV764" s="12" t="n">
        <v>2541958</v>
      </c>
      <c r="AW764" s="12" t="n">
        <v>1084747</v>
      </c>
      <c r="AX764" s="12" t="n">
        <v>473296</v>
      </c>
      <c r="AY764" s="16" t="n">
        <v>2322</v>
      </c>
      <c r="AZ764" s="13" t="n">
        <f aca="false">IFERROR(AY764/AY763-1,"")</f>
        <v>0.144970414201183</v>
      </c>
      <c r="BA764" s="17" t="n">
        <v>0.917</v>
      </c>
      <c r="BB764" s="11" t="s">
        <v>161</v>
      </c>
      <c r="BC764" s="11" t="s">
        <v>100</v>
      </c>
      <c r="BD764" s="11" t="s">
        <v>109</v>
      </c>
      <c r="BE764" s="12" t="n">
        <v>840166</v>
      </c>
      <c r="BF764" s="13" t="n">
        <f aca="false">IFERROR(P764/BE764-1,"")</f>
        <v>0.0465824610850714</v>
      </c>
      <c r="BG764" s="17" t="n">
        <v>0.077</v>
      </c>
      <c r="BH764" s="17" t="n">
        <v>0.083</v>
      </c>
      <c r="BI764" s="14" t="n">
        <f aca="false">P764*(1+IFERROR(Q764,0))^4</f>
        <v>975755.948619123</v>
      </c>
      <c r="BJ764" s="12" t="n">
        <v>-1687563</v>
      </c>
      <c r="BK764" s="11" t="s">
        <v>110</v>
      </c>
      <c r="BL764" s="11" t="s">
        <v>128</v>
      </c>
      <c r="BM764" s="14" t="n">
        <f aca="false">O764</f>
        <v>32881969</v>
      </c>
      <c r="BN764" s="11" t="s">
        <v>728</v>
      </c>
      <c r="BO764" s="13" t="n">
        <f aca="false">IFERROR(1-L764/M764,"")</f>
        <v>0.128814243203712</v>
      </c>
      <c r="BP764" s="11" t="s">
        <v>87</v>
      </c>
      <c r="BQ764" s="12" t="n">
        <v>2677860</v>
      </c>
      <c r="BR764" s="11" t="s">
        <v>88</v>
      </c>
      <c r="BS764" s="11" t="s">
        <v>89</v>
      </c>
      <c r="BT764" s="19" t="str">
        <f aca="false">IF(OR(Z764&lt;6,AH764&lt;0.9,S764&lt;0.02,AK764&lt;1),"REVIEW",IF(AND(S764&gt;0.25,AH764&gt;1.2),"ACCELERATING","STABLE"))</f>
        <v>STABLE</v>
      </c>
    </row>
    <row r="765" customFormat="false" ht="15" hidden="false" customHeight="false" outlineLevel="0" collapsed="false">
      <c r="A765" s="11" t="s">
        <v>726</v>
      </c>
      <c r="B765" s="11" t="s">
        <v>93</v>
      </c>
      <c r="C765" s="11" t="s">
        <v>74</v>
      </c>
      <c r="D765" s="11" t="s">
        <v>132</v>
      </c>
      <c r="E765" s="11" t="s">
        <v>105</v>
      </c>
      <c r="F765" s="11" t="s">
        <v>727</v>
      </c>
      <c r="G765" s="11" t="s">
        <v>78</v>
      </c>
      <c r="H765" s="11" t="s">
        <v>644</v>
      </c>
      <c r="I765" s="11" t="s">
        <v>78</v>
      </c>
      <c r="J765" s="12" t="n">
        <v>2554000</v>
      </c>
      <c r="K765" s="13" t="n">
        <f aca="false">IFERROR(J765/M765,"")</f>
        <v>0.128814243203712</v>
      </c>
      <c r="L765" s="12" t="n">
        <v>17273000</v>
      </c>
      <c r="M765" s="14" t="n">
        <f aca="false">L765+J765</f>
        <v>19827000</v>
      </c>
      <c r="N765" s="12" t="n">
        <v>7095000</v>
      </c>
      <c r="O765" s="12" t="n">
        <v>32881969</v>
      </c>
      <c r="P765" s="12" t="n">
        <v>1029048</v>
      </c>
      <c r="Q765" s="13" t="n">
        <f aca="false">IFERROR(P765/P764-1,"")</f>
        <v>0.170299657797142</v>
      </c>
      <c r="R765" s="12" t="n">
        <v>1214066</v>
      </c>
      <c r="S765" s="13" t="n">
        <f aca="false">IFERROR(R765/R764-1,"")</f>
        <v>0.0962290506576566</v>
      </c>
      <c r="T765" s="12" t="n">
        <v>744314</v>
      </c>
      <c r="U765" s="13" t="n">
        <f aca="false">IFERROR(T765/P765,"")</f>
        <v>0.72330348049848</v>
      </c>
      <c r="V765" s="14" t="n">
        <f aca="false">T765-AV765</f>
        <v>-2616563</v>
      </c>
      <c r="W765" s="14" t="n">
        <f aca="false">V765-AA765*0.1</f>
        <v>-2616563</v>
      </c>
      <c r="X765" s="12" t="n">
        <v>2608925</v>
      </c>
      <c r="Y765" s="12" t="n">
        <v>203000</v>
      </c>
      <c r="Z765" s="15" t="n">
        <f aca="false">IFERROR(X765/Y765,"")</f>
        <v>12.8518472906404</v>
      </c>
      <c r="AA765" s="12" t="n">
        <v>0</v>
      </c>
      <c r="AB765" s="14" t="n">
        <f aca="false">W765-0.02*P765</f>
        <v>-2637143.96</v>
      </c>
      <c r="AC765" s="16" t="n">
        <v>45</v>
      </c>
      <c r="AD765" s="13" t="n">
        <f aca="false">IFERROR(AC765/AC764-1,"")</f>
        <v>0.0975609756097562</v>
      </c>
      <c r="AE765" s="17" t="n">
        <v>0.11</v>
      </c>
      <c r="AF765" s="17" t="n">
        <v>0.1</v>
      </c>
      <c r="AG765" s="13" t="n">
        <f aca="false">1-AF765</f>
        <v>0.9</v>
      </c>
      <c r="AH765" s="17" t="n">
        <v>1.031</v>
      </c>
      <c r="AI765" s="12" t="n">
        <v>86300</v>
      </c>
      <c r="AJ765" s="14" t="n">
        <f aca="false">IFERROR(AM765*U765*MIN(1/AE765,5),"")</f>
        <v>168674.371652246</v>
      </c>
      <c r="AK765" s="18" t="n">
        <f aca="false">IFERROR(AJ765/AI765,"")</f>
        <v>1.9545118383806</v>
      </c>
      <c r="AL765" s="15" t="n">
        <f aca="false">IFERROR(AI765/(AM765*U765/12),"")</f>
        <v>30.6982023960074</v>
      </c>
      <c r="AM765" s="12" t="n">
        <v>46640</v>
      </c>
      <c r="AN765" s="12" t="n">
        <v>1668906</v>
      </c>
      <c r="AO765" s="12" t="n">
        <v>3630073</v>
      </c>
      <c r="AP765" s="17" t="n">
        <v>0.13</v>
      </c>
      <c r="AQ765" s="16" t="n">
        <v>87</v>
      </c>
      <c r="AR765" s="16" t="n">
        <v>7</v>
      </c>
      <c r="AS765" s="13" t="n">
        <f aca="false">IFERROR(AR765/AR764-1,"")</f>
        <v>0.166666666666667</v>
      </c>
      <c r="AT765" s="11" t="s">
        <v>153</v>
      </c>
      <c r="AU765" s="14" t="n">
        <f aca="false">IFERROR(P765/AR765,"")</f>
        <v>147006.857142857</v>
      </c>
      <c r="AV765" s="12" t="n">
        <v>3360877</v>
      </c>
      <c r="AW765" s="12" t="n">
        <v>1238859</v>
      </c>
      <c r="AX765" s="12" t="n">
        <v>908086</v>
      </c>
      <c r="AY765" s="16" t="n">
        <v>2523</v>
      </c>
      <c r="AZ765" s="13" t="n">
        <f aca="false">IFERROR(AY765/AY764-1,"")</f>
        <v>0.0865633074935401</v>
      </c>
      <c r="BA765" s="17" t="n">
        <v>0.894</v>
      </c>
      <c r="BB765" s="11" t="s">
        <v>161</v>
      </c>
      <c r="BC765" s="11" t="s">
        <v>100</v>
      </c>
      <c r="BD765" s="11" t="s">
        <v>109</v>
      </c>
      <c r="BE765" s="12" t="n">
        <v>978004</v>
      </c>
      <c r="BF765" s="13" t="n">
        <f aca="false">IFERROR(P765/BE765-1,"")</f>
        <v>0.0521920155745785</v>
      </c>
      <c r="BG765" s="17" t="n">
        <v>0.061</v>
      </c>
      <c r="BH765" s="17" t="n">
        <v>0.043</v>
      </c>
      <c r="BI765" s="14" t="n">
        <f aca="false">P765*(1+IFERROR(Q765,0))^4</f>
        <v>1930296.15274676</v>
      </c>
      <c r="BJ765" s="12" t="n">
        <v>-2156959</v>
      </c>
      <c r="BK765" s="11" t="s">
        <v>110</v>
      </c>
      <c r="BL765" s="11" t="s">
        <v>128</v>
      </c>
      <c r="BM765" s="14" t="n">
        <f aca="false">O765</f>
        <v>32881969</v>
      </c>
      <c r="BN765" s="11" t="s">
        <v>728</v>
      </c>
      <c r="BO765" s="13" t="n">
        <f aca="false">IFERROR(1-L765/M765,"")</f>
        <v>0.128814243203712</v>
      </c>
      <c r="BP765" s="11" t="s">
        <v>87</v>
      </c>
      <c r="BQ765" s="12" t="n">
        <v>2669122</v>
      </c>
      <c r="BR765" s="11" t="s">
        <v>88</v>
      </c>
      <c r="BS765" s="11" t="s">
        <v>89</v>
      </c>
      <c r="BT765" s="19" t="str">
        <f aca="false">IF(OR(Z765&lt;6,AH765&lt;0.9,S765&lt;0.02,AK765&lt;1),"REVIEW",IF(AND(S765&gt;0.25,AH765&gt;1.2),"ACCELERATING","STABLE"))</f>
        <v>STABLE</v>
      </c>
    </row>
    <row r="766" customFormat="false" ht="15" hidden="false" customHeight="false" outlineLevel="0" collapsed="false">
      <c r="A766" s="3" t="s">
        <v>729</v>
      </c>
      <c r="B766" s="3" t="s">
        <v>73</v>
      </c>
      <c r="C766" s="3" t="s">
        <v>74</v>
      </c>
      <c r="D766" s="3" t="s">
        <v>132</v>
      </c>
      <c r="E766" s="3" t="s">
        <v>477</v>
      </c>
      <c r="F766" s="3" t="s">
        <v>730</v>
      </c>
      <c r="G766" s="3" t="s">
        <v>78</v>
      </c>
      <c r="H766" s="3" t="s">
        <v>644</v>
      </c>
      <c r="I766" s="3" t="s">
        <v>78</v>
      </c>
      <c r="J766" s="4" t="n">
        <v>5097000</v>
      </c>
      <c r="K766" s="5" t="n">
        <f aca="false">IFERROR(J766/M766,"")</f>
        <v>0.1530538706384</v>
      </c>
      <c r="L766" s="4" t="n">
        <v>28205000</v>
      </c>
      <c r="M766" s="6" t="n">
        <f aca="false">L766+J766</f>
        <v>33302000</v>
      </c>
      <c r="N766" s="4" t="n">
        <v>6434000</v>
      </c>
      <c r="O766" s="4" t="n">
        <v>60371145</v>
      </c>
      <c r="P766" s="4" t="n">
        <v>426015</v>
      </c>
      <c r="Q766" s="7"/>
      <c r="R766" s="4" t="n">
        <v>460368</v>
      </c>
      <c r="S766" s="7"/>
      <c r="T766" s="4" t="n">
        <v>297306</v>
      </c>
      <c r="U766" s="5" t="n">
        <f aca="false">IFERROR(T766/P766,"")</f>
        <v>0.6978768353227</v>
      </c>
      <c r="V766" s="6" t="n">
        <f aca="false">T766-AV766</f>
        <v>-1898360</v>
      </c>
      <c r="W766" s="6" t="n">
        <f aca="false">V766-AA766*0.1</f>
        <v>-2039060</v>
      </c>
      <c r="X766" s="4" t="n">
        <v>1065050</v>
      </c>
      <c r="Y766" s="4" t="n">
        <v>160160</v>
      </c>
      <c r="Z766" s="8" t="n">
        <f aca="false">IFERROR(X766/Y766,"")</f>
        <v>6.64991258741259</v>
      </c>
      <c r="AA766" s="4" t="n">
        <v>1407000</v>
      </c>
      <c r="AB766" s="6" t="n">
        <f aca="false">W766-0.02*P766</f>
        <v>-2047580.3</v>
      </c>
      <c r="AC766" s="9" t="n">
        <v>28</v>
      </c>
      <c r="AD766" s="7"/>
      <c r="AE766" s="7" t="n">
        <v>0.072</v>
      </c>
      <c r="AF766" s="7" t="n">
        <v>0.061</v>
      </c>
      <c r="AG766" s="5" t="n">
        <f aca="false">1-AF766</f>
        <v>0.939</v>
      </c>
      <c r="AH766" s="7" t="n">
        <v>1.279</v>
      </c>
      <c r="AI766" s="4" t="n">
        <v>46216</v>
      </c>
      <c r="AJ766" s="6" t="n">
        <f aca="false">IFERROR(AM766*U766*MIN(1/AE766,5),"")</f>
        <v>184937.361360516</v>
      </c>
      <c r="AK766" s="10" t="n">
        <f aca="false">IFERROR(AJ766/AI766,"")</f>
        <v>4.00158735850172</v>
      </c>
      <c r="AL766" s="8" t="n">
        <f aca="false">IFERROR(AI766/(AM766*U766/12),"")</f>
        <v>14.9940497669068</v>
      </c>
      <c r="AM766" s="4" t="n">
        <v>53000</v>
      </c>
      <c r="AN766" s="4" t="n">
        <v>569014</v>
      </c>
      <c r="AO766" s="4" t="n">
        <v>760782</v>
      </c>
      <c r="AP766" s="7" t="n">
        <v>0.267</v>
      </c>
      <c r="AQ766" s="9" t="n">
        <v>28</v>
      </c>
      <c r="AR766" s="9" t="n">
        <v>7</v>
      </c>
      <c r="AS766" s="7"/>
      <c r="AT766" s="3" t="s">
        <v>201</v>
      </c>
      <c r="AU766" s="6" t="n">
        <f aca="false">IFERROR(P766/AR766,"")</f>
        <v>60859.2857142857</v>
      </c>
      <c r="AV766" s="4" t="n">
        <v>2195666</v>
      </c>
      <c r="AW766" s="4" t="n">
        <v>998010</v>
      </c>
      <c r="AX766" s="4" t="n">
        <v>469550</v>
      </c>
      <c r="AY766" s="9" t="n">
        <v>15054</v>
      </c>
      <c r="AZ766" s="7"/>
      <c r="BA766" s="7" t="n">
        <v>0.94</v>
      </c>
      <c r="BB766" s="3" t="s">
        <v>99</v>
      </c>
      <c r="BC766" s="3" t="s">
        <v>82</v>
      </c>
      <c r="BD766" s="3" t="s">
        <v>101</v>
      </c>
      <c r="BE766" s="4" t="n">
        <v>441777</v>
      </c>
      <c r="BF766" s="5" t="n">
        <f aca="false">IFERROR(P766/BE766-1,"")</f>
        <v>-0.0356786342430684</v>
      </c>
      <c r="BG766" s="7" t="n">
        <v>0.074</v>
      </c>
      <c r="BH766" s="7" t="n">
        <v>-0.04</v>
      </c>
      <c r="BI766" s="6" t="n">
        <f aca="false">P766</f>
        <v>426015</v>
      </c>
      <c r="BJ766" s="4" t="n">
        <v>-1411123</v>
      </c>
      <c r="BK766" s="3" t="s">
        <v>192</v>
      </c>
      <c r="BL766" s="3" t="s">
        <v>111</v>
      </c>
      <c r="BM766" s="6" t="n">
        <f aca="false">O766</f>
        <v>60371145</v>
      </c>
      <c r="BN766" s="3" t="s">
        <v>731</v>
      </c>
      <c r="BO766" s="5" t="n">
        <f aca="false">IFERROR(1-L766/M766,"")</f>
        <v>0.1530538706384</v>
      </c>
      <c r="BP766" s="3" t="s">
        <v>142</v>
      </c>
      <c r="BQ766" s="4" t="n">
        <v>2576085</v>
      </c>
      <c r="BR766" s="3" t="s">
        <v>88</v>
      </c>
      <c r="BS766" s="3" t="s">
        <v>89</v>
      </c>
      <c r="BT766" s="3" t="s">
        <v>90</v>
      </c>
    </row>
    <row r="767" customFormat="false" ht="15" hidden="false" customHeight="false" outlineLevel="0" collapsed="false">
      <c r="A767" s="11" t="s">
        <v>729</v>
      </c>
      <c r="B767" s="11" t="s">
        <v>91</v>
      </c>
      <c r="C767" s="11" t="s">
        <v>74</v>
      </c>
      <c r="D767" s="11" t="s">
        <v>132</v>
      </c>
      <c r="E767" s="11" t="s">
        <v>477</v>
      </c>
      <c r="F767" s="11" t="s">
        <v>730</v>
      </c>
      <c r="G767" s="11" t="s">
        <v>78</v>
      </c>
      <c r="H767" s="11" t="s">
        <v>644</v>
      </c>
      <c r="I767" s="11" t="s">
        <v>78</v>
      </c>
      <c r="J767" s="12" t="n">
        <v>5097000</v>
      </c>
      <c r="K767" s="13" t="n">
        <f aca="false">IFERROR(J767/M767,"")</f>
        <v>0.1530538706384</v>
      </c>
      <c r="L767" s="12" t="n">
        <v>28205000</v>
      </c>
      <c r="M767" s="14" t="n">
        <f aca="false">L767+J767</f>
        <v>33302000</v>
      </c>
      <c r="N767" s="12" t="n">
        <v>6434000</v>
      </c>
      <c r="O767" s="12" t="n">
        <v>60371145</v>
      </c>
      <c r="P767" s="12" t="n">
        <v>544918</v>
      </c>
      <c r="Q767" s="13" t="n">
        <f aca="false">IFERROR(P767/P766-1,"")</f>
        <v>0.279105195826438</v>
      </c>
      <c r="R767" s="12" t="n">
        <v>604537</v>
      </c>
      <c r="S767" s="13" t="n">
        <f aca="false">IFERROR(R767/R766-1,"")</f>
        <v>0.313160341292184</v>
      </c>
      <c r="T767" s="12" t="n">
        <v>381826</v>
      </c>
      <c r="U767" s="13" t="n">
        <f aca="false">IFERROR(T767/P767,"")</f>
        <v>0.700703592100096</v>
      </c>
      <c r="V767" s="14" t="n">
        <f aca="false">T767-AV767</f>
        <v>-1576278</v>
      </c>
      <c r="W767" s="14" t="n">
        <f aca="false">V767-AA767*0.1</f>
        <v>-1716978</v>
      </c>
      <c r="X767" s="12" t="n">
        <v>1369350</v>
      </c>
      <c r="Y767" s="12" t="n">
        <v>165440</v>
      </c>
      <c r="Z767" s="15" t="n">
        <f aca="false">IFERROR(X767/Y767,"")</f>
        <v>8.27701885880077</v>
      </c>
      <c r="AA767" s="12" t="n">
        <v>1407000</v>
      </c>
      <c r="AB767" s="14" t="n">
        <f aca="false">W767-0.02*P767</f>
        <v>-1727876.36</v>
      </c>
      <c r="AC767" s="16" t="n">
        <v>39</v>
      </c>
      <c r="AD767" s="13" t="n">
        <f aca="false">IFERROR(AC767/AC766-1,"")</f>
        <v>0.392857142857143</v>
      </c>
      <c r="AE767" s="17" t="n">
        <v>0.07</v>
      </c>
      <c r="AF767" s="17" t="n">
        <v>0.057</v>
      </c>
      <c r="AG767" s="13" t="n">
        <f aca="false">1-AF767</f>
        <v>0.943</v>
      </c>
      <c r="AH767" s="17" t="n">
        <v>1.309</v>
      </c>
      <c r="AI767" s="12" t="n">
        <v>45344</v>
      </c>
      <c r="AJ767" s="14" t="n">
        <f aca="false">IFERROR(AM767*U767*MIN(1/AE767,5),"")</f>
        <v>189400.180944656</v>
      </c>
      <c r="AK767" s="18" t="n">
        <f aca="false">IFERROR(AJ767/AI767,"")</f>
        <v>4.17696235322547</v>
      </c>
      <c r="AL767" s="15" t="n">
        <f aca="false">IFERROR(AI767/(AM767*U767/12),"")</f>
        <v>14.3645058121406</v>
      </c>
      <c r="AM767" s="12" t="n">
        <v>54060</v>
      </c>
      <c r="AN767" s="12" t="n">
        <v>568166</v>
      </c>
      <c r="AO767" s="12" t="n">
        <v>1865675</v>
      </c>
      <c r="AP767" s="17" t="n">
        <v>0.267</v>
      </c>
      <c r="AQ767" s="16" t="n">
        <v>28</v>
      </c>
      <c r="AR767" s="16" t="n">
        <v>8</v>
      </c>
      <c r="AS767" s="13" t="n">
        <f aca="false">IFERROR(AR767/AR766-1,"")</f>
        <v>0.142857142857143</v>
      </c>
      <c r="AT767" s="11" t="s">
        <v>201</v>
      </c>
      <c r="AU767" s="14" t="n">
        <f aca="false">IFERROR(P767/AR767,"")</f>
        <v>68114.75</v>
      </c>
      <c r="AV767" s="12" t="n">
        <v>1958104</v>
      </c>
      <c r="AW767" s="12" t="n">
        <v>937567</v>
      </c>
      <c r="AX767" s="12" t="n">
        <v>502567</v>
      </c>
      <c r="AY767" s="16" t="n">
        <v>20188</v>
      </c>
      <c r="AZ767" s="13" t="n">
        <f aca="false">IFERROR(AY767/AY766-1,"")</f>
        <v>0.341038926531154</v>
      </c>
      <c r="BA767" s="17" t="n">
        <v>0.939</v>
      </c>
      <c r="BB767" s="11" t="s">
        <v>99</v>
      </c>
      <c r="BC767" s="11" t="s">
        <v>82</v>
      </c>
      <c r="BD767" s="11" t="s">
        <v>101</v>
      </c>
      <c r="BE767" s="12" t="n">
        <v>535957</v>
      </c>
      <c r="BF767" s="13" t="n">
        <f aca="false">IFERROR(P767/BE767-1,"")</f>
        <v>0.0167196248952808</v>
      </c>
      <c r="BG767" s="17" t="n">
        <v>-0.059</v>
      </c>
      <c r="BH767" s="17" t="n">
        <v>0.009</v>
      </c>
      <c r="BI767" s="14" t="n">
        <f aca="false">P767*(1+IFERROR(Q767,0))^4</f>
        <v>1458667.16266592</v>
      </c>
      <c r="BJ767" s="12" t="n">
        <v>-1025211</v>
      </c>
      <c r="BK767" s="11" t="s">
        <v>192</v>
      </c>
      <c r="BL767" s="11" t="s">
        <v>111</v>
      </c>
      <c r="BM767" s="14" t="n">
        <f aca="false">O767</f>
        <v>60371145</v>
      </c>
      <c r="BN767" s="11" t="s">
        <v>731</v>
      </c>
      <c r="BO767" s="13" t="n">
        <f aca="false">IFERROR(1-L767/M767,"")</f>
        <v>0.1530538706384</v>
      </c>
      <c r="BP767" s="11" t="s">
        <v>142</v>
      </c>
      <c r="BQ767" s="12" t="n">
        <v>3276779</v>
      </c>
      <c r="BR767" s="11" t="s">
        <v>88</v>
      </c>
      <c r="BS767" s="11" t="s">
        <v>89</v>
      </c>
      <c r="BT767" s="19" t="str">
        <f aca="false">IF(OR(Z767&lt;6,AH767&lt;0.9,S767&lt;0.02,AK767&lt;1),"REVIEW",IF(AND(S767&gt;0.25,AH767&gt;1.2),"ACCELERATING","STABLE"))</f>
        <v>ACCELERATING</v>
      </c>
    </row>
    <row r="768" customFormat="false" ht="15" hidden="false" customHeight="false" outlineLevel="0" collapsed="false">
      <c r="A768" s="11" t="s">
        <v>729</v>
      </c>
      <c r="B768" s="11" t="s">
        <v>92</v>
      </c>
      <c r="C768" s="11" t="s">
        <v>74</v>
      </c>
      <c r="D768" s="11" t="s">
        <v>132</v>
      </c>
      <c r="E768" s="11" t="s">
        <v>477</v>
      </c>
      <c r="F768" s="11" t="s">
        <v>730</v>
      </c>
      <c r="G768" s="11" t="s">
        <v>78</v>
      </c>
      <c r="H768" s="11" t="s">
        <v>644</v>
      </c>
      <c r="I768" s="11" t="s">
        <v>78</v>
      </c>
      <c r="J768" s="12" t="n">
        <v>5097000</v>
      </c>
      <c r="K768" s="13" t="n">
        <f aca="false">IFERROR(J768/M768,"")</f>
        <v>0.1530538706384</v>
      </c>
      <c r="L768" s="12" t="n">
        <v>28205000</v>
      </c>
      <c r="M768" s="14" t="n">
        <f aca="false">L768+J768</f>
        <v>33302000</v>
      </c>
      <c r="N768" s="12" t="n">
        <v>6434000</v>
      </c>
      <c r="O768" s="12" t="n">
        <v>60371145</v>
      </c>
      <c r="P768" s="12" t="n">
        <v>798686</v>
      </c>
      <c r="Q768" s="13" t="n">
        <f aca="false">IFERROR(P768/P767-1,"")</f>
        <v>0.465699426335706</v>
      </c>
      <c r="R768" s="12" t="n">
        <v>823586</v>
      </c>
      <c r="S768" s="13" t="n">
        <f aca="false">IFERROR(R768/R767-1,"")</f>
        <v>0.362341759065202</v>
      </c>
      <c r="T768" s="12" t="n">
        <v>561899</v>
      </c>
      <c r="U768" s="13" t="n">
        <f aca="false">IFERROR(T768/P768,"")</f>
        <v>0.703529296870109</v>
      </c>
      <c r="V768" s="14" t="n">
        <f aca="false">T768-AV768</f>
        <v>-1561912</v>
      </c>
      <c r="W768" s="14" t="n">
        <f aca="false">V768-AA768*0.1</f>
        <v>-1702612</v>
      </c>
      <c r="X768" s="12" t="n">
        <v>1673650</v>
      </c>
      <c r="Y768" s="12" t="n">
        <v>170720</v>
      </c>
      <c r="Z768" s="15" t="n">
        <f aca="false">IFERROR(X768/Y768,"")</f>
        <v>9.8034793814433</v>
      </c>
      <c r="AA768" s="12" t="n">
        <v>1407000</v>
      </c>
      <c r="AB768" s="14" t="n">
        <f aca="false">W768-0.02*P768</f>
        <v>-1718585.72</v>
      </c>
      <c r="AC768" s="16" t="n">
        <v>53</v>
      </c>
      <c r="AD768" s="13" t="n">
        <f aca="false">IFERROR(AC768/AC767-1,"")</f>
        <v>0.358974358974359</v>
      </c>
      <c r="AE768" s="17" t="n">
        <v>0.068</v>
      </c>
      <c r="AF768" s="17" t="n">
        <v>0.064</v>
      </c>
      <c r="AG768" s="13" t="n">
        <f aca="false">1-AF768</f>
        <v>0.936</v>
      </c>
      <c r="AH768" s="17" t="n">
        <v>1.339</v>
      </c>
      <c r="AI768" s="12" t="n">
        <v>44472</v>
      </c>
      <c r="AJ768" s="14" t="n">
        <f aca="false">IFERROR(AM768*U768*MIN(1/AE768,5),"")</f>
        <v>193892.674217402</v>
      </c>
      <c r="AK768" s="18" t="n">
        <f aca="false">IFERROR(AJ768/AI768,"")</f>
        <v>4.35988204302487</v>
      </c>
      <c r="AL768" s="15" t="n">
        <f aca="false">IFERROR(AI768/(AM768*U768/12),"")</f>
        <v>13.7618402075787</v>
      </c>
      <c r="AM768" s="12" t="n">
        <v>55120</v>
      </c>
      <c r="AN768" s="12" t="n">
        <v>1082815</v>
      </c>
      <c r="AO768" s="12" t="n">
        <v>2017590</v>
      </c>
      <c r="AP768" s="17" t="n">
        <v>0.267</v>
      </c>
      <c r="AQ768" s="16" t="n">
        <v>28</v>
      </c>
      <c r="AR768" s="16" t="n">
        <v>9</v>
      </c>
      <c r="AS768" s="13" t="n">
        <f aca="false">IFERROR(AR768/AR767-1,"")</f>
        <v>0.125</v>
      </c>
      <c r="AT768" s="11" t="s">
        <v>201</v>
      </c>
      <c r="AU768" s="14" t="n">
        <f aca="false">IFERROR(P768/AR768,"")</f>
        <v>88742.8888888889</v>
      </c>
      <c r="AV768" s="12" t="n">
        <v>2123811</v>
      </c>
      <c r="AW768" s="12" t="n">
        <v>741663</v>
      </c>
      <c r="AX768" s="12" t="n">
        <v>546531</v>
      </c>
      <c r="AY768" s="16" t="n">
        <v>26336</v>
      </c>
      <c r="AZ768" s="13" t="n">
        <f aca="false">IFERROR(AY768/AY767-1,"")</f>
        <v>0.304537348920151</v>
      </c>
      <c r="BA768" s="17" t="n">
        <v>0.949</v>
      </c>
      <c r="BB768" s="11" t="s">
        <v>99</v>
      </c>
      <c r="BC768" s="11" t="s">
        <v>82</v>
      </c>
      <c r="BD768" s="11" t="s">
        <v>101</v>
      </c>
      <c r="BE768" s="12" t="n">
        <v>966059</v>
      </c>
      <c r="BF768" s="13" t="n">
        <f aca="false">IFERROR(P768/BE768-1,"")</f>
        <v>-0.173253393426281</v>
      </c>
      <c r="BG768" s="17" t="n">
        <v>0.075</v>
      </c>
      <c r="BH768" s="17" t="n">
        <v>0.091</v>
      </c>
      <c r="BI768" s="14" t="n">
        <f aca="false">P768*(1+IFERROR(Q768,0))^4</f>
        <v>3686003.50055712</v>
      </c>
      <c r="BJ768" s="12" t="n">
        <v>-1189744</v>
      </c>
      <c r="BK768" s="11" t="s">
        <v>192</v>
      </c>
      <c r="BL768" s="11" t="s">
        <v>111</v>
      </c>
      <c r="BM768" s="14" t="n">
        <f aca="false">O768</f>
        <v>60371145</v>
      </c>
      <c r="BN768" s="11" t="s">
        <v>731</v>
      </c>
      <c r="BO768" s="13" t="n">
        <f aca="false">IFERROR(1-L768/M768,"")</f>
        <v>0.1530538706384</v>
      </c>
      <c r="BP768" s="11" t="s">
        <v>142</v>
      </c>
      <c r="BQ768" s="12" t="n">
        <v>3392415</v>
      </c>
      <c r="BR768" s="11" t="s">
        <v>88</v>
      </c>
      <c r="BS768" s="11" t="s">
        <v>89</v>
      </c>
      <c r="BT768" s="19" t="str">
        <f aca="false">IF(OR(Z768&lt;6,AH768&lt;0.9,S768&lt;0.02,AK768&lt;1),"REVIEW",IF(AND(S768&gt;0.25,AH768&gt;1.2),"ACCELERATING","STABLE"))</f>
        <v>ACCELERATING</v>
      </c>
    </row>
    <row r="769" customFormat="false" ht="15" hidden="false" customHeight="false" outlineLevel="0" collapsed="false">
      <c r="A769" s="11" t="s">
        <v>729</v>
      </c>
      <c r="B769" s="11" t="s">
        <v>93</v>
      </c>
      <c r="C769" s="11" t="s">
        <v>74</v>
      </c>
      <c r="D769" s="11" t="s">
        <v>132</v>
      </c>
      <c r="E769" s="11" t="s">
        <v>477</v>
      </c>
      <c r="F769" s="11" t="s">
        <v>730</v>
      </c>
      <c r="G769" s="11" t="s">
        <v>78</v>
      </c>
      <c r="H769" s="11" t="s">
        <v>644</v>
      </c>
      <c r="I769" s="11" t="s">
        <v>78</v>
      </c>
      <c r="J769" s="12" t="n">
        <v>5097000</v>
      </c>
      <c r="K769" s="13" t="n">
        <f aca="false">IFERROR(J769/M769,"")</f>
        <v>0.1530538706384</v>
      </c>
      <c r="L769" s="12" t="n">
        <v>28205000</v>
      </c>
      <c r="M769" s="14" t="n">
        <f aca="false">L769+J769</f>
        <v>33302000</v>
      </c>
      <c r="N769" s="12" t="n">
        <v>6434000</v>
      </c>
      <c r="O769" s="12" t="n">
        <v>60371145</v>
      </c>
      <c r="P769" s="12" t="n">
        <v>1175609</v>
      </c>
      <c r="Q769" s="13" t="n">
        <f aca="false">IFERROR(P769/P768-1,"")</f>
        <v>0.471928893207093</v>
      </c>
      <c r="R769" s="12" t="n">
        <v>1258633</v>
      </c>
      <c r="S769" s="13" t="n">
        <f aca="false">IFERROR(R769/R768-1,"")</f>
        <v>0.528235059848031</v>
      </c>
      <c r="T769" s="12" t="n">
        <v>830397</v>
      </c>
      <c r="U769" s="13" t="n">
        <f aca="false">IFERROR(T769/P769,"")</f>
        <v>0.706354748900357</v>
      </c>
      <c r="V769" s="14" t="n">
        <f aca="false">T769-AV769</f>
        <v>-1619420</v>
      </c>
      <c r="W769" s="14" t="n">
        <f aca="false">V769-AA769*0.1</f>
        <v>-1760120</v>
      </c>
      <c r="X769" s="12" t="n">
        <v>3043000</v>
      </c>
      <c r="Y769" s="12" t="n">
        <v>176000</v>
      </c>
      <c r="Z769" s="15" t="n">
        <f aca="false">IFERROR(X769/Y769,"")</f>
        <v>17.2897727272727</v>
      </c>
      <c r="AA769" s="12" t="n">
        <v>1407000</v>
      </c>
      <c r="AB769" s="14" t="n">
        <f aca="false">W769-0.02*P769</f>
        <v>-1783632.18</v>
      </c>
      <c r="AC769" s="16" t="n">
        <v>64</v>
      </c>
      <c r="AD769" s="13" t="n">
        <f aca="false">IFERROR(AC769/AC768-1,"")</f>
        <v>0.207547169811321</v>
      </c>
      <c r="AE769" s="17" t="n">
        <v>0.066</v>
      </c>
      <c r="AF769" s="17" t="n">
        <v>0.047</v>
      </c>
      <c r="AG769" s="13" t="n">
        <f aca="false">1-AF769</f>
        <v>0.953</v>
      </c>
      <c r="AH769" s="17" t="n">
        <v>1.369</v>
      </c>
      <c r="AI769" s="12" t="n">
        <v>43600</v>
      </c>
      <c r="AJ769" s="14" t="n">
        <f aca="false">IFERROR(AM769*U769*MIN(1/AE769,5),"")</f>
        <v>198415.04896611</v>
      </c>
      <c r="AK769" s="18" t="n">
        <f aca="false">IFERROR(AJ769/AI769,"")</f>
        <v>4.5508038753695</v>
      </c>
      <c r="AL769" s="15" t="n">
        <f aca="false">IFERROR(AI769/(AM769*U769/12),"")</f>
        <v>13.1844838061997</v>
      </c>
      <c r="AM769" s="12" t="n">
        <v>56180</v>
      </c>
      <c r="AN769" s="12" t="n">
        <v>1138610</v>
      </c>
      <c r="AO769" s="12" t="n">
        <v>3274822</v>
      </c>
      <c r="AP769" s="17" t="n">
        <v>0.267</v>
      </c>
      <c r="AQ769" s="16" t="n">
        <v>28</v>
      </c>
      <c r="AR769" s="16" t="n">
        <v>10</v>
      </c>
      <c r="AS769" s="13" t="n">
        <f aca="false">IFERROR(AR769/AR768-1,"")</f>
        <v>0.111111111111111</v>
      </c>
      <c r="AT769" s="11" t="s">
        <v>201</v>
      </c>
      <c r="AU769" s="14" t="n">
        <f aca="false">IFERROR(P769/AR769,"")</f>
        <v>117560.9</v>
      </c>
      <c r="AV769" s="12" t="n">
        <v>2449817</v>
      </c>
      <c r="AW769" s="12" t="n">
        <v>744899</v>
      </c>
      <c r="AX769" s="12" t="n">
        <v>638144</v>
      </c>
      <c r="AY769" s="16" t="n">
        <v>37618</v>
      </c>
      <c r="AZ769" s="13" t="n">
        <f aca="false">IFERROR(AY769/AY768-1,"")</f>
        <v>0.428386998784933</v>
      </c>
      <c r="BA769" s="17" t="n">
        <v>0.949</v>
      </c>
      <c r="BB769" s="11" t="s">
        <v>99</v>
      </c>
      <c r="BC769" s="11" t="s">
        <v>82</v>
      </c>
      <c r="BD769" s="11" t="s">
        <v>101</v>
      </c>
      <c r="BE769" s="12" t="n">
        <v>1105508</v>
      </c>
      <c r="BF769" s="13" t="n">
        <f aca="false">IFERROR(P769/BE769-1,"")</f>
        <v>0.0634106673131267</v>
      </c>
      <c r="BG769" s="17" t="n">
        <v>0.028</v>
      </c>
      <c r="BH769" s="17" t="n">
        <v>0.078</v>
      </c>
      <c r="BI769" s="14" t="n">
        <f aca="false">P769*(1+IFERROR(Q769,0))^4</f>
        <v>5518362.47267303</v>
      </c>
      <c r="BJ769" s="12" t="n">
        <v>-1198330</v>
      </c>
      <c r="BK769" s="11" t="s">
        <v>192</v>
      </c>
      <c r="BL769" s="11" t="s">
        <v>111</v>
      </c>
      <c r="BM769" s="14" t="n">
        <f aca="false">O769</f>
        <v>60371145</v>
      </c>
      <c r="BN769" s="11" t="s">
        <v>731</v>
      </c>
      <c r="BO769" s="13" t="n">
        <f aca="false">IFERROR(1-L769/M769,"")</f>
        <v>0.1530538706384</v>
      </c>
      <c r="BP769" s="11" t="s">
        <v>142</v>
      </c>
      <c r="BQ769" s="12" t="n">
        <v>3098764</v>
      </c>
      <c r="BR769" s="11" t="s">
        <v>88</v>
      </c>
      <c r="BS769" s="11" t="s">
        <v>89</v>
      </c>
      <c r="BT769" s="19" t="str">
        <f aca="false">IF(OR(Z769&lt;6,AH769&lt;0.9,S769&lt;0.02,AK769&lt;1),"REVIEW",IF(AND(S769&gt;0.25,AH769&gt;1.2),"ACCELERATING","STABLE"))</f>
        <v>ACCELERATING</v>
      </c>
    </row>
    <row r="770" customFormat="false" ht="15" hidden="false" customHeight="false" outlineLevel="0" collapsed="false">
      <c r="A770" s="3" t="s">
        <v>732</v>
      </c>
      <c r="B770" s="3" t="s">
        <v>73</v>
      </c>
      <c r="C770" s="3" t="s">
        <v>74</v>
      </c>
      <c r="D770" s="3" t="s">
        <v>210</v>
      </c>
      <c r="E770" s="3" t="s">
        <v>477</v>
      </c>
      <c r="F770" s="3" t="s">
        <v>733</v>
      </c>
      <c r="G770" s="3" t="s">
        <v>78</v>
      </c>
      <c r="H770" s="3" t="s">
        <v>644</v>
      </c>
      <c r="I770" s="3" t="s">
        <v>78</v>
      </c>
      <c r="J770" s="4" t="n">
        <v>1660000</v>
      </c>
      <c r="K770" s="5" t="n">
        <f aca="false">IFERROR(J770/M770,"")</f>
        <v>0.112863747620343</v>
      </c>
      <c r="L770" s="4" t="n">
        <v>13048000</v>
      </c>
      <c r="M770" s="6" t="n">
        <f aca="false">L770+J770</f>
        <v>14708000</v>
      </c>
      <c r="N770" s="4" t="n">
        <v>7526000</v>
      </c>
      <c r="O770" s="4" t="n">
        <v>18680706</v>
      </c>
      <c r="P770" s="4" t="n">
        <v>433645</v>
      </c>
      <c r="Q770" s="7"/>
      <c r="R770" s="4" t="n">
        <v>527424</v>
      </c>
      <c r="S770" s="7"/>
      <c r="T770" s="4" t="n">
        <v>283792</v>
      </c>
      <c r="U770" s="5" t="n">
        <f aca="false">IFERROR(T770/P770,"")</f>
        <v>0.654433926368343</v>
      </c>
      <c r="V770" s="6" t="n">
        <f aca="false">T770-AV770</f>
        <v>-1766872</v>
      </c>
      <c r="W770" s="6" t="n">
        <f aca="false">V770-AA770*0.1</f>
        <v>-1880972</v>
      </c>
      <c r="X770" s="4" t="n">
        <v>2822331</v>
      </c>
      <c r="Y770" s="4" t="n">
        <v>144690</v>
      </c>
      <c r="Z770" s="8" t="n">
        <f aca="false">IFERROR(X770/Y770,"")</f>
        <v>19.5060543230355</v>
      </c>
      <c r="AA770" s="4" t="n">
        <v>1141000</v>
      </c>
      <c r="AB770" s="6" t="n">
        <f aca="false">W770-0.02*P770</f>
        <v>-1889644.9</v>
      </c>
      <c r="AC770" s="9" t="n">
        <v>39</v>
      </c>
      <c r="AD770" s="7"/>
      <c r="AE770" s="7" t="n">
        <v>0.126</v>
      </c>
      <c r="AF770" s="7" t="n">
        <v>0.083</v>
      </c>
      <c r="AG770" s="5" t="n">
        <f aca="false">1-AF770</f>
        <v>0.917</v>
      </c>
      <c r="AH770" s="7" t="n">
        <v>1.112</v>
      </c>
      <c r="AI770" s="4" t="n">
        <v>21942</v>
      </c>
      <c r="AJ770" s="6" t="n">
        <f aca="false">IFERROR(AM770*U770*MIN(1/AE770,5),"")</f>
        <v>62171.2230049926</v>
      </c>
      <c r="AK770" s="10" t="n">
        <f aca="false">IFERROR(AJ770/AI770,"")</f>
        <v>2.83343464611214</v>
      </c>
      <c r="AL770" s="8" t="n">
        <f aca="false">IFERROR(AI770/(AM770*U770/12),"")</f>
        <v>21.1757133986938</v>
      </c>
      <c r="AM770" s="4" t="n">
        <v>19000</v>
      </c>
      <c r="AN770" s="4" t="n">
        <v>512457</v>
      </c>
      <c r="AO770" s="4" t="n">
        <v>1368006</v>
      </c>
      <c r="AP770" s="7" t="n">
        <v>0.394</v>
      </c>
      <c r="AQ770" s="9" t="n">
        <v>71</v>
      </c>
      <c r="AR770" s="9" t="n">
        <v>2</v>
      </c>
      <c r="AS770" s="7"/>
      <c r="AT770" s="3" t="s">
        <v>201</v>
      </c>
      <c r="AU770" s="6" t="n">
        <f aca="false">IFERROR(P770/AR770,"")</f>
        <v>216822.5</v>
      </c>
      <c r="AV770" s="4" t="n">
        <v>2050664</v>
      </c>
      <c r="AW770" s="4" t="n">
        <v>924718</v>
      </c>
      <c r="AX770" s="4" t="n">
        <v>570923</v>
      </c>
      <c r="AY770" s="9" t="n">
        <v>4299</v>
      </c>
      <c r="AZ770" s="7"/>
      <c r="BA770" s="7" t="n">
        <v>0.877</v>
      </c>
      <c r="BB770" s="3" t="s">
        <v>161</v>
      </c>
      <c r="BC770" s="3" t="s">
        <v>108</v>
      </c>
      <c r="BD770" s="3" t="s">
        <v>157</v>
      </c>
      <c r="BE770" s="4" t="n">
        <v>485004</v>
      </c>
      <c r="BF770" s="5" t="n">
        <f aca="false">IFERROR(P770/BE770-1,"")</f>
        <v>-0.105893972008478</v>
      </c>
      <c r="BG770" s="7" t="n">
        <v>-0.02</v>
      </c>
      <c r="BH770" s="7" t="n">
        <v>-0.076</v>
      </c>
      <c r="BI770" s="6" t="n">
        <f aca="false">P770</f>
        <v>433645</v>
      </c>
      <c r="BJ770" s="4" t="n">
        <v>-1400069</v>
      </c>
      <c r="BK770" s="3" t="s">
        <v>192</v>
      </c>
      <c r="BL770" s="3" t="s">
        <v>128</v>
      </c>
      <c r="BM770" s="6" t="n">
        <f aca="false">O770</f>
        <v>18680706</v>
      </c>
      <c r="BN770" s="3" t="s">
        <v>734</v>
      </c>
      <c r="BO770" s="5" t="n">
        <f aca="false">IFERROR(1-L770/M770,"")</f>
        <v>0.112863747620343</v>
      </c>
      <c r="BP770" s="3" t="s">
        <v>130</v>
      </c>
      <c r="BQ770" s="4" t="n">
        <v>2079834</v>
      </c>
      <c r="BR770" s="3" t="s">
        <v>735</v>
      </c>
      <c r="BS770" s="3" t="s">
        <v>89</v>
      </c>
      <c r="BT770" s="3" t="s">
        <v>90</v>
      </c>
    </row>
    <row r="771" customFormat="false" ht="15" hidden="false" customHeight="false" outlineLevel="0" collapsed="false">
      <c r="A771" s="11" t="s">
        <v>732</v>
      </c>
      <c r="B771" s="11" t="s">
        <v>91</v>
      </c>
      <c r="C771" s="11" t="s">
        <v>74</v>
      </c>
      <c r="D771" s="11" t="s">
        <v>210</v>
      </c>
      <c r="E771" s="11" t="s">
        <v>477</v>
      </c>
      <c r="F771" s="11" t="s">
        <v>733</v>
      </c>
      <c r="G771" s="11" t="s">
        <v>78</v>
      </c>
      <c r="H771" s="11" t="s">
        <v>644</v>
      </c>
      <c r="I771" s="11" t="s">
        <v>78</v>
      </c>
      <c r="J771" s="12" t="n">
        <v>1660000</v>
      </c>
      <c r="K771" s="13" t="n">
        <f aca="false">IFERROR(J771/M771,"")</f>
        <v>0.112863747620343</v>
      </c>
      <c r="L771" s="12" t="n">
        <v>13048000</v>
      </c>
      <c r="M771" s="14" t="n">
        <f aca="false">L771+J771</f>
        <v>14708000</v>
      </c>
      <c r="N771" s="12" t="n">
        <v>7526000</v>
      </c>
      <c r="O771" s="12" t="n">
        <v>18680706</v>
      </c>
      <c r="P771" s="12" t="n">
        <v>538991</v>
      </c>
      <c r="Q771" s="13" t="n">
        <f aca="false">IFERROR(P771/P770-1,"")</f>
        <v>0.242931430086822</v>
      </c>
      <c r="R771" s="12" t="n">
        <v>634089</v>
      </c>
      <c r="S771" s="13" t="n">
        <f aca="false">IFERROR(R771/R770-1,"")</f>
        <v>0.20223766836549</v>
      </c>
      <c r="T771" s="12" t="n">
        <v>354162</v>
      </c>
      <c r="U771" s="13" t="n">
        <f aca="false">IFERROR(T771/P771,"")</f>
        <v>0.657083327921988</v>
      </c>
      <c r="V771" s="14" t="n">
        <f aca="false">T771-AV771</f>
        <v>-1353300</v>
      </c>
      <c r="W771" s="14" t="n">
        <f aca="false">V771-AA771*0.1</f>
        <v>-1467400</v>
      </c>
      <c r="X771" s="12" t="n">
        <v>2457426</v>
      </c>
      <c r="Y771" s="12" t="n">
        <v>149460</v>
      </c>
      <c r="Z771" s="15" t="n">
        <f aca="false">IFERROR(X771/Y771,"")</f>
        <v>16.4420313127258</v>
      </c>
      <c r="AA771" s="12" t="n">
        <v>1141000</v>
      </c>
      <c r="AB771" s="14" t="n">
        <f aca="false">W771-0.02*P771</f>
        <v>-1478179.82</v>
      </c>
      <c r="AC771" s="16" t="n">
        <v>48</v>
      </c>
      <c r="AD771" s="13" t="n">
        <f aca="false">IFERROR(AC771/AC770-1,"")</f>
        <v>0.230769230769231</v>
      </c>
      <c r="AE771" s="17" t="n">
        <v>0.123</v>
      </c>
      <c r="AF771" s="17" t="n">
        <v>0.105</v>
      </c>
      <c r="AG771" s="13" t="n">
        <f aca="false">1-AF771</f>
        <v>0.895</v>
      </c>
      <c r="AH771" s="17" t="n">
        <v>1.107</v>
      </c>
      <c r="AI771" s="12" t="n">
        <v>21528</v>
      </c>
      <c r="AJ771" s="14" t="n">
        <f aca="false">IFERROR(AM771*U771*MIN(1/AE771,5),"")</f>
        <v>63671.3744756406</v>
      </c>
      <c r="AK771" s="18" t="n">
        <f aca="false">IFERROR(AJ771/AI771,"")</f>
        <v>2.95760751001675</v>
      </c>
      <c r="AL771" s="15" t="n">
        <f aca="false">IFERROR(AI771/(AM771*U771/12),"")</f>
        <v>20.2866674488733</v>
      </c>
      <c r="AM771" s="12" t="n">
        <v>19380</v>
      </c>
      <c r="AN771" s="12" t="n">
        <v>637268</v>
      </c>
      <c r="AO771" s="12" t="n">
        <v>1601066</v>
      </c>
      <c r="AP771" s="17" t="n">
        <v>0.394</v>
      </c>
      <c r="AQ771" s="16" t="n">
        <v>71</v>
      </c>
      <c r="AR771" s="16" t="n">
        <v>2</v>
      </c>
      <c r="AS771" s="13" t="n">
        <f aca="false">IFERROR(AR771/AR770-1,"")</f>
        <v>0</v>
      </c>
      <c r="AT771" s="11" t="s">
        <v>201</v>
      </c>
      <c r="AU771" s="14" t="n">
        <f aca="false">IFERROR(P771/AR771,"")</f>
        <v>269495.5</v>
      </c>
      <c r="AV771" s="12" t="n">
        <v>1707462</v>
      </c>
      <c r="AW771" s="12" t="n">
        <v>733539</v>
      </c>
      <c r="AX771" s="12" t="n">
        <v>521374</v>
      </c>
      <c r="AY771" s="16" t="n">
        <v>5064</v>
      </c>
      <c r="AZ771" s="13" t="n">
        <f aca="false">IFERROR(AY771/AY770-1,"")</f>
        <v>0.17794836008374</v>
      </c>
      <c r="BA771" s="17" t="n">
        <v>0.88</v>
      </c>
      <c r="BB771" s="11" t="s">
        <v>161</v>
      </c>
      <c r="BC771" s="11" t="s">
        <v>108</v>
      </c>
      <c r="BD771" s="11" t="s">
        <v>157</v>
      </c>
      <c r="BE771" s="12" t="n">
        <v>621588</v>
      </c>
      <c r="BF771" s="13" t="n">
        <f aca="false">IFERROR(P771/BE771-1,"")</f>
        <v>-0.132880621891027</v>
      </c>
      <c r="BG771" s="17" t="n">
        <v>0.041</v>
      </c>
      <c r="BH771" s="17" t="n">
        <v>0.081</v>
      </c>
      <c r="BI771" s="14" t="n">
        <f aca="false">P771*(1+IFERROR(Q771,0))^4</f>
        <v>1286382.71008927</v>
      </c>
      <c r="BJ771" s="12" t="n">
        <v>-901115</v>
      </c>
      <c r="BK771" s="11" t="s">
        <v>192</v>
      </c>
      <c r="BL771" s="11" t="s">
        <v>128</v>
      </c>
      <c r="BM771" s="14" t="n">
        <f aca="false">O771</f>
        <v>18680706</v>
      </c>
      <c r="BN771" s="11" t="s">
        <v>734</v>
      </c>
      <c r="BO771" s="13" t="n">
        <f aca="false">IFERROR(1-L771/M771,"")</f>
        <v>0.112863747620343</v>
      </c>
      <c r="BP771" s="11" t="s">
        <v>130</v>
      </c>
      <c r="BQ771" s="12" t="n">
        <v>1942794</v>
      </c>
      <c r="BR771" s="11" t="s">
        <v>735</v>
      </c>
      <c r="BS771" s="11" t="s">
        <v>89</v>
      </c>
      <c r="BT771" s="19" t="str">
        <f aca="false">IF(OR(Z771&lt;6,AH771&lt;0.9,S771&lt;0.02,AK771&lt;1),"REVIEW",IF(AND(S771&gt;0.25,AH771&gt;1.2),"ACCELERATING","STABLE"))</f>
        <v>STABLE</v>
      </c>
    </row>
    <row r="772" customFormat="false" ht="15" hidden="false" customHeight="false" outlineLevel="0" collapsed="false">
      <c r="A772" s="11" t="s">
        <v>732</v>
      </c>
      <c r="B772" s="11" t="s">
        <v>92</v>
      </c>
      <c r="C772" s="11" t="s">
        <v>74</v>
      </c>
      <c r="D772" s="11" t="s">
        <v>210</v>
      </c>
      <c r="E772" s="11" t="s">
        <v>477</v>
      </c>
      <c r="F772" s="11" t="s">
        <v>733</v>
      </c>
      <c r="G772" s="11" t="s">
        <v>78</v>
      </c>
      <c r="H772" s="11" t="s">
        <v>644</v>
      </c>
      <c r="I772" s="11" t="s">
        <v>78</v>
      </c>
      <c r="J772" s="12" t="n">
        <v>1660000</v>
      </c>
      <c r="K772" s="13" t="n">
        <f aca="false">IFERROR(J772/M772,"")</f>
        <v>0.112863747620343</v>
      </c>
      <c r="L772" s="12" t="n">
        <v>13048000</v>
      </c>
      <c r="M772" s="14" t="n">
        <f aca="false">L772+J772</f>
        <v>14708000</v>
      </c>
      <c r="N772" s="12" t="n">
        <v>7526000</v>
      </c>
      <c r="O772" s="12" t="n">
        <v>18680706</v>
      </c>
      <c r="P772" s="12" t="n">
        <v>654512</v>
      </c>
      <c r="Q772" s="13" t="n">
        <f aca="false">IFERROR(P772/P771-1,"")</f>
        <v>0.214328254089586</v>
      </c>
      <c r="R772" s="12" t="n">
        <v>746898</v>
      </c>
      <c r="S772" s="13" t="n">
        <f aca="false">IFERROR(R772/R771-1,"")</f>
        <v>0.177907202301254</v>
      </c>
      <c r="T772" s="12" t="n">
        <v>431803</v>
      </c>
      <c r="U772" s="13" t="n">
        <f aca="false">IFERROR(T772/P772,"")</f>
        <v>0.659732747451536</v>
      </c>
      <c r="V772" s="14" t="n">
        <f aca="false">T772-AV772</f>
        <v>-1731278</v>
      </c>
      <c r="W772" s="14" t="n">
        <f aca="false">V772-AA772*0.1</f>
        <v>-1845378</v>
      </c>
      <c r="X772" s="12" t="n">
        <v>2066763</v>
      </c>
      <c r="Y772" s="12" t="n">
        <v>154230</v>
      </c>
      <c r="Z772" s="15" t="n">
        <f aca="false">IFERROR(X772/Y772,"")</f>
        <v>13.4005251896518</v>
      </c>
      <c r="AA772" s="12" t="n">
        <v>1141000</v>
      </c>
      <c r="AB772" s="14" t="n">
        <f aca="false">W772-0.02*P772</f>
        <v>-1858468.24</v>
      </c>
      <c r="AC772" s="16" t="n">
        <v>55</v>
      </c>
      <c r="AD772" s="13" t="n">
        <f aca="false">IFERROR(AC772/AC771-1,"")</f>
        <v>0.145833333333333</v>
      </c>
      <c r="AE772" s="17" t="n">
        <v>0.119</v>
      </c>
      <c r="AF772" s="17" t="n">
        <v>0.122</v>
      </c>
      <c r="AG772" s="13" t="n">
        <f aca="false">1-AF772</f>
        <v>0.878</v>
      </c>
      <c r="AH772" s="17" t="n">
        <v>1.102</v>
      </c>
      <c r="AI772" s="12" t="n">
        <v>21114</v>
      </c>
      <c r="AJ772" s="14" t="n">
        <f aca="false">IFERROR(AM772*U772*MIN(1/AE772,5),"")</f>
        <v>65181.5954482118</v>
      </c>
      <c r="AK772" s="18" t="n">
        <f aca="false">IFERROR(AJ772/AI772,"")</f>
        <v>3.08712680914141</v>
      </c>
      <c r="AL772" s="15" t="n">
        <f aca="false">IFERROR(AI772/(AM772*U772/12),"")</f>
        <v>19.4355475850009</v>
      </c>
      <c r="AM772" s="12" t="n">
        <v>19760</v>
      </c>
      <c r="AN772" s="12" t="n">
        <v>731233</v>
      </c>
      <c r="AO772" s="12" t="n">
        <v>1253486</v>
      </c>
      <c r="AP772" s="17" t="n">
        <v>0.394</v>
      </c>
      <c r="AQ772" s="16" t="n">
        <v>71</v>
      </c>
      <c r="AR772" s="16" t="n">
        <v>3</v>
      </c>
      <c r="AS772" s="13" t="n">
        <f aca="false">IFERROR(AR772/AR771-1,"")</f>
        <v>0.5</v>
      </c>
      <c r="AT772" s="11" t="s">
        <v>201</v>
      </c>
      <c r="AU772" s="14" t="n">
        <f aca="false">IFERROR(P772/AR772,"")</f>
        <v>218170.666666667</v>
      </c>
      <c r="AV772" s="12" t="n">
        <v>2163081</v>
      </c>
      <c r="AW772" s="12" t="n">
        <v>882322</v>
      </c>
      <c r="AX772" s="12" t="n">
        <v>680758</v>
      </c>
      <c r="AY772" s="16" t="n">
        <v>6037</v>
      </c>
      <c r="AZ772" s="13" t="n">
        <f aca="false">IFERROR(AY772/AY771-1,"")</f>
        <v>0.192140600315956</v>
      </c>
      <c r="BA772" s="17" t="n">
        <v>0.899</v>
      </c>
      <c r="BB772" s="11" t="s">
        <v>161</v>
      </c>
      <c r="BC772" s="11" t="s">
        <v>108</v>
      </c>
      <c r="BD772" s="11" t="s">
        <v>157</v>
      </c>
      <c r="BE772" s="12" t="n">
        <v>603589</v>
      </c>
      <c r="BF772" s="13" t="n">
        <f aca="false">IFERROR(P772/BE772-1,"")</f>
        <v>0.0843670113272441</v>
      </c>
      <c r="BG772" s="17" t="n">
        <v>-0.007</v>
      </c>
      <c r="BH772" s="17" t="n">
        <v>0.009</v>
      </c>
      <c r="BI772" s="14" t="n">
        <f aca="false">P772*(1+IFERROR(Q772,0))^4</f>
        <v>1423187.14836954</v>
      </c>
      <c r="BJ772" s="12" t="n">
        <v>-1464518</v>
      </c>
      <c r="BK772" s="11" t="s">
        <v>192</v>
      </c>
      <c r="BL772" s="11" t="s">
        <v>128</v>
      </c>
      <c r="BM772" s="14" t="n">
        <f aca="false">O772</f>
        <v>18680706</v>
      </c>
      <c r="BN772" s="11" t="s">
        <v>734</v>
      </c>
      <c r="BO772" s="13" t="n">
        <f aca="false">IFERROR(1-L772/M772,"")</f>
        <v>0.112863747620343</v>
      </c>
      <c r="BP772" s="11" t="s">
        <v>130</v>
      </c>
      <c r="BQ772" s="12" t="n">
        <v>1902360</v>
      </c>
      <c r="BR772" s="11" t="s">
        <v>735</v>
      </c>
      <c r="BS772" s="11" t="s">
        <v>89</v>
      </c>
      <c r="BT772" s="19" t="str">
        <f aca="false">IF(OR(Z772&lt;6,AH772&lt;0.9,S772&lt;0.02,AK772&lt;1),"REVIEW",IF(AND(S772&gt;0.25,AH772&gt;1.2),"ACCELERATING","STABLE"))</f>
        <v>STABLE</v>
      </c>
    </row>
    <row r="773" customFormat="false" ht="15" hidden="false" customHeight="false" outlineLevel="0" collapsed="false">
      <c r="A773" s="11" t="s">
        <v>732</v>
      </c>
      <c r="B773" s="11" t="s">
        <v>93</v>
      </c>
      <c r="C773" s="11" t="s">
        <v>74</v>
      </c>
      <c r="D773" s="11" t="s">
        <v>210</v>
      </c>
      <c r="E773" s="11" t="s">
        <v>477</v>
      </c>
      <c r="F773" s="11" t="s">
        <v>733</v>
      </c>
      <c r="G773" s="11" t="s">
        <v>78</v>
      </c>
      <c r="H773" s="11" t="s">
        <v>644</v>
      </c>
      <c r="I773" s="11" t="s">
        <v>78</v>
      </c>
      <c r="J773" s="12" t="n">
        <v>1660000</v>
      </c>
      <c r="K773" s="13" t="n">
        <f aca="false">IFERROR(J773/M773,"")</f>
        <v>0.112863747620343</v>
      </c>
      <c r="L773" s="12" t="n">
        <v>13048000</v>
      </c>
      <c r="M773" s="14" t="n">
        <f aca="false">L773+J773</f>
        <v>14708000</v>
      </c>
      <c r="N773" s="12" t="n">
        <v>7526000</v>
      </c>
      <c r="O773" s="12" t="n">
        <v>18680706</v>
      </c>
      <c r="P773" s="12" t="n">
        <v>764261</v>
      </c>
      <c r="Q773" s="13" t="n">
        <f aca="false">IFERROR(P773/P772-1,"")</f>
        <v>0.167680653677855</v>
      </c>
      <c r="R773" s="12" t="n">
        <v>960851</v>
      </c>
      <c r="S773" s="13" t="n">
        <f aca="false">IFERROR(R773/R772-1,"")</f>
        <v>0.286455446392948</v>
      </c>
      <c r="T773" s="12" t="n">
        <v>506233</v>
      </c>
      <c r="U773" s="13" t="n">
        <f aca="false">IFERROR(T773/P773,"")</f>
        <v>0.662382353672371</v>
      </c>
      <c r="V773" s="14" t="n">
        <f aca="false">T773-AV773</f>
        <v>-2044017</v>
      </c>
      <c r="W773" s="14" t="n">
        <f aca="false">V773-AA773*0.1</f>
        <v>-2158117</v>
      </c>
      <c r="X773" s="12" t="n">
        <v>1650342</v>
      </c>
      <c r="Y773" s="12" t="n">
        <v>159000</v>
      </c>
      <c r="Z773" s="15" t="n">
        <f aca="false">IFERROR(X773/Y773,"")</f>
        <v>10.3795094339623</v>
      </c>
      <c r="AA773" s="12" t="n">
        <v>1141000</v>
      </c>
      <c r="AB773" s="14" t="n">
        <f aca="false">W773-0.02*P773</f>
        <v>-2173402.22</v>
      </c>
      <c r="AC773" s="16" t="n">
        <v>63</v>
      </c>
      <c r="AD773" s="13" t="n">
        <f aca="false">IFERROR(AC773/AC772-1,"")</f>
        <v>0.145454545454546</v>
      </c>
      <c r="AE773" s="17" t="n">
        <v>0.116</v>
      </c>
      <c r="AF773" s="17" t="n">
        <v>0.124</v>
      </c>
      <c r="AG773" s="13" t="n">
        <f aca="false">1-AF773</f>
        <v>0.876</v>
      </c>
      <c r="AH773" s="17" t="n">
        <v>1.097</v>
      </c>
      <c r="AI773" s="12" t="n">
        <v>20700</v>
      </c>
      <c r="AJ773" s="14" t="n">
        <f aca="false">IFERROR(AM773*U773*MIN(1/AE773,5),"")</f>
        <v>66701.9030148078</v>
      </c>
      <c r="AK773" s="18" t="n">
        <f aca="false">IFERROR(AJ773/AI773,"")</f>
        <v>3.22231415530472</v>
      </c>
      <c r="AL773" s="15" t="n">
        <f aca="false">IFERROR(AI773/(AM773*U773/12),"")</f>
        <v>18.6201584042404</v>
      </c>
      <c r="AM773" s="12" t="n">
        <v>20140</v>
      </c>
      <c r="AN773" s="12" t="n">
        <v>922455</v>
      </c>
      <c r="AO773" s="12" t="n">
        <v>3819581</v>
      </c>
      <c r="AP773" s="17" t="n">
        <v>0.394</v>
      </c>
      <c r="AQ773" s="16" t="n">
        <v>71</v>
      </c>
      <c r="AR773" s="16" t="n">
        <v>3</v>
      </c>
      <c r="AS773" s="13" t="n">
        <f aca="false">IFERROR(AR773/AR772-1,"")</f>
        <v>0</v>
      </c>
      <c r="AT773" s="11" t="s">
        <v>201</v>
      </c>
      <c r="AU773" s="14" t="n">
        <f aca="false">IFERROR(P773/AR773,"")</f>
        <v>254753.666666667</v>
      </c>
      <c r="AV773" s="12" t="n">
        <v>2550250</v>
      </c>
      <c r="AW773" s="12" t="n">
        <v>1154211</v>
      </c>
      <c r="AX773" s="12" t="n">
        <v>757852</v>
      </c>
      <c r="AY773" s="16" t="n">
        <v>7971</v>
      </c>
      <c r="AZ773" s="13" t="n">
        <f aca="false">IFERROR(AY773/AY772-1,"")</f>
        <v>0.320357793606096</v>
      </c>
      <c r="BA773" s="17" t="n">
        <v>0.899</v>
      </c>
      <c r="BB773" s="11" t="s">
        <v>161</v>
      </c>
      <c r="BC773" s="11" t="s">
        <v>108</v>
      </c>
      <c r="BD773" s="11" t="s">
        <v>157</v>
      </c>
      <c r="BE773" s="12" t="n">
        <v>897079</v>
      </c>
      <c r="BF773" s="13" t="n">
        <f aca="false">IFERROR(P773/BE773-1,"")</f>
        <v>-0.148056079787845</v>
      </c>
      <c r="BG773" s="17" t="n">
        <v>-0.017</v>
      </c>
      <c r="BH773" s="17" t="n">
        <v>0.005</v>
      </c>
      <c r="BI773" s="14" t="n">
        <f aca="false">P773*(1+IFERROR(Q773,0))^4</f>
        <v>1420816.64892515</v>
      </c>
      <c r="BJ773" s="12" t="n">
        <v>-1748654</v>
      </c>
      <c r="BK773" s="11" t="s">
        <v>192</v>
      </c>
      <c r="BL773" s="11" t="s">
        <v>128</v>
      </c>
      <c r="BM773" s="14" t="n">
        <f aca="false">O773</f>
        <v>18680706</v>
      </c>
      <c r="BN773" s="11" t="s">
        <v>734</v>
      </c>
      <c r="BO773" s="13" t="n">
        <f aca="false">IFERROR(1-L773/M773,"")</f>
        <v>0.112863747620343</v>
      </c>
      <c r="BP773" s="11" t="s">
        <v>130</v>
      </c>
      <c r="BQ773" s="12" t="n">
        <v>3160488</v>
      </c>
      <c r="BR773" s="11" t="s">
        <v>735</v>
      </c>
      <c r="BS773" s="11" t="s">
        <v>89</v>
      </c>
      <c r="BT773" s="19" t="str">
        <f aca="false">IF(OR(Z773&lt;6,AH773&lt;0.9,S773&lt;0.02,AK773&lt;1),"REVIEW",IF(AND(S773&gt;0.25,AH773&gt;1.2),"ACCELERATING","STABLE"))</f>
        <v>STABLE</v>
      </c>
    </row>
    <row r="774" customFormat="false" ht="15" hidden="false" customHeight="false" outlineLevel="0" collapsed="false">
      <c r="A774" s="3" t="s">
        <v>736</v>
      </c>
      <c r="B774" s="3" t="s">
        <v>73</v>
      </c>
      <c r="C774" s="3" t="s">
        <v>74</v>
      </c>
      <c r="D774" s="3" t="s">
        <v>115</v>
      </c>
      <c r="E774" s="3" t="s">
        <v>105</v>
      </c>
      <c r="F774" s="3" t="s">
        <v>737</v>
      </c>
      <c r="G774" s="3" t="s">
        <v>78</v>
      </c>
      <c r="H774" s="3" t="s">
        <v>644</v>
      </c>
      <c r="I774" s="3" t="s">
        <v>78</v>
      </c>
      <c r="J774" s="4" t="n">
        <v>2663000</v>
      </c>
      <c r="K774" s="5" t="n">
        <f aca="false">IFERROR(J774/M774,"")</f>
        <v>0.12220080763583</v>
      </c>
      <c r="L774" s="4" t="n">
        <v>19129000</v>
      </c>
      <c r="M774" s="6" t="n">
        <f aca="false">L774+J774</f>
        <v>21792000</v>
      </c>
      <c r="N774" s="4" t="n">
        <v>5837000</v>
      </c>
      <c r="O774" s="4" t="n">
        <v>41303486</v>
      </c>
      <c r="P774" s="4" t="n">
        <v>672491</v>
      </c>
      <c r="Q774" s="7"/>
      <c r="R774" s="4" t="n">
        <v>838063</v>
      </c>
      <c r="S774" s="7"/>
      <c r="T774" s="4" t="n">
        <v>458576</v>
      </c>
      <c r="U774" s="5" t="n">
        <f aca="false">IFERROR(T774/P774,"")</f>
        <v>0.681906523656079</v>
      </c>
      <c r="V774" s="6" t="n">
        <f aca="false">T774-AV774</f>
        <v>-2343916</v>
      </c>
      <c r="W774" s="6" t="n">
        <f aca="false">V774-AA774*0.1</f>
        <v>-2343916</v>
      </c>
      <c r="X774" s="4" t="n">
        <v>5596426</v>
      </c>
      <c r="Y774" s="4" t="n">
        <v>187460</v>
      </c>
      <c r="Z774" s="8" t="n">
        <f aca="false">IFERROR(X774/Y774,"")</f>
        <v>29.8539741811586</v>
      </c>
      <c r="AA774" s="4" t="n">
        <v>0</v>
      </c>
      <c r="AB774" s="6" t="n">
        <f aca="false">W774-0.02*P774</f>
        <v>-2357365.82</v>
      </c>
      <c r="AC774" s="9" t="n">
        <v>49</v>
      </c>
      <c r="AD774" s="7"/>
      <c r="AE774" s="7" t="n">
        <v>0.075</v>
      </c>
      <c r="AF774" s="7" t="n">
        <v>0.079</v>
      </c>
      <c r="AG774" s="5" t="n">
        <f aca="false">1-AF774</f>
        <v>0.921</v>
      </c>
      <c r="AH774" s="7" t="n">
        <v>1.157</v>
      </c>
      <c r="AI774" s="4" t="n">
        <v>40068</v>
      </c>
      <c r="AJ774" s="6" t="n">
        <f aca="false">IFERROR(AM774*U774*MIN(1/AE774,5),"")</f>
        <v>115924.109021533</v>
      </c>
      <c r="AK774" s="10" t="n">
        <f aca="false">IFERROR(AJ774/AI774,"")</f>
        <v>2.89318431220758</v>
      </c>
      <c r="AL774" s="8" t="n">
        <f aca="false">IFERROR(AI774/(AM774*U774/12),"")</f>
        <v>20.7383953199367</v>
      </c>
      <c r="AM774" s="4" t="n">
        <v>34000</v>
      </c>
      <c r="AN774" s="4" t="n">
        <v>1175950</v>
      </c>
      <c r="AO774" s="4" t="n">
        <v>2102045</v>
      </c>
      <c r="AP774" s="7" t="n">
        <v>0.402</v>
      </c>
      <c r="AQ774" s="9" t="n">
        <v>74</v>
      </c>
      <c r="AR774" s="9" t="n">
        <v>1</v>
      </c>
      <c r="AS774" s="7"/>
      <c r="AT774" s="3" t="s">
        <v>201</v>
      </c>
      <c r="AU774" s="6" t="n">
        <f aca="false">IFERROR(P774/AR774,"")</f>
        <v>672491</v>
      </c>
      <c r="AV774" s="4" t="n">
        <v>2802492</v>
      </c>
      <c r="AW774" s="4" t="n">
        <v>1287302</v>
      </c>
      <c r="AX774" s="4" t="n">
        <v>924271</v>
      </c>
      <c r="AY774" s="9" t="n">
        <v>19870</v>
      </c>
      <c r="AZ774" s="7"/>
      <c r="BA774" s="7" t="n">
        <v>0.936</v>
      </c>
      <c r="BB774" s="3" t="s">
        <v>99</v>
      </c>
      <c r="BC774" s="3" t="s">
        <v>108</v>
      </c>
      <c r="BD774" s="3" t="s">
        <v>101</v>
      </c>
      <c r="BE774" s="4" t="n">
        <v>712289</v>
      </c>
      <c r="BF774" s="5" t="n">
        <f aca="false">IFERROR(P774/BE774-1,"")</f>
        <v>-0.0558733884701294</v>
      </c>
      <c r="BG774" s="7" t="n">
        <v>-0.03</v>
      </c>
      <c r="BH774" s="7" t="n">
        <v>-0.052</v>
      </c>
      <c r="BI774" s="6" t="n">
        <f aca="false">P774</f>
        <v>672491</v>
      </c>
      <c r="BJ774" s="4" t="n">
        <v>-2040029</v>
      </c>
      <c r="BK774" s="3" t="s">
        <v>102</v>
      </c>
      <c r="BL774" s="3" t="s">
        <v>162</v>
      </c>
      <c r="BM774" s="6" t="n">
        <f aca="false">O774</f>
        <v>41303486</v>
      </c>
      <c r="BN774" s="3" t="s">
        <v>738</v>
      </c>
      <c r="BO774" s="5" t="n">
        <f aca="false">IFERROR(1-L774/M774,"")</f>
        <v>0.12220080763583</v>
      </c>
      <c r="BP774" s="3" t="s">
        <v>142</v>
      </c>
      <c r="BQ774" s="4" t="n">
        <v>3653290</v>
      </c>
      <c r="BR774" s="3" t="s">
        <v>88</v>
      </c>
      <c r="BS774" s="3" t="s">
        <v>89</v>
      </c>
      <c r="BT774" s="3" t="s">
        <v>90</v>
      </c>
    </row>
    <row r="775" customFormat="false" ht="15" hidden="false" customHeight="false" outlineLevel="0" collapsed="false">
      <c r="A775" s="11" t="s">
        <v>736</v>
      </c>
      <c r="B775" s="11" t="s">
        <v>91</v>
      </c>
      <c r="C775" s="11" t="s">
        <v>74</v>
      </c>
      <c r="D775" s="11" t="s">
        <v>115</v>
      </c>
      <c r="E775" s="11" t="s">
        <v>105</v>
      </c>
      <c r="F775" s="11" t="s">
        <v>737</v>
      </c>
      <c r="G775" s="11" t="s">
        <v>78</v>
      </c>
      <c r="H775" s="11" t="s">
        <v>644</v>
      </c>
      <c r="I775" s="11" t="s">
        <v>78</v>
      </c>
      <c r="J775" s="12" t="n">
        <v>2663000</v>
      </c>
      <c r="K775" s="13" t="n">
        <f aca="false">IFERROR(J775/M775,"")</f>
        <v>0.12220080763583</v>
      </c>
      <c r="L775" s="12" t="n">
        <v>19129000</v>
      </c>
      <c r="M775" s="14" t="n">
        <f aca="false">L775+J775</f>
        <v>21792000</v>
      </c>
      <c r="N775" s="12" t="n">
        <v>5837000</v>
      </c>
      <c r="O775" s="12" t="n">
        <v>41303486</v>
      </c>
      <c r="P775" s="12" t="n">
        <v>861428</v>
      </c>
      <c r="Q775" s="13" t="n">
        <f aca="false">IFERROR(P775/P774-1,"")</f>
        <v>0.280950971834567</v>
      </c>
      <c r="R775" s="12" t="n">
        <v>965827</v>
      </c>
      <c r="S775" s="13" t="n">
        <f aca="false">IFERROR(R775/R774-1,"")</f>
        <v>0.152451546005491</v>
      </c>
      <c r="T775" s="12" t="n">
        <v>589792</v>
      </c>
      <c r="U775" s="13" t="n">
        <f aca="false">IFERROR(T775/P775,"")</f>
        <v>0.684667784190902</v>
      </c>
      <c r="V775" s="14" t="n">
        <f aca="false">T775-AV775</f>
        <v>-1755657</v>
      </c>
      <c r="W775" s="14" t="n">
        <f aca="false">V775-AA775*0.1</f>
        <v>-1755657</v>
      </c>
      <c r="X775" s="12" t="n">
        <v>5123656</v>
      </c>
      <c r="Y775" s="12" t="n">
        <v>193640</v>
      </c>
      <c r="Z775" s="15" t="n">
        <f aca="false">IFERROR(X775/Y775,"")</f>
        <v>26.4596984094195</v>
      </c>
      <c r="AA775" s="12" t="n">
        <v>0</v>
      </c>
      <c r="AB775" s="14" t="n">
        <f aca="false">W775-0.02*P775</f>
        <v>-1772885.56</v>
      </c>
      <c r="AC775" s="16" t="n">
        <v>61</v>
      </c>
      <c r="AD775" s="13" t="n">
        <f aca="false">IFERROR(AC775/AC774-1,"")</f>
        <v>0.244897959183674</v>
      </c>
      <c r="AE775" s="17" t="n">
        <v>0.073</v>
      </c>
      <c r="AF775" s="17" t="n">
        <v>0.049</v>
      </c>
      <c r="AG775" s="13" t="n">
        <f aca="false">1-AF775</f>
        <v>0.951</v>
      </c>
      <c r="AH775" s="17" t="n">
        <v>1.152</v>
      </c>
      <c r="AI775" s="12" t="n">
        <v>39312</v>
      </c>
      <c r="AJ775" s="14" t="n">
        <f aca="false">IFERROR(AM775*U775*MIN(1/AE775,5),"")</f>
        <v>118721.393778702</v>
      </c>
      <c r="AK775" s="18" t="n">
        <f aca="false">IFERROR(AJ775/AI775,"")</f>
        <v>3.01997847422421</v>
      </c>
      <c r="AL775" s="15" t="n">
        <f aca="false">IFERROR(AI775/(AM775*U775/12),"")</f>
        <v>19.8676912806185</v>
      </c>
      <c r="AM775" s="12" t="n">
        <v>34680</v>
      </c>
      <c r="AN775" s="12" t="n">
        <v>1097037</v>
      </c>
      <c r="AO775" s="12" t="n">
        <v>2141104</v>
      </c>
      <c r="AP775" s="17" t="n">
        <v>0.402</v>
      </c>
      <c r="AQ775" s="16" t="n">
        <v>74</v>
      </c>
      <c r="AR775" s="16" t="n">
        <v>2</v>
      </c>
      <c r="AS775" s="13" t="n">
        <f aca="false">IFERROR(AR775/AR774-1,"")</f>
        <v>1</v>
      </c>
      <c r="AT775" s="11" t="s">
        <v>201</v>
      </c>
      <c r="AU775" s="14" t="n">
        <f aca="false">IFERROR(P775/AR775,"")</f>
        <v>430714</v>
      </c>
      <c r="AV775" s="12" t="n">
        <v>2345449</v>
      </c>
      <c r="AW775" s="12" t="n">
        <v>778038</v>
      </c>
      <c r="AX775" s="12" t="n">
        <v>569048</v>
      </c>
      <c r="AY775" s="16" t="n">
        <v>23322</v>
      </c>
      <c r="AZ775" s="13" t="n">
        <f aca="false">IFERROR(AY775/AY774-1,"")</f>
        <v>0.173729240060392</v>
      </c>
      <c r="BA775" s="17" t="n">
        <v>0.938</v>
      </c>
      <c r="BB775" s="11" t="s">
        <v>99</v>
      </c>
      <c r="BC775" s="11" t="s">
        <v>108</v>
      </c>
      <c r="BD775" s="11" t="s">
        <v>101</v>
      </c>
      <c r="BE775" s="12" t="n">
        <v>936251</v>
      </c>
      <c r="BF775" s="13" t="n">
        <f aca="false">IFERROR(P775/BE775-1,"")</f>
        <v>-0.079917671650017</v>
      </c>
      <c r="BG775" s="17" t="n">
        <v>-0.008</v>
      </c>
      <c r="BH775" s="17" t="n">
        <v>-0.052</v>
      </c>
      <c r="BI775" s="14" t="n">
        <f aca="false">P775*(1+IFERROR(Q775,0))^4</f>
        <v>2319257.73725881</v>
      </c>
      <c r="BJ775" s="12" t="n">
        <v>-1915236</v>
      </c>
      <c r="BK775" s="11" t="s">
        <v>102</v>
      </c>
      <c r="BL775" s="11" t="s">
        <v>162</v>
      </c>
      <c r="BM775" s="14" t="n">
        <f aca="false">O775</f>
        <v>41303486</v>
      </c>
      <c r="BN775" s="11" t="s">
        <v>738</v>
      </c>
      <c r="BO775" s="13" t="n">
        <f aca="false">IFERROR(1-L775/M775,"")</f>
        <v>0.12220080763583</v>
      </c>
      <c r="BP775" s="11" t="s">
        <v>142</v>
      </c>
      <c r="BQ775" s="12" t="n">
        <v>2999406</v>
      </c>
      <c r="BR775" s="11" t="s">
        <v>88</v>
      </c>
      <c r="BS775" s="11" t="s">
        <v>89</v>
      </c>
      <c r="BT775" s="19" t="str">
        <f aca="false">IF(OR(Z775&lt;6,AH775&lt;0.9,S775&lt;0.02,AK775&lt;1),"REVIEW",IF(AND(S775&gt;0.25,AH775&gt;1.2),"ACCELERATING","STABLE"))</f>
        <v>STABLE</v>
      </c>
    </row>
    <row r="776" customFormat="false" ht="15" hidden="false" customHeight="false" outlineLevel="0" collapsed="false">
      <c r="A776" s="11" t="s">
        <v>736</v>
      </c>
      <c r="B776" s="11" t="s">
        <v>92</v>
      </c>
      <c r="C776" s="11" t="s">
        <v>74</v>
      </c>
      <c r="D776" s="11" t="s">
        <v>115</v>
      </c>
      <c r="E776" s="11" t="s">
        <v>105</v>
      </c>
      <c r="F776" s="11" t="s">
        <v>737</v>
      </c>
      <c r="G776" s="11" t="s">
        <v>78</v>
      </c>
      <c r="H776" s="11" t="s">
        <v>644</v>
      </c>
      <c r="I776" s="11" t="s">
        <v>78</v>
      </c>
      <c r="J776" s="12" t="n">
        <v>2663000</v>
      </c>
      <c r="K776" s="13" t="n">
        <f aca="false">IFERROR(J776/M776,"")</f>
        <v>0.12220080763583</v>
      </c>
      <c r="L776" s="12" t="n">
        <v>19129000</v>
      </c>
      <c r="M776" s="14" t="n">
        <f aca="false">L776+J776</f>
        <v>21792000</v>
      </c>
      <c r="N776" s="12" t="n">
        <v>5837000</v>
      </c>
      <c r="O776" s="12" t="n">
        <v>41303486</v>
      </c>
      <c r="P776" s="12" t="n">
        <v>995529</v>
      </c>
      <c r="Q776" s="13" t="n">
        <f aca="false">IFERROR(P776/P775-1,"")</f>
        <v>0.155672905919009</v>
      </c>
      <c r="R776" s="12" t="n">
        <v>1198264</v>
      </c>
      <c r="S776" s="13" t="n">
        <f aca="false">IFERROR(R776/R775-1,"")</f>
        <v>0.240661112186758</v>
      </c>
      <c r="T776" s="12" t="n">
        <v>684355</v>
      </c>
      <c r="U776" s="13" t="n">
        <f aca="false">IFERROR(T776/P776,"")</f>
        <v>0.68742849279127</v>
      </c>
      <c r="V776" s="14" t="n">
        <f aca="false">T776-AV776</f>
        <v>-2259537</v>
      </c>
      <c r="W776" s="14" t="n">
        <f aca="false">V776-AA776*0.1</f>
        <v>-2259537</v>
      </c>
      <c r="X776" s="12" t="n">
        <v>4617514</v>
      </c>
      <c r="Y776" s="12" t="n">
        <v>199820</v>
      </c>
      <c r="Z776" s="15" t="n">
        <f aca="false">IFERROR(X776/Y776,"")</f>
        <v>23.1083675307777</v>
      </c>
      <c r="AA776" s="12" t="n">
        <v>0</v>
      </c>
      <c r="AB776" s="14" t="n">
        <f aca="false">W776-0.02*P776</f>
        <v>-2279447.58</v>
      </c>
      <c r="AC776" s="16" t="n">
        <v>72</v>
      </c>
      <c r="AD776" s="13" t="n">
        <f aca="false">IFERROR(AC776/AC775-1,"")</f>
        <v>0.180327868852459</v>
      </c>
      <c r="AE776" s="17" t="n">
        <v>0.071</v>
      </c>
      <c r="AF776" s="17" t="n">
        <v>0.063</v>
      </c>
      <c r="AG776" s="13" t="n">
        <f aca="false">1-AF776</f>
        <v>0.937</v>
      </c>
      <c r="AH776" s="17" t="n">
        <v>1.147</v>
      </c>
      <c r="AI776" s="12" t="n">
        <v>38556</v>
      </c>
      <c r="AJ776" s="14" t="n">
        <f aca="false">IFERROR(AM776*U776*MIN(1/AE776,5),"")</f>
        <v>121537.357525496</v>
      </c>
      <c r="AK776" s="18" t="n">
        <f aca="false">IFERROR(AJ776/AI776,"")</f>
        <v>3.15222942020688</v>
      </c>
      <c r="AL776" s="15" t="n">
        <f aca="false">IFERROR(AI776/(AM776*U776/12),"")</f>
        <v>19.0341475830976</v>
      </c>
      <c r="AM776" s="12" t="n">
        <v>35360</v>
      </c>
      <c r="AN776" s="12" t="n">
        <v>1694056</v>
      </c>
      <c r="AO776" s="12" t="n">
        <v>2273970</v>
      </c>
      <c r="AP776" s="17" t="n">
        <v>0.402</v>
      </c>
      <c r="AQ776" s="16" t="n">
        <v>74</v>
      </c>
      <c r="AR776" s="16" t="n">
        <v>2</v>
      </c>
      <c r="AS776" s="13" t="n">
        <f aca="false">IFERROR(AR776/AR775-1,"")</f>
        <v>0</v>
      </c>
      <c r="AT776" s="11" t="s">
        <v>201</v>
      </c>
      <c r="AU776" s="14" t="n">
        <f aca="false">IFERROR(P776/AR776,"")</f>
        <v>497764.5</v>
      </c>
      <c r="AV776" s="12" t="n">
        <v>2943892</v>
      </c>
      <c r="AW776" s="12" t="n">
        <v>1141939</v>
      </c>
      <c r="AX776" s="12" t="n">
        <v>890355</v>
      </c>
      <c r="AY776" s="16" t="n">
        <v>27215</v>
      </c>
      <c r="AZ776" s="13" t="n">
        <f aca="false">IFERROR(AY776/AY775-1,"")</f>
        <v>0.166923934482463</v>
      </c>
      <c r="BA776" s="17" t="n">
        <v>0.943</v>
      </c>
      <c r="BB776" s="11" t="s">
        <v>99</v>
      </c>
      <c r="BC776" s="11" t="s">
        <v>108</v>
      </c>
      <c r="BD776" s="11" t="s">
        <v>101</v>
      </c>
      <c r="BE776" s="12" t="n">
        <v>948757</v>
      </c>
      <c r="BF776" s="13" t="n">
        <f aca="false">IFERROR(P776/BE776-1,"")</f>
        <v>0.0492981869962488</v>
      </c>
      <c r="BG776" s="17" t="n">
        <v>0.016</v>
      </c>
      <c r="BH776" s="17" t="n">
        <v>0.05</v>
      </c>
      <c r="BI776" s="14" t="n">
        <f aca="false">P776*(1+IFERROR(Q776,0))^4</f>
        <v>1775798.32539994</v>
      </c>
      <c r="BJ776" s="12" t="n">
        <v>-1591678</v>
      </c>
      <c r="BK776" s="11" t="s">
        <v>102</v>
      </c>
      <c r="BL776" s="11" t="s">
        <v>162</v>
      </c>
      <c r="BM776" s="14" t="n">
        <f aca="false">O776</f>
        <v>41303486</v>
      </c>
      <c r="BN776" s="11" t="s">
        <v>738</v>
      </c>
      <c r="BO776" s="13" t="n">
        <f aca="false">IFERROR(1-L776/M776,"")</f>
        <v>0.12220080763583</v>
      </c>
      <c r="BP776" s="11" t="s">
        <v>142</v>
      </c>
      <c r="BQ776" s="12" t="n">
        <v>2829859</v>
      </c>
      <c r="BR776" s="11" t="s">
        <v>88</v>
      </c>
      <c r="BS776" s="11" t="s">
        <v>89</v>
      </c>
      <c r="BT776" s="19" t="str">
        <f aca="false">IF(OR(Z776&lt;6,AH776&lt;0.9,S776&lt;0.02,AK776&lt;1),"REVIEW",IF(AND(S776&gt;0.25,AH776&gt;1.2),"ACCELERATING","STABLE"))</f>
        <v>STABLE</v>
      </c>
    </row>
    <row r="777" customFormat="false" ht="15" hidden="false" customHeight="false" outlineLevel="0" collapsed="false">
      <c r="A777" s="11" t="s">
        <v>736</v>
      </c>
      <c r="B777" s="11" t="s">
        <v>93</v>
      </c>
      <c r="C777" s="11" t="s">
        <v>74</v>
      </c>
      <c r="D777" s="11" t="s">
        <v>115</v>
      </c>
      <c r="E777" s="11" t="s">
        <v>105</v>
      </c>
      <c r="F777" s="11" t="s">
        <v>737</v>
      </c>
      <c r="G777" s="11" t="s">
        <v>78</v>
      </c>
      <c r="H777" s="11" t="s">
        <v>644</v>
      </c>
      <c r="I777" s="11" t="s">
        <v>78</v>
      </c>
      <c r="J777" s="12" t="n">
        <v>2663000</v>
      </c>
      <c r="K777" s="13" t="n">
        <f aca="false">IFERROR(J777/M777,"")</f>
        <v>0.12220080763583</v>
      </c>
      <c r="L777" s="12" t="n">
        <v>19129000</v>
      </c>
      <c r="M777" s="14" t="n">
        <f aca="false">L777+J777</f>
        <v>21792000</v>
      </c>
      <c r="N777" s="12" t="n">
        <v>5837000</v>
      </c>
      <c r="O777" s="12" t="n">
        <v>41303486</v>
      </c>
      <c r="P777" s="12" t="n">
        <v>1170563</v>
      </c>
      <c r="Q777" s="13" t="n">
        <f aca="false">IFERROR(P777/P776-1,"")</f>
        <v>0.175820091629676</v>
      </c>
      <c r="R777" s="12" t="n">
        <v>1369991</v>
      </c>
      <c r="S777" s="13" t="n">
        <f aca="false">IFERROR(R777/R776-1,"")</f>
        <v>0.143313159704372</v>
      </c>
      <c r="T777" s="12" t="n">
        <v>807910</v>
      </c>
      <c r="U777" s="13" t="n">
        <f aca="false">IFERROR(T777/P777,"")</f>
        <v>0.690189250813498</v>
      </c>
      <c r="V777" s="14" t="n">
        <f aca="false">T777-AV777</f>
        <v>-1914596</v>
      </c>
      <c r="W777" s="14" t="n">
        <f aca="false">V777-AA777*0.1</f>
        <v>-1914596</v>
      </c>
      <c r="X777" s="12" t="n">
        <v>4078000</v>
      </c>
      <c r="Y777" s="12" t="n">
        <v>206000</v>
      </c>
      <c r="Z777" s="15" t="n">
        <f aca="false">IFERROR(X777/Y777,"")</f>
        <v>19.7961165048544</v>
      </c>
      <c r="AA777" s="12" t="n">
        <v>0</v>
      </c>
      <c r="AB777" s="14" t="n">
        <f aca="false">W777-0.02*P777</f>
        <v>-1938007.26</v>
      </c>
      <c r="AC777" s="16" t="n">
        <v>82</v>
      </c>
      <c r="AD777" s="13" t="n">
        <f aca="false">IFERROR(AC777/AC776-1,"")</f>
        <v>0.138888888888889</v>
      </c>
      <c r="AE777" s="17" t="n">
        <v>0.069</v>
      </c>
      <c r="AF777" s="17" t="n">
        <v>0.057</v>
      </c>
      <c r="AG777" s="13" t="n">
        <f aca="false">1-AF777</f>
        <v>0.943</v>
      </c>
      <c r="AH777" s="17" t="n">
        <v>1.142</v>
      </c>
      <c r="AI777" s="12" t="n">
        <v>37800</v>
      </c>
      <c r="AJ777" s="14" t="n">
        <f aca="false">IFERROR(AM777*U777*MIN(1/AE777,5),"")</f>
        <v>124372.102996592</v>
      </c>
      <c r="AK777" s="18" t="n">
        <f aca="false">IFERROR(AJ777/AI777,"")</f>
        <v>3.29026727504212</v>
      </c>
      <c r="AL777" s="15" t="n">
        <f aca="false">IFERROR(AI777/(AM777*U777/12),"")</f>
        <v>18.2356006319371</v>
      </c>
      <c r="AM777" s="12" t="n">
        <v>36040</v>
      </c>
      <c r="AN777" s="12" t="n">
        <v>1566648</v>
      </c>
      <c r="AO777" s="12" t="n">
        <v>2904070</v>
      </c>
      <c r="AP777" s="17" t="n">
        <v>0.402</v>
      </c>
      <c r="AQ777" s="16" t="n">
        <v>74</v>
      </c>
      <c r="AR777" s="16" t="n">
        <v>2</v>
      </c>
      <c r="AS777" s="13" t="n">
        <f aca="false">IFERROR(AR777/AR776-1,"")</f>
        <v>0</v>
      </c>
      <c r="AT777" s="11" t="s">
        <v>201</v>
      </c>
      <c r="AU777" s="14" t="n">
        <f aca="false">IFERROR(P777/AR777,"")</f>
        <v>585281.5</v>
      </c>
      <c r="AV777" s="12" t="n">
        <v>2722506</v>
      </c>
      <c r="AW777" s="12" t="n">
        <v>1188327</v>
      </c>
      <c r="AX777" s="12" t="n">
        <v>578633</v>
      </c>
      <c r="AY777" s="16" t="n">
        <v>32286</v>
      </c>
      <c r="AZ777" s="13" t="n">
        <f aca="false">IFERROR(AY777/AY776-1,"")</f>
        <v>0.186331067426052</v>
      </c>
      <c r="BA777" s="17" t="n">
        <v>0.951</v>
      </c>
      <c r="BB777" s="11" t="s">
        <v>99</v>
      </c>
      <c r="BC777" s="11" t="s">
        <v>108</v>
      </c>
      <c r="BD777" s="11" t="s">
        <v>101</v>
      </c>
      <c r="BE777" s="12" t="n">
        <v>1172407</v>
      </c>
      <c r="BF777" s="13" t="n">
        <f aca="false">IFERROR(P777/BE777-1,"")</f>
        <v>-0.00157283264258912</v>
      </c>
      <c r="BG777" s="17" t="n">
        <v>0.081</v>
      </c>
      <c r="BH777" s="17" t="n">
        <v>0.027</v>
      </c>
      <c r="BI777" s="14" t="n">
        <f aca="false">P777*(1+IFERROR(Q777,0))^4</f>
        <v>2237475.55845952</v>
      </c>
      <c r="BJ777" s="12" t="n">
        <v>-2269266</v>
      </c>
      <c r="BK777" s="11" t="s">
        <v>102</v>
      </c>
      <c r="BL777" s="11" t="s">
        <v>162</v>
      </c>
      <c r="BM777" s="14" t="n">
        <f aca="false">O777</f>
        <v>41303486</v>
      </c>
      <c r="BN777" s="11" t="s">
        <v>738</v>
      </c>
      <c r="BO777" s="13" t="n">
        <f aca="false">IFERROR(1-L777/M777,"")</f>
        <v>0.12220080763583</v>
      </c>
      <c r="BP777" s="11" t="s">
        <v>142</v>
      </c>
      <c r="BQ777" s="12" t="n">
        <v>2772061</v>
      </c>
      <c r="BR777" s="11" t="s">
        <v>88</v>
      </c>
      <c r="BS777" s="11" t="s">
        <v>89</v>
      </c>
      <c r="BT777" s="19" t="str">
        <f aca="false">IF(OR(Z777&lt;6,AH777&lt;0.9,S777&lt;0.02,AK777&lt;1),"REVIEW",IF(AND(S777&gt;0.25,AH777&gt;1.2),"ACCELERATING","STABLE"))</f>
        <v>STABLE</v>
      </c>
    </row>
    <row r="778" customFormat="false" ht="15" hidden="false" customHeight="false" outlineLevel="0" collapsed="false">
      <c r="A778" s="3" t="s">
        <v>739</v>
      </c>
      <c r="B778" s="3" t="s">
        <v>73</v>
      </c>
      <c r="C778" s="3" t="s">
        <v>74</v>
      </c>
      <c r="D778" s="3" t="s">
        <v>210</v>
      </c>
      <c r="E778" s="3" t="s">
        <v>289</v>
      </c>
      <c r="F778" s="3" t="s">
        <v>740</v>
      </c>
      <c r="G778" s="3" t="s">
        <v>78</v>
      </c>
      <c r="H778" s="3" t="s">
        <v>644</v>
      </c>
      <c r="I778" s="3" t="s">
        <v>78</v>
      </c>
      <c r="J778" s="4" t="n">
        <v>1429000</v>
      </c>
      <c r="K778" s="5" t="n">
        <f aca="false">IFERROR(J778/M778,"")</f>
        <v>0.124868926948619</v>
      </c>
      <c r="L778" s="4" t="n">
        <v>10015000</v>
      </c>
      <c r="M778" s="6" t="n">
        <f aca="false">L778+J778</f>
        <v>11444000</v>
      </c>
      <c r="N778" s="4" t="n">
        <v>7262000</v>
      </c>
      <c r="O778" s="4" t="n">
        <v>24252927</v>
      </c>
      <c r="P778" s="4" t="n">
        <v>1312914</v>
      </c>
      <c r="Q778" s="7"/>
      <c r="R778" s="4" t="n">
        <v>1648892</v>
      </c>
      <c r="S778" s="7"/>
      <c r="T778" s="4" t="n">
        <v>836388</v>
      </c>
      <c r="U778" s="5" t="n">
        <f aca="false">IFERROR(T778/P778,"")</f>
        <v>0.637047057156828</v>
      </c>
      <c r="V778" s="6" t="n">
        <f aca="false">T778-AV778</f>
        <v>-2433309</v>
      </c>
      <c r="W778" s="6" t="n">
        <f aca="false">V778-AA778*0.1</f>
        <v>-2433309</v>
      </c>
      <c r="X778" s="4" t="n">
        <v>6629104</v>
      </c>
      <c r="Y778" s="4" t="n">
        <v>203840</v>
      </c>
      <c r="Z778" s="8" t="n">
        <f aca="false">IFERROR(X778/Y778,"")</f>
        <v>32.521114599686</v>
      </c>
      <c r="AA778" s="4" t="n">
        <v>0</v>
      </c>
      <c r="AB778" s="6" t="n">
        <f aca="false">W778-0.02*P778</f>
        <v>-2459567.28</v>
      </c>
      <c r="AC778" s="9" t="n">
        <v>45</v>
      </c>
      <c r="AD778" s="7"/>
      <c r="AE778" s="7" t="n">
        <v>0.075</v>
      </c>
      <c r="AF778" s="7" t="n">
        <v>0.074</v>
      </c>
      <c r="AG778" s="5" t="n">
        <f aca="false">1-AF778</f>
        <v>0.926</v>
      </c>
      <c r="AH778" s="7" t="n">
        <v>1.147</v>
      </c>
      <c r="AI778" s="4" t="n">
        <v>49502</v>
      </c>
      <c r="AJ778" s="6" t="n">
        <f aca="false">IFERROR(AM778*U778*MIN(1/AE778,5),"")</f>
        <v>162446.999574991</v>
      </c>
      <c r="AK778" s="10" t="n">
        <f aca="false">IFERROR(AJ778/AI778,"")</f>
        <v>3.28162497626341</v>
      </c>
      <c r="AL778" s="8" t="n">
        <f aca="false">IFERROR(AI778/(AM778*U778/12),"")</f>
        <v>18.2836248608512</v>
      </c>
      <c r="AM778" s="4" t="n">
        <v>51000</v>
      </c>
      <c r="AN778" s="4" t="n">
        <v>2187519</v>
      </c>
      <c r="AO778" s="4" t="n">
        <v>4257803</v>
      </c>
      <c r="AP778" s="7" t="n">
        <v>0.226</v>
      </c>
      <c r="AQ778" s="9" t="n">
        <v>56</v>
      </c>
      <c r="AR778" s="9" t="n">
        <v>1</v>
      </c>
      <c r="AS778" s="7"/>
      <c r="AT778" s="3" t="s">
        <v>134</v>
      </c>
      <c r="AU778" s="6" t="n">
        <f aca="false">IFERROR(P778/AR778,"")</f>
        <v>1312914</v>
      </c>
      <c r="AV778" s="4" t="n">
        <v>3269697</v>
      </c>
      <c r="AW778" s="4" t="n">
        <v>1284525</v>
      </c>
      <c r="AX778" s="4" t="n">
        <v>1037641</v>
      </c>
      <c r="AY778" s="9" t="n">
        <v>12087</v>
      </c>
      <c r="AZ778" s="7"/>
      <c r="BA778" s="7" t="n">
        <v>0.945</v>
      </c>
      <c r="BB778" s="3" t="s">
        <v>99</v>
      </c>
      <c r="BC778" s="3" t="s">
        <v>100</v>
      </c>
      <c r="BD778" s="3" t="s">
        <v>109</v>
      </c>
      <c r="BE778" s="4" t="n">
        <v>1309061</v>
      </c>
      <c r="BF778" s="5" t="n">
        <f aca="false">IFERROR(P778/BE778-1,"")</f>
        <v>0.00294333113582934</v>
      </c>
      <c r="BG778" s="7" t="n">
        <v>0.049</v>
      </c>
      <c r="BH778" s="7" t="n">
        <v>0.024</v>
      </c>
      <c r="BI778" s="6" t="n">
        <f aca="false">P778</f>
        <v>1312914</v>
      </c>
      <c r="BJ778" s="4" t="n">
        <v>-1785668</v>
      </c>
      <c r="BK778" s="3" t="s">
        <v>84</v>
      </c>
      <c r="BL778" s="3" t="s">
        <v>111</v>
      </c>
      <c r="BM778" s="6" t="n">
        <f aca="false">O778</f>
        <v>24252927</v>
      </c>
      <c r="BN778" s="3" t="s">
        <v>741</v>
      </c>
      <c r="BO778" s="5" t="n">
        <f aca="false">IFERROR(1-L778/M778,"")</f>
        <v>0.124868926948619</v>
      </c>
      <c r="BP778" s="3" t="s">
        <v>113</v>
      </c>
      <c r="BQ778" s="4" t="n">
        <v>2695090</v>
      </c>
      <c r="BR778" s="3" t="s">
        <v>88</v>
      </c>
      <c r="BS778" s="3" t="s">
        <v>89</v>
      </c>
      <c r="BT778" s="3" t="s">
        <v>90</v>
      </c>
    </row>
    <row r="779" customFormat="false" ht="15" hidden="false" customHeight="false" outlineLevel="0" collapsed="false">
      <c r="A779" s="11" t="s">
        <v>739</v>
      </c>
      <c r="B779" s="11" t="s">
        <v>91</v>
      </c>
      <c r="C779" s="11" t="s">
        <v>74</v>
      </c>
      <c r="D779" s="11" t="s">
        <v>210</v>
      </c>
      <c r="E779" s="11" t="s">
        <v>289</v>
      </c>
      <c r="F779" s="11" t="s">
        <v>740</v>
      </c>
      <c r="G779" s="11" t="s">
        <v>78</v>
      </c>
      <c r="H779" s="11" t="s">
        <v>644</v>
      </c>
      <c r="I779" s="11" t="s">
        <v>78</v>
      </c>
      <c r="J779" s="12" t="n">
        <v>1429000</v>
      </c>
      <c r="K779" s="13" t="n">
        <f aca="false">IFERROR(J779/M779,"")</f>
        <v>0.124868926948619</v>
      </c>
      <c r="L779" s="12" t="n">
        <v>10015000</v>
      </c>
      <c r="M779" s="14" t="n">
        <f aca="false">L779+J779</f>
        <v>11444000</v>
      </c>
      <c r="N779" s="12" t="n">
        <v>7262000</v>
      </c>
      <c r="O779" s="12" t="n">
        <v>24252927</v>
      </c>
      <c r="P779" s="12" t="n">
        <v>1450862</v>
      </c>
      <c r="Q779" s="13" t="n">
        <f aca="false">IFERROR(P779/P778-1,"")</f>
        <v>0.105070095984962</v>
      </c>
      <c r="R779" s="12" t="n">
        <v>1762068</v>
      </c>
      <c r="S779" s="13" t="n">
        <f aca="false">IFERROR(R779/R778-1,"")</f>
        <v>0.068637606344139</v>
      </c>
      <c r="T779" s="12" t="n">
        <v>928009</v>
      </c>
      <c r="U779" s="13" t="n">
        <f aca="false">IFERROR(T779/P779,"")</f>
        <v>0.639625960291193</v>
      </c>
      <c r="V779" s="14" t="n">
        <f aca="false">T779-AV779</f>
        <v>-2419169</v>
      </c>
      <c r="W779" s="14" t="n">
        <f aca="false">V779-AA779*0.1</f>
        <v>-2419169</v>
      </c>
      <c r="X779" s="12" t="n">
        <v>6115024</v>
      </c>
      <c r="Y779" s="12" t="n">
        <v>210560</v>
      </c>
      <c r="Z779" s="15" t="n">
        <f aca="false">IFERROR(X779/Y779,"")</f>
        <v>29.041717325228</v>
      </c>
      <c r="AA779" s="12" t="n">
        <v>0</v>
      </c>
      <c r="AB779" s="14" t="n">
        <f aca="false">W779-0.02*P779</f>
        <v>-2448186.24</v>
      </c>
      <c r="AC779" s="16" t="n">
        <v>50</v>
      </c>
      <c r="AD779" s="13" t="n">
        <f aca="false">IFERROR(AC779/AC778-1,"")</f>
        <v>0.111111111111111</v>
      </c>
      <c r="AE779" s="17" t="n">
        <v>0.073</v>
      </c>
      <c r="AF779" s="17" t="n">
        <v>0.058</v>
      </c>
      <c r="AG779" s="13" t="n">
        <f aca="false">1-AF779</f>
        <v>0.942</v>
      </c>
      <c r="AH779" s="17" t="n">
        <v>1.142</v>
      </c>
      <c r="AI779" s="12" t="n">
        <v>48568</v>
      </c>
      <c r="AJ779" s="14" t="n">
        <f aca="false">IFERROR(AM779*U779*MIN(1/AE779,5),"")</f>
        <v>166366.712271739</v>
      </c>
      <c r="AK779" s="18" t="n">
        <f aca="false">IFERROR(AJ779/AI779,"")</f>
        <v>3.42543881304026</v>
      </c>
      <c r="AL779" s="15" t="n">
        <f aca="false">IFERROR(AI779/(AM779*U779/12),"")</f>
        <v>17.516004014314</v>
      </c>
      <c r="AM779" s="12" t="n">
        <v>52020</v>
      </c>
      <c r="AN779" s="12" t="n">
        <v>2580854</v>
      </c>
      <c r="AO779" s="12" t="n">
        <v>4406478</v>
      </c>
      <c r="AP779" s="17" t="n">
        <v>0.226</v>
      </c>
      <c r="AQ779" s="16" t="n">
        <v>56</v>
      </c>
      <c r="AR779" s="16" t="n">
        <v>2</v>
      </c>
      <c r="AS779" s="13" t="n">
        <f aca="false">IFERROR(AR779/AR778-1,"")</f>
        <v>1</v>
      </c>
      <c r="AT779" s="11" t="s">
        <v>134</v>
      </c>
      <c r="AU779" s="14" t="n">
        <f aca="false">IFERROR(P779/AR779,"")</f>
        <v>725431</v>
      </c>
      <c r="AV779" s="12" t="n">
        <v>3347178</v>
      </c>
      <c r="AW779" s="12" t="n">
        <v>1589568</v>
      </c>
      <c r="AX779" s="12" t="n">
        <v>704958</v>
      </c>
      <c r="AY779" s="16" t="n">
        <v>14620</v>
      </c>
      <c r="AZ779" s="13" t="n">
        <f aca="false">IFERROR(AY779/AY778-1,"")</f>
        <v>0.209563994374121</v>
      </c>
      <c r="BA779" s="17" t="n">
        <v>0.928</v>
      </c>
      <c r="BB779" s="11" t="s">
        <v>99</v>
      </c>
      <c r="BC779" s="11" t="s">
        <v>100</v>
      </c>
      <c r="BD779" s="11" t="s">
        <v>109</v>
      </c>
      <c r="BE779" s="12" t="n">
        <v>1525687</v>
      </c>
      <c r="BF779" s="13" t="n">
        <f aca="false">IFERROR(P779/BE779-1,"")</f>
        <v>-0.0490434800847094</v>
      </c>
      <c r="BG779" s="17" t="n">
        <v>0.033</v>
      </c>
      <c r="BH779" s="17" t="n">
        <v>-0.075</v>
      </c>
      <c r="BI779" s="14" t="n">
        <f aca="false">P779*(1+IFERROR(Q779,0))^4</f>
        <v>2163642.04888039</v>
      </c>
      <c r="BJ779" s="12" t="n">
        <v>-1459597</v>
      </c>
      <c r="BK779" s="11" t="s">
        <v>84</v>
      </c>
      <c r="BL779" s="11" t="s">
        <v>111</v>
      </c>
      <c r="BM779" s="14" t="n">
        <f aca="false">O779</f>
        <v>24252927</v>
      </c>
      <c r="BN779" s="11" t="s">
        <v>741</v>
      </c>
      <c r="BO779" s="13" t="n">
        <f aca="false">IFERROR(1-L779/M779,"")</f>
        <v>0.124868926948619</v>
      </c>
      <c r="BP779" s="11" t="s">
        <v>113</v>
      </c>
      <c r="BQ779" s="12" t="n">
        <v>3899308</v>
      </c>
      <c r="BR779" s="11" t="s">
        <v>88</v>
      </c>
      <c r="BS779" s="11" t="s">
        <v>89</v>
      </c>
      <c r="BT779" s="19" t="str">
        <f aca="false">IF(OR(Z779&lt;6,AH779&lt;0.9,S779&lt;0.02,AK779&lt;1),"REVIEW",IF(AND(S779&gt;0.25,AH779&gt;1.2),"ACCELERATING","STABLE"))</f>
        <v>STABLE</v>
      </c>
    </row>
    <row r="780" customFormat="false" ht="15" hidden="false" customHeight="false" outlineLevel="0" collapsed="false">
      <c r="A780" s="11" t="s">
        <v>739</v>
      </c>
      <c r="B780" s="11" t="s">
        <v>92</v>
      </c>
      <c r="C780" s="11" t="s">
        <v>74</v>
      </c>
      <c r="D780" s="11" t="s">
        <v>210</v>
      </c>
      <c r="E780" s="11" t="s">
        <v>289</v>
      </c>
      <c r="F780" s="11" t="s">
        <v>740</v>
      </c>
      <c r="G780" s="11" t="s">
        <v>78</v>
      </c>
      <c r="H780" s="11" t="s">
        <v>644</v>
      </c>
      <c r="I780" s="11" t="s">
        <v>78</v>
      </c>
      <c r="J780" s="12" t="n">
        <v>1429000</v>
      </c>
      <c r="K780" s="13" t="n">
        <f aca="false">IFERROR(J780/M780,"")</f>
        <v>0.124868926948619</v>
      </c>
      <c r="L780" s="12" t="n">
        <v>10015000</v>
      </c>
      <c r="M780" s="14" t="n">
        <f aca="false">L780+J780</f>
        <v>11444000</v>
      </c>
      <c r="N780" s="12" t="n">
        <v>7262000</v>
      </c>
      <c r="O780" s="12" t="n">
        <v>24252927</v>
      </c>
      <c r="P780" s="12" t="n">
        <v>1646636</v>
      </c>
      <c r="Q780" s="13" t="n">
        <f aca="false">IFERROR(P780/P779-1,"")</f>
        <v>0.134936334399826</v>
      </c>
      <c r="R780" s="12" t="n">
        <v>1959758</v>
      </c>
      <c r="S780" s="13" t="n">
        <f aca="false">IFERROR(R780/R779-1,"")</f>
        <v>0.112192037991723</v>
      </c>
      <c r="T780" s="12" t="n">
        <v>1057478</v>
      </c>
      <c r="U780" s="13" t="n">
        <f aca="false">IFERROR(T780/P780,"")</f>
        <v>0.642205077503468</v>
      </c>
      <c r="V780" s="14" t="n">
        <f aca="false">T780-AV780</f>
        <v>-2308509</v>
      </c>
      <c r="W780" s="14" t="n">
        <f aca="false">V780-AA780*0.1</f>
        <v>-2308509</v>
      </c>
      <c r="X780" s="12" t="n">
        <v>5564656</v>
      </c>
      <c r="Y780" s="12" t="n">
        <v>217280</v>
      </c>
      <c r="Z780" s="15" t="n">
        <f aca="false">IFERROR(X780/Y780,"")</f>
        <v>25.610530191458</v>
      </c>
      <c r="AA780" s="12" t="n">
        <v>0</v>
      </c>
      <c r="AB780" s="14" t="n">
        <f aca="false">W780-0.02*P780</f>
        <v>-2341441.72</v>
      </c>
      <c r="AC780" s="16" t="n">
        <v>57</v>
      </c>
      <c r="AD780" s="13" t="n">
        <f aca="false">IFERROR(AC780/AC779-1,"")</f>
        <v>0.14</v>
      </c>
      <c r="AE780" s="17" t="n">
        <v>0.071</v>
      </c>
      <c r="AF780" s="17" t="n">
        <v>0.057</v>
      </c>
      <c r="AG780" s="13" t="n">
        <f aca="false">1-AF780</f>
        <v>0.943</v>
      </c>
      <c r="AH780" s="17" t="n">
        <v>1.137</v>
      </c>
      <c r="AI780" s="12" t="n">
        <v>47634</v>
      </c>
      <c r="AJ780" s="14" t="n">
        <f aca="false">IFERROR(AM780*U780*MIN(1/AE780,5),"")</f>
        <v>170312.78655392</v>
      </c>
      <c r="AK780" s="18" t="n">
        <f aca="false">IFERROR(AJ780/AI780,"")</f>
        <v>3.57544582764243</v>
      </c>
      <c r="AL780" s="15" t="n">
        <f aca="false">IFERROR(AI780/(AM780*U780/12),"")</f>
        <v>16.7811240590275</v>
      </c>
      <c r="AM780" s="12" t="n">
        <v>53040</v>
      </c>
      <c r="AN780" s="12" t="n">
        <v>2114927</v>
      </c>
      <c r="AO780" s="12" t="n">
        <v>7083816</v>
      </c>
      <c r="AP780" s="17" t="n">
        <v>0.226</v>
      </c>
      <c r="AQ780" s="16" t="n">
        <v>56</v>
      </c>
      <c r="AR780" s="16" t="n">
        <v>2</v>
      </c>
      <c r="AS780" s="13" t="n">
        <f aca="false">IFERROR(AR780/AR779-1,"")</f>
        <v>0</v>
      </c>
      <c r="AT780" s="11" t="s">
        <v>134</v>
      </c>
      <c r="AU780" s="14" t="n">
        <f aca="false">IFERROR(P780/AR780,"")</f>
        <v>823318</v>
      </c>
      <c r="AV780" s="12" t="n">
        <v>3365987</v>
      </c>
      <c r="AW780" s="12" t="n">
        <v>1597231</v>
      </c>
      <c r="AX780" s="12" t="n">
        <v>839677</v>
      </c>
      <c r="AY780" s="16" t="n">
        <v>14950</v>
      </c>
      <c r="AZ780" s="13" t="n">
        <f aca="false">IFERROR(AY780/AY779-1,"")</f>
        <v>0.0225718194254445</v>
      </c>
      <c r="BA780" s="17" t="n">
        <v>0.945</v>
      </c>
      <c r="BB780" s="11" t="s">
        <v>99</v>
      </c>
      <c r="BC780" s="11" t="s">
        <v>100</v>
      </c>
      <c r="BD780" s="11" t="s">
        <v>109</v>
      </c>
      <c r="BE780" s="12" t="n">
        <v>1660222</v>
      </c>
      <c r="BF780" s="13" t="n">
        <f aca="false">IFERROR(P780/BE780-1,"")</f>
        <v>-0.00818324296389283</v>
      </c>
      <c r="BG780" s="17" t="n">
        <v>0.03</v>
      </c>
      <c r="BH780" s="17" t="n">
        <v>0.082</v>
      </c>
      <c r="BI780" s="14" t="n">
        <f aca="false">P780*(1+IFERROR(Q780,0))^4</f>
        <v>2732018.31115242</v>
      </c>
      <c r="BJ780" s="12" t="n">
        <v>-1800391</v>
      </c>
      <c r="BK780" s="11" t="s">
        <v>84</v>
      </c>
      <c r="BL780" s="11" t="s">
        <v>111</v>
      </c>
      <c r="BM780" s="14" t="n">
        <f aca="false">O780</f>
        <v>24252927</v>
      </c>
      <c r="BN780" s="11" t="s">
        <v>741</v>
      </c>
      <c r="BO780" s="13" t="n">
        <f aca="false">IFERROR(1-L780/M780,"")</f>
        <v>0.124868926948619</v>
      </c>
      <c r="BP780" s="11" t="s">
        <v>113</v>
      </c>
      <c r="BQ780" s="12" t="n">
        <v>2867792</v>
      </c>
      <c r="BR780" s="11" t="s">
        <v>88</v>
      </c>
      <c r="BS780" s="11" t="s">
        <v>89</v>
      </c>
      <c r="BT780" s="19" t="str">
        <f aca="false">IF(OR(Z780&lt;6,AH780&lt;0.9,S780&lt;0.02,AK780&lt;1),"REVIEW",IF(AND(S780&gt;0.25,AH780&gt;1.2),"ACCELERATING","STABLE"))</f>
        <v>STABLE</v>
      </c>
    </row>
    <row r="781" customFormat="false" ht="15" hidden="false" customHeight="false" outlineLevel="0" collapsed="false">
      <c r="A781" s="11" t="s">
        <v>739</v>
      </c>
      <c r="B781" s="11" t="s">
        <v>93</v>
      </c>
      <c r="C781" s="11" t="s">
        <v>74</v>
      </c>
      <c r="D781" s="11" t="s">
        <v>210</v>
      </c>
      <c r="E781" s="11" t="s">
        <v>289</v>
      </c>
      <c r="F781" s="11" t="s">
        <v>740</v>
      </c>
      <c r="G781" s="11" t="s">
        <v>78</v>
      </c>
      <c r="H781" s="11" t="s">
        <v>644</v>
      </c>
      <c r="I781" s="11" t="s">
        <v>78</v>
      </c>
      <c r="J781" s="12" t="n">
        <v>1429000</v>
      </c>
      <c r="K781" s="13" t="n">
        <f aca="false">IFERROR(J781/M781,"")</f>
        <v>0.124868926948619</v>
      </c>
      <c r="L781" s="12" t="n">
        <v>10015000</v>
      </c>
      <c r="M781" s="14" t="n">
        <f aca="false">L781+J781</f>
        <v>11444000</v>
      </c>
      <c r="N781" s="12" t="n">
        <v>7262000</v>
      </c>
      <c r="O781" s="12" t="n">
        <v>24252927</v>
      </c>
      <c r="P781" s="12" t="n">
        <v>1800670</v>
      </c>
      <c r="Q781" s="13" t="n">
        <f aca="false">IFERROR(P781/P780-1,"")</f>
        <v>0.0935446571069745</v>
      </c>
      <c r="R781" s="12" t="n">
        <v>2206434</v>
      </c>
      <c r="S781" s="13" t="n">
        <f aca="false">IFERROR(R781/R780-1,"")</f>
        <v>0.12587064321207</v>
      </c>
      <c r="T781" s="12" t="n">
        <v>1161043</v>
      </c>
      <c r="U781" s="13" t="n">
        <f aca="false">IFERROR(T781/P781,"")</f>
        <v>0.64478388599799</v>
      </c>
      <c r="V781" s="14" t="n">
        <f aca="false">T781-AV781</f>
        <v>-2035703</v>
      </c>
      <c r="W781" s="14" t="n">
        <f aca="false">V781-AA781*0.1</f>
        <v>-2035703</v>
      </c>
      <c r="X781" s="12" t="n">
        <v>4978000</v>
      </c>
      <c r="Y781" s="12" t="n">
        <v>224000</v>
      </c>
      <c r="Z781" s="15" t="n">
        <f aca="false">IFERROR(X781/Y781,"")</f>
        <v>22.2232142857143</v>
      </c>
      <c r="AA781" s="12" t="n">
        <v>0</v>
      </c>
      <c r="AB781" s="14" t="n">
        <f aca="false">W781-0.02*P781</f>
        <v>-2071716.4</v>
      </c>
      <c r="AC781" s="16" t="n">
        <v>55</v>
      </c>
      <c r="AD781" s="13" t="n">
        <f aca="false">IFERROR(AC781/AC780-1,"")</f>
        <v>-0.0350877192982456</v>
      </c>
      <c r="AE781" s="17" t="n">
        <v>0.069</v>
      </c>
      <c r="AF781" s="17" t="n">
        <v>0.048</v>
      </c>
      <c r="AG781" s="13" t="n">
        <f aca="false">1-AF781</f>
        <v>0.952</v>
      </c>
      <c r="AH781" s="17" t="n">
        <v>1.132</v>
      </c>
      <c r="AI781" s="12" t="n">
        <v>46700</v>
      </c>
      <c r="AJ781" s="14" t="n">
        <f aca="false">IFERROR(AM781*U781*MIN(1/AE781,5),"")</f>
        <v>174285.084385257</v>
      </c>
      <c r="AK781" s="18" t="n">
        <f aca="false">IFERROR(AJ781/AI781,"")</f>
        <v>3.73201465493055</v>
      </c>
      <c r="AL781" s="15" t="n">
        <f aca="false">IFERROR(AI781/(AM781*U781/12),"")</f>
        <v>16.077107285935</v>
      </c>
      <c r="AM781" s="12" t="n">
        <v>54060</v>
      </c>
      <c r="AN781" s="12" t="n">
        <v>2898447</v>
      </c>
      <c r="AO781" s="12" t="n">
        <v>3572211</v>
      </c>
      <c r="AP781" s="17" t="n">
        <v>0.226</v>
      </c>
      <c r="AQ781" s="16" t="n">
        <v>56</v>
      </c>
      <c r="AR781" s="16" t="n">
        <v>2</v>
      </c>
      <c r="AS781" s="13" t="n">
        <f aca="false">IFERROR(AR781/AR780-1,"")</f>
        <v>0</v>
      </c>
      <c r="AT781" s="11" t="s">
        <v>134</v>
      </c>
      <c r="AU781" s="14" t="n">
        <f aca="false">IFERROR(P781/AR781,"")</f>
        <v>900335</v>
      </c>
      <c r="AV781" s="12" t="n">
        <v>3196746</v>
      </c>
      <c r="AW781" s="12" t="n">
        <v>1346597</v>
      </c>
      <c r="AX781" s="12" t="n">
        <v>646042</v>
      </c>
      <c r="AY781" s="16" t="n">
        <v>17461</v>
      </c>
      <c r="AZ781" s="13" t="n">
        <f aca="false">IFERROR(AY781/AY780-1,"")</f>
        <v>0.167959866220736</v>
      </c>
      <c r="BA781" s="17" t="n">
        <v>0.931</v>
      </c>
      <c r="BB781" s="11" t="s">
        <v>99</v>
      </c>
      <c r="BC781" s="11" t="s">
        <v>100</v>
      </c>
      <c r="BD781" s="11" t="s">
        <v>109</v>
      </c>
      <c r="BE781" s="12" t="n">
        <v>1726614</v>
      </c>
      <c r="BF781" s="13" t="n">
        <f aca="false">IFERROR(P781/BE781-1,"")</f>
        <v>0.0428908835443242</v>
      </c>
      <c r="BG781" s="17" t="n">
        <v>-0.022</v>
      </c>
      <c r="BH781" s="17" t="n">
        <v>0.09</v>
      </c>
      <c r="BI781" s="14" t="n">
        <f aca="false">P781*(1+IFERROR(Q781,0))^4</f>
        <v>2575017.71532035</v>
      </c>
      <c r="BJ781" s="12" t="n">
        <v>-1666257</v>
      </c>
      <c r="BK781" s="11" t="s">
        <v>84</v>
      </c>
      <c r="BL781" s="11" t="s">
        <v>111</v>
      </c>
      <c r="BM781" s="14" t="n">
        <f aca="false">O781</f>
        <v>24252927</v>
      </c>
      <c r="BN781" s="11" t="s">
        <v>741</v>
      </c>
      <c r="BO781" s="13" t="n">
        <f aca="false">IFERROR(1-L781/M781,"")</f>
        <v>0.124868926948619</v>
      </c>
      <c r="BP781" s="11" t="s">
        <v>113</v>
      </c>
      <c r="BQ781" s="12" t="n">
        <v>3142815</v>
      </c>
      <c r="BR781" s="11" t="s">
        <v>88</v>
      </c>
      <c r="BS781" s="11" t="s">
        <v>89</v>
      </c>
      <c r="BT781" s="19" t="str">
        <f aca="false">IF(OR(Z781&lt;6,AH781&lt;0.9,S781&lt;0.02,AK781&lt;1),"REVIEW",IF(AND(S781&gt;0.25,AH781&gt;1.2),"ACCELERATING","STABLE"))</f>
        <v>STABLE</v>
      </c>
    </row>
    <row r="782" customFormat="false" ht="15" hidden="false" customHeight="false" outlineLevel="0" collapsed="false">
      <c r="A782" s="3" t="s">
        <v>742</v>
      </c>
      <c r="B782" s="3" t="s">
        <v>73</v>
      </c>
      <c r="C782" s="3" t="s">
        <v>74</v>
      </c>
      <c r="D782" s="3" t="s">
        <v>210</v>
      </c>
      <c r="E782" s="3" t="s">
        <v>116</v>
      </c>
      <c r="F782" s="3" t="s">
        <v>743</v>
      </c>
      <c r="G782" s="3" t="s">
        <v>78</v>
      </c>
      <c r="H782" s="3" t="s">
        <v>644</v>
      </c>
      <c r="I782" s="3" t="s">
        <v>78</v>
      </c>
      <c r="J782" s="4" t="n">
        <v>3604000</v>
      </c>
      <c r="K782" s="5" t="n">
        <f aca="false">IFERROR(J782/M782,"")</f>
        <v>0.121641690292966</v>
      </c>
      <c r="L782" s="4" t="n">
        <v>26024000</v>
      </c>
      <c r="M782" s="6" t="n">
        <f aca="false">L782+J782</f>
        <v>29628000</v>
      </c>
      <c r="N782" s="4" t="n">
        <v>4358000</v>
      </c>
      <c r="O782" s="4" t="n">
        <v>27383015</v>
      </c>
      <c r="P782" s="4" t="n">
        <v>168868</v>
      </c>
      <c r="Q782" s="7"/>
      <c r="R782" s="4" t="n">
        <v>194153</v>
      </c>
      <c r="S782" s="7"/>
      <c r="T782" s="4" t="n">
        <v>130915</v>
      </c>
      <c r="U782" s="5" t="n">
        <f aca="false">IFERROR(T782/P782,"")</f>
        <v>0.77525049150816</v>
      </c>
      <c r="V782" s="6" t="n">
        <f aca="false">T782-AV782</f>
        <v>-866016</v>
      </c>
      <c r="W782" s="6" t="n">
        <f aca="false">V782-AA782*0.1</f>
        <v>-866016</v>
      </c>
      <c r="X782" s="4" t="n">
        <v>2418051</v>
      </c>
      <c r="Y782" s="4" t="n">
        <v>73710</v>
      </c>
      <c r="Z782" s="8" t="n">
        <f aca="false">IFERROR(X782/Y782,"")</f>
        <v>32.8049247049247</v>
      </c>
      <c r="AA782" s="4" t="n">
        <v>0</v>
      </c>
      <c r="AB782" s="6" t="n">
        <f aca="false">W782-0.02*P782</f>
        <v>-869393.36</v>
      </c>
      <c r="AC782" s="9" t="n">
        <v>14</v>
      </c>
      <c r="AD782" s="7"/>
      <c r="AE782" s="7" t="n">
        <v>0.135</v>
      </c>
      <c r="AF782" s="7" t="n">
        <v>0.123</v>
      </c>
      <c r="AG782" s="5" t="n">
        <f aca="false">1-AF782</f>
        <v>0.877</v>
      </c>
      <c r="AH782" s="7" t="n">
        <v>1.171</v>
      </c>
      <c r="AI782" s="4" t="n">
        <v>51622</v>
      </c>
      <c r="AJ782" s="6" t="n">
        <f aca="false">IFERROR(AM782*U782*MIN(1/AE782,5),"")</f>
        <v>100782.563896061</v>
      </c>
      <c r="AK782" s="10" t="n">
        <f aca="false">IFERROR(AJ782/AI782,"")</f>
        <v>1.95231807942468</v>
      </c>
      <c r="AL782" s="8" t="n">
        <f aca="false">IFERROR(AI782/(AM782*U782/12),"")</f>
        <v>30.7326970089224</v>
      </c>
      <c r="AM782" s="4" t="n">
        <v>26000</v>
      </c>
      <c r="AN782" s="4" t="n">
        <v>245892</v>
      </c>
      <c r="AO782" s="4" t="n">
        <v>673294</v>
      </c>
      <c r="AP782" s="7" t="n">
        <v>0.406</v>
      </c>
      <c r="AQ782" s="9" t="n">
        <v>73</v>
      </c>
      <c r="AR782" s="9" t="n">
        <v>3</v>
      </c>
      <c r="AS782" s="7"/>
      <c r="AT782" s="3" t="s">
        <v>80</v>
      </c>
      <c r="AU782" s="6" t="n">
        <f aca="false">IFERROR(P782/AR782,"")</f>
        <v>56289.3333333333</v>
      </c>
      <c r="AV782" s="4" t="n">
        <v>996931</v>
      </c>
      <c r="AW782" s="4" t="n">
        <v>388942</v>
      </c>
      <c r="AX782" s="4" t="n">
        <v>319067</v>
      </c>
      <c r="AY782" s="9" t="n">
        <v>16059</v>
      </c>
      <c r="AZ782" s="7"/>
      <c r="BA782" s="7" t="n">
        <v>0.898</v>
      </c>
      <c r="BB782" s="3" t="s">
        <v>161</v>
      </c>
      <c r="BC782" s="3" t="s">
        <v>100</v>
      </c>
      <c r="BD782" s="3" t="s">
        <v>109</v>
      </c>
      <c r="BE782" s="4" t="n">
        <v>178953</v>
      </c>
      <c r="BF782" s="5" t="n">
        <f aca="false">IFERROR(P782/BE782-1,"")</f>
        <v>-0.0563555793979424</v>
      </c>
      <c r="BG782" s="7" t="n">
        <v>0.014</v>
      </c>
      <c r="BH782" s="7" t="n">
        <v>-0.009</v>
      </c>
      <c r="BI782" s="6" t="n">
        <f aca="false">P782</f>
        <v>168868</v>
      </c>
      <c r="BJ782" s="4" t="n">
        <v>-782249</v>
      </c>
      <c r="BK782" s="3" t="s">
        <v>102</v>
      </c>
      <c r="BL782" s="3" t="s">
        <v>128</v>
      </c>
      <c r="BM782" s="6" t="n">
        <f aca="false">O782</f>
        <v>27383015</v>
      </c>
      <c r="BN782" s="3" t="s">
        <v>744</v>
      </c>
      <c r="BO782" s="5" t="n">
        <f aca="false">IFERROR(1-L782/M782,"")</f>
        <v>0.121641690292966</v>
      </c>
      <c r="BP782" s="3" t="s">
        <v>142</v>
      </c>
      <c r="BQ782" s="4" t="n">
        <v>1166957</v>
      </c>
      <c r="BR782" s="3" t="s">
        <v>88</v>
      </c>
      <c r="BS782" s="3" t="s">
        <v>89</v>
      </c>
      <c r="BT782" s="3" t="s">
        <v>90</v>
      </c>
    </row>
    <row r="783" customFormat="false" ht="15" hidden="false" customHeight="false" outlineLevel="0" collapsed="false">
      <c r="A783" s="11" t="s">
        <v>742</v>
      </c>
      <c r="B783" s="11" t="s">
        <v>91</v>
      </c>
      <c r="C783" s="11" t="s">
        <v>74</v>
      </c>
      <c r="D783" s="11" t="s">
        <v>210</v>
      </c>
      <c r="E783" s="11" t="s">
        <v>116</v>
      </c>
      <c r="F783" s="11" t="s">
        <v>743</v>
      </c>
      <c r="G783" s="11" t="s">
        <v>78</v>
      </c>
      <c r="H783" s="11" t="s">
        <v>644</v>
      </c>
      <c r="I783" s="11" t="s">
        <v>78</v>
      </c>
      <c r="J783" s="12" t="n">
        <v>3604000</v>
      </c>
      <c r="K783" s="13" t="n">
        <f aca="false">IFERROR(J783/M783,"")</f>
        <v>0.121641690292966</v>
      </c>
      <c r="L783" s="12" t="n">
        <v>26024000</v>
      </c>
      <c r="M783" s="14" t="n">
        <f aca="false">L783+J783</f>
        <v>29628000</v>
      </c>
      <c r="N783" s="12" t="n">
        <v>4358000</v>
      </c>
      <c r="O783" s="12" t="n">
        <v>27383015</v>
      </c>
      <c r="P783" s="12" t="n">
        <v>194758</v>
      </c>
      <c r="Q783" s="13" t="n">
        <f aca="false">IFERROR(P783/P782-1,"")</f>
        <v>0.153315015278205</v>
      </c>
      <c r="R783" s="12" t="n">
        <v>218622</v>
      </c>
      <c r="S783" s="13" t="n">
        <f aca="false">IFERROR(R783/R782-1,"")</f>
        <v>0.126029471602293</v>
      </c>
      <c r="T783" s="12" t="n">
        <v>151598</v>
      </c>
      <c r="U783" s="13" t="n">
        <f aca="false">IFERROR(T783/P783,"")</f>
        <v>0.778391645015866</v>
      </c>
      <c r="V783" s="14" t="n">
        <f aca="false">T783-AV783</f>
        <v>-738814</v>
      </c>
      <c r="W783" s="14" t="n">
        <f aca="false">V783-AA783*0.1</f>
        <v>-738814</v>
      </c>
      <c r="X783" s="12" t="n">
        <v>2232156</v>
      </c>
      <c r="Y783" s="12" t="n">
        <v>76140</v>
      </c>
      <c r="Z783" s="15" t="n">
        <f aca="false">IFERROR(X783/Y783,"")</f>
        <v>29.3164696611505</v>
      </c>
      <c r="AA783" s="12" t="n">
        <v>0</v>
      </c>
      <c r="AB783" s="14" t="n">
        <f aca="false">W783-0.02*P783</f>
        <v>-742709.16</v>
      </c>
      <c r="AC783" s="16" t="n">
        <v>15</v>
      </c>
      <c r="AD783" s="13" t="n">
        <f aca="false">IFERROR(AC783/AC782-1,"")</f>
        <v>0.0714285714285714</v>
      </c>
      <c r="AE783" s="17" t="n">
        <v>0.131</v>
      </c>
      <c r="AF783" s="17" t="n">
        <v>0.104</v>
      </c>
      <c r="AG783" s="13" t="n">
        <f aca="false">1-AF783</f>
        <v>0.896</v>
      </c>
      <c r="AH783" s="17" t="n">
        <v>1.166</v>
      </c>
      <c r="AI783" s="12" t="n">
        <v>50648</v>
      </c>
      <c r="AJ783" s="14" t="n">
        <f aca="false">IFERROR(AM783*U783*MIN(1/AE783,5),"")</f>
        <v>103214.732129104</v>
      </c>
      <c r="AK783" s="18" t="n">
        <f aca="false">IFERROR(AJ783/AI783,"")</f>
        <v>2.03788367021608</v>
      </c>
      <c r="AL783" s="15" t="n">
        <f aca="false">IFERROR(AI783/(AM783*U783/12),"")</f>
        <v>29.4423086444567</v>
      </c>
      <c r="AM783" s="12" t="n">
        <v>26520</v>
      </c>
      <c r="AN783" s="12" t="n">
        <v>314528</v>
      </c>
      <c r="AO783" s="12" t="n">
        <v>399354</v>
      </c>
      <c r="AP783" s="17" t="n">
        <v>0.406</v>
      </c>
      <c r="AQ783" s="16" t="n">
        <v>73</v>
      </c>
      <c r="AR783" s="16" t="n">
        <v>4</v>
      </c>
      <c r="AS783" s="13" t="n">
        <f aca="false">IFERROR(AR783/AR782-1,"")</f>
        <v>0.333333333333333</v>
      </c>
      <c r="AT783" s="11" t="s">
        <v>80</v>
      </c>
      <c r="AU783" s="14" t="n">
        <f aca="false">IFERROR(P783/AR783,"")</f>
        <v>48689.5</v>
      </c>
      <c r="AV783" s="12" t="n">
        <v>890412</v>
      </c>
      <c r="AW783" s="12" t="n">
        <v>320732</v>
      </c>
      <c r="AX783" s="12" t="n">
        <v>264275</v>
      </c>
      <c r="AY783" s="16" t="n">
        <v>17897</v>
      </c>
      <c r="AZ783" s="13" t="n">
        <f aca="false">IFERROR(AY783/AY782-1,"")</f>
        <v>0.114452954729435</v>
      </c>
      <c r="BA783" s="17" t="n">
        <v>0.904</v>
      </c>
      <c r="BB783" s="11" t="s">
        <v>161</v>
      </c>
      <c r="BC783" s="11" t="s">
        <v>100</v>
      </c>
      <c r="BD783" s="11" t="s">
        <v>109</v>
      </c>
      <c r="BE783" s="12" t="n">
        <v>222266</v>
      </c>
      <c r="BF783" s="13" t="n">
        <f aca="false">IFERROR(P783/BE783-1,"")</f>
        <v>-0.123761618961065</v>
      </c>
      <c r="BG783" s="17" t="n">
        <v>-0.055</v>
      </c>
      <c r="BH783" s="17" t="n">
        <v>0.017</v>
      </c>
      <c r="BI783" s="14" t="n">
        <f aca="false">P783*(1+IFERROR(Q783,0))^4</f>
        <v>344577.639077889</v>
      </c>
      <c r="BJ783" s="12" t="n">
        <v>-553973</v>
      </c>
      <c r="BK783" s="11" t="s">
        <v>102</v>
      </c>
      <c r="BL783" s="11" t="s">
        <v>128</v>
      </c>
      <c r="BM783" s="14" t="n">
        <f aca="false">O783</f>
        <v>27383015</v>
      </c>
      <c r="BN783" s="11" t="s">
        <v>744</v>
      </c>
      <c r="BO783" s="13" t="n">
        <f aca="false">IFERROR(1-L783/M783,"")</f>
        <v>0.121641690292966</v>
      </c>
      <c r="BP783" s="11" t="s">
        <v>142</v>
      </c>
      <c r="BQ783" s="12" t="n">
        <v>1198384</v>
      </c>
      <c r="BR783" s="11" t="s">
        <v>88</v>
      </c>
      <c r="BS783" s="11" t="s">
        <v>89</v>
      </c>
      <c r="BT783" s="19" t="str">
        <f aca="false">IF(OR(Z783&lt;6,AH783&lt;0.9,S783&lt;0.02,AK783&lt;1),"REVIEW",IF(AND(S783&gt;0.25,AH783&gt;1.2),"ACCELERATING","STABLE"))</f>
        <v>STABLE</v>
      </c>
    </row>
    <row r="784" customFormat="false" ht="15" hidden="false" customHeight="false" outlineLevel="0" collapsed="false">
      <c r="A784" s="11" t="s">
        <v>742</v>
      </c>
      <c r="B784" s="11" t="s">
        <v>92</v>
      </c>
      <c r="C784" s="11" t="s">
        <v>74</v>
      </c>
      <c r="D784" s="11" t="s">
        <v>210</v>
      </c>
      <c r="E784" s="11" t="s">
        <v>116</v>
      </c>
      <c r="F784" s="11" t="s">
        <v>743</v>
      </c>
      <c r="G784" s="11" t="s">
        <v>78</v>
      </c>
      <c r="H784" s="11" t="s">
        <v>644</v>
      </c>
      <c r="I784" s="11" t="s">
        <v>78</v>
      </c>
      <c r="J784" s="12" t="n">
        <v>3604000</v>
      </c>
      <c r="K784" s="13" t="n">
        <f aca="false">IFERROR(J784/M784,"")</f>
        <v>0.121641690292966</v>
      </c>
      <c r="L784" s="12" t="n">
        <v>26024000</v>
      </c>
      <c r="M784" s="14" t="n">
        <f aca="false">L784+J784</f>
        <v>29628000</v>
      </c>
      <c r="N784" s="12" t="n">
        <v>4358000</v>
      </c>
      <c r="O784" s="12" t="n">
        <v>27383015</v>
      </c>
      <c r="P784" s="12" t="n">
        <v>208382</v>
      </c>
      <c r="Q784" s="13" t="n">
        <f aca="false">IFERROR(P784/P783-1,"")</f>
        <v>0.0699534807299316</v>
      </c>
      <c r="R784" s="12" t="n">
        <v>252970</v>
      </c>
      <c r="S784" s="13" t="n">
        <f aca="false">IFERROR(R784/R783-1,"")</f>
        <v>0.157111361162189</v>
      </c>
      <c r="T784" s="12" t="n">
        <v>162856</v>
      </c>
      <c r="U784" s="13" t="n">
        <f aca="false">IFERROR(T784/P784,"")</f>
        <v>0.781526235471394</v>
      </c>
      <c r="V784" s="14" t="n">
        <f aca="false">T784-AV784</f>
        <v>-971489</v>
      </c>
      <c r="W784" s="14" t="n">
        <f aca="false">V784-AA784*0.1</f>
        <v>-971489</v>
      </c>
      <c r="X784" s="12" t="n">
        <v>2033139</v>
      </c>
      <c r="Y784" s="12" t="n">
        <v>78570</v>
      </c>
      <c r="Z784" s="15" t="n">
        <f aca="false">IFERROR(X784/Y784,"")</f>
        <v>25.8767850324551</v>
      </c>
      <c r="AA784" s="12" t="n">
        <v>0</v>
      </c>
      <c r="AB784" s="14" t="n">
        <f aca="false">W784-0.02*P784</f>
        <v>-975656.64</v>
      </c>
      <c r="AC784" s="16" t="n">
        <v>16</v>
      </c>
      <c r="AD784" s="13" t="n">
        <f aca="false">IFERROR(AC784/AC783-1,"")</f>
        <v>0.0666666666666667</v>
      </c>
      <c r="AE784" s="17" t="n">
        <v>0.128</v>
      </c>
      <c r="AF784" s="17" t="n">
        <v>0.132</v>
      </c>
      <c r="AG784" s="13" t="n">
        <f aca="false">1-AF784</f>
        <v>0.868</v>
      </c>
      <c r="AH784" s="17" t="n">
        <v>1.161</v>
      </c>
      <c r="AI784" s="12" t="n">
        <v>49674</v>
      </c>
      <c r="AJ784" s="14" t="n">
        <f aca="false">IFERROR(AM784*U784*MIN(1/AE784,5),"")</f>
        <v>105662.347035732</v>
      </c>
      <c r="AK784" s="18" t="n">
        <f aca="false">IFERROR(AJ784/AI784,"")</f>
        <v>2.12711573530886</v>
      </c>
      <c r="AL784" s="15" t="n">
        <f aca="false">IFERROR(AI784/(AM784*U784/12),"")</f>
        <v>28.2072098870952</v>
      </c>
      <c r="AM784" s="12" t="n">
        <v>27040</v>
      </c>
      <c r="AN784" s="12" t="n">
        <v>298304</v>
      </c>
      <c r="AO784" s="12" t="n">
        <v>942319</v>
      </c>
      <c r="AP784" s="17" t="n">
        <v>0.406</v>
      </c>
      <c r="AQ784" s="16" t="n">
        <v>73</v>
      </c>
      <c r="AR784" s="16" t="n">
        <v>4</v>
      </c>
      <c r="AS784" s="13" t="n">
        <f aca="false">IFERROR(AR784/AR783-1,"")</f>
        <v>0</v>
      </c>
      <c r="AT784" s="11" t="s">
        <v>80</v>
      </c>
      <c r="AU784" s="14" t="n">
        <f aca="false">IFERROR(P784/AR784,"")</f>
        <v>52095.5</v>
      </c>
      <c r="AV784" s="12" t="n">
        <v>1134345</v>
      </c>
      <c r="AW784" s="12" t="n">
        <v>416102</v>
      </c>
      <c r="AX784" s="12" t="n">
        <v>337942</v>
      </c>
      <c r="AY784" s="16" t="n">
        <v>19606</v>
      </c>
      <c r="AZ784" s="13" t="n">
        <f aca="false">IFERROR(AY784/AY783-1,"")</f>
        <v>0.09549086439068</v>
      </c>
      <c r="BA784" s="17" t="n">
        <v>0.904</v>
      </c>
      <c r="BB784" s="11" t="s">
        <v>161</v>
      </c>
      <c r="BC784" s="11" t="s">
        <v>100</v>
      </c>
      <c r="BD784" s="11" t="s">
        <v>109</v>
      </c>
      <c r="BE784" s="12" t="n">
        <v>247381</v>
      </c>
      <c r="BF784" s="13" t="n">
        <f aca="false">IFERROR(P784/BE784-1,"")</f>
        <v>-0.157647515371027</v>
      </c>
      <c r="BG784" s="17" t="n">
        <v>0.059</v>
      </c>
      <c r="BH784" s="17" t="n">
        <v>0.062</v>
      </c>
      <c r="BI784" s="14" t="n">
        <f aca="false">P784*(1+IFERROR(Q784,0))^4</f>
        <v>273098.796071316</v>
      </c>
      <c r="BJ784" s="12" t="n">
        <v>-730257</v>
      </c>
      <c r="BK784" s="11" t="s">
        <v>102</v>
      </c>
      <c r="BL784" s="11" t="s">
        <v>128</v>
      </c>
      <c r="BM784" s="14" t="n">
        <f aca="false">O784</f>
        <v>27383015</v>
      </c>
      <c r="BN784" s="11" t="s">
        <v>744</v>
      </c>
      <c r="BO784" s="13" t="n">
        <f aca="false">IFERROR(1-L784/M784,"")</f>
        <v>0.121641690292966</v>
      </c>
      <c r="BP784" s="11" t="s">
        <v>142</v>
      </c>
      <c r="BQ784" s="12" t="n">
        <v>1400903</v>
      </c>
      <c r="BR784" s="11" t="s">
        <v>88</v>
      </c>
      <c r="BS784" s="11" t="s">
        <v>89</v>
      </c>
      <c r="BT784" s="19" t="str">
        <f aca="false">IF(OR(Z784&lt;6,AH784&lt;0.9,S784&lt;0.02,AK784&lt;1),"REVIEW",IF(AND(S784&gt;0.25,AH784&gt;1.2),"ACCELERATING","STABLE"))</f>
        <v>STABLE</v>
      </c>
    </row>
    <row r="785" customFormat="false" ht="15" hidden="false" customHeight="false" outlineLevel="0" collapsed="false">
      <c r="A785" s="11" t="s">
        <v>742</v>
      </c>
      <c r="B785" s="11" t="s">
        <v>93</v>
      </c>
      <c r="C785" s="11" t="s">
        <v>74</v>
      </c>
      <c r="D785" s="11" t="s">
        <v>210</v>
      </c>
      <c r="E785" s="11" t="s">
        <v>116</v>
      </c>
      <c r="F785" s="11" t="s">
        <v>743</v>
      </c>
      <c r="G785" s="11" t="s">
        <v>78</v>
      </c>
      <c r="H785" s="11" t="s">
        <v>644</v>
      </c>
      <c r="I785" s="11" t="s">
        <v>78</v>
      </c>
      <c r="J785" s="12" t="n">
        <v>3604000</v>
      </c>
      <c r="K785" s="13" t="n">
        <f aca="false">IFERROR(J785/M785,"")</f>
        <v>0.121641690292966</v>
      </c>
      <c r="L785" s="12" t="n">
        <v>26024000</v>
      </c>
      <c r="M785" s="14" t="n">
        <f aca="false">L785+J785</f>
        <v>29628000</v>
      </c>
      <c r="N785" s="12" t="n">
        <v>4358000</v>
      </c>
      <c r="O785" s="12" t="n">
        <v>27383015</v>
      </c>
      <c r="P785" s="12" t="n">
        <v>252370</v>
      </c>
      <c r="Q785" s="13" t="n">
        <f aca="false">IFERROR(P785/P784-1,"")</f>
        <v>0.21109308865449</v>
      </c>
      <c r="R785" s="12" t="n">
        <v>277374</v>
      </c>
      <c r="S785" s="13" t="n">
        <f aca="false">IFERROR(R785/R784-1,"")</f>
        <v>0.0964699371466973</v>
      </c>
      <c r="T785" s="12" t="n">
        <v>198026</v>
      </c>
      <c r="U785" s="13" t="n">
        <f aca="false">IFERROR(T785/P785,"")</f>
        <v>0.784665372270872</v>
      </c>
      <c r="V785" s="14" t="n">
        <f aca="false">T785-AV785</f>
        <v>-833429</v>
      </c>
      <c r="W785" s="14" t="n">
        <f aca="false">V785-AA785*0.1</f>
        <v>-833429</v>
      </c>
      <c r="X785" s="12" t="n">
        <v>1821000</v>
      </c>
      <c r="Y785" s="12" t="n">
        <v>81000</v>
      </c>
      <c r="Z785" s="15" t="n">
        <f aca="false">IFERROR(X785/Y785,"")</f>
        <v>22.4814814814815</v>
      </c>
      <c r="AA785" s="12" t="n">
        <v>0</v>
      </c>
      <c r="AB785" s="14" t="n">
        <f aca="false">W785-0.02*P785</f>
        <v>-838476.4</v>
      </c>
      <c r="AC785" s="16" t="n">
        <v>18</v>
      </c>
      <c r="AD785" s="13" t="n">
        <f aca="false">IFERROR(AC785/AC784-1,"")</f>
        <v>0.125</v>
      </c>
      <c r="AE785" s="17" t="n">
        <v>0.124</v>
      </c>
      <c r="AF785" s="17" t="n">
        <v>0.075</v>
      </c>
      <c r="AG785" s="13" t="n">
        <f aca="false">1-AF785</f>
        <v>0.925</v>
      </c>
      <c r="AH785" s="17" t="n">
        <v>1.156</v>
      </c>
      <c r="AI785" s="12" t="n">
        <v>48700</v>
      </c>
      <c r="AJ785" s="14" t="n">
        <f aca="false">IFERROR(AM785*U785*MIN(1/AE785,5),"")</f>
        <v>108126.888298926</v>
      </c>
      <c r="AK785" s="18" t="n">
        <f aca="false">IFERROR(AJ785/AI785,"")</f>
        <v>2.2202646467952</v>
      </c>
      <c r="AL785" s="15" t="n">
        <f aca="false">IFERROR(AI785/(AM785*U785/12),"")</f>
        <v>27.0238055119267</v>
      </c>
      <c r="AM785" s="12" t="n">
        <v>27560</v>
      </c>
      <c r="AN785" s="12" t="n">
        <v>333529</v>
      </c>
      <c r="AO785" s="12" t="n">
        <v>501718</v>
      </c>
      <c r="AP785" s="17" t="n">
        <v>0.406</v>
      </c>
      <c r="AQ785" s="16" t="n">
        <v>73</v>
      </c>
      <c r="AR785" s="16" t="n">
        <v>5</v>
      </c>
      <c r="AS785" s="13" t="n">
        <f aca="false">IFERROR(AR785/AR784-1,"")</f>
        <v>0.25</v>
      </c>
      <c r="AT785" s="11" t="s">
        <v>80</v>
      </c>
      <c r="AU785" s="14" t="n">
        <f aca="false">IFERROR(P785/AR785,"")</f>
        <v>50474</v>
      </c>
      <c r="AV785" s="12" t="n">
        <v>1031455</v>
      </c>
      <c r="AW785" s="12" t="n">
        <v>469175</v>
      </c>
      <c r="AX785" s="12" t="n">
        <v>290672</v>
      </c>
      <c r="AY785" s="16" t="n">
        <v>20533</v>
      </c>
      <c r="AZ785" s="13" t="n">
        <f aca="false">IFERROR(AY785/AY784-1,"")</f>
        <v>0.0472814444557788</v>
      </c>
      <c r="BA785" s="17" t="n">
        <v>0.909</v>
      </c>
      <c r="BB785" s="11" t="s">
        <v>161</v>
      </c>
      <c r="BC785" s="11" t="s">
        <v>100</v>
      </c>
      <c r="BD785" s="11" t="s">
        <v>109</v>
      </c>
      <c r="BE785" s="12" t="n">
        <v>279008</v>
      </c>
      <c r="BF785" s="13" t="n">
        <f aca="false">IFERROR(P785/BE785-1,"")</f>
        <v>-0.0954739649042321</v>
      </c>
      <c r="BG785" s="17" t="n">
        <v>0.037</v>
      </c>
      <c r="BH785" s="17" t="n">
        <v>0.017</v>
      </c>
      <c r="BI785" s="14" t="n">
        <f aca="false">P785*(1+IFERROR(Q785,0))^4</f>
        <v>542934.989501504</v>
      </c>
      <c r="BJ785" s="12" t="n">
        <v>-715269</v>
      </c>
      <c r="BK785" s="11" t="s">
        <v>102</v>
      </c>
      <c r="BL785" s="11" t="s">
        <v>128</v>
      </c>
      <c r="BM785" s="14" t="n">
        <f aca="false">O785</f>
        <v>27383015</v>
      </c>
      <c r="BN785" s="11" t="s">
        <v>744</v>
      </c>
      <c r="BO785" s="13" t="n">
        <f aca="false">IFERROR(1-L785/M785,"")</f>
        <v>0.121641690292966</v>
      </c>
      <c r="BP785" s="11" t="s">
        <v>142</v>
      </c>
      <c r="BQ785" s="12" t="n">
        <v>1385029</v>
      </c>
      <c r="BR785" s="11" t="s">
        <v>88</v>
      </c>
      <c r="BS785" s="11" t="s">
        <v>89</v>
      </c>
      <c r="BT785" s="19" t="str">
        <f aca="false">IF(OR(Z785&lt;6,AH785&lt;0.9,S785&lt;0.02,AK785&lt;1),"REVIEW",IF(AND(S785&gt;0.25,AH785&gt;1.2),"ACCELERATING","STABLE"))</f>
        <v>STABLE</v>
      </c>
    </row>
    <row r="786" customFormat="false" ht="15" hidden="false" customHeight="false" outlineLevel="0" collapsed="false">
      <c r="A786" s="3" t="s">
        <v>745</v>
      </c>
      <c r="B786" s="3" t="s">
        <v>73</v>
      </c>
      <c r="C786" s="3" t="s">
        <v>74</v>
      </c>
      <c r="D786" s="3" t="s">
        <v>75</v>
      </c>
      <c r="E786" s="3" t="s">
        <v>187</v>
      </c>
      <c r="F786" s="3" t="s">
        <v>746</v>
      </c>
      <c r="G786" s="3" t="s">
        <v>78</v>
      </c>
      <c r="H786" s="3" t="s">
        <v>644</v>
      </c>
      <c r="I786" s="3" t="s">
        <v>78</v>
      </c>
      <c r="J786" s="4" t="n">
        <v>2949000</v>
      </c>
      <c r="K786" s="5" t="n">
        <f aca="false">IFERROR(J786/M786,"")</f>
        <v>0.161306202822448</v>
      </c>
      <c r="L786" s="4" t="n">
        <v>15333000</v>
      </c>
      <c r="M786" s="6" t="n">
        <f aca="false">L786+J786</f>
        <v>18282000</v>
      </c>
      <c r="N786" s="4" t="n">
        <v>2949000</v>
      </c>
      <c r="O786" s="4" t="n">
        <v>39195335</v>
      </c>
      <c r="P786" s="4" t="n">
        <v>414227</v>
      </c>
      <c r="Q786" s="7"/>
      <c r="R786" s="4" t="n">
        <v>459449</v>
      </c>
      <c r="S786" s="7"/>
      <c r="T786" s="4" t="n">
        <v>329210</v>
      </c>
      <c r="U786" s="5" t="n">
        <f aca="false">IFERROR(T786/P786,"")</f>
        <v>0.794757463902643</v>
      </c>
      <c r="V786" s="6" t="n">
        <f aca="false">T786-AV786</f>
        <v>-1435903</v>
      </c>
      <c r="W786" s="6" t="n">
        <f aca="false">V786-AA786*0.1</f>
        <v>-1486003</v>
      </c>
      <c r="X786" s="4" t="n">
        <v>1016749</v>
      </c>
      <c r="Y786" s="4" t="n">
        <v>157430</v>
      </c>
      <c r="Z786" s="8" t="n">
        <f aca="false">IFERROR(X786/Y786,"")</f>
        <v>6.45841961506701</v>
      </c>
      <c r="AA786" s="4" t="n">
        <v>501000</v>
      </c>
      <c r="AB786" s="6" t="n">
        <f aca="false">W786-0.02*P786</f>
        <v>-1494287.54</v>
      </c>
      <c r="AC786" s="9" t="n">
        <v>28</v>
      </c>
      <c r="AD786" s="7"/>
      <c r="AE786" s="7" t="n">
        <v>0.035</v>
      </c>
      <c r="AF786" s="7" t="n">
        <v>0.023</v>
      </c>
      <c r="AG786" s="5" t="n">
        <f aca="false">1-AF786</f>
        <v>0.977</v>
      </c>
      <c r="AH786" s="7" t="n">
        <v>1.24</v>
      </c>
      <c r="AI786" s="4" t="n">
        <v>16006</v>
      </c>
      <c r="AJ786" s="6" t="n">
        <f aca="false">IFERROR(AM786*U786*MIN(1/AE786,5),"")</f>
        <v>67554.3844317246</v>
      </c>
      <c r="AK786" s="10" t="n">
        <f aca="false">IFERROR(AJ786/AI786,"")</f>
        <v>4.22056631461481</v>
      </c>
      <c r="AL786" s="8" t="n">
        <f aca="false">IFERROR(AI786/(AM786*U786/12),"")</f>
        <v>14.2161017094399</v>
      </c>
      <c r="AM786" s="4" t="n">
        <v>17000</v>
      </c>
      <c r="AN786" s="4" t="n">
        <v>449725</v>
      </c>
      <c r="AO786" s="4" t="n">
        <v>1160488</v>
      </c>
      <c r="AP786" s="7" t="n">
        <v>0.181</v>
      </c>
      <c r="AQ786" s="9" t="n">
        <v>89</v>
      </c>
      <c r="AR786" s="9" t="n">
        <v>3</v>
      </c>
      <c r="AS786" s="7"/>
      <c r="AT786" s="3" t="s">
        <v>153</v>
      </c>
      <c r="AU786" s="6" t="n">
        <f aca="false">IFERROR(P786/AR786,"")</f>
        <v>138075.666666667</v>
      </c>
      <c r="AV786" s="4" t="n">
        <v>1765113</v>
      </c>
      <c r="AW786" s="4" t="n">
        <v>842469</v>
      </c>
      <c r="AX786" s="4" t="n">
        <v>352447</v>
      </c>
      <c r="AY786" s="9" t="n">
        <v>4406</v>
      </c>
      <c r="AZ786" s="7"/>
      <c r="BA786" s="7" t="n">
        <v>0.971</v>
      </c>
      <c r="BB786" s="3" t="s">
        <v>99</v>
      </c>
      <c r="BC786" s="3" t="s">
        <v>108</v>
      </c>
      <c r="BD786" s="3" t="s">
        <v>101</v>
      </c>
      <c r="BE786" s="4" t="n">
        <v>459057</v>
      </c>
      <c r="BF786" s="5" t="n">
        <f aca="false">IFERROR(P786/BE786-1,"")</f>
        <v>-0.0976567180110531</v>
      </c>
      <c r="BG786" s="7" t="n">
        <v>0.048</v>
      </c>
      <c r="BH786" s="7" t="n">
        <v>0.052</v>
      </c>
      <c r="BI786" s="6" t="n">
        <f aca="false">P786</f>
        <v>414227</v>
      </c>
      <c r="BJ786" s="4" t="n">
        <v>-1633399</v>
      </c>
      <c r="BK786" s="3" t="s">
        <v>127</v>
      </c>
      <c r="BL786" s="3" t="s">
        <v>128</v>
      </c>
      <c r="BM786" s="6" t="n">
        <f aca="false">O786</f>
        <v>39195335</v>
      </c>
      <c r="BN786" s="3" t="s">
        <v>747</v>
      </c>
      <c r="BO786" s="5" t="n">
        <f aca="false">IFERROR(1-L786/M786,"")</f>
        <v>0.161306202822448</v>
      </c>
      <c r="BP786" s="3" t="s">
        <v>142</v>
      </c>
      <c r="BQ786" s="4" t="n">
        <v>2903898</v>
      </c>
      <c r="BR786" s="3" t="s">
        <v>88</v>
      </c>
      <c r="BS786" s="3" t="s">
        <v>89</v>
      </c>
      <c r="BT786" s="3" t="s">
        <v>90</v>
      </c>
    </row>
    <row r="787" customFormat="false" ht="15" hidden="false" customHeight="false" outlineLevel="0" collapsed="false">
      <c r="A787" s="11" t="s">
        <v>745</v>
      </c>
      <c r="B787" s="11" t="s">
        <v>91</v>
      </c>
      <c r="C787" s="11" t="s">
        <v>74</v>
      </c>
      <c r="D787" s="11" t="s">
        <v>75</v>
      </c>
      <c r="E787" s="11" t="s">
        <v>187</v>
      </c>
      <c r="F787" s="11" t="s">
        <v>746</v>
      </c>
      <c r="G787" s="11" t="s">
        <v>78</v>
      </c>
      <c r="H787" s="11" t="s">
        <v>644</v>
      </c>
      <c r="I787" s="11" t="s">
        <v>78</v>
      </c>
      <c r="J787" s="12" t="n">
        <v>2949000</v>
      </c>
      <c r="K787" s="13" t="n">
        <f aca="false">IFERROR(J787/M787,"")</f>
        <v>0.161306202822448</v>
      </c>
      <c r="L787" s="12" t="n">
        <v>15333000</v>
      </c>
      <c r="M787" s="14" t="n">
        <f aca="false">L787+J787</f>
        <v>18282000</v>
      </c>
      <c r="N787" s="12" t="n">
        <v>2949000</v>
      </c>
      <c r="O787" s="12" t="n">
        <v>39195335</v>
      </c>
      <c r="P787" s="12" t="n">
        <v>595073</v>
      </c>
      <c r="Q787" s="13" t="n">
        <f aca="false">IFERROR(P787/P786-1,"")</f>
        <v>0.436586702460245</v>
      </c>
      <c r="R787" s="12" t="n">
        <v>664290</v>
      </c>
      <c r="S787" s="13" t="n">
        <f aca="false">IFERROR(R787/R786-1,"")</f>
        <v>0.445840561193952</v>
      </c>
      <c r="T787" s="12" t="n">
        <v>474854</v>
      </c>
      <c r="U787" s="13" t="n">
        <f aca="false">IFERROR(T787/P787,"")</f>
        <v>0.797976046636295</v>
      </c>
      <c r="V787" s="14" t="n">
        <f aca="false">T787-AV787</f>
        <v>-1516322</v>
      </c>
      <c r="W787" s="14" t="n">
        <f aca="false">V787-AA787*0.1</f>
        <v>-1566422</v>
      </c>
      <c r="X787" s="12" t="n">
        <v>1307250</v>
      </c>
      <c r="Y787" s="12" t="n">
        <v>162620</v>
      </c>
      <c r="Z787" s="15" t="n">
        <f aca="false">IFERROR(X787/Y787,"")</f>
        <v>8.03867912925839</v>
      </c>
      <c r="AA787" s="12" t="n">
        <v>501000</v>
      </c>
      <c r="AB787" s="14" t="n">
        <f aca="false">W787-0.02*P787</f>
        <v>-1578323.46</v>
      </c>
      <c r="AC787" s="16" t="n">
        <v>37</v>
      </c>
      <c r="AD787" s="13" t="n">
        <f aca="false">IFERROR(AC787/AC786-1,"")</f>
        <v>0.321428571428571</v>
      </c>
      <c r="AE787" s="17" t="n">
        <v>0.034</v>
      </c>
      <c r="AF787" s="17" t="n">
        <v>0.023</v>
      </c>
      <c r="AG787" s="13" t="n">
        <f aca="false">1-AF787</f>
        <v>0.977</v>
      </c>
      <c r="AH787" s="17" t="n">
        <v>1.27</v>
      </c>
      <c r="AI787" s="12" t="n">
        <v>15704</v>
      </c>
      <c r="AJ787" s="14" t="n">
        <f aca="false">IFERROR(AM787*U787*MIN(1/AE787,5),"")</f>
        <v>69184.5232433668</v>
      </c>
      <c r="AK787" s="18" t="n">
        <f aca="false">IFERROR(AJ787/AI787,"")</f>
        <v>4.40553510209926</v>
      </c>
      <c r="AL787" s="15" t="n">
        <f aca="false">IFERROR(AI787/(AM787*U787/12),"")</f>
        <v>13.6192309468627</v>
      </c>
      <c r="AM787" s="12" t="n">
        <v>17340</v>
      </c>
      <c r="AN787" s="12" t="n">
        <v>670295</v>
      </c>
      <c r="AO787" s="12" t="n">
        <v>2635058</v>
      </c>
      <c r="AP787" s="17" t="n">
        <v>0.181</v>
      </c>
      <c r="AQ787" s="16" t="n">
        <v>89</v>
      </c>
      <c r="AR787" s="16" t="n">
        <v>4</v>
      </c>
      <c r="AS787" s="13" t="n">
        <f aca="false">IFERROR(AR787/AR786-1,"")</f>
        <v>0.333333333333333</v>
      </c>
      <c r="AT787" s="11" t="s">
        <v>153</v>
      </c>
      <c r="AU787" s="14" t="n">
        <f aca="false">IFERROR(P787/AR787,"")</f>
        <v>148768.25</v>
      </c>
      <c r="AV787" s="12" t="n">
        <v>1991176</v>
      </c>
      <c r="AW787" s="12" t="n">
        <v>729060</v>
      </c>
      <c r="AX787" s="12" t="n">
        <v>511194</v>
      </c>
      <c r="AY787" s="16" t="n">
        <v>6115</v>
      </c>
      <c r="AZ787" s="13" t="n">
        <f aca="false">IFERROR(AY787/AY786-1,"")</f>
        <v>0.387880163413527</v>
      </c>
      <c r="BA787" s="17" t="n">
        <v>0.964</v>
      </c>
      <c r="BB787" s="11" t="s">
        <v>99</v>
      </c>
      <c r="BC787" s="11" t="s">
        <v>108</v>
      </c>
      <c r="BD787" s="11" t="s">
        <v>101</v>
      </c>
      <c r="BE787" s="12" t="n">
        <v>681753</v>
      </c>
      <c r="BF787" s="13" t="n">
        <f aca="false">IFERROR(P787/BE787-1,"")</f>
        <v>-0.127142821520404</v>
      </c>
      <c r="BG787" s="17" t="n">
        <v>-0.051</v>
      </c>
      <c r="BH787" s="17" t="n">
        <v>0.093</v>
      </c>
      <c r="BI787" s="14" t="n">
        <f aca="false">P787*(1+IFERROR(Q787,0))^4</f>
        <v>2534531.03923686</v>
      </c>
      <c r="BJ787" s="12" t="n">
        <v>-1916551</v>
      </c>
      <c r="BK787" s="11" t="s">
        <v>127</v>
      </c>
      <c r="BL787" s="11" t="s">
        <v>128</v>
      </c>
      <c r="BM787" s="14" t="n">
        <f aca="false">O787</f>
        <v>39195335</v>
      </c>
      <c r="BN787" s="11" t="s">
        <v>747</v>
      </c>
      <c r="BO787" s="13" t="n">
        <f aca="false">IFERROR(1-L787/M787,"")</f>
        <v>0.161306202822448</v>
      </c>
      <c r="BP787" s="11" t="s">
        <v>142</v>
      </c>
      <c r="BQ787" s="12" t="n">
        <v>2896147</v>
      </c>
      <c r="BR787" s="11" t="s">
        <v>88</v>
      </c>
      <c r="BS787" s="11" t="s">
        <v>89</v>
      </c>
      <c r="BT787" s="19" t="str">
        <f aca="false">IF(OR(Z787&lt;6,AH787&lt;0.9,S787&lt;0.02,AK787&lt;1),"REVIEW",IF(AND(S787&gt;0.25,AH787&gt;1.2),"ACCELERATING","STABLE"))</f>
        <v>ACCELERATING</v>
      </c>
    </row>
    <row r="788" customFormat="false" ht="15" hidden="false" customHeight="false" outlineLevel="0" collapsed="false">
      <c r="A788" s="11" t="s">
        <v>745</v>
      </c>
      <c r="B788" s="11" t="s">
        <v>92</v>
      </c>
      <c r="C788" s="11" t="s">
        <v>74</v>
      </c>
      <c r="D788" s="11" t="s">
        <v>75</v>
      </c>
      <c r="E788" s="11" t="s">
        <v>187</v>
      </c>
      <c r="F788" s="11" t="s">
        <v>746</v>
      </c>
      <c r="G788" s="11" t="s">
        <v>78</v>
      </c>
      <c r="H788" s="11" t="s">
        <v>644</v>
      </c>
      <c r="I788" s="11" t="s">
        <v>78</v>
      </c>
      <c r="J788" s="12" t="n">
        <v>2949000</v>
      </c>
      <c r="K788" s="13" t="n">
        <f aca="false">IFERROR(J788/M788,"")</f>
        <v>0.161306202822448</v>
      </c>
      <c r="L788" s="12" t="n">
        <v>15333000</v>
      </c>
      <c r="M788" s="14" t="n">
        <f aca="false">L788+J788</f>
        <v>18282000</v>
      </c>
      <c r="N788" s="12" t="n">
        <v>2949000</v>
      </c>
      <c r="O788" s="12" t="n">
        <v>39195335</v>
      </c>
      <c r="P788" s="12" t="n">
        <v>844155</v>
      </c>
      <c r="Q788" s="13" t="n">
        <f aca="false">IFERROR(P788/P787-1,"")</f>
        <v>0.418573855644602</v>
      </c>
      <c r="R788" s="12" t="n">
        <v>914908</v>
      </c>
      <c r="S788" s="13" t="n">
        <f aca="false">IFERROR(R788/R787-1,"")</f>
        <v>0.377271974589411</v>
      </c>
      <c r="T788" s="12" t="n">
        <v>676331</v>
      </c>
      <c r="U788" s="13" t="n">
        <f aca="false">IFERROR(T788/P788,"")</f>
        <v>0.801192908885217</v>
      </c>
      <c r="V788" s="14" t="n">
        <f aca="false">T788-AV788</f>
        <v>-1990519</v>
      </c>
      <c r="W788" s="14" t="n">
        <f aca="false">V788-AA788*0.1</f>
        <v>-2040619</v>
      </c>
      <c r="X788" s="12" t="n">
        <v>1597750</v>
      </c>
      <c r="Y788" s="12" t="n">
        <v>167810</v>
      </c>
      <c r="Z788" s="15" t="n">
        <f aca="false">IFERROR(X788/Y788,"")</f>
        <v>9.52118467314224</v>
      </c>
      <c r="AA788" s="12" t="n">
        <v>501000</v>
      </c>
      <c r="AB788" s="14" t="n">
        <f aca="false">W788-0.02*P788</f>
        <v>-2057502.1</v>
      </c>
      <c r="AC788" s="16" t="n">
        <v>47</v>
      </c>
      <c r="AD788" s="13" t="n">
        <f aca="false">IFERROR(AC788/AC787-1,"")</f>
        <v>0.27027027027027</v>
      </c>
      <c r="AE788" s="17" t="n">
        <v>0.033</v>
      </c>
      <c r="AF788" s="17" t="n">
        <v>0.036</v>
      </c>
      <c r="AG788" s="13" t="n">
        <f aca="false">1-AF788</f>
        <v>0.964</v>
      </c>
      <c r="AH788" s="17" t="n">
        <v>1.3</v>
      </c>
      <c r="AI788" s="12" t="n">
        <v>15402</v>
      </c>
      <c r="AJ788" s="14" t="n">
        <f aca="false">IFERROR(AM788*U788*MIN(1/AE788,5),"")</f>
        <v>70825.4531454531</v>
      </c>
      <c r="AK788" s="18" t="n">
        <f aca="false">IFERROR(AJ788/AI788,"")</f>
        <v>4.59845819669219</v>
      </c>
      <c r="AL788" s="15" t="n">
        <f aca="false">IFERROR(AI788/(AM788*U788/12),"")</f>
        <v>13.0478515697196</v>
      </c>
      <c r="AM788" s="12" t="n">
        <v>17680</v>
      </c>
      <c r="AN788" s="12" t="n">
        <v>1253056</v>
      </c>
      <c r="AO788" s="12" t="n">
        <v>3113760</v>
      </c>
      <c r="AP788" s="17" t="n">
        <v>0.181</v>
      </c>
      <c r="AQ788" s="16" t="n">
        <v>89</v>
      </c>
      <c r="AR788" s="16" t="n">
        <v>5</v>
      </c>
      <c r="AS788" s="13" t="n">
        <f aca="false">IFERROR(AR788/AR787-1,"")</f>
        <v>0.25</v>
      </c>
      <c r="AT788" s="11" t="s">
        <v>153</v>
      </c>
      <c r="AU788" s="14" t="n">
        <f aca="false">IFERROR(P788/AR788,"")</f>
        <v>168831</v>
      </c>
      <c r="AV788" s="12" t="n">
        <v>2666850</v>
      </c>
      <c r="AW788" s="12" t="n">
        <v>984740</v>
      </c>
      <c r="AX788" s="12" t="n">
        <v>747695</v>
      </c>
      <c r="AY788" s="16" t="n">
        <v>7542</v>
      </c>
      <c r="AZ788" s="13" t="n">
        <f aca="false">IFERROR(AY788/AY787-1,"")</f>
        <v>0.233360588716272</v>
      </c>
      <c r="BA788" s="17" t="n">
        <v>0.974</v>
      </c>
      <c r="BB788" s="11" t="s">
        <v>99</v>
      </c>
      <c r="BC788" s="11" t="s">
        <v>108</v>
      </c>
      <c r="BD788" s="11" t="s">
        <v>101</v>
      </c>
      <c r="BE788" s="12" t="n">
        <v>930856</v>
      </c>
      <c r="BF788" s="13" t="n">
        <f aca="false">IFERROR(P788/BE788-1,"")</f>
        <v>-0.0931411518000636</v>
      </c>
      <c r="BG788" s="17" t="n">
        <v>0.004</v>
      </c>
      <c r="BH788" s="17" t="n">
        <v>-0.077</v>
      </c>
      <c r="BI788" s="14" t="n">
        <f aca="false">P788*(1+IFERROR(Q788,0))^4</f>
        <v>3418456.07044401</v>
      </c>
      <c r="BJ788" s="12" t="n">
        <v>-1813128</v>
      </c>
      <c r="BK788" s="11" t="s">
        <v>127</v>
      </c>
      <c r="BL788" s="11" t="s">
        <v>128</v>
      </c>
      <c r="BM788" s="14" t="n">
        <f aca="false">O788</f>
        <v>39195335</v>
      </c>
      <c r="BN788" s="11" t="s">
        <v>747</v>
      </c>
      <c r="BO788" s="13" t="n">
        <f aca="false">IFERROR(1-L788/M788,"")</f>
        <v>0.161306202822448</v>
      </c>
      <c r="BP788" s="11" t="s">
        <v>142</v>
      </c>
      <c r="BQ788" s="12" t="n">
        <v>3158302</v>
      </c>
      <c r="BR788" s="11" t="s">
        <v>88</v>
      </c>
      <c r="BS788" s="11" t="s">
        <v>89</v>
      </c>
      <c r="BT788" s="19" t="str">
        <f aca="false">IF(OR(Z788&lt;6,AH788&lt;0.9,S788&lt;0.02,AK788&lt;1),"REVIEW",IF(AND(S788&gt;0.25,AH788&gt;1.2),"ACCELERATING","STABLE"))</f>
        <v>ACCELERATING</v>
      </c>
    </row>
    <row r="789" customFormat="false" ht="15" hidden="false" customHeight="false" outlineLevel="0" collapsed="false">
      <c r="A789" s="11" t="s">
        <v>745</v>
      </c>
      <c r="B789" s="11" t="s">
        <v>93</v>
      </c>
      <c r="C789" s="11" t="s">
        <v>74</v>
      </c>
      <c r="D789" s="11" t="s">
        <v>75</v>
      </c>
      <c r="E789" s="11" t="s">
        <v>187</v>
      </c>
      <c r="F789" s="11" t="s">
        <v>746</v>
      </c>
      <c r="G789" s="11" t="s">
        <v>78</v>
      </c>
      <c r="H789" s="11" t="s">
        <v>644</v>
      </c>
      <c r="I789" s="11" t="s">
        <v>78</v>
      </c>
      <c r="J789" s="12" t="n">
        <v>2949000</v>
      </c>
      <c r="K789" s="13" t="n">
        <f aca="false">IFERROR(J789/M789,"")</f>
        <v>0.161306202822448</v>
      </c>
      <c r="L789" s="12" t="n">
        <v>15333000</v>
      </c>
      <c r="M789" s="14" t="n">
        <f aca="false">L789+J789</f>
        <v>18282000</v>
      </c>
      <c r="N789" s="12" t="n">
        <v>2949000</v>
      </c>
      <c r="O789" s="12" t="n">
        <v>39195335</v>
      </c>
      <c r="P789" s="12" t="n">
        <v>1156579</v>
      </c>
      <c r="Q789" s="13" t="n">
        <f aca="false">IFERROR(P789/P788-1,"")</f>
        <v>0.370102647025724</v>
      </c>
      <c r="R789" s="12" t="n">
        <v>1252419</v>
      </c>
      <c r="S789" s="13" t="n">
        <f aca="false">IFERROR(R789/R788-1,"")</f>
        <v>0.368901572617137</v>
      </c>
      <c r="T789" s="12" t="n">
        <v>930365</v>
      </c>
      <c r="U789" s="13" t="n">
        <f aca="false">IFERROR(T789/P789,"")</f>
        <v>0.804411112427253</v>
      </c>
      <c r="V789" s="14" t="n">
        <f aca="false">T789-AV789</f>
        <v>-1838302</v>
      </c>
      <c r="W789" s="14" t="n">
        <f aca="false">V789-AA789*0.1</f>
        <v>-1888402</v>
      </c>
      <c r="X789" s="12" t="n">
        <v>2905000</v>
      </c>
      <c r="Y789" s="12" t="n">
        <v>173000</v>
      </c>
      <c r="Z789" s="15" t="n">
        <f aca="false">IFERROR(X789/Y789,"")</f>
        <v>16.7919075144509</v>
      </c>
      <c r="AA789" s="12" t="n">
        <v>501000</v>
      </c>
      <c r="AB789" s="14" t="n">
        <f aca="false">W789-0.02*P789</f>
        <v>-1911533.58</v>
      </c>
      <c r="AC789" s="16" t="n">
        <v>64</v>
      </c>
      <c r="AD789" s="13" t="n">
        <f aca="false">IFERROR(AC789/AC788-1,"")</f>
        <v>0.361702127659574</v>
      </c>
      <c r="AE789" s="17" t="n">
        <v>0.032</v>
      </c>
      <c r="AF789" s="17" t="n">
        <v>0.029</v>
      </c>
      <c r="AG789" s="13" t="n">
        <f aca="false">1-AF789</f>
        <v>0.971</v>
      </c>
      <c r="AH789" s="17" t="n">
        <v>1.33</v>
      </c>
      <c r="AI789" s="12" t="n">
        <v>15100</v>
      </c>
      <c r="AJ789" s="14" t="n">
        <f aca="false">IFERROR(AM789*U789*MIN(1/AE789,5),"")</f>
        <v>72477.4412296955</v>
      </c>
      <c r="AK789" s="18" t="n">
        <f aca="false">IFERROR(AJ789/AI789,"")</f>
        <v>4.79983054501295</v>
      </c>
      <c r="AL789" s="15" t="n">
        <f aca="false">IFERROR(AI789/(AM789*U789/12),"")</f>
        <v>12.5004413046082</v>
      </c>
      <c r="AM789" s="12" t="n">
        <v>18020</v>
      </c>
      <c r="AN789" s="12" t="n">
        <v>1768378</v>
      </c>
      <c r="AO789" s="12" t="n">
        <v>2526626</v>
      </c>
      <c r="AP789" s="17" t="n">
        <v>0.181</v>
      </c>
      <c r="AQ789" s="16" t="n">
        <v>89</v>
      </c>
      <c r="AR789" s="16" t="n">
        <v>6</v>
      </c>
      <c r="AS789" s="13" t="n">
        <f aca="false">IFERROR(AR789/AR788-1,"")</f>
        <v>0.2</v>
      </c>
      <c r="AT789" s="11" t="s">
        <v>153</v>
      </c>
      <c r="AU789" s="14" t="n">
        <f aca="false">IFERROR(P789/AR789,"")</f>
        <v>192763.166666667</v>
      </c>
      <c r="AV789" s="12" t="n">
        <v>2768667</v>
      </c>
      <c r="AW789" s="12" t="n">
        <v>1030977</v>
      </c>
      <c r="AX789" s="12" t="n">
        <v>693383</v>
      </c>
      <c r="AY789" s="16" t="n">
        <v>10419</v>
      </c>
      <c r="AZ789" s="13" t="n">
        <f aca="false">IFERROR(AY789/AY788-1,"")</f>
        <v>0.381463802704853</v>
      </c>
      <c r="BA789" s="17" t="n">
        <v>0.973</v>
      </c>
      <c r="BB789" s="11" t="s">
        <v>99</v>
      </c>
      <c r="BC789" s="11" t="s">
        <v>108</v>
      </c>
      <c r="BD789" s="11" t="s">
        <v>101</v>
      </c>
      <c r="BE789" s="12" t="n">
        <v>1284398</v>
      </c>
      <c r="BF789" s="13" t="n">
        <f aca="false">IFERROR(P789/BE789-1,"")</f>
        <v>-0.0995166607235452</v>
      </c>
      <c r="BG789" s="17" t="n">
        <v>0.087</v>
      </c>
      <c r="BH789" s="17" t="n">
        <v>0.029</v>
      </c>
      <c r="BI789" s="14" t="n">
        <f aca="false">P789*(1+IFERROR(Q789,0))^4</f>
        <v>4075564.06262407</v>
      </c>
      <c r="BJ789" s="12" t="n">
        <v>-1869141</v>
      </c>
      <c r="BK789" s="11" t="s">
        <v>127</v>
      </c>
      <c r="BL789" s="11" t="s">
        <v>128</v>
      </c>
      <c r="BM789" s="14" t="n">
        <f aca="false">O789</f>
        <v>39195335</v>
      </c>
      <c r="BN789" s="11" t="s">
        <v>747</v>
      </c>
      <c r="BO789" s="13" t="n">
        <f aca="false">IFERROR(1-L789/M789,"")</f>
        <v>0.161306202822448</v>
      </c>
      <c r="BP789" s="11" t="s">
        <v>142</v>
      </c>
      <c r="BQ789" s="12" t="n">
        <v>2118765</v>
      </c>
      <c r="BR789" s="11" t="s">
        <v>88</v>
      </c>
      <c r="BS789" s="11" t="s">
        <v>89</v>
      </c>
      <c r="BT789" s="19" t="str">
        <f aca="false">IF(OR(Z789&lt;6,AH789&lt;0.9,S789&lt;0.02,AK789&lt;1),"REVIEW",IF(AND(S789&gt;0.25,AH789&gt;1.2),"ACCELERATING","STABLE"))</f>
        <v>ACCELERATING</v>
      </c>
    </row>
    <row r="790" customFormat="false" ht="15" hidden="false" customHeight="false" outlineLevel="0" collapsed="false">
      <c r="A790" s="3" t="s">
        <v>748</v>
      </c>
      <c r="B790" s="3" t="s">
        <v>73</v>
      </c>
      <c r="C790" s="3" t="s">
        <v>74</v>
      </c>
      <c r="D790" s="3" t="s">
        <v>132</v>
      </c>
      <c r="E790" s="3" t="s">
        <v>749</v>
      </c>
      <c r="F790" s="3" t="s">
        <v>750</v>
      </c>
      <c r="G790" s="3" t="s">
        <v>78</v>
      </c>
      <c r="H790" s="3" t="s">
        <v>644</v>
      </c>
      <c r="I790" s="3" t="s">
        <v>78</v>
      </c>
      <c r="J790" s="4" t="n">
        <v>2370000</v>
      </c>
      <c r="K790" s="5" t="n">
        <f aca="false">IFERROR(J790/M790,"")</f>
        <v>0.123309053069719</v>
      </c>
      <c r="L790" s="4" t="n">
        <v>16850000</v>
      </c>
      <c r="M790" s="6" t="n">
        <f aca="false">L790+J790</f>
        <v>19220000</v>
      </c>
      <c r="N790" s="4" t="n">
        <v>2639000</v>
      </c>
      <c r="O790" s="4" t="n">
        <v>16412454</v>
      </c>
      <c r="P790" s="4" t="n">
        <v>994354</v>
      </c>
      <c r="Q790" s="7"/>
      <c r="R790" s="4" t="n">
        <v>1112925</v>
      </c>
      <c r="S790" s="7"/>
      <c r="T790" s="4" t="n">
        <v>534318</v>
      </c>
      <c r="U790" s="5" t="n">
        <f aca="false">IFERROR(T790/P790,"")</f>
        <v>0.537351888763961</v>
      </c>
      <c r="V790" s="6" t="n">
        <f aca="false">T790-AV790</f>
        <v>-1796430</v>
      </c>
      <c r="W790" s="6" t="n">
        <f aca="false">V790-AA790*0.1</f>
        <v>-1865830</v>
      </c>
      <c r="X790" s="4" t="n">
        <v>2084280</v>
      </c>
      <c r="Y790" s="4" t="n">
        <v>157440</v>
      </c>
      <c r="Z790" s="8" t="n">
        <f aca="false">IFERROR(X790/Y790,"")</f>
        <v>13.2385670731707</v>
      </c>
      <c r="AA790" s="4" t="n">
        <v>694000</v>
      </c>
      <c r="AB790" s="6" t="n">
        <f aca="false">W790-0.02*P790</f>
        <v>-1885717.08</v>
      </c>
      <c r="AC790" s="9" t="n">
        <v>19</v>
      </c>
      <c r="AD790" s="7"/>
      <c r="AE790" s="7" t="n">
        <v>0.235</v>
      </c>
      <c r="AF790" s="7" t="n">
        <v>0.208</v>
      </c>
      <c r="AG790" s="5" t="n">
        <f aca="false">1-AF790</f>
        <v>0.792</v>
      </c>
      <c r="AH790" s="7" t="n">
        <v>1.001</v>
      </c>
      <c r="AI790" s="4" t="n">
        <v>128516</v>
      </c>
      <c r="AJ790" s="6" t="n">
        <f aca="false">IFERROR(AM790*U790*MIN(1/AE790,5),"")</f>
        <v>132623.01935451</v>
      </c>
      <c r="AK790" s="10" t="n">
        <f aca="false">IFERROR(AJ790/AI790,"")</f>
        <v>1.03195726099871</v>
      </c>
      <c r="AL790" s="8" t="n">
        <f aca="false">IFERROR(AI790/(AM790*U790/12),"")</f>
        <v>49.4825044767994</v>
      </c>
      <c r="AM790" s="4" t="n">
        <v>58000</v>
      </c>
      <c r="AN790" s="4" t="n">
        <v>1287149</v>
      </c>
      <c r="AO790" s="4" t="n">
        <v>2419490</v>
      </c>
      <c r="AP790" s="7" t="n">
        <v>0.283</v>
      </c>
      <c r="AQ790" s="9" t="n">
        <v>39</v>
      </c>
      <c r="AR790" s="9" t="n">
        <v>2</v>
      </c>
      <c r="AS790" s="7"/>
      <c r="AT790" s="3" t="s">
        <v>145</v>
      </c>
      <c r="AU790" s="6" t="n">
        <f aca="false">IFERROR(P790/AR790,"")</f>
        <v>497177</v>
      </c>
      <c r="AV790" s="4" t="n">
        <v>2330748</v>
      </c>
      <c r="AW790" s="4" t="n">
        <v>1047803</v>
      </c>
      <c r="AX790" s="4" t="n">
        <v>599704</v>
      </c>
      <c r="AY790" s="9" t="n">
        <v>29412</v>
      </c>
      <c r="AZ790" s="7"/>
      <c r="BA790" s="7" t="n">
        <v>0.781</v>
      </c>
      <c r="BB790" s="3" t="s">
        <v>119</v>
      </c>
      <c r="BC790" s="3" t="s">
        <v>120</v>
      </c>
      <c r="BD790" s="3" t="s">
        <v>175</v>
      </c>
      <c r="BE790" s="4" t="n">
        <v>1622197</v>
      </c>
      <c r="BF790" s="5" t="n">
        <f aca="false">IFERROR(P790/BE790-1,"")</f>
        <v>-0.387032524409797</v>
      </c>
      <c r="BG790" s="7" t="n">
        <v>0.277</v>
      </c>
      <c r="BH790" s="7" t="n">
        <v>0.228</v>
      </c>
      <c r="BI790" s="6" t="n">
        <f aca="false">P790</f>
        <v>994354</v>
      </c>
      <c r="BJ790" s="4" t="n">
        <v>-1444481</v>
      </c>
      <c r="BK790" s="3" t="s">
        <v>121</v>
      </c>
      <c r="BL790" s="3" t="s">
        <v>140</v>
      </c>
      <c r="BM790" s="6" t="n">
        <f aca="false">O790</f>
        <v>16412454</v>
      </c>
      <c r="BN790" s="3" t="s">
        <v>751</v>
      </c>
      <c r="BO790" s="5" t="n">
        <f aca="false">IFERROR(1-L790/M790,"")</f>
        <v>0.123309053069719</v>
      </c>
      <c r="BP790" s="3" t="s">
        <v>198</v>
      </c>
      <c r="BQ790" s="4" t="n">
        <v>2164774</v>
      </c>
      <c r="BR790" s="3" t="s">
        <v>88</v>
      </c>
      <c r="BS790" s="3" t="s">
        <v>89</v>
      </c>
      <c r="BT790" s="3" t="s">
        <v>90</v>
      </c>
    </row>
    <row r="791" customFormat="false" ht="15" hidden="false" customHeight="false" outlineLevel="0" collapsed="false">
      <c r="A791" s="11" t="s">
        <v>748</v>
      </c>
      <c r="B791" s="11" t="s">
        <v>91</v>
      </c>
      <c r="C791" s="11" t="s">
        <v>74</v>
      </c>
      <c r="D791" s="11" t="s">
        <v>132</v>
      </c>
      <c r="E791" s="11" t="s">
        <v>749</v>
      </c>
      <c r="F791" s="11" t="s">
        <v>750</v>
      </c>
      <c r="G791" s="11" t="s">
        <v>78</v>
      </c>
      <c r="H791" s="11" t="s">
        <v>644</v>
      </c>
      <c r="I791" s="11" t="s">
        <v>78</v>
      </c>
      <c r="J791" s="12" t="n">
        <v>2370000</v>
      </c>
      <c r="K791" s="13" t="n">
        <f aca="false">IFERROR(J791/M791,"")</f>
        <v>0.123309053069719</v>
      </c>
      <c r="L791" s="12" t="n">
        <v>16850000</v>
      </c>
      <c r="M791" s="14" t="n">
        <f aca="false">L791+J791</f>
        <v>19220000</v>
      </c>
      <c r="N791" s="12" t="n">
        <v>2639000</v>
      </c>
      <c r="O791" s="12" t="n">
        <v>16412454</v>
      </c>
      <c r="P791" s="12" t="n">
        <v>929414</v>
      </c>
      <c r="Q791" s="13" t="n">
        <f aca="false">IFERROR(P791/P790-1,"")</f>
        <v>-0.0653087331071228</v>
      </c>
      <c r="R791" s="12" t="n">
        <v>1042409</v>
      </c>
      <c r="S791" s="13" t="n">
        <f aca="false">IFERROR(R791/R790-1,"")</f>
        <v>-0.063360963227531</v>
      </c>
      <c r="T791" s="12" t="n">
        <v>489999</v>
      </c>
      <c r="U791" s="13" t="n">
        <f aca="false">IFERROR(T791/P791,"")</f>
        <v>0.527212845943788</v>
      </c>
      <c r="V791" s="14" t="n">
        <f aca="false">T791-AV791</f>
        <v>-1826036</v>
      </c>
      <c r="W791" s="14" t="n">
        <f aca="false">V791-AA791*0.1</f>
        <v>-1895436</v>
      </c>
      <c r="X791" s="12" t="n">
        <v>1640760</v>
      </c>
      <c r="Y791" s="12" t="n">
        <v>168960</v>
      </c>
      <c r="Z791" s="15" t="n">
        <f aca="false">IFERROR(X791/Y791,"")</f>
        <v>9.7109375</v>
      </c>
      <c r="AA791" s="12" t="n">
        <v>694000</v>
      </c>
      <c r="AB791" s="14" t="n">
        <f aca="false">W791-0.02*P791</f>
        <v>-1914024.28</v>
      </c>
      <c r="AC791" s="16" t="n">
        <v>18</v>
      </c>
      <c r="AD791" s="13" t="n">
        <f aca="false">IFERROR(AC791/AC790-1,"")</f>
        <v>-0.0526315789473685</v>
      </c>
      <c r="AE791" s="17" t="n">
        <v>0.279</v>
      </c>
      <c r="AF791" s="17" t="n">
        <v>0.179</v>
      </c>
      <c r="AG791" s="13" t="n">
        <f aca="false">1-AF791</f>
        <v>0.821</v>
      </c>
      <c r="AH791" s="17" t="n">
        <v>0.961</v>
      </c>
      <c r="AI791" s="12" t="n">
        <v>142044</v>
      </c>
      <c r="AJ791" s="14" t="n">
        <f aca="false">IFERROR(AM791*U791*MIN(1/AE791,5),"")</f>
        <v>111791.799161414</v>
      </c>
      <c r="AK791" s="18" t="n">
        <f aca="false">IFERROR(AJ791/AI791,"")</f>
        <v>0.787022325204965</v>
      </c>
      <c r="AL791" s="15" t="n">
        <f aca="false">IFERROR(AI791/(AM791*U791/12),"")</f>
        <v>54.6499779113264</v>
      </c>
      <c r="AM791" s="12" t="n">
        <v>59160</v>
      </c>
      <c r="AN791" s="12" t="n">
        <v>1133728</v>
      </c>
      <c r="AO791" s="12" t="n">
        <v>3259268</v>
      </c>
      <c r="AP791" s="17" t="n">
        <v>0.283</v>
      </c>
      <c r="AQ791" s="16" t="n">
        <v>39</v>
      </c>
      <c r="AR791" s="16" t="n">
        <v>2</v>
      </c>
      <c r="AS791" s="13" t="n">
        <f aca="false">IFERROR(AR791/AR790-1,"")</f>
        <v>0</v>
      </c>
      <c r="AT791" s="11" t="s">
        <v>145</v>
      </c>
      <c r="AU791" s="14" t="n">
        <f aca="false">IFERROR(P791/AR791,"")</f>
        <v>464707</v>
      </c>
      <c r="AV791" s="12" t="n">
        <v>2316035</v>
      </c>
      <c r="AW791" s="12" t="n">
        <v>777675</v>
      </c>
      <c r="AX791" s="12" t="n">
        <v>676502</v>
      </c>
      <c r="AY791" s="16" t="n">
        <v>28078</v>
      </c>
      <c r="AZ791" s="13" t="n">
        <f aca="false">IFERROR(AY791/AY790-1,"")</f>
        <v>-0.0453556371549028</v>
      </c>
      <c r="BA791" s="17" t="n">
        <v>0.795</v>
      </c>
      <c r="BB791" s="11" t="s">
        <v>119</v>
      </c>
      <c r="BC791" s="11" t="s">
        <v>120</v>
      </c>
      <c r="BD791" s="11" t="s">
        <v>175</v>
      </c>
      <c r="BE791" s="12" t="n">
        <v>1288009</v>
      </c>
      <c r="BF791" s="13" t="n">
        <f aca="false">IFERROR(P791/BE791-1,"")</f>
        <v>-0.278410321667007</v>
      </c>
      <c r="BG791" s="17" t="n">
        <v>0.262</v>
      </c>
      <c r="BH791" s="17" t="n">
        <v>0.322</v>
      </c>
      <c r="BI791" s="14" t="n">
        <f aca="false">P791*(1+IFERROR(Q791,0))^4</f>
        <v>709384.91650976</v>
      </c>
      <c r="BJ791" s="12" t="n">
        <v>-1045353</v>
      </c>
      <c r="BK791" s="11" t="s">
        <v>121</v>
      </c>
      <c r="BL791" s="11" t="s">
        <v>140</v>
      </c>
      <c r="BM791" s="14" t="n">
        <f aca="false">O791</f>
        <v>16412454</v>
      </c>
      <c r="BN791" s="11" t="s">
        <v>751</v>
      </c>
      <c r="BO791" s="13" t="n">
        <f aca="false">IFERROR(1-L791/M791,"")</f>
        <v>0.123309053069719</v>
      </c>
      <c r="BP791" s="11" t="s">
        <v>198</v>
      </c>
      <c r="BQ791" s="12" t="n">
        <v>3210427</v>
      </c>
      <c r="BR791" s="11" t="s">
        <v>88</v>
      </c>
      <c r="BS791" s="11" t="s">
        <v>89</v>
      </c>
      <c r="BT791" s="19" t="str">
        <f aca="false">IF(OR(Z791&lt;6,AH791&lt;0.9,S791&lt;0.02,AK791&lt;1),"REVIEW",IF(AND(S791&gt;0.25,AH791&gt;1.2),"ACCELERATING","STABLE"))</f>
        <v>REVIEW</v>
      </c>
    </row>
    <row r="792" customFormat="false" ht="15" hidden="false" customHeight="false" outlineLevel="0" collapsed="false">
      <c r="A792" s="11" t="s">
        <v>748</v>
      </c>
      <c r="B792" s="11" t="s">
        <v>92</v>
      </c>
      <c r="C792" s="11" t="s">
        <v>74</v>
      </c>
      <c r="D792" s="11" t="s">
        <v>132</v>
      </c>
      <c r="E792" s="11" t="s">
        <v>749</v>
      </c>
      <c r="F792" s="11" t="s">
        <v>750</v>
      </c>
      <c r="G792" s="11" t="s">
        <v>78</v>
      </c>
      <c r="H792" s="11" t="s">
        <v>644</v>
      </c>
      <c r="I792" s="11" t="s">
        <v>78</v>
      </c>
      <c r="J792" s="12" t="n">
        <v>2370000</v>
      </c>
      <c r="K792" s="13" t="n">
        <f aca="false">IFERROR(J792/M792,"")</f>
        <v>0.123309053069719</v>
      </c>
      <c r="L792" s="12" t="n">
        <v>16850000</v>
      </c>
      <c r="M792" s="14" t="n">
        <f aca="false">L792+J792</f>
        <v>19220000</v>
      </c>
      <c r="N792" s="12" t="n">
        <v>2639000</v>
      </c>
      <c r="O792" s="12" t="n">
        <v>16412454</v>
      </c>
      <c r="P792" s="12" t="n">
        <v>876291</v>
      </c>
      <c r="Q792" s="13" t="n">
        <f aca="false">IFERROR(P792/P791-1,"")</f>
        <v>-0.0571575207603932</v>
      </c>
      <c r="R792" s="12" t="n">
        <v>999591</v>
      </c>
      <c r="S792" s="13" t="n">
        <f aca="false">IFERROR(R792/R791-1,"")</f>
        <v>-0.0410760075939483</v>
      </c>
      <c r="T792" s="12" t="n">
        <v>453108</v>
      </c>
      <c r="U792" s="13" t="n">
        <f aca="false">IFERROR(T792/P792,"")</f>
        <v>0.517074807341397</v>
      </c>
      <c r="V792" s="14" t="n">
        <f aca="false">T792-AV792</f>
        <v>-1899437</v>
      </c>
      <c r="W792" s="14" t="n">
        <f aca="false">V792-AA792*0.1</f>
        <v>-1968837</v>
      </c>
      <c r="X792" s="12" t="n">
        <v>1121208</v>
      </c>
      <c r="Y792" s="12" t="n">
        <v>180480</v>
      </c>
      <c r="Z792" s="15" t="n">
        <f aca="false">IFERROR(X792/Y792,"")</f>
        <v>6.2123670212766</v>
      </c>
      <c r="AA792" s="12" t="n">
        <v>694000</v>
      </c>
      <c r="AB792" s="14" t="n">
        <f aca="false">W792-0.02*P792</f>
        <v>-1986362.82</v>
      </c>
      <c r="AC792" s="16" t="n">
        <v>18</v>
      </c>
      <c r="AD792" s="13" t="n">
        <f aca="false">IFERROR(AC792/AC791-1,"")</f>
        <v>0</v>
      </c>
      <c r="AE792" s="17" t="n">
        <v>0.323</v>
      </c>
      <c r="AF792" s="17" t="n">
        <v>0.204</v>
      </c>
      <c r="AG792" s="13" t="n">
        <f aca="false">1-AF792</f>
        <v>0.796</v>
      </c>
      <c r="AH792" s="17" t="n">
        <v>0.921</v>
      </c>
      <c r="AI792" s="12" t="n">
        <v>155572</v>
      </c>
      <c r="AJ792" s="14" t="n">
        <f aca="false">IFERROR(AM792*U792*MIN(1/AE792,5),"")</f>
        <v>96563.3200583067</v>
      </c>
      <c r="AK792" s="18" t="n">
        <f aca="false">IFERROR(AJ792/AI792,"")</f>
        <v>0.620698583667412</v>
      </c>
      <c r="AL792" s="15" t="n">
        <f aca="false">IFERROR(AI792/(AM792*U792/12),"")</f>
        <v>59.8546601586651</v>
      </c>
      <c r="AM792" s="12" t="n">
        <v>60320</v>
      </c>
      <c r="AN792" s="12" t="n">
        <v>1342258</v>
      </c>
      <c r="AO792" s="12" t="n">
        <v>3738267</v>
      </c>
      <c r="AP792" s="17" t="n">
        <v>0.283</v>
      </c>
      <c r="AQ792" s="16" t="n">
        <v>39</v>
      </c>
      <c r="AR792" s="16" t="n">
        <v>2</v>
      </c>
      <c r="AS792" s="13" t="n">
        <f aca="false">IFERROR(AR792/AR791-1,"")</f>
        <v>0</v>
      </c>
      <c r="AT792" s="11" t="s">
        <v>145</v>
      </c>
      <c r="AU792" s="14" t="n">
        <f aca="false">IFERROR(P792/AR792,"")</f>
        <v>438145.5</v>
      </c>
      <c r="AV792" s="12" t="n">
        <v>2352545</v>
      </c>
      <c r="AW792" s="12" t="n">
        <v>950025</v>
      </c>
      <c r="AX792" s="12" t="n">
        <v>485679</v>
      </c>
      <c r="AY792" s="16" t="n">
        <v>26816</v>
      </c>
      <c r="AZ792" s="13" t="n">
        <f aca="false">IFERROR(AY792/AY791-1,"")</f>
        <v>-0.0449462212408291</v>
      </c>
      <c r="BA792" s="17" t="n">
        <v>0.736</v>
      </c>
      <c r="BB792" s="11" t="s">
        <v>119</v>
      </c>
      <c r="BC792" s="11" t="s">
        <v>120</v>
      </c>
      <c r="BD792" s="11" t="s">
        <v>175</v>
      </c>
      <c r="BE792" s="12" t="n">
        <v>1324665</v>
      </c>
      <c r="BF792" s="13" t="n">
        <f aca="false">IFERROR(P792/BE792-1,"")</f>
        <v>-0.33848104992583</v>
      </c>
      <c r="BG792" s="17" t="n">
        <v>0.221</v>
      </c>
      <c r="BH792" s="17" t="n">
        <v>0.186</v>
      </c>
      <c r="BI792" s="14" t="n">
        <f aca="false">P792*(1+IFERROR(Q792,0))^4</f>
        <v>692476.302799408</v>
      </c>
      <c r="BJ792" s="12" t="n">
        <v>-1407797</v>
      </c>
      <c r="BK792" s="11" t="s">
        <v>121</v>
      </c>
      <c r="BL792" s="11" t="s">
        <v>140</v>
      </c>
      <c r="BM792" s="14" t="n">
        <f aca="false">O792</f>
        <v>16412454</v>
      </c>
      <c r="BN792" s="11" t="s">
        <v>751</v>
      </c>
      <c r="BO792" s="13" t="n">
        <f aca="false">IFERROR(1-L792/M792,"")</f>
        <v>0.123309053069719</v>
      </c>
      <c r="BP792" s="11" t="s">
        <v>198</v>
      </c>
      <c r="BQ792" s="12" t="n">
        <v>3009342</v>
      </c>
      <c r="BR792" s="11" t="s">
        <v>88</v>
      </c>
      <c r="BS792" s="11" t="s">
        <v>89</v>
      </c>
      <c r="BT792" s="19" t="str">
        <f aca="false">IF(OR(Z792&lt;6,AH792&lt;0.9,S792&lt;0.02,AK792&lt;1),"REVIEW",IF(AND(S792&gt;0.25,AH792&gt;1.2),"ACCELERATING","STABLE"))</f>
        <v>REVIEW</v>
      </c>
    </row>
    <row r="793" customFormat="false" ht="15" hidden="false" customHeight="false" outlineLevel="0" collapsed="false">
      <c r="A793" s="11" t="s">
        <v>748</v>
      </c>
      <c r="B793" s="11" t="s">
        <v>93</v>
      </c>
      <c r="C793" s="11" t="s">
        <v>74</v>
      </c>
      <c r="D793" s="11" t="s">
        <v>132</v>
      </c>
      <c r="E793" s="11" t="s">
        <v>749</v>
      </c>
      <c r="F793" s="11" t="s">
        <v>750</v>
      </c>
      <c r="G793" s="11" t="s">
        <v>78</v>
      </c>
      <c r="H793" s="11" t="s">
        <v>644</v>
      </c>
      <c r="I793" s="11" t="s">
        <v>78</v>
      </c>
      <c r="J793" s="12" t="n">
        <v>2370000</v>
      </c>
      <c r="K793" s="13" t="n">
        <f aca="false">IFERROR(J793/M793,"")</f>
        <v>0.123309053069719</v>
      </c>
      <c r="L793" s="12" t="n">
        <v>16850000</v>
      </c>
      <c r="M793" s="14" t="n">
        <f aca="false">L793+J793</f>
        <v>19220000</v>
      </c>
      <c r="N793" s="12" t="n">
        <v>2639000</v>
      </c>
      <c r="O793" s="12" t="n">
        <v>16412454</v>
      </c>
      <c r="P793" s="12" t="n">
        <v>832641</v>
      </c>
      <c r="Q793" s="13" t="n">
        <f aca="false">IFERROR(P793/P792-1,"")</f>
        <v>-0.049812219913248</v>
      </c>
      <c r="R793" s="12" t="n">
        <v>941048</v>
      </c>
      <c r="S793" s="13" t="n">
        <f aca="false">IFERROR(R793/R792-1,"")</f>
        <v>-0.0585669538841386</v>
      </c>
      <c r="T793" s="12" t="n">
        <v>422096</v>
      </c>
      <c r="U793" s="13" t="n">
        <f aca="false">IFERROR(T793/P793,"")</f>
        <v>0.506936362730156</v>
      </c>
      <c r="V793" s="14" t="n">
        <f aca="false">T793-AV793</f>
        <v>-2251189</v>
      </c>
      <c r="W793" s="14" t="n">
        <f aca="false">V793-AA793*0.1</f>
        <v>-2320589</v>
      </c>
      <c r="X793" s="12" t="n">
        <v>525624</v>
      </c>
      <c r="Y793" s="12" t="n">
        <v>192000</v>
      </c>
      <c r="Z793" s="15" t="n">
        <f aca="false">IFERROR(X793/Y793,"")</f>
        <v>2.737625</v>
      </c>
      <c r="AA793" s="12" t="n">
        <v>694000</v>
      </c>
      <c r="AB793" s="14" t="n">
        <f aca="false">W793-0.02*P793</f>
        <v>-2337241.82</v>
      </c>
      <c r="AC793" s="16" t="n">
        <v>17</v>
      </c>
      <c r="AD793" s="13" t="n">
        <f aca="false">IFERROR(AC793/AC792-1,"")</f>
        <v>-0.0555555555555556</v>
      </c>
      <c r="AE793" s="17" t="n">
        <v>0.367</v>
      </c>
      <c r="AF793" s="17" t="n">
        <v>0.394</v>
      </c>
      <c r="AG793" s="13" t="n">
        <f aca="false">1-AF793</f>
        <v>0.606</v>
      </c>
      <c r="AH793" s="17" t="n">
        <v>0.881</v>
      </c>
      <c r="AI793" s="12" t="n">
        <v>169100</v>
      </c>
      <c r="AJ793" s="14" t="n">
        <f aca="false">IFERROR(AM793*U793*MIN(1/AE793,5),"")</f>
        <v>84922.2004922344</v>
      </c>
      <c r="AK793" s="18" t="n">
        <f aca="false">IFERROR(AJ793/AI793,"")</f>
        <v>0.502201067369807</v>
      </c>
      <c r="AL793" s="15" t="n">
        <f aca="false">IFERROR(AI793/(AM793*U793/12),"")</f>
        <v>65.1084790702887</v>
      </c>
      <c r="AM793" s="12" t="n">
        <v>61480</v>
      </c>
      <c r="AN793" s="12" t="n">
        <v>1391360</v>
      </c>
      <c r="AO793" s="12" t="n">
        <v>2507933</v>
      </c>
      <c r="AP793" s="17" t="n">
        <v>0.283</v>
      </c>
      <c r="AQ793" s="16" t="n">
        <v>39</v>
      </c>
      <c r="AR793" s="16" t="n">
        <v>2</v>
      </c>
      <c r="AS793" s="13" t="n">
        <f aca="false">IFERROR(AR793/AR792-1,"")</f>
        <v>0</v>
      </c>
      <c r="AT793" s="11" t="s">
        <v>145</v>
      </c>
      <c r="AU793" s="14" t="n">
        <f aca="false">IFERROR(P793/AR793,"")</f>
        <v>416320.5</v>
      </c>
      <c r="AV793" s="12" t="n">
        <v>2673285</v>
      </c>
      <c r="AW793" s="12" t="n">
        <v>1142435</v>
      </c>
      <c r="AX793" s="12" t="n">
        <v>527335</v>
      </c>
      <c r="AY793" s="16" t="n">
        <v>26072</v>
      </c>
      <c r="AZ793" s="13" t="n">
        <f aca="false">IFERROR(AY793/AY792-1,"")</f>
        <v>-0.027744630071599</v>
      </c>
      <c r="BA793" s="17" t="n">
        <v>0.67</v>
      </c>
      <c r="BB793" s="11" t="s">
        <v>119</v>
      </c>
      <c r="BC793" s="11" t="s">
        <v>120</v>
      </c>
      <c r="BD793" s="11" t="s">
        <v>175</v>
      </c>
      <c r="BE793" s="12" t="n">
        <v>1134057</v>
      </c>
      <c r="BF793" s="13" t="n">
        <f aca="false">IFERROR(P793/BE793-1,"")</f>
        <v>-0.265785582206185</v>
      </c>
      <c r="BG793" s="17" t="n">
        <v>0.152</v>
      </c>
      <c r="BH793" s="17" t="n">
        <v>0.21</v>
      </c>
      <c r="BI793" s="14" t="n">
        <f aca="false">P793*(1+IFERROR(Q793,0))^4</f>
        <v>678727.6714945</v>
      </c>
      <c r="BJ793" s="12" t="n">
        <v>-2025341</v>
      </c>
      <c r="BK793" s="11" t="s">
        <v>121</v>
      </c>
      <c r="BL793" s="11" t="s">
        <v>140</v>
      </c>
      <c r="BM793" s="14" t="n">
        <f aca="false">O793</f>
        <v>16412454</v>
      </c>
      <c r="BN793" s="11" t="s">
        <v>751</v>
      </c>
      <c r="BO793" s="13" t="n">
        <f aca="false">IFERROR(1-L793/M793,"")</f>
        <v>0.123309053069719</v>
      </c>
      <c r="BP793" s="11" t="s">
        <v>198</v>
      </c>
      <c r="BQ793" s="12" t="n">
        <v>2595768</v>
      </c>
      <c r="BR793" s="11" t="s">
        <v>88</v>
      </c>
      <c r="BS793" s="11" t="s">
        <v>89</v>
      </c>
      <c r="BT793" s="19" t="str">
        <f aca="false">IF(OR(Z793&lt;6,AH793&lt;0.9,S793&lt;0.02,AK793&lt;1),"REVIEW",IF(AND(S793&gt;0.25,AH793&gt;1.2),"ACCELERATING","STABLE"))</f>
        <v>REVIEW</v>
      </c>
    </row>
    <row r="794" customFormat="false" ht="15" hidden="false" customHeight="false" outlineLevel="0" collapsed="false">
      <c r="A794" s="3" t="s">
        <v>752</v>
      </c>
      <c r="B794" s="3" t="s">
        <v>73</v>
      </c>
      <c r="C794" s="3" t="s">
        <v>74</v>
      </c>
      <c r="D794" s="3" t="s">
        <v>165</v>
      </c>
      <c r="E794" s="3" t="s">
        <v>365</v>
      </c>
      <c r="F794" s="3" t="s">
        <v>753</v>
      </c>
      <c r="G794" s="3" t="s">
        <v>78</v>
      </c>
      <c r="H794" s="3" t="s">
        <v>644</v>
      </c>
      <c r="I794" s="3" t="s">
        <v>78</v>
      </c>
      <c r="J794" s="4" t="n">
        <v>1412000</v>
      </c>
      <c r="K794" s="5" t="n">
        <f aca="false">IFERROR(J794/M794,"")</f>
        <v>0.121410146173689</v>
      </c>
      <c r="L794" s="4" t="n">
        <v>10218000</v>
      </c>
      <c r="M794" s="6" t="n">
        <f aca="false">L794+J794</f>
        <v>11630000</v>
      </c>
      <c r="N794" s="4" t="n">
        <v>6646000</v>
      </c>
      <c r="O794" s="4" t="n">
        <v>16253665</v>
      </c>
      <c r="P794" s="4" t="n">
        <v>461951</v>
      </c>
      <c r="Q794" s="7"/>
      <c r="R794" s="4" t="n">
        <v>485329</v>
      </c>
      <c r="S794" s="7"/>
      <c r="T794" s="4" t="n">
        <v>335537</v>
      </c>
      <c r="U794" s="5" t="n">
        <f aca="false">IFERROR(T794/P794,"")</f>
        <v>0.726347599637191</v>
      </c>
      <c r="V794" s="6" t="n">
        <f aca="false">T794-AV794</f>
        <v>-1503894</v>
      </c>
      <c r="W794" s="6" t="n">
        <f aca="false">V794-AA794*0.1</f>
        <v>-1548594</v>
      </c>
      <c r="X794" s="4" t="n">
        <v>2530343</v>
      </c>
      <c r="Y794" s="4" t="n">
        <v>121030</v>
      </c>
      <c r="Z794" s="8" t="n">
        <f aca="false">IFERROR(X794/Y794,"")</f>
        <v>20.9067421300504</v>
      </c>
      <c r="AA794" s="4" t="n">
        <v>447000</v>
      </c>
      <c r="AB794" s="6" t="n">
        <f aca="false">W794-0.02*P794</f>
        <v>-1557833.02</v>
      </c>
      <c r="AC794" s="9" t="n">
        <v>44</v>
      </c>
      <c r="AD794" s="7"/>
      <c r="AE794" s="7" t="n">
        <v>0.145</v>
      </c>
      <c r="AF794" s="7" t="n">
        <v>0.116</v>
      </c>
      <c r="AG794" s="5" t="n">
        <f aca="false">1-AF794</f>
        <v>0.884</v>
      </c>
      <c r="AH794" s="7" t="n">
        <v>1.116</v>
      </c>
      <c r="AI794" s="4" t="n">
        <v>15900</v>
      </c>
      <c r="AJ794" s="6" t="n">
        <f aca="false">IFERROR(AM794*U794*MIN(1/AE794,5),"")</f>
        <v>50844.3319746034</v>
      </c>
      <c r="AK794" s="10" t="n">
        <f aca="false">IFERROR(AJ794/AI794,"")</f>
        <v>3.19775672796248</v>
      </c>
      <c r="AL794" s="8" t="n">
        <f aca="false">IFERROR(AI794/(AM794*U794/12),"")</f>
        <v>18.7631533929194</v>
      </c>
      <c r="AM794" s="4" t="n">
        <v>14000</v>
      </c>
      <c r="AN794" s="4" t="n">
        <v>697020</v>
      </c>
      <c r="AO794" s="4" t="n">
        <v>1287447</v>
      </c>
      <c r="AP794" s="7" t="n">
        <v>0.171</v>
      </c>
      <c r="AQ794" s="9" t="n">
        <v>30</v>
      </c>
      <c r="AR794" s="9" t="n">
        <v>4</v>
      </c>
      <c r="AS794" s="7"/>
      <c r="AT794" s="3" t="s">
        <v>80</v>
      </c>
      <c r="AU794" s="6" t="n">
        <f aca="false">IFERROR(P794/AR794,"")</f>
        <v>115487.75</v>
      </c>
      <c r="AV794" s="4" t="n">
        <v>1839431</v>
      </c>
      <c r="AW794" s="4" t="n">
        <v>566932</v>
      </c>
      <c r="AX794" s="4" t="n">
        <v>487762</v>
      </c>
      <c r="AY794" s="9" t="n">
        <v>3137</v>
      </c>
      <c r="AZ794" s="7"/>
      <c r="BA794" s="7" t="n">
        <v>0.885</v>
      </c>
      <c r="BB794" s="3" t="s">
        <v>81</v>
      </c>
      <c r="BC794" s="3" t="s">
        <v>100</v>
      </c>
      <c r="BD794" s="3" t="s">
        <v>175</v>
      </c>
      <c r="BE794" s="4" t="n">
        <v>477311</v>
      </c>
      <c r="BF794" s="5" t="n">
        <f aca="false">IFERROR(P794/BE794-1,"")</f>
        <v>-0.0321802765911534</v>
      </c>
      <c r="BG794" s="7" t="n">
        <v>0.003</v>
      </c>
      <c r="BH794" s="7" t="n">
        <v>-0.02</v>
      </c>
      <c r="BI794" s="6" t="n">
        <f aca="false">P794</f>
        <v>461951</v>
      </c>
      <c r="BJ794" s="4" t="n">
        <v>-729884</v>
      </c>
      <c r="BK794" s="3" t="s">
        <v>110</v>
      </c>
      <c r="BL794" s="3" t="s">
        <v>128</v>
      </c>
      <c r="BM794" s="6" t="n">
        <f aca="false">O794</f>
        <v>16253665</v>
      </c>
      <c r="BN794" s="3" t="s">
        <v>754</v>
      </c>
      <c r="BO794" s="5" t="n">
        <f aca="false">IFERROR(1-L794/M794,"")</f>
        <v>0.121410146173689</v>
      </c>
      <c r="BP794" s="3" t="s">
        <v>113</v>
      </c>
      <c r="BQ794" s="4" t="n">
        <v>2088448</v>
      </c>
      <c r="BR794" s="3" t="s">
        <v>88</v>
      </c>
      <c r="BS794" s="3" t="s">
        <v>89</v>
      </c>
      <c r="BT794" s="3" t="s">
        <v>90</v>
      </c>
    </row>
    <row r="795" customFormat="false" ht="15" hidden="false" customHeight="false" outlineLevel="0" collapsed="false">
      <c r="A795" s="11" t="s">
        <v>752</v>
      </c>
      <c r="B795" s="11" t="s">
        <v>91</v>
      </c>
      <c r="C795" s="11" t="s">
        <v>74</v>
      </c>
      <c r="D795" s="11" t="s">
        <v>165</v>
      </c>
      <c r="E795" s="11" t="s">
        <v>365</v>
      </c>
      <c r="F795" s="11" t="s">
        <v>753</v>
      </c>
      <c r="G795" s="11" t="s">
        <v>78</v>
      </c>
      <c r="H795" s="11" t="s">
        <v>644</v>
      </c>
      <c r="I795" s="11" t="s">
        <v>78</v>
      </c>
      <c r="J795" s="12" t="n">
        <v>1412000</v>
      </c>
      <c r="K795" s="13" t="n">
        <f aca="false">IFERROR(J795/M795,"")</f>
        <v>0.121410146173689</v>
      </c>
      <c r="L795" s="12" t="n">
        <v>10218000</v>
      </c>
      <c r="M795" s="14" t="n">
        <f aca="false">L795+J795</f>
        <v>11630000</v>
      </c>
      <c r="N795" s="12" t="n">
        <v>6646000</v>
      </c>
      <c r="O795" s="12" t="n">
        <v>16253665</v>
      </c>
      <c r="P795" s="12" t="n">
        <v>562896</v>
      </c>
      <c r="Q795" s="13" t="n">
        <f aca="false">IFERROR(P795/P794-1,"")</f>
        <v>0.218518847237045</v>
      </c>
      <c r="R795" s="12" t="n">
        <v>634618</v>
      </c>
      <c r="S795" s="13" t="n">
        <f aca="false">IFERROR(R795/R794-1,"")</f>
        <v>0.30760370800014</v>
      </c>
      <c r="T795" s="12" t="n">
        <v>410514</v>
      </c>
      <c r="U795" s="13" t="n">
        <f aca="false">IFERROR(T795/P795,"")</f>
        <v>0.729289247036753</v>
      </c>
      <c r="V795" s="14" t="n">
        <f aca="false">T795-AV795</f>
        <v>-1202864</v>
      </c>
      <c r="W795" s="14" t="n">
        <f aca="false">V795-AA795*0.1</f>
        <v>-1247564</v>
      </c>
      <c r="X795" s="12" t="n">
        <v>2225108</v>
      </c>
      <c r="Y795" s="12" t="n">
        <v>125020</v>
      </c>
      <c r="Z795" s="15" t="n">
        <f aca="false">IFERROR(X795/Y795,"")</f>
        <v>17.7980163173892</v>
      </c>
      <c r="AA795" s="12" t="n">
        <v>447000</v>
      </c>
      <c r="AB795" s="14" t="n">
        <f aca="false">W795-0.02*P795</f>
        <v>-1258821.92</v>
      </c>
      <c r="AC795" s="16" t="n">
        <v>47</v>
      </c>
      <c r="AD795" s="13" t="n">
        <f aca="false">IFERROR(AC795/AC794-1,"")</f>
        <v>0.0681818181818181</v>
      </c>
      <c r="AE795" s="17" t="n">
        <v>0.141</v>
      </c>
      <c r="AF795" s="17" t="n">
        <v>0.146</v>
      </c>
      <c r="AG795" s="13" t="n">
        <f aca="false">1-AF795</f>
        <v>0.854</v>
      </c>
      <c r="AH795" s="17" t="n">
        <v>1.111</v>
      </c>
      <c r="AI795" s="12" t="n">
        <v>15600</v>
      </c>
      <c r="AJ795" s="14" t="n">
        <f aca="false">IFERROR(AM795*U795*MIN(1/AE795,5),"")</f>
        <v>52071.2522384241</v>
      </c>
      <c r="AK795" s="18" t="n">
        <f aca="false">IFERROR(AJ795/AI795,"")</f>
        <v>3.33790078451437</v>
      </c>
      <c r="AL795" s="15" t="n">
        <f aca="false">IFERROR(AI795/(AM795*U795/12),"")</f>
        <v>17.9753695131862</v>
      </c>
      <c r="AM795" s="12" t="n">
        <v>14280</v>
      </c>
      <c r="AN795" s="12" t="n">
        <v>743416</v>
      </c>
      <c r="AO795" s="12" t="n">
        <v>2291791</v>
      </c>
      <c r="AP795" s="17" t="n">
        <v>0.171</v>
      </c>
      <c r="AQ795" s="16" t="n">
        <v>30</v>
      </c>
      <c r="AR795" s="16" t="n">
        <v>4</v>
      </c>
      <c r="AS795" s="13" t="n">
        <f aca="false">IFERROR(AR795/AR794-1,"")</f>
        <v>0</v>
      </c>
      <c r="AT795" s="11" t="s">
        <v>80</v>
      </c>
      <c r="AU795" s="14" t="n">
        <f aca="false">IFERROR(P795/AR795,"")</f>
        <v>140724</v>
      </c>
      <c r="AV795" s="12" t="n">
        <v>1613378</v>
      </c>
      <c r="AW795" s="12" t="n">
        <v>543428</v>
      </c>
      <c r="AX795" s="12" t="n">
        <v>299460</v>
      </c>
      <c r="AY795" s="16" t="n">
        <v>3717</v>
      </c>
      <c r="AZ795" s="13" t="n">
        <f aca="false">IFERROR(AY795/AY794-1,"")</f>
        <v>0.184890022314313</v>
      </c>
      <c r="BA795" s="17" t="n">
        <v>0.9</v>
      </c>
      <c r="BB795" s="11" t="s">
        <v>81</v>
      </c>
      <c r="BC795" s="11" t="s">
        <v>100</v>
      </c>
      <c r="BD795" s="11" t="s">
        <v>175</v>
      </c>
      <c r="BE795" s="12" t="n">
        <v>516299</v>
      </c>
      <c r="BF795" s="13" t="n">
        <f aca="false">IFERROR(P795/BE795-1,"")</f>
        <v>0.0902519663993151</v>
      </c>
      <c r="BG795" s="17" t="n">
        <v>-0.045</v>
      </c>
      <c r="BH795" s="17" t="n">
        <v>-0.061</v>
      </c>
      <c r="BI795" s="14" t="n">
        <f aca="false">P795*(1+IFERROR(Q795,0))^4</f>
        <v>1240958.23773436</v>
      </c>
      <c r="BJ795" s="12" t="n">
        <v>-1171497</v>
      </c>
      <c r="BK795" s="11" t="s">
        <v>110</v>
      </c>
      <c r="BL795" s="11" t="s">
        <v>128</v>
      </c>
      <c r="BM795" s="14" t="n">
        <f aca="false">O795</f>
        <v>16253665</v>
      </c>
      <c r="BN795" s="11" t="s">
        <v>754</v>
      </c>
      <c r="BO795" s="13" t="n">
        <f aca="false">IFERROR(1-L795/M795,"")</f>
        <v>0.121410146173689</v>
      </c>
      <c r="BP795" s="11" t="s">
        <v>113</v>
      </c>
      <c r="BQ795" s="12" t="n">
        <v>1671845</v>
      </c>
      <c r="BR795" s="11" t="s">
        <v>88</v>
      </c>
      <c r="BS795" s="11" t="s">
        <v>89</v>
      </c>
      <c r="BT795" s="19" t="str">
        <f aca="false">IF(OR(Z795&lt;6,AH795&lt;0.9,S795&lt;0.02,AK795&lt;1),"REVIEW",IF(AND(S795&gt;0.25,AH795&gt;1.2),"ACCELERATING","STABLE"))</f>
        <v>STABLE</v>
      </c>
    </row>
    <row r="796" customFormat="false" ht="15" hidden="false" customHeight="false" outlineLevel="0" collapsed="false">
      <c r="A796" s="11" t="s">
        <v>752</v>
      </c>
      <c r="B796" s="11" t="s">
        <v>92</v>
      </c>
      <c r="C796" s="11" t="s">
        <v>74</v>
      </c>
      <c r="D796" s="11" t="s">
        <v>165</v>
      </c>
      <c r="E796" s="11" t="s">
        <v>365</v>
      </c>
      <c r="F796" s="11" t="s">
        <v>753</v>
      </c>
      <c r="G796" s="11" t="s">
        <v>78</v>
      </c>
      <c r="H796" s="11" t="s">
        <v>644</v>
      </c>
      <c r="I796" s="11" t="s">
        <v>78</v>
      </c>
      <c r="J796" s="12" t="n">
        <v>1412000</v>
      </c>
      <c r="K796" s="13" t="n">
        <f aca="false">IFERROR(J796/M796,"")</f>
        <v>0.121410146173689</v>
      </c>
      <c r="L796" s="12" t="n">
        <v>10218000</v>
      </c>
      <c r="M796" s="14" t="n">
        <f aca="false">L796+J796</f>
        <v>11630000</v>
      </c>
      <c r="N796" s="12" t="n">
        <v>6646000</v>
      </c>
      <c r="O796" s="12" t="n">
        <v>16253665</v>
      </c>
      <c r="P796" s="12" t="n">
        <v>745113</v>
      </c>
      <c r="Q796" s="13" t="n">
        <f aca="false">IFERROR(P796/P795-1,"")</f>
        <v>0.323713439072227</v>
      </c>
      <c r="R796" s="12" t="n">
        <v>767294</v>
      </c>
      <c r="S796" s="13" t="n">
        <f aca="false">IFERROR(R796/R795-1,"")</f>
        <v>0.209064350522677</v>
      </c>
      <c r="T796" s="12" t="n">
        <v>545593</v>
      </c>
      <c r="U796" s="13" t="n">
        <f aca="false">IFERROR(T796/P796,"")</f>
        <v>0.7322285344639</v>
      </c>
      <c r="V796" s="14" t="n">
        <f aca="false">T796-AV796</f>
        <v>-1341298</v>
      </c>
      <c r="W796" s="14" t="n">
        <f aca="false">V796-AA796*0.1</f>
        <v>-1385998</v>
      </c>
      <c r="X796" s="12" t="n">
        <v>1898327</v>
      </c>
      <c r="Y796" s="12" t="n">
        <v>129010</v>
      </c>
      <c r="Z796" s="15" t="n">
        <f aca="false">IFERROR(X796/Y796,"")</f>
        <v>14.7145725137586</v>
      </c>
      <c r="AA796" s="12" t="n">
        <v>447000</v>
      </c>
      <c r="AB796" s="14" t="n">
        <f aca="false">W796-0.02*P796</f>
        <v>-1400900.26</v>
      </c>
      <c r="AC796" s="16" t="n">
        <v>60</v>
      </c>
      <c r="AD796" s="13" t="n">
        <f aca="false">IFERROR(AC796/AC795-1,"")</f>
        <v>0.276595744680851</v>
      </c>
      <c r="AE796" s="17" t="n">
        <v>0.137</v>
      </c>
      <c r="AF796" s="17" t="n">
        <v>0.098</v>
      </c>
      <c r="AG796" s="13" t="n">
        <f aca="false">1-AF796</f>
        <v>0.902</v>
      </c>
      <c r="AH796" s="17" t="n">
        <v>1.106</v>
      </c>
      <c r="AI796" s="12" t="n">
        <v>15300</v>
      </c>
      <c r="AJ796" s="14" t="n">
        <f aca="false">IFERROR(AM796*U796*MIN(1/AE796,5),"")</f>
        <v>53306.2373089719</v>
      </c>
      <c r="AK796" s="18" t="n">
        <f aca="false">IFERROR(AJ796/AI796,"")</f>
        <v>3.48406779797202</v>
      </c>
      <c r="AL796" s="15" t="n">
        <f aca="false">IFERROR(AI796/(AM796*U796/12),"")</f>
        <v>17.2212492635546</v>
      </c>
      <c r="AM796" s="12" t="n">
        <v>14560</v>
      </c>
      <c r="AN796" s="12" t="n">
        <v>810191</v>
      </c>
      <c r="AO796" s="12" t="n">
        <v>1586990</v>
      </c>
      <c r="AP796" s="17" t="n">
        <v>0.171</v>
      </c>
      <c r="AQ796" s="16" t="n">
        <v>30</v>
      </c>
      <c r="AR796" s="16" t="n">
        <v>5</v>
      </c>
      <c r="AS796" s="13" t="n">
        <f aca="false">IFERROR(AR796/AR795-1,"")</f>
        <v>0.25</v>
      </c>
      <c r="AT796" s="11" t="s">
        <v>80</v>
      </c>
      <c r="AU796" s="14" t="n">
        <f aca="false">IFERROR(P796/AR796,"")</f>
        <v>149022.6</v>
      </c>
      <c r="AV796" s="12" t="n">
        <v>1886891</v>
      </c>
      <c r="AW796" s="12" t="n">
        <v>612106</v>
      </c>
      <c r="AX796" s="12" t="n">
        <v>609356</v>
      </c>
      <c r="AY796" s="16" t="n">
        <v>4441</v>
      </c>
      <c r="AZ796" s="13" t="n">
        <f aca="false">IFERROR(AY796/AY795-1,"")</f>
        <v>0.194780737153619</v>
      </c>
      <c r="BA796" s="17" t="n">
        <v>0.89</v>
      </c>
      <c r="BB796" s="11" t="s">
        <v>81</v>
      </c>
      <c r="BC796" s="11" t="s">
        <v>100</v>
      </c>
      <c r="BD796" s="11" t="s">
        <v>175</v>
      </c>
      <c r="BE796" s="12" t="n">
        <v>710327</v>
      </c>
      <c r="BF796" s="13" t="n">
        <f aca="false">IFERROR(P796/BE796-1,"")</f>
        <v>0.048971811574106</v>
      </c>
      <c r="BG796" s="17" t="n">
        <v>0.084</v>
      </c>
      <c r="BH796" s="17" t="n">
        <v>0.034</v>
      </c>
      <c r="BI796" s="14" t="n">
        <f aca="false">P796*(1+IFERROR(Q796,0))^4</f>
        <v>2287694.63095952</v>
      </c>
      <c r="BJ796" s="12" t="n">
        <v>-1082689</v>
      </c>
      <c r="BK796" s="11" t="s">
        <v>110</v>
      </c>
      <c r="BL796" s="11" t="s">
        <v>128</v>
      </c>
      <c r="BM796" s="14" t="n">
        <f aca="false">O796</f>
        <v>16253665</v>
      </c>
      <c r="BN796" s="11" t="s">
        <v>754</v>
      </c>
      <c r="BO796" s="13" t="n">
        <f aca="false">IFERROR(1-L796/M796,"")</f>
        <v>0.121410146173689</v>
      </c>
      <c r="BP796" s="11" t="s">
        <v>113</v>
      </c>
      <c r="BQ796" s="12" t="n">
        <v>2343942</v>
      </c>
      <c r="BR796" s="11" t="s">
        <v>88</v>
      </c>
      <c r="BS796" s="11" t="s">
        <v>89</v>
      </c>
      <c r="BT796" s="19" t="str">
        <f aca="false">IF(OR(Z796&lt;6,AH796&lt;0.9,S796&lt;0.02,AK796&lt;1),"REVIEW",IF(AND(S796&gt;0.25,AH796&gt;1.2),"ACCELERATING","STABLE"))</f>
        <v>STABLE</v>
      </c>
    </row>
    <row r="797" customFormat="false" ht="15" hidden="false" customHeight="false" outlineLevel="0" collapsed="false">
      <c r="A797" s="11" t="s">
        <v>752</v>
      </c>
      <c r="B797" s="11" t="s">
        <v>93</v>
      </c>
      <c r="C797" s="11" t="s">
        <v>74</v>
      </c>
      <c r="D797" s="11" t="s">
        <v>165</v>
      </c>
      <c r="E797" s="11" t="s">
        <v>365</v>
      </c>
      <c r="F797" s="11" t="s">
        <v>753</v>
      </c>
      <c r="G797" s="11" t="s">
        <v>78</v>
      </c>
      <c r="H797" s="11" t="s">
        <v>644</v>
      </c>
      <c r="I797" s="11" t="s">
        <v>78</v>
      </c>
      <c r="J797" s="12" t="n">
        <v>1412000</v>
      </c>
      <c r="K797" s="13" t="n">
        <f aca="false">IFERROR(J797/M797,"")</f>
        <v>0.121410146173689</v>
      </c>
      <c r="L797" s="12" t="n">
        <v>10218000</v>
      </c>
      <c r="M797" s="14" t="n">
        <f aca="false">L797+J797</f>
        <v>11630000</v>
      </c>
      <c r="N797" s="12" t="n">
        <v>6646000</v>
      </c>
      <c r="O797" s="12" t="n">
        <v>16253665</v>
      </c>
      <c r="P797" s="12" t="n">
        <v>859780</v>
      </c>
      <c r="Q797" s="13" t="n">
        <f aca="false">IFERROR(P797/P796-1,"")</f>
        <v>0.153892094219266</v>
      </c>
      <c r="R797" s="12" t="n">
        <v>910483</v>
      </c>
      <c r="S797" s="13" t="n">
        <f aca="false">IFERROR(R797/R796-1,"")</f>
        <v>0.186615560658626</v>
      </c>
      <c r="T797" s="12" t="n">
        <v>632084</v>
      </c>
      <c r="U797" s="13" t="n">
        <f aca="false">IFERROR(T797/P797,"")</f>
        <v>0.735169461955384</v>
      </c>
      <c r="V797" s="14" t="n">
        <f aca="false">T797-AV797</f>
        <v>-1524692</v>
      </c>
      <c r="W797" s="14" t="n">
        <f aca="false">V797-AA797*0.1</f>
        <v>-1569392</v>
      </c>
      <c r="X797" s="12" t="n">
        <v>1550000</v>
      </c>
      <c r="Y797" s="12" t="n">
        <v>133000</v>
      </c>
      <c r="Z797" s="15" t="n">
        <f aca="false">IFERROR(X797/Y797,"")</f>
        <v>11.6541353383459</v>
      </c>
      <c r="AA797" s="12" t="n">
        <v>447000</v>
      </c>
      <c r="AB797" s="14" t="n">
        <f aca="false">W797-0.02*P797</f>
        <v>-1586587.6</v>
      </c>
      <c r="AC797" s="16" t="n">
        <v>68</v>
      </c>
      <c r="AD797" s="13" t="n">
        <f aca="false">IFERROR(AC797/AC796-1,"")</f>
        <v>0.133333333333333</v>
      </c>
      <c r="AE797" s="17" t="n">
        <v>0.133</v>
      </c>
      <c r="AF797" s="17" t="n">
        <v>0.116</v>
      </c>
      <c r="AG797" s="13" t="n">
        <f aca="false">1-AF797</f>
        <v>0.884</v>
      </c>
      <c r="AH797" s="17" t="n">
        <v>1.101</v>
      </c>
      <c r="AI797" s="12" t="n">
        <v>15000</v>
      </c>
      <c r="AJ797" s="14" t="n">
        <f aca="false">IFERROR(AM797*U797*MIN(1/AE797,5),"")</f>
        <v>54549.5740770895</v>
      </c>
      <c r="AK797" s="18" t="n">
        <f aca="false">IFERROR(AJ797/AI797,"")</f>
        <v>3.63663827180597</v>
      </c>
      <c r="AL797" s="15" t="n">
        <f aca="false">IFERROR(AI797/(AM797*U797/12),"")</f>
        <v>16.4987539357891</v>
      </c>
      <c r="AM797" s="12" t="n">
        <v>14840</v>
      </c>
      <c r="AN797" s="12" t="n">
        <v>924535</v>
      </c>
      <c r="AO797" s="12" t="n">
        <v>2893813</v>
      </c>
      <c r="AP797" s="17" t="n">
        <v>0.171</v>
      </c>
      <c r="AQ797" s="16" t="n">
        <v>30</v>
      </c>
      <c r="AR797" s="16" t="n">
        <v>5</v>
      </c>
      <c r="AS797" s="13" t="n">
        <f aca="false">IFERROR(AR797/AR796-1,"")</f>
        <v>0</v>
      </c>
      <c r="AT797" s="11" t="s">
        <v>80</v>
      </c>
      <c r="AU797" s="14" t="n">
        <f aca="false">IFERROR(P797/AR797,"")</f>
        <v>171956</v>
      </c>
      <c r="AV797" s="12" t="n">
        <v>2156776</v>
      </c>
      <c r="AW797" s="12" t="n">
        <v>1022861</v>
      </c>
      <c r="AX797" s="12" t="n">
        <v>652620</v>
      </c>
      <c r="AY797" s="16" t="n">
        <v>5122</v>
      </c>
      <c r="AZ797" s="13" t="n">
        <f aca="false">IFERROR(AY797/AY796-1,"")</f>
        <v>0.153343841477145</v>
      </c>
      <c r="BA797" s="17" t="n">
        <v>0.855</v>
      </c>
      <c r="BB797" s="11" t="s">
        <v>81</v>
      </c>
      <c r="BC797" s="11" t="s">
        <v>100</v>
      </c>
      <c r="BD797" s="11" t="s">
        <v>175</v>
      </c>
      <c r="BE797" s="12" t="n">
        <v>1015911</v>
      </c>
      <c r="BF797" s="13" t="n">
        <f aca="false">IFERROR(P797/BE797-1,"")</f>
        <v>-0.153685706720372</v>
      </c>
      <c r="BG797" s="17" t="n">
        <v>-0.036</v>
      </c>
      <c r="BH797" s="17" t="n">
        <v>0.029</v>
      </c>
      <c r="BI797" s="14" t="n">
        <f aca="false">P797*(1+IFERROR(Q797,0))^4</f>
        <v>1524221.66313377</v>
      </c>
      <c r="BJ797" s="12" t="n">
        <v>-908951</v>
      </c>
      <c r="BK797" s="11" t="s">
        <v>110</v>
      </c>
      <c r="BL797" s="11" t="s">
        <v>128</v>
      </c>
      <c r="BM797" s="14" t="n">
        <f aca="false">O797</f>
        <v>16253665</v>
      </c>
      <c r="BN797" s="11" t="s">
        <v>754</v>
      </c>
      <c r="BO797" s="13" t="n">
        <f aca="false">IFERROR(1-L797/M797,"")</f>
        <v>0.121410146173689</v>
      </c>
      <c r="BP797" s="11" t="s">
        <v>113</v>
      </c>
      <c r="BQ797" s="12" t="n">
        <v>2416348</v>
      </c>
      <c r="BR797" s="11" t="s">
        <v>88</v>
      </c>
      <c r="BS797" s="11" t="s">
        <v>89</v>
      </c>
      <c r="BT797" s="19" t="str">
        <f aca="false">IF(OR(Z797&lt;6,AH797&lt;0.9,S797&lt;0.02,AK797&lt;1),"REVIEW",IF(AND(S797&gt;0.25,AH797&gt;1.2),"ACCELERATING","STABLE"))</f>
        <v>STABLE</v>
      </c>
    </row>
    <row r="798" customFormat="false" ht="15" hidden="false" customHeight="false" outlineLevel="0" collapsed="false">
      <c r="A798" s="3" t="s">
        <v>755</v>
      </c>
      <c r="B798" s="3" t="s">
        <v>73</v>
      </c>
      <c r="C798" s="3" t="s">
        <v>74</v>
      </c>
      <c r="D798" s="3" t="s">
        <v>210</v>
      </c>
      <c r="E798" s="3" t="s">
        <v>105</v>
      </c>
      <c r="F798" s="3" t="s">
        <v>756</v>
      </c>
      <c r="G798" s="3" t="s">
        <v>78</v>
      </c>
      <c r="H798" s="3" t="s">
        <v>644</v>
      </c>
      <c r="I798" s="3" t="s">
        <v>78</v>
      </c>
      <c r="J798" s="4" t="n">
        <v>2051000</v>
      </c>
      <c r="K798" s="5" t="n">
        <f aca="false">IFERROR(J798/M798,"")</f>
        <v>0.149163636363636</v>
      </c>
      <c r="L798" s="4" t="n">
        <v>11699000</v>
      </c>
      <c r="M798" s="6" t="n">
        <f aca="false">L798+J798</f>
        <v>13750000</v>
      </c>
      <c r="N798" s="4" t="n">
        <v>6607000</v>
      </c>
      <c r="O798" s="4" t="n">
        <v>19341683</v>
      </c>
      <c r="P798" s="4" t="n">
        <v>633551</v>
      </c>
      <c r="Q798" s="7"/>
      <c r="R798" s="4" t="n">
        <v>684848</v>
      </c>
      <c r="S798" s="7"/>
      <c r="T798" s="4" t="n">
        <v>422253</v>
      </c>
      <c r="U798" s="5" t="n">
        <f aca="false">IFERROR(T798/P798,"")</f>
        <v>0.666486202373605</v>
      </c>
      <c r="V798" s="6" t="n">
        <f aca="false">T798-AV798</f>
        <v>-923884</v>
      </c>
      <c r="W798" s="6" t="n">
        <f aca="false">V798-AA798*0.1</f>
        <v>-923884</v>
      </c>
      <c r="X798" s="4" t="n">
        <v>2697906</v>
      </c>
      <c r="Y798" s="4" t="n">
        <v>78260</v>
      </c>
      <c r="Z798" s="8" t="n">
        <f aca="false">IFERROR(X798/Y798,"")</f>
        <v>34.4736263736264</v>
      </c>
      <c r="AA798" s="4" t="n">
        <v>0</v>
      </c>
      <c r="AB798" s="6" t="n">
        <f aca="false">W798-0.02*P798</f>
        <v>-936555.02</v>
      </c>
      <c r="AC798" s="9" t="n">
        <v>27</v>
      </c>
      <c r="AD798" s="7"/>
      <c r="AE798" s="7" t="n">
        <v>0.065</v>
      </c>
      <c r="AF798" s="7" t="n">
        <v>0.054</v>
      </c>
      <c r="AG798" s="5" t="n">
        <f aca="false">1-AF798</f>
        <v>0.946</v>
      </c>
      <c r="AH798" s="7" t="n">
        <v>1.113</v>
      </c>
      <c r="AI798" s="4" t="n">
        <v>45262</v>
      </c>
      <c r="AJ798" s="6" t="n">
        <f aca="false">IFERROR(AM798*U798*MIN(1/AE798,5),"")</f>
        <v>103305.361367909</v>
      </c>
      <c r="AK798" s="10" t="n">
        <f aca="false">IFERROR(AJ798/AI798,"")</f>
        <v>2.2823861377736</v>
      </c>
      <c r="AL798" s="8" t="n">
        <f aca="false">IFERROR(AI798/(AM798*U798/12),"")</f>
        <v>26.2882774334268</v>
      </c>
      <c r="AM798" s="4" t="n">
        <v>31000</v>
      </c>
      <c r="AN798" s="4" t="n">
        <v>679526</v>
      </c>
      <c r="AO798" s="4" t="n">
        <v>2325740</v>
      </c>
      <c r="AP798" s="7" t="n">
        <v>0.237</v>
      </c>
      <c r="AQ798" s="9" t="n">
        <v>86</v>
      </c>
      <c r="AR798" s="9" t="n">
        <v>2</v>
      </c>
      <c r="AS798" s="7"/>
      <c r="AT798" s="3" t="s">
        <v>80</v>
      </c>
      <c r="AU798" s="6" t="n">
        <f aca="false">IFERROR(P798/AR798,"")</f>
        <v>316775.5</v>
      </c>
      <c r="AV798" s="4" t="n">
        <v>1346137</v>
      </c>
      <c r="AW798" s="4" t="n">
        <v>527553</v>
      </c>
      <c r="AX798" s="4" t="n">
        <v>360720</v>
      </c>
      <c r="AY798" s="9" t="n">
        <v>1272</v>
      </c>
      <c r="AZ798" s="7"/>
      <c r="BA798" s="7" t="n">
        <v>0.934</v>
      </c>
      <c r="BB798" s="3" t="s">
        <v>161</v>
      </c>
      <c r="BC798" s="3" t="s">
        <v>82</v>
      </c>
      <c r="BD798" s="3" t="s">
        <v>175</v>
      </c>
      <c r="BE798" s="4" t="n">
        <v>745119</v>
      </c>
      <c r="BF798" s="5" t="n">
        <f aca="false">IFERROR(P798/BE798-1,"")</f>
        <v>-0.14973178780839</v>
      </c>
      <c r="BG798" s="7" t="n">
        <v>-0.029</v>
      </c>
      <c r="BH798" s="7" t="n">
        <v>-0.026</v>
      </c>
      <c r="BI798" s="6" t="n">
        <f aca="false">P798</f>
        <v>633551</v>
      </c>
      <c r="BJ798" s="4" t="n">
        <v>-592297</v>
      </c>
      <c r="BK798" s="3" t="s">
        <v>110</v>
      </c>
      <c r="BL798" s="3" t="s">
        <v>162</v>
      </c>
      <c r="BM798" s="6" t="n">
        <f aca="false">O798</f>
        <v>19341683</v>
      </c>
      <c r="BN798" s="3" t="s">
        <v>757</v>
      </c>
      <c r="BO798" s="5" t="n">
        <f aca="false">IFERROR(1-L798/M798,"")</f>
        <v>0.149163636363636</v>
      </c>
      <c r="BP798" s="3" t="s">
        <v>142</v>
      </c>
      <c r="BQ798" s="4" t="n">
        <v>1302337</v>
      </c>
      <c r="BR798" s="3" t="s">
        <v>88</v>
      </c>
      <c r="BS798" s="3" t="s">
        <v>89</v>
      </c>
      <c r="BT798" s="3" t="s">
        <v>90</v>
      </c>
    </row>
    <row r="799" customFormat="false" ht="15" hidden="false" customHeight="false" outlineLevel="0" collapsed="false">
      <c r="A799" s="11" t="s">
        <v>755</v>
      </c>
      <c r="B799" s="11" t="s">
        <v>91</v>
      </c>
      <c r="C799" s="11" t="s">
        <v>74</v>
      </c>
      <c r="D799" s="11" t="s">
        <v>210</v>
      </c>
      <c r="E799" s="11" t="s">
        <v>105</v>
      </c>
      <c r="F799" s="11" t="s">
        <v>756</v>
      </c>
      <c r="G799" s="11" t="s">
        <v>78</v>
      </c>
      <c r="H799" s="11" t="s">
        <v>644</v>
      </c>
      <c r="I799" s="11" t="s">
        <v>78</v>
      </c>
      <c r="J799" s="12" t="n">
        <v>2051000</v>
      </c>
      <c r="K799" s="13" t="n">
        <f aca="false">IFERROR(J799/M799,"")</f>
        <v>0.149163636363636</v>
      </c>
      <c r="L799" s="12" t="n">
        <v>11699000</v>
      </c>
      <c r="M799" s="14" t="n">
        <f aca="false">L799+J799</f>
        <v>13750000</v>
      </c>
      <c r="N799" s="12" t="n">
        <v>6607000</v>
      </c>
      <c r="O799" s="12" t="n">
        <v>19341683</v>
      </c>
      <c r="P799" s="12" t="n">
        <v>853730</v>
      </c>
      <c r="Q799" s="13" t="n">
        <f aca="false">IFERROR(P799/P798-1,"")</f>
        <v>0.347531611504046</v>
      </c>
      <c r="R799" s="12" t="n">
        <v>884054</v>
      </c>
      <c r="S799" s="13" t="n">
        <f aca="false">IFERROR(R799/R798-1,"")</f>
        <v>0.290876223629185</v>
      </c>
      <c r="T799" s="12" t="n">
        <v>571303</v>
      </c>
      <c r="U799" s="13" t="n">
        <f aca="false">IFERROR(T799/P799,"")</f>
        <v>0.669184636828974</v>
      </c>
      <c r="V799" s="14" t="n">
        <f aca="false">T799-AV799</f>
        <v>-742811</v>
      </c>
      <c r="W799" s="14" t="n">
        <f aca="false">V799-AA799*0.1</f>
        <v>-742811</v>
      </c>
      <c r="X799" s="12" t="n">
        <v>2500536</v>
      </c>
      <c r="Y799" s="12" t="n">
        <v>80840</v>
      </c>
      <c r="Z799" s="15" t="n">
        <f aca="false">IFERROR(X799/Y799,"")</f>
        <v>30.931914893617</v>
      </c>
      <c r="AA799" s="12" t="n">
        <v>0</v>
      </c>
      <c r="AB799" s="14" t="n">
        <f aca="false">W799-0.02*P799</f>
        <v>-759885.6</v>
      </c>
      <c r="AC799" s="16" t="n">
        <v>31</v>
      </c>
      <c r="AD799" s="13" t="n">
        <f aca="false">IFERROR(AC799/AC798-1,"")</f>
        <v>0.148148148148148</v>
      </c>
      <c r="AE799" s="17" t="n">
        <v>0.064</v>
      </c>
      <c r="AF799" s="17" t="n">
        <v>0.051</v>
      </c>
      <c r="AG799" s="13" t="n">
        <f aca="false">1-AF799</f>
        <v>0.949</v>
      </c>
      <c r="AH799" s="17" t="n">
        <v>1.108</v>
      </c>
      <c r="AI799" s="12" t="n">
        <v>44408</v>
      </c>
      <c r="AJ799" s="14" t="n">
        <f aca="false">IFERROR(AM799*U799*MIN(1/AE799,5),"")</f>
        <v>105798.091082661</v>
      </c>
      <c r="AK799" s="18" t="n">
        <f aca="false">IFERROR(AJ799/AI799,"")</f>
        <v>2.38241062607325</v>
      </c>
      <c r="AL799" s="15" t="n">
        <f aca="false">IFERROR(AI799/(AM799*U799/12),"")</f>
        <v>25.1845753806486</v>
      </c>
      <c r="AM799" s="12" t="n">
        <v>31620</v>
      </c>
      <c r="AN799" s="12" t="n">
        <v>1287294</v>
      </c>
      <c r="AO799" s="12" t="n">
        <v>1992019</v>
      </c>
      <c r="AP799" s="17" t="n">
        <v>0.237</v>
      </c>
      <c r="AQ799" s="16" t="n">
        <v>86</v>
      </c>
      <c r="AR799" s="16" t="n">
        <v>2</v>
      </c>
      <c r="AS799" s="13" t="n">
        <f aca="false">IFERROR(AR799/AR798-1,"")</f>
        <v>0</v>
      </c>
      <c r="AT799" s="11" t="s">
        <v>80</v>
      </c>
      <c r="AU799" s="14" t="n">
        <f aca="false">IFERROR(P799/AR799,"")</f>
        <v>426865</v>
      </c>
      <c r="AV799" s="12" t="n">
        <v>1314114</v>
      </c>
      <c r="AW799" s="12" t="n">
        <v>534028</v>
      </c>
      <c r="AX799" s="12" t="n">
        <v>410653</v>
      </c>
      <c r="AY799" s="16" t="n">
        <v>1442</v>
      </c>
      <c r="AZ799" s="13" t="n">
        <f aca="false">IFERROR(AY799/AY798-1,"")</f>
        <v>0.133647798742138</v>
      </c>
      <c r="BA799" s="17" t="n">
        <v>0.942</v>
      </c>
      <c r="BB799" s="11" t="s">
        <v>161</v>
      </c>
      <c r="BC799" s="11" t="s">
        <v>82</v>
      </c>
      <c r="BD799" s="11" t="s">
        <v>175</v>
      </c>
      <c r="BE799" s="12" t="n">
        <v>940880</v>
      </c>
      <c r="BF799" s="13" t="n">
        <f aca="false">IFERROR(P799/BE799-1,"")</f>
        <v>-0.092626052206445</v>
      </c>
      <c r="BG799" s="17" t="n">
        <v>0.001</v>
      </c>
      <c r="BH799" s="17" t="n">
        <v>0.031</v>
      </c>
      <c r="BI799" s="14" t="n">
        <f aca="false">P799*(1+IFERROR(Q799,0))^4</f>
        <v>2814986.98225271</v>
      </c>
      <c r="BJ799" s="12" t="n">
        <v>-537516</v>
      </c>
      <c r="BK799" s="11" t="s">
        <v>110</v>
      </c>
      <c r="BL799" s="11" t="s">
        <v>162</v>
      </c>
      <c r="BM799" s="14" t="n">
        <f aca="false">O799</f>
        <v>19341683</v>
      </c>
      <c r="BN799" s="11" t="s">
        <v>757</v>
      </c>
      <c r="BO799" s="13" t="n">
        <f aca="false">IFERROR(1-L799/M799,"")</f>
        <v>0.149163636363636</v>
      </c>
      <c r="BP799" s="11" t="s">
        <v>142</v>
      </c>
      <c r="BQ799" s="12" t="n">
        <v>1335908</v>
      </c>
      <c r="BR799" s="11" t="s">
        <v>88</v>
      </c>
      <c r="BS799" s="11" t="s">
        <v>89</v>
      </c>
      <c r="BT799" s="19" t="str">
        <f aca="false">IF(OR(Z799&lt;6,AH799&lt;0.9,S799&lt;0.02,AK799&lt;1),"REVIEW",IF(AND(S799&gt;0.25,AH799&gt;1.2),"ACCELERATING","STABLE"))</f>
        <v>STABLE</v>
      </c>
    </row>
    <row r="800" customFormat="false" ht="15" hidden="false" customHeight="false" outlineLevel="0" collapsed="false">
      <c r="A800" s="11" t="s">
        <v>755</v>
      </c>
      <c r="B800" s="11" t="s">
        <v>92</v>
      </c>
      <c r="C800" s="11" t="s">
        <v>74</v>
      </c>
      <c r="D800" s="11" t="s">
        <v>210</v>
      </c>
      <c r="E800" s="11" t="s">
        <v>105</v>
      </c>
      <c r="F800" s="11" t="s">
        <v>756</v>
      </c>
      <c r="G800" s="11" t="s">
        <v>78</v>
      </c>
      <c r="H800" s="11" t="s">
        <v>644</v>
      </c>
      <c r="I800" s="11" t="s">
        <v>78</v>
      </c>
      <c r="J800" s="12" t="n">
        <v>2051000</v>
      </c>
      <c r="K800" s="13" t="n">
        <f aca="false">IFERROR(J800/M800,"")</f>
        <v>0.149163636363636</v>
      </c>
      <c r="L800" s="12" t="n">
        <v>11699000</v>
      </c>
      <c r="M800" s="14" t="n">
        <f aca="false">L800+J800</f>
        <v>13750000</v>
      </c>
      <c r="N800" s="12" t="n">
        <v>6607000</v>
      </c>
      <c r="O800" s="12" t="n">
        <v>19341683</v>
      </c>
      <c r="P800" s="12" t="n">
        <v>1020970</v>
      </c>
      <c r="Q800" s="13" t="n">
        <f aca="false">IFERROR(P800/P799-1,"")</f>
        <v>0.195893315216755</v>
      </c>
      <c r="R800" s="12" t="n">
        <v>1097011</v>
      </c>
      <c r="S800" s="13" t="n">
        <f aca="false">IFERROR(R800/R799-1,"")</f>
        <v>0.240886868901673</v>
      </c>
      <c r="T800" s="12" t="n">
        <v>685973</v>
      </c>
      <c r="U800" s="13" t="n">
        <f aca="false">IFERROR(T800/P800,"")</f>
        <v>0.67188360088935</v>
      </c>
      <c r="V800" s="14" t="n">
        <f aca="false">T800-AV800</f>
        <v>-986299</v>
      </c>
      <c r="W800" s="14" t="n">
        <f aca="false">V800-AA800*0.1</f>
        <v>-986299</v>
      </c>
      <c r="X800" s="12" t="n">
        <v>2289234</v>
      </c>
      <c r="Y800" s="12" t="n">
        <v>83420</v>
      </c>
      <c r="Z800" s="15" t="n">
        <f aca="false">IFERROR(X800/Y800,"")</f>
        <v>27.4422680412371</v>
      </c>
      <c r="AA800" s="12" t="n">
        <v>0</v>
      </c>
      <c r="AB800" s="14" t="n">
        <f aca="false">W800-0.02*P800</f>
        <v>-1006718.4</v>
      </c>
      <c r="AC800" s="16" t="n">
        <v>39</v>
      </c>
      <c r="AD800" s="13" t="n">
        <f aca="false">IFERROR(AC800/AC799-1,"")</f>
        <v>0.258064516129032</v>
      </c>
      <c r="AE800" s="17" t="n">
        <v>0.062</v>
      </c>
      <c r="AF800" s="17" t="n">
        <v>0.047</v>
      </c>
      <c r="AG800" s="13" t="n">
        <f aca="false">1-AF800</f>
        <v>0.953</v>
      </c>
      <c r="AH800" s="17" t="n">
        <v>1.103</v>
      </c>
      <c r="AI800" s="12" t="n">
        <v>43554</v>
      </c>
      <c r="AJ800" s="14" t="n">
        <f aca="false">IFERROR(AM800*U800*MIN(1/AE800,5),"")</f>
        <v>108307.636463363</v>
      </c>
      <c r="AK800" s="18" t="n">
        <f aca="false">IFERROR(AJ800/AI800,"")</f>
        <v>2.48674373107782</v>
      </c>
      <c r="AL800" s="15" t="n">
        <f aca="false">IFERROR(AI800/(AM800*U800/12),"")</f>
        <v>24.1279385769254</v>
      </c>
      <c r="AM800" s="12" t="n">
        <v>32240</v>
      </c>
      <c r="AN800" s="12" t="n">
        <v>1021761</v>
      </c>
      <c r="AO800" s="12" t="n">
        <v>2751349</v>
      </c>
      <c r="AP800" s="17" t="n">
        <v>0.237</v>
      </c>
      <c r="AQ800" s="16" t="n">
        <v>86</v>
      </c>
      <c r="AR800" s="16" t="n">
        <v>3</v>
      </c>
      <c r="AS800" s="13" t="n">
        <f aca="false">IFERROR(AR800/AR799-1,"")</f>
        <v>0.5</v>
      </c>
      <c r="AT800" s="11" t="s">
        <v>80</v>
      </c>
      <c r="AU800" s="14" t="n">
        <f aca="false">IFERROR(P800/AR800,"")</f>
        <v>340323.333333333</v>
      </c>
      <c r="AV800" s="12" t="n">
        <v>1672272</v>
      </c>
      <c r="AW800" s="12" t="n">
        <v>633409</v>
      </c>
      <c r="AX800" s="12" t="n">
        <v>443123</v>
      </c>
      <c r="AY800" s="16" t="n">
        <v>1745</v>
      </c>
      <c r="AZ800" s="13" t="n">
        <f aca="false">IFERROR(AY800/AY799-1,"")</f>
        <v>0.210124826629681</v>
      </c>
      <c r="BA800" s="17" t="n">
        <v>0.953</v>
      </c>
      <c r="BB800" s="11" t="s">
        <v>161</v>
      </c>
      <c r="BC800" s="11" t="s">
        <v>82</v>
      </c>
      <c r="BD800" s="11" t="s">
        <v>175</v>
      </c>
      <c r="BE800" s="12" t="n">
        <v>1132591</v>
      </c>
      <c r="BF800" s="13" t="n">
        <f aca="false">IFERROR(P800/BE800-1,"")</f>
        <v>-0.0985536703011061</v>
      </c>
      <c r="BG800" s="17" t="n">
        <v>0.068</v>
      </c>
      <c r="BH800" s="17" t="n">
        <v>-0.031</v>
      </c>
      <c r="BI800" s="14" t="n">
        <f aca="false">P800*(1+IFERROR(Q800,0))^4</f>
        <v>2088251.17368663</v>
      </c>
      <c r="BJ800" s="12" t="n">
        <v>-929316</v>
      </c>
      <c r="BK800" s="11" t="s">
        <v>110</v>
      </c>
      <c r="BL800" s="11" t="s">
        <v>162</v>
      </c>
      <c r="BM800" s="14" t="n">
        <f aca="false">O800</f>
        <v>19341683</v>
      </c>
      <c r="BN800" s="11" t="s">
        <v>757</v>
      </c>
      <c r="BO800" s="13" t="n">
        <f aca="false">IFERROR(1-L800/M800,"")</f>
        <v>0.149163636363636</v>
      </c>
      <c r="BP800" s="11" t="s">
        <v>142</v>
      </c>
      <c r="BQ800" s="12" t="n">
        <v>1002403</v>
      </c>
      <c r="BR800" s="11" t="s">
        <v>88</v>
      </c>
      <c r="BS800" s="11" t="s">
        <v>89</v>
      </c>
      <c r="BT800" s="19" t="str">
        <f aca="false">IF(OR(Z800&lt;6,AH800&lt;0.9,S800&lt;0.02,AK800&lt;1),"REVIEW",IF(AND(S800&gt;0.25,AH800&gt;1.2),"ACCELERATING","STABLE"))</f>
        <v>STABLE</v>
      </c>
    </row>
    <row r="801" customFormat="false" ht="15" hidden="false" customHeight="false" outlineLevel="0" collapsed="false">
      <c r="A801" s="11" t="s">
        <v>755</v>
      </c>
      <c r="B801" s="11" t="s">
        <v>93</v>
      </c>
      <c r="C801" s="11" t="s">
        <v>74</v>
      </c>
      <c r="D801" s="11" t="s">
        <v>210</v>
      </c>
      <c r="E801" s="11" t="s">
        <v>105</v>
      </c>
      <c r="F801" s="11" t="s">
        <v>756</v>
      </c>
      <c r="G801" s="11" t="s">
        <v>78</v>
      </c>
      <c r="H801" s="11" t="s">
        <v>644</v>
      </c>
      <c r="I801" s="11" t="s">
        <v>78</v>
      </c>
      <c r="J801" s="12" t="n">
        <v>2051000</v>
      </c>
      <c r="K801" s="13" t="n">
        <f aca="false">IFERROR(J801/M801,"")</f>
        <v>0.149163636363636</v>
      </c>
      <c r="L801" s="12" t="n">
        <v>11699000</v>
      </c>
      <c r="M801" s="14" t="n">
        <f aca="false">L801+J801</f>
        <v>13750000</v>
      </c>
      <c r="N801" s="12" t="n">
        <v>6607000</v>
      </c>
      <c r="O801" s="12" t="n">
        <v>19341683</v>
      </c>
      <c r="P801" s="12" t="n">
        <v>1305240</v>
      </c>
      <c r="Q801" s="13" t="n">
        <f aca="false">IFERROR(P801/P800-1,"")</f>
        <v>0.278431295728572</v>
      </c>
      <c r="R801" s="12" t="n">
        <v>1294611</v>
      </c>
      <c r="S801" s="13" t="n">
        <f aca="false">IFERROR(R801/R800-1,"")</f>
        <v>0.180125814599854</v>
      </c>
      <c r="T801" s="12" t="n">
        <v>880491</v>
      </c>
      <c r="U801" s="13" t="n">
        <f aca="false">IFERROR(T801/P801,"")</f>
        <v>0.674581686126689</v>
      </c>
      <c r="V801" s="14" t="n">
        <f aca="false">T801-AV801</f>
        <v>-858430</v>
      </c>
      <c r="W801" s="14" t="n">
        <f aca="false">V801-AA801*0.1</f>
        <v>-858430</v>
      </c>
      <c r="X801" s="12" t="n">
        <v>2064000</v>
      </c>
      <c r="Y801" s="12" t="n">
        <v>86000</v>
      </c>
      <c r="Z801" s="15" t="n">
        <f aca="false">IFERROR(X801/Y801,"")</f>
        <v>24</v>
      </c>
      <c r="AA801" s="12" t="n">
        <v>0</v>
      </c>
      <c r="AB801" s="14" t="n">
        <f aca="false">W801-0.02*P801</f>
        <v>-884534.8</v>
      </c>
      <c r="AC801" s="16" t="n">
        <v>46</v>
      </c>
      <c r="AD801" s="13" t="n">
        <f aca="false">IFERROR(AC801/AC800-1,"")</f>
        <v>0.17948717948718</v>
      </c>
      <c r="AE801" s="17" t="n">
        <v>0.06</v>
      </c>
      <c r="AF801" s="17" t="n">
        <v>0.046</v>
      </c>
      <c r="AG801" s="13" t="n">
        <f aca="false">1-AF801</f>
        <v>0.954</v>
      </c>
      <c r="AH801" s="17" t="n">
        <v>1.098</v>
      </c>
      <c r="AI801" s="12" t="n">
        <v>42700</v>
      </c>
      <c r="AJ801" s="14" t="n">
        <f aca="false">IFERROR(AM801*U801*MIN(1/AE801,5),"")</f>
        <v>110833.771030615</v>
      </c>
      <c r="AK801" s="18" t="n">
        <f aca="false">IFERROR(AJ801/AI801,"")</f>
        <v>2.59563866582237</v>
      </c>
      <c r="AL801" s="15" t="n">
        <f aca="false">IFERROR(AI801/(AM801*U801/12),"")</f>
        <v>23.1156981863616</v>
      </c>
      <c r="AM801" s="12" t="n">
        <v>32860</v>
      </c>
      <c r="AN801" s="12" t="n">
        <v>1428988</v>
      </c>
      <c r="AO801" s="12" t="n">
        <v>2120511</v>
      </c>
      <c r="AP801" s="17" t="n">
        <v>0.237</v>
      </c>
      <c r="AQ801" s="16" t="n">
        <v>86</v>
      </c>
      <c r="AR801" s="16" t="n">
        <v>3</v>
      </c>
      <c r="AS801" s="13" t="n">
        <f aca="false">IFERROR(AR801/AR800-1,"")</f>
        <v>0</v>
      </c>
      <c r="AT801" s="11" t="s">
        <v>80</v>
      </c>
      <c r="AU801" s="14" t="n">
        <f aca="false">IFERROR(P801/AR801,"")</f>
        <v>435080</v>
      </c>
      <c r="AV801" s="12" t="n">
        <v>1738921</v>
      </c>
      <c r="AW801" s="12" t="n">
        <v>575561</v>
      </c>
      <c r="AX801" s="12" t="n">
        <v>337916</v>
      </c>
      <c r="AY801" s="16" t="n">
        <v>2112</v>
      </c>
      <c r="AZ801" s="13" t="n">
        <f aca="false">IFERROR(AY801/AY800-1,"")</f>
        <v>0.210315186246418</v>
      </c>
      <c r="BA801" s="17" t="n">
        <v>0.945</v>
      </c>
      <c r="BB801" s="11" t="s">
        <v>161</v>
      </c>
      <c r="BC801" s="11" t="s">
        <v>82</v>
      </c>
      <c r="BD801" s="11" t="s">
        <v>175</v>
      </c>
      <c r="BE801" s="12" t="n">
        <v>1339076</v>
      </c>
      <c r="BF801" s="13" t="n">
        <f aca="false">IFERROR(P801/BE801-1,"")</f>
        <v>-0.0252681699918451</v>
      </c>
      <c r="BG801" s="17" t="n">
        <v>-0.01</v>
      </c>
      <c r="BH801" s="17" t="n">
        <v>-0.044</v>
      </c>
      <c r="BI801" s="14" t="n">
        <f aca="false">P801*(1+IFERROR(Q801,0))^4</f>
        <v>3486582.52192479</v>
      </c>
      <c r="BJ801" s="12" t="n">
        <v>-561478</v>
      </c>
      <c r="BK801" s="11" t="s">
        <v>110</v>
      </c>
      <c r="BL801" s="11" t="s">
        <v>162</v>
      </c>
      <c r="BM801" s="14" t="n">
        <f aca="false">O801</f>
        <v>19341683</v>
      </c>
      <c r="BN801" s="11" t="s">
        <v>757</v>
      </c>
      <c r="BO801" s="13" t="n">
        <f aca="false">IFERROR(1-L801/M801,"")</f>
        <v>0.149163636363636</v>
      </c>
      <c r="BP801" s="11" t="s">
        <v>142</v>
      </c>
      <c r="BQ801" s="12" t="n">
        <v>1173201</v>
      </c>
      <c r="BR801" s="11" t="s">
        <v>88</v>
      </c>
      <c r="BS801" s="11" t="s">
        <v>89</v>
      </c>
      <c r="BT801" s="19" t="str">
        <f aca="false">IF(OR(Z801&lt;6,AH801&lt;0.9,S801&lt;0.02,AK801&lt;1),"REVIEW",IF(AND(S801&gt;0.25,AH801&gt;1.2),"ACCELERATING","STABLE"))</f>
        <v>STABLE</v>
      </c>
    </row>
    <row r="802" customFormat="false" ht="15" hidden="false" customHeight="false" outlineLevel="0" collapsed="false">
      <c r="A802" s="3" t="s">
        <v>758</v>
      </c>
      <c r="B802" s="3" t="s">
        <v>73</v>
      </c>
      <c r="C802" s="3" t="s">
        <v>74</v>
      </c>
      <c r="D802" s="3" t="s">
        <v>95</v>
      </c>
      <c r="E802" s="3" t="s">
        <v>105</v>
      </c>
      <c r="F802" s="3" t="s">
        <v>759</v>
      </c>
      <c r="G802" s="3" t="s">
        <v>78</v>
      </c>
      <c r="H802" s="3" t="s">
        <v>644</v>
      </c>
      <c r="I802" s="3" t="s">
        <v>78</v>
      </c>
      <c r="J802" s="4" t="n">
        <v>3065000</v>
      </c>
      <c r="K802" s="5" t="n">
        <f aca="false">IFERROR(J802/M802,"")</f>
        <v>0.128527697404286</v>
      </c>
      <c r="L802" s="4" t="n">
        <v>20782000</v>
      </c>
      <c r="M802" s="6" t="n">
        <f aca="false">L802+J802</f>
        <v>23847000</v>
      </c>
      <c r="N802" s="4" t="n">
        <v>3065000</v>
      </c>
      <c r="O802" s="4" t="n">
        <v>15662832</v>
      </c>
      <c r="P802" s="4" t="n">
        <v>526235</v>
      </c>
      <c r="Q802" s="7"/>
      <c r="R802" s="4" t="n">
        <v>631965</v>
      </c>
      <c r="S802" s="7"/>
      <c r="T802" s="4" t="n">
        <v>339048</v>
      </c>
      <c r="U802" s="5" t="n">
        <f aca="false">IFERROR(T802/P802,"")</f>
        <v>0.644290098530124</v>
      </c>
      <c r="V802" s="6" t="n">
        <f aca="false">T802-AV802</f>
        <v>-2203208</v>
      </c>
      <c r="W802" s="6" t="n">
        <f aca="false">V802-AA802*0.1</f>
        <v>-2317508</v>
      </c>
      <c r="X802" s="4" t="n">
        <v>2813568</v>
      </c>
      <c r="Y802" s="4" t="n">
        <v>193520</v>
      </c>
      <c r="Z802" s="8" t="n">
        <f aca="false">IFERROR(X802/Y802,"")</f>
        <v>14.5389003720546</v>
      </c>
      <c r="AA802" s="4" t="n">
        <v>1143000</v>
      </c>
      <c r="AB802" s="6" t="n">
        <f aca="false">W802-0.02*P802</f>
        <v>-2328032.7</v>
      </c>
      <c r="AC802" s="9" t="n">
        <v>75</v>
      </c>
      <c r="AD802" s="7"/>
      <c r="AE802" s="7" t="n">
        <v>0.205</v>
      </c>
      <c r="AF802" s="7" t="n">
        <v>0.184</v>
      </c>
      <c r="AG802" s="5" t="n">
        <f aca="false">1-AF802</f>
        <v>0.816</v>
      </c>
      <c r="AH802" s="7" t="n">
        <v>1.01</v>
      </c>
      <c r="AI802" s="4" t="n">
        <v>113544</v>
      </c>
      <c r="AJ802" s="6" t="n">
        <f aca="false">IFERROR(AM802*U802*MIN(1/AE802,5),"")</f>
        <v>147715.290882516</v>
      </c>
      <c r="AK802" s="10" t="n">
        <f aca="false">IFERROR(AJ802/AI802,"")</f>
        <v>1.30095197353023</v>
      </c>
      <c r="AL802" s="8" t="n">
        <f aca="false">IFERROR(AI802/(AM802*U802/12),"")</f>
        <v>44.9951931791996</v>
      </c>
      <c r="AM802" s="4" t="n">
        <v>47000</v>
      </c>
      <c r="AN802" s="4" t="n">
        <v>578397</v>
      </c>
      <c r="AO802" s="4" t="n">
        <v>1310733</v>
      </c>
      <c r="AP802" s="7" t="n">
        <v>0.145</v>
      </c>
      <c r="AQ802" s="9" t="n">
        <v>74</v>
      </c>
      <c r="AR802" s="9" t="n">
        <v>5</v>
      </c>
      <c r="AS802" s="7"/>
      <c r="AT802" s="3" t="s">
        <v>145</v>
      </c>
      <c r="AU802" s="6" t="n">
        <f aca="false">IFERROR(P802/AR802,"")</f>
        <v>105247</v>
      </c>
      <c r="AV802" s="4" t="n">
        <v>2542256</v>
      </c>
      <c r="AW802" s="4" t="n">
        <v>948177</v>
      </c>
      <c r="AX802" s="4" t="n">
        <v>741645</v>
      </c>
      <c r="AY802" s="9" t="n">
        <v>3923</v>
      </c>
      <c r="AZ802" s="7"/>
      <c r="BA802" s="7" t="n">
        <v>0.802</v>
      </c>
      <c r="BB802" s="3" t="s">
        <v>138</v>
      </c>
      <c r="BC802" s="3" t="s">
        <v>120</v>
      </c>
      <c r="BD802" s="3" t="s">
        <v>101</v>
      </c>
      <c r="BE802" s="4" t="n">
        <v>833938</v>
      </c>
      <c r="BF802" s="5" t="n">
        <f aca="false">IFERROR(P802/BE802-1,"")</f>
        <v>-0.368975871107924</v>
      </c>
      <c r="BG802" s="7" t="n">
        <v>0.139</v>
      </c>
      <c r="BH802" s="7" t="n">
        <v>0.258</v>
      </c>
      <c r="BI802" s="6" t="n">
        <f aca="false">P802</f>
        <v>526235</v>
      </c>
      <c r="BJ802" s="4" t="n">
        <v>-1264090</v>
      </c>
      <c r="BK802" s="3" t="s">
        <v>121</v>
      </c>
      <c r="BL802" s="3" t="s">
        <v>148</v>
      </c>
      <c r="BM802" s="6" t="n">
        <f aca="false">O802</f>
        <v>15662832</v>
      </c>
      <c r="BN802" s="3" t="s">
        <v>760</v>
      </c>
      <c r="BO802" s="5" t="n">
        <f aca="false">IFERROR(1-L802/M802,"")</f>
        <v>0.128527697404286</v>
      </c>
      <c r="BP802" s="3" t="s">
        <v>130</v>
      </c>
      <c r="BQ802" s="4" t="n">
        <v>2544475</v>
      </c>
      <c r="BR802" s="3" t="s">
        <v>88</v>
      </c>
      <c r="BS802" s="3" t="s">
        <v>89</v>
      </c>
      <c r="BT802" s="3" t="s">
        <v>90</v>
      </c>
    </row>
    <row r="803" customFormat="false" ht="15" hidden="false" customHeight="false" outlineLevel="0" collapsed="false">
      <c r="A803" s="11" t="s">
        <v>758</v>
      </c>
      <c r="B803" s="11" t="s">
        <v>91</v>
      </c>
      <c r="C803" s="11" t="s">
        <v>74</v>
      </c>
      <c r="D803" s="11" t="s">
        <v>95</v>
      </c>
      <c r="E803" s="11" t="s">
        <v>105</v>
      </c>
      <c r="F803" s="11" t="s">
        <v>759</v>
      </c>
      <c r="G803" s="11" t="s">
        <v>78</v>
      </c>
      <c r="H803" s="11" t="s">
        <v>644</v>
      </c>
      <c r="I803" s="11" t="s">
        <v>78</v>
      </c>
      <c r="J803" s="12" t="n">
        <v>3065000</v>
      </c>
      <c r="K803" s="13" t="n">
        <f aca="false">IFERROR(J803/M803,"")</f>
        <v>0.128527697404286</v>
      </c>
      <c r="L803" s="12" t="n">
        <v>20782000</v>
      </c>
      <c r="M803" s="14" t="n">
        <f aca="false">L803+J803</f>
        <v>23847000</v>
      </c>
      <c r="N803" s="12" t="n">
        <v>3065000</v>
      </c>
      <c r="O803" s="12" t="n">
        <v>15662832</v>
      </c>
      <c r="P803" s="12" t="n">
        <v>486251</v>
      </c>
      <c r="Q803" s="13" t="n">
        <f aca="false">IFERROR(P803/P802-1,"")</f>
        <v>-0.0759812631238895</v>
      </c>
      <c r="R803" s="12" t="n">
        <v>577003</v>
      </c>
      <c r="S803" s="13" t="n">
        <f aca="false">IFERROR(R803/R802-1,"")</f>
        <v>-0.0869700062503461</v>
      </c>
      <c r="T803" s="12" t="n">
        <v>307376</v>
      </c>
      <c r="U803" s="13" t="n">
        <f aca="false">IFERROR(T803/P803,"")</f>
        <v>0.632134432628416</v>
      </c>
      <c r="V803" s="14" t="n">
        <f aca="false">T803-AV803</f>
        <v>-2594150</v>
      </c>
      <c r="W803" s="14" t="n">
        <f aca="false">V803-AA803*0.1</f>
        <v>-2708450</v>
      </c>
      <c r="X803" s="12" t="n">
        <v>2268408</v>
      </c>
      <c r="Y803" s="12" t="n">
        <v>207680</v>
      </c>
      <c r="Z803" s="15" t="n">
        <f aca="false">IFERROR(X803/Y803,"")</f>
        <v>10.9226117103236</v>
      </c>
      <c r="AA803" s="12" t="n">
        <v>1143000</v>
      </c>
      <c r="AB803" s="14" t="n">
        <f aca="false">W803-0.02*P803</f>
        <v>-2718175.02</v>
      </c>
      <c r="AC803" s="16" t="n">
        <v>70</v>
      </c>
      <c r="AD803" s="13" t="n">
        <f aca="false">IFERROR(AC803/AC802-1,"")</f>
        <v>-0.0666666666666667</v>
      </c>
      <c r="AE803" s="17" t="n">
        <v>0.244</v>
      </c>
      <c r="AF803" s="17" t="n">
        <v>0.214</v>
      </c>
      <c r="AG803" s="13" t="n">
        <f aca="false">1-AF803</f>
        <v>0.786</v>
      </c>
      <c r="AH803" s="17" t="n">
        <v>0.97</v>
      </c>
      <c r="AI803" s="12" t="n">
        <v>125496</v>
      </c>
      <c r="AJ803" s="14" t="n">
        <f aca="false">IFERROR(AM803*U803*MIN(1/AE803,5),"")</f>
        <v>124198.871722157</v>
      </c>
      <c r="AK803" s="18" t="n">
        <f aca="false">IFERROR(AJ803/AI803,"")</f>
        <v>0.989663987076535</v>
      </c>
      <c r="AL803" s="15" t="n">
        <f aca="false">IFERROR(AI803/(AM803*U803/12),"")</f>
        <v>49.6939653367918</v>
      </c>
      <c r="AM803" s="12" t="n">
        <v>47940</v>
      </c>
      <c r="AN803" s="12" t="n">
        <v>728077</v>
      </c>
      <c r="AO803" s="12" t="n">
        <v>1862130</v>
      </c>
      <c r="AP803" s="17" t="n">
        <v>0.145</v>
      </c>
      <c r="AQ803" s="16" t="n">
        <v>74</v>
      </c>
      <c r="AR803" s="16" t="n">
        <v>5</v>
      </c>
      <c r="AS803" s="13" t="n">
        <f aca="false">IFERROR(AR803/AR802-1,"")</f>
        <v>0</v>
      </c>
      <c r="AT803" s="11" t="s">
        <v>145</v>
      </c>
      <c r="AU803" s="14" t="n">
        <f aca="false">IFERROR(P803/AR803,"")</f>
        <v>97250.2</v>
      </c>
      <c r="AV803" s="12" t="n">
        <v>2901526</v>
      </c>
      <c r="AW803" s="12" t="n">
        <v>1111205</v>
      </c>
      <c r="AX803" s="12" t="n">
        <v>684684</v>
      </c>
      <c r="AY803" s="16" t="n">
        <v>3632</v>
      </c>
      <c r="AZ803" s="13" t="n">
        <f aca="false">IFERROR(AY803/AY802-1,"")</f>
        <v>-0.0741779250573541</v>
      </c>
      <c r="BA803" s="17" t="n">
        <v>0.767</v>
      </c>
      <c r="BB803" s="11" t="s">
        <v>138</v>
      </c>
      <c r="BC803" s="11" t="s">
        <v>120</v>
      </c>
      <c r="BD803" s="11" t="s">
        <v>101</v>
      </c>
      <c r="BE803" s="12" t="n">
        <v>751772</v>
      </c>
      <c r="BF803" s="13" t="n">
        <f aca="false">IFERROR(P803/BE803-1,"")</f>
        <v>-0.353193521440011</v>
      </c>
      <c r="BG803" s="17" t="n">
        <v>0.281</v>
      </c>
      <c r="BH803" s="17" t="n">
        <v>0.286</v>
      </c>
      <c r="BI803" s="14" t="n">
        <f aca="false">P803*(1+IFERROR(Q803,0))^4</f>
        <v>354473.373564596</v>
      </c>
      <c r="BJ803" s="12" t="n">
        <v>-1926084</v>
      </c>
      <c r="BK803" s="11" t="s">
        <v>121</v>
      </c>
      <c r="BL803" s="11" t="s">
        <v>148</v>
      </c>
      <c r="BM803" s="14" t="n">
        <f aca="false">O803</f>
        <v>15662832</v>
      </c>
      <c r="BN803" s="11" t="s">
        <v>760</v>
      </c>
      <c r="BO803" s="13" t="n">
        <f aca="false">IFERROR(1-L803/M803,"")</f>
        <v>0.128527697404286</v>
      </c>
      <c r="BP803" s="11" t="s">
        <v>130</v>
      </c>
      <c r="BQ803" s="12" t="n">
        <v>3617690</v>
      </c>
      <c r="BR803" s="11" t="s">
        <v>88</v>
      </c>
      <c r="BS803" s="11" t="s">
        <v>89</v>
      </c>
      <c r="BT803" s="19" t="str">
        <f aca="false">IF(OR(Z803&lt;6,AH803&lt;0.9,S803&lt;0.02,AK803&lt;1),"REVIEW",IF(AND(S803&gt;0.25,AH803&gt;1.2),"ACCELERATING","STABLE"))</f>
        <v>REVIEW</v>
      </c>
    </row>
    <row r="804" customFormat="false" ht="15" hidden="false" customHeight="false" outlineLevel="0" collapsed="false">
      <c r="A804" s="11" t="s">
        <v>758</v>
      </c>
      <c r="B804" s="11" t="s">
        <v>92</v>
      </c>
      <c r="C804" s="11" t="s">
        <v>74</v>
      </c>
      <c r="D804" s="11" t="s">
        <v>95</v>
      </c>
      <c r="E804" s="11" t="s">
        <v>105</v>
      </c>
      <c r="F804" s="11" t="s">
        <v>759</v>
      </c>
      <c r="G804" s="11" t="s">
        <v>78</v>
      </c>
      <c r="H804" s="11" t="s">
        <v>644</v>
      </c>
      <c r="I804" s="11" t="s">
        <v>78</v>
      </c>
      <c r="J804" s="12" t="n">
        <v>3065000</v>
      </c>
      <c r="K804" s="13" t="n">
        <f aca="false">IFERROR(J804/M804,"")</f>
        <v>0.128527697404286</v>
      </c>
      <c r="L804" s="12" t="n">
        <v>20782000</v>
      </c>
      <c r="M804" s="14" t="n">
        <f aca="false">L804+J804</f>
        <v>23847000</v>
      </c>
      <c r="N804" s="12" t="n">
        <v>3065000</v>
      </c>
      <c r="O804" s="12" t="n">
        <v>15662832</v>
      </c>
      <c r="P804" s="12" t="n">
        <v>454019</v>
      </c>
      <c r="Q804" s="13" t="n">
        <f aca="false">IFERROR(P804/P803-1,"")</f>
        <v>-0.0662867531377828</v>
      </c>
      <c r="R804" s="12" t="n">
        <v>535164</v>
      </c>
      <c r="S804" s="13" t="n">
        <f aca="false">IFERROR(R804/R803-1,"")</f>
        <v>-0.0725108881582938</v>
      </c>
      <c r="T804" s="12" t="n">
        <v>281482</v>
      </c>
      <c r="U804" s="13" t="n">
        <f aca="false">IFERROR(T804/P804,"")</f>
        <v>0.619978459051273</v>
      </c>
      <c r="V804" s="14" t="n">
        <f aca="false">T804-AV804</f>
        <v>-2403784</v>
      </c>
      <c r="W804" s="14" t="n">
        <f aca="false">V804-AA804*0.1</f>
        <v>-2518084</v>
      </c>
      <c r="X804" s="12" t="n">
        <v>1629792</v>
      </c>
      <c r="Y804" s="12" t="n">
        <v>221840</v>
      </c>
      <c r="Z804" s="15" t="n">
        <f aca="false">IFERROR(X804/Y804,"")</f>
        <v>7.34670032455824</v>
      </c>
      <c r="AA804" s="12" t="n">
        <v>1143000</v>
      </c>
      <c r="AB804" s="14" t="n">
        <f aca="false">W804-0.02*P804</f>
        <v>-2527164.38</v>
      </c>
      <c r="AC804" s="16" t="n">
        <v>67</v>
      </c>
      <c r="AD804" s="13" t="n">
        <f aca="false">IFERROR(AC804/AC803-1,"")</f>
        <v>-0.0428571428571428</v>
      </c>
      <c r="AE804" s="17" t="n">
        <v>0.282</v>
      </c>
      <c r="AF804" s="17" t="n">
        <v>0.293</v>
      </c>
      <c r="AG804" s="13" t="n">
        <f aca="false">1-AF804</f>
        <v>0.707</v>
      </c>
      <c r="AH804" s="17" t="n">
        <v>0.93</v>
      </c>
      <c r="AI804" s="12" t="n">
        <v>137448</v>
      </c>
      <c r="AJ804" s="14" t="n">
        <f aca="false">IFERROR(AM804*U804*MIN(1/AE804,5),"")</f>
        <v>107462.932902221</v>
      </c>
      <c r="AK804" s="18" t="n">
        <f aca="false">IFERROR(AJ804/AI804,"")</f>
        <v>0.781844282217425</v>
      </c>
      <c r="AL804" s="15" t="n">
        <f aca="false">IFERROR(AI804/(AM804*U804/12),"")</f>
        <v>54.4266837491918</v>
      </c>
      <c r="AM804" s="12" t="n">
        <v>48880</v>
      </c>
      <c r="AN804" s="12" t="n">
        <v>765523</v>
      </c>
      <c r="AO804" s="12" t="n">
        <v>1384639</v>
      </c>
      <c r="AP804" s="17" t="n">
        <v>0.145</v>
      </c>
      <c r="AQ804" s="16" t="n">
        <v>74</v>
      </c>
      <c r="AR804" s="16" t="n">
        <v>4</v>
      </c>
      <c r="AS804" s="13" t="n">
        <f aca="false">IFERROR(AR804/AR803-1,"")</f>
        <v>-0.2</v>
      </c>
      <c r="AT804" s="11" t="s">
        <v>145</v>
      </c>
      <c r="AU804" s="14" t="n">
        <f aca="false">IFERROR(P804/AR804,"")</f>
        <v>113504.75</v>
      </c>
      <c r="AV804" s="12" t="n">
        <v>2685266</v>
      </c>
      <c r="AW804" s="12" t="n">
        <v>1172188</v>
      </c>
      <c r="AX804" s="12" t="n">
        <v>561807</v>
      </c>
      <c r="AY804" s="16" t="n">
        <v>3493</v>
      </c>
      <c r="AZ804" s="13" t="n">
        <f aca="false">IFERROR(AY804/AY803-1,"")</f>
        <v>-0.0382709251101322</v>
      </c>
      <c r="BA804" s="17" t="n">
        <v>0.782</v>
      </c>
      <c r="BB804" s="11" t="s">
        <v>138</v>
      </c>
      <c r="BC804" s="11" t="s">
        <v>120</v>
      </c>
      <c r="BD804" s="11" t="s">
        <v>101</v>
      </c>
      <c r="BE804" s="12" t="n">
        <v>690725</v>
      </c>
      <c r="BF804" s="13" t="n">
        <f aca="false">IFERROR(P804/BE804-1,"")</f>
        <v>-0.34269209888161</v>
      </c>
      <c r="BG804" s="17" t="n">
        <v>0.207</v>
      </c>
      <c r="BH804" s="17" t="n">
        <v>0.187</v>
      </c>
      <c r="BI804" s="14" t="n">
        <f aca="false">P804*(1+IFERROR(Q804,0))^4</f>
        <v>345086.610684257</v>
      </c>
      <c r="BJ804" s="12" t="n">
        <v>-2089877</v>
      </c>
      <c r="BK804" s="11" t="s">
        <v>121</v>
      </c>
      <c r="BL804" s="11" t="s">
        <v>148</v>
      </c>
      <c r="BM804" s="14" t="n">
        <f aca="false">O804</f>
        <v>15662832</v>
      </c>
      <c r="BN804" s="11" t="s">
        <v>760</v>
      </c>
      <c r="BO804" s="13" t="n">
        <f aca="false">IFERROR(1-L804/M804,"")</f>
        <v>0.128527697404286</v>
      </c>
      <c r="BP804" s="11" t="s">
        <v>130</v>
      </c>
      <c r="BQ804" s="12" t="n">
        <v>3591522</v>
      </c>
      <c r="BR804" s="11" t="s">
        <v>88</v>
      </c>
      <c r="BS804" s="11" t="s">
        <v>89</v>
      </c>
      <c r="BT804" s="19" t="str">
        <f aca="false">IF(OR(Z804&lt;6,AH804&lt;0.9,S804&lt;0.02,AK804&lt;1),"REVIEW",IF(AND(S804&gt;0.25,AH804&gt;1.2),"ACCELERATING","STABLE"))</f>
        <v>REVIEW</v>
      </c>
    </row>
    <row r="805" customFormat="false" ht="15" hidden="false" customHeight="false" outlineLevel="0" collapsed="false">
      <c r="A805" s="11" t="s">
        <v>758</v>
      </c>
      <c r="B805" s="11" t="s">
        <v>93</v>
      </c>
      <c r="C805" s="11" t="s">
        <v>74</v>
      </c>
      <c r="D805" s="11" t="s">
        <v>95</v>
      </c>
      <c r="E805" s="11" t="s">
        <v>105</v>
      </c>
      <c r="F805" s="11" t="s">
        <v>759</v>
      </c>
      <c r="G805" s="11" t="s">
        <v>78</v>
      </c>
      <c r="H805" s="11" t="s">
        <v>644</v>
      </c>
      <c r="I805" s="11" t="s">
        <v>78</v>
      </c>
      <c r="J805" s="12" t="n">
        <v>3065000</v>
      </c>
      <c r="K805" s="13" t="n">
        <f aca="false">IFERROR(J805/M805,"")</f>
        <v>0.128527697404286</v>
      </c>
      <c r="L805" s="12" t="n">
        <v>20782000</v>
      </c>
      <c r="M805" s="14" t="n">
        <f aca="false">L805+J805</f>
        <v>23847000</v>
      </c>
      <c r="N805" s="12" t="n">
        <v>3065000</v>
      </c>
      <c r="O805" s="12" t="n">
        <v>15662832</v>
      </c>
      <c r="P805" s="12" t="n">
        <v>414043</v>
      </c>
      <c r="Q805" s="13" t="n">
        <f aca="false">IFERROR(P805/P804-1,"")</f>
        <v>-0.0880491785586066</v>
      </c>
      <c r="R805" s="12" t="n">
        <v>498433</v>
      </c>
      <c r="S805" s="13" t="n">
        <f aca="false">IFERROR(R805/R804-1,"")</f>
        <v>-0.0686350352415335</v>
      </c>
      <c r="T805" s="12" t="n">
        <v>251664</v>
      </c>
      <c r="U805" s="13" t="n">
        <f aca="false">IFERROR(T805/P805,"")</f>
        <v>0.607820926811949</v>
      </c>
      <c r="V805" s="14" t="n">
        <f aca="false">T805-AV805</f>
        <v>-3034384</v>
      </c>
      <c r="W805" s="14" t="n">
        <f aca="false">V805-AA805*0.1</f>
        <v>-3148684</v>
      </c>
      <c r="X805" s="12" t="n">
        <v>897720</v>
      </c>
      <c r="Y805" s="12" t="n">
        <v>236000</v>
      </c>
      <c r="Z805" s="15" t="n">
        <f aca="false">IFERROR(X805/Y805,"")</f>
        <v>3.80389830508475</v>
      </c>
      <c r="AA805" s="12" t="n">
        <v>1143000</v>
      </c>
      <c r="AB805" s="14" t="n">
        <f aca="false">W805-0.02*P805</f>
        <v>-3156964.86</v>
      </c>
      <c r="AC805" s="16" t="n">
        <v>63</v>
      </c>
      <c r="AD805" s="13" t="n">
        <f aca="false">IFERROR(AC805/AC804-1,"")</f>
        <v>-0.0597014925373134</v>
      </c>
      <c r="AE805" s="17" t="n">
        <v>0.321</v>
      </c>
      <c r="AF805" s="17" t="n">
        <v>0.254</v>
      </c>
      <c r="AG805" s="13" t="n">
        <f aca="false">1-AF805</f>
        <v>0.746</v>
      </c>
      <c r="AH805" s="17" t="n">
        <v>0.89</v>
      </c>
      <c r="AI805" s="12" t="n">
        <v>149400</v>
      </c>
      <c r="AJ805" s="14" t="n">
        <f aca="false">IFERROR(AM805*U805*MIN(1/AE805,5),"")</f>
        <v>94335.3226597237</v>
      </c>
      <c r="AK805" s="18" t="n">
        <f aca="false">IFERROR(AJ805/AI805,"")</f>
        <v>0.631427862514885</v>
      </c>
      <c r="AL805" s="15" t="n">
        <f aca="false">IFERROR(AI805/(AM805*U805/12),"")</f>
        <v>59.2041938428275</v>
      </c>
      <c r="AM805" s="12" t="n">
        <v>49820</v>
      </c>
      <c r="AN805" s="12" t="n">
        <v>480387</v>
      </c>
      <c r="AO805" s="12" t="n">
        <v>1776238</v>
      </c>
      <c r="AP805" s="17" t="n">
        <v>0.145</v>
      </c>
      <c r="AQ805" s="16" t="n">
        <v>74</v>
      </c>
      <c r="AR805" s="16" t="n">
        <v>4</v>
      </c>
      <c r="AS805" s="13" t="n">
        <f aca="false">IFERROR(AR805/AR804-1,"")</f>
        <v>0</v>
      </c>
      <c r="AT805" s="11" t="s">
        <v>145</v>
      </c>
      <c r="AU805" s="14" t="n">
        <f aca="false">IFERROR(P805/AR805,"")</f>
        <v>103510.75</v>
      </c>
      <c r="AV805" s="12" t="n">
        <v>3286048</v>
      </c>
      <c r="AW805" s="12" t="n">
        <v>1168280</v>
      </c>
      <c r="AX805" s="12" t="n">
        <v>768793</v>
      </c>
      <c r="AY805" s="16" t="n">
        <v>3196</v>
      </c>
      <c r="AZ805" s="13" t="n">
        <f aca="false">IFERROR(AY805/AY804-1,"")</f>
        <v>-0.0850271972516462</v>
      </c>
      <c r="BA805" s="17" t="n">
        <v>0.68</v>
      </c>
      <c r="BB805" s="11" t="s">
        <v>138</v>
      </c>
      <c r="BC805" s="11" t="s">
        <v>120</v>
      </c>
      <c r="BD805" s="11" t="s">
        <v>101</v>
      </c>
      <c r="BE805" s="12" t="n">
        <v>585936</v>
      </c>
      <c r="BF805" s="13" t="n">
        <f aca="false">IFERROR(P805/BE805-1,"")</f>
        <v>-0.293364804347232</v>
      </c>
      <c r="BG805" s="17" t="n">
        <v>0.159</v>
      </c>
      <c r="BH805" s="17" t="n">
        <v>0.287</v>
      </c>
      <c r="BI805" s="14" t="n">
        <f aca="false">P805*(1+IFERROR(Q805,0))^4</f>
        <v>286372.375532034</v>
      </c>
      <c r="BJ805" s="12" t="n">
        <v>-1985624</v>
      </c>
      <c r="BK805" s="11" t="s">
        <v>121</v>
      </c>
      <c r="BL805" s="11" t="s">
        <v>148</v>
      </c>
      <c r="BM805" s="14" t="n">
        <f aca="false">O805</f>
        <v>15662832</v>
      </c>
      <c r="BN805" s="11" t="s">
        <v>760</v>
      </c>
      <c r="BO805" s="13" t="n">
        <f aca="false">IFERROR(1-L805/M805,"")</f>
        <v>0.128527697404286</v>
      </c>
      <c r="BP805" s="11" t="s">
        <v>130</v>
      </c>
      <c r="BQ805" s="12" t="n">
        <v>3880688</v>
      </c>
      <c r="BR805" s="11" t="s">
        <v>88</v>
      </c>
      <c r="BS805" s="11" t="s">
        <v>89</v>
      </c>
      <c r="BT805" s="19" t="str">
        <f aca="false">IF(OR(Z805&lt;6,AH805&lt;0.9,S805&lt;0.02,AK805&lt;1),"REVIEW",IF(AND(S805&gt;0.25,AH805&gt;1.2),"ACCELERATING","STABLE"))</f>
        <v>REVIEW</v>
      </c>
    </row>
    <row r="806" customFormat="false" ht="15" hidden="false" customHeight="false" outlineLevel="0" collapsed="false">
      <c r="A806" s="3" t="s">
        <v>761</v>
      </c>
      <c r="B806" s="3" t="s">
        <v>73</v>
      </c>
      <c r="C806" s="3" t="s">
        <v>74</v>
      </c>
      <c r="D806" s="3" t="s">
        <v>115</v>
      </c>
      <c r="E806" s="3" t="s">
        <v>289</v>
      </c>
      <c r="F806" s="3" t="s">
        <v>762</v>
      </c>
      <c r="G806" s="3" t="s">
        <v>78</v>
      </c>
      <c r="H806" s="3" t="s">
        <v>644</v>
      </c>
      <c r="I806" s="3" t="s">
        <v>78</v>
      </c>
      <c r="J806" s="4" t="n">
        <v>2943000</v>
      </c>
      <c r="K806" s="5" t="n">
        <f aca="false">IFERROR(J806/M806,"")</f>
        <v>0.132466129540442</v>
      </c>
      <c r="L806" s="4" t="n">
        <v>19274000</v>
      </c>
      <c r="M806" s="6" t="n">
        <f aca="false">L806+J806</f>
        <v>22217000</v>
      </c>
      <c r="N806" s="4" t="n">
        <v>7892000</v>
      </c>
      <c r="O806" s="4" t="n">
        <v>44824660</v>
      </c>
      <c r="P806" s="4" t="n">
        <v>655793</v>
      </c>
      <c r="Q806" s="7"/>
      <c r="R806" s="4" t="n">
        <v>698118</v>
      </c>
      <c r="S806" s="7"/>
      <c r="T806" s="4" t="n">
        <v>460530</v>
      </c>
      <c r="U806" s="5" t="n">
        <f aca="false">IFERROR(T806/P806,"")</f>
        <v>0.702249032850305</v>
      </c>
      <c r="V806" s="6" t="n">
        <f aca="false">T806-AV806</f>
        <v>-2045551</v>
      </c>
      <c r="W806" s="6" t="n">
        <f aca="false">V806-AA806*0.1</f>
        <v>-2170151</v>
      </c>
      <c r="X806" s="4" t="n">
        <v>4565861</v>
      </c>
      <c r="Y806" s="4" t="n">
        <v>173810</v>
      </c>
      <c r="Z806" s="8" t="n">
        <f aca="false">IFERROR(X806/Y806,"")</f>
        <v>26.2692652896841</v>
      </c>
      <c r="AA806" s="4" t="n">
        <v>1246000</v>
      </c>
      <c r="AB806" s="6" t="n">
        <f aca="false">W806-0.02*P806</f>
        <v>-2183266.86</v>
      </c>
      <c r="AC806" s="9" t="n">
        <v>37</v>
      </c>
      <c r="AD806" s="7"/>
      <c r="AE806" s="7" t="n">
        <v>0.086</v>
      </c>
      <c r="AF806" s="7" t="n">
        <v>0.062</v>
      </c>
      <c r="AG806" s="5" t="n">
        <f aca="false">1-AF806</f>
        <v>0.938</v>
      </c>
      <c r="AH806" s="7" t="n">
        <v>1.067</v>
      </c>
      <c r="AI806" s="4" t="n">
        <v>61162</v>
      </c>
      <c r="AJ806" s="6" t="n">
        <f aca="false">IFERROR(AM806*U806*MIN(1/AE806,5),"")</f>
        <v>150983.542062816</v>
      </c>
      <c r="AK806" s="10" t="n">
        <f aca="false">IFERROR(AJ806/AI806,"")</f>
        <v>2.46858412188639</v>
      </c>
      <c r="AL806" s="8" t="n">
        <f aca="false">IFERROR(AI806/(AM806*U806/12),"")</f>
        <v>24.3054305778125</v>
      </c>
      <c r="AM806" s="4" t="n">
        <v>43000</v>
      </c>
      <c r="AN806" s="4" t="n">
        <v>1018245</v>
      </c>
      <c r="AO806" s="4" t="n">
        <v>1398985</v>
      </c>
      <c r="AP806" s="7" t="n">
        <v>0.253</v>
      </c>
      <c r="AQ806" s="9" t="n">
        <v>43</v>
      </c>
      <c r="AR806" s="9" t="n">
        <v>4</v>
      </c>
      <c r="AS806" s="7"/>
      <c r="AT806" s="3" t="s">
        <v>134</v>
      </c>
      <c r="AU806" s="6" t="n">
        <f aca="false">IFERROR(P806/AR806,"")</f>
        <v>163948.25</v>
      </c>
      <c r="AV806" s="4" t="n">
        <v>2506081</v>
      </c>
      <c r="AW806" s="4" t="n">
        <v>859445</v>
      </c>
      <c r="AX806" s="4" t="n">
        <v>498348</v>
      </c>
      <c r="AY806" s="9" t="n">
        <v>8522</v>
      </c>
      <c r="AZ806" s="7"/>
      <c r="BA806" s="7" t="n">
        <v>0.921</v>
      </c>
      <c r="BB806" s="3" t="s">
        <v>81</v>
      </c>
      <c r="BC806" s="3" t="s">
        <v>108</v>
      </c>
      <c r="BD806" s="3" t="s">
        <v>83</v>
      </c>
      <c r="BE806" s="4" t="n">
        <v>600503</v>
      </c>
      <c r="BF806" s="5" t="n">
        <f aca="false">IFERROR(P806/BE806-1,"")</f>
        <v>0.0920728122923615</v>
      </c>
      <c r="BG806" s="7" t="n">
        <v>0.028</v>
      </c>
      <c r="BH806" s="7" t="n">
        <v>-0.021</v>
      </c>
      <c r="BI806" s="6" t="n">
        <f aca="false">P806</f>
        <v>655793</v>
      </c>
      <c r="BJ806" s="4" t="n">
        <v>-1359971</v>
      </c>
      <c r="BK806" s="3" t="s">
        <v>102</v>
      </c>
      <c r="BL806" s="3" t="s">
        <v>128</v>
      </c>
      <c r="BM806" s="6" t="n">
        <f aca="false">O806</f>
        <v>44824660</v>
      </c>
      <c r="BN806" s="3" t="s">
        <v>763</v>
      </c>
      <c r="BO806" s="5" t="n">
        <f aca="false">IFERROR(1-L806/M806,"")</f>
        <v>0.132466129540442</v>
      </c>
      <c r="BP806" s="3" t="s">
        <v>113</v>
      </c>
      <c r="BQ806" s="4" t="n">
        <v>3211448</v>
      </c>
      <c r="BR806" s="3" t="s">
        <v>88</v>
      </c>
      <c r="BS806" s="3" t="s">
        <v>89</v>
      </c>
      <c r="BT806" s="3" t="s">
        <v>90</v>
      </c>
    </row>
    <row r="807" customFormat="false" ht="15" hidden="false" customHeight="false" outlineLevel="0" collapsed="false">
      <c r="A807" s="11" t="s">
        <v>761</v>
      </c>
      <c r="B807" s="11" t="s">
        <v>91</v>
      </c>
      <c r="C807" s="11" t="s">
        <v>74</v>
      </c>
      <c r="D807" s="11" t="s">
        <v>115</v>
      </c>
      <c r="E807" s="11" t="s">
        <v>289</v>
      </c>
      <c r="F807" s="11" t="s">
        <v>762</v>
      </c>
      <c r="G807" s="11" t="s">
        <v>78</v>
      </c>
      <c r="H807" s="11" t="s">
        <v>644</v>
      </c>
      <c r="I807" s="11" t="s">
        <v>78</v>
      </c>
      <c r="J807" s="12" t="n">
        <v>2943000</v>
      </c>
      <c r="K807" s="13" t="n">
        <f aca="false">IFERROR(J807/M807,"")</f>
        <v>0.132466129540442</v>
      </c>
      <c r="L807" s="12" t="n">
        <v>19274000</v>
      </c>
      <c r="M807" s="14" t="n">
        <f aca="false">L807+J807</f>
        <v>22217000</v>
      </c>
      <c r="N807" s="12" t="n">
        <v>7892000</v>
      </c>
      <c r="O807" s="12" t="n">
        <v>44824660</v>
      </c>
      <c r="P807" s="12" t="n">
        <v>795917</v>
      </c>
      <c r="Q807" s="13" t="n">
        <f aca="false">IFERROR(P807/P806-1,"")</f>
        <v>0.213671082185995</v>
      </c>
      <c r="R807" s="12" t="n">
        <v>855172</v>
      </c>
      <c r="S807" s="13" t="n">
        <f aca="false">IFERROR(R807/R806-1,"")</f>
        <v>0.224967698870391</v>
      </c>
      <c r="T807" s="12" t="n">
        <v>561194</v>
      </c>
      <c r="U807" s="13" t="n">
        <f aca="false">IFERROR(T807/P807,"")</f>
        <v>0.705091108746264</v>
      </c>
      <c r="V807" s="14" t="n">
        <f aca="false">T807-AV807</f>
        <v>-1996116</v>
      </c>
      <c r="W807" s="14" t="n">
        <f aca="false">V807-AA807*0.1</f>
        <v>-2120716</v>
      </c>
      <c r="X807" s="12" t="n">
        <v>4127516</v>
      </c>
      <c r="Y807" s="12" t="n">
        <v>179540</v>
      </c>
      <c r="Z807" s="15" t="n">
        <f aca="false">IFERROR(X807/Y807,"")</f>
        <v>22.9893951208644</v>
      </c>
      <c r="AA807" s="12" t="n">
        <v>1246000</v>
      </c>
      <c r="AB807" s="14" t="n">
        <f aca="false">W807-0.02*P807</f>
        <v>-2136634.34</v>
      </c>
      <c r="AC807" s="16" t="n">
        <v>40</v>
      </c>
      <c r="AD807" s="13" t="n">
        <f aca="false">IFERROR(AC807/AC806-1,"")</f>
        <v>0.0810810810810811</v>
      </c>
      <c r="AE807" s="17" t="n">
        <v>0.084</v>
      </c>
      <c r="AF807" s="17" t="n">
        <v>0.074</v>
      </c>
      <c r="AG807" s="13" t="n">
        <f aca="false">1-AF807</f>
        <v>0.926</v>
      </c>
      <c r="AH807" s="17" t="n">
        <v>1.062</v>
      </c>
      <c r="AI807" s="12" t="n">
        <v>60008</v>
      </c>
      <c r="AJ807" s="14" t="n">
        <f aca="false">IFERROR(AM807*U807*MIN(1/AE807,5),"")</f>
        <v>154626.480148056</v>
      </c>
      <c r="AK807" s="18" t="n">
        <f aca="false">IFERROR(AJ807/AI807,"")</f>
        <v>2.57676443387641</v>
      </c>
      <c r="AL807" s="15" t="n">
        <f aca="false">IFERROR(AI807/(AM807*U807/12),"")</f>
        <v>23.2850155843457</v>
      </c>
      <c r="AM807" s="12" t="n">
        <v>43860</v>
      </c>
      <c r="AN807" s="12" t="n">
        <v>970457</v>
      </c>
      <c r="AO807" s="12" t="n">
        <v>2021816</v>
      </c>
      <c r="AP807" s="17" t="n">
        <v>0.253</v>
      </c>
      <c r="AQ807" s="16" t="n">
        <v>43</v>
      </c>
      <c r="AR807" s="16" t="n">
        <v>5</v>
      </c>
      <c r="AS807" s="13" t="n">
        <f aca="false">IFERROR(AR807/AR806-1,"")</f>
        <v>0.25</v>
      </c>
      <c r="AT807" s="11" t="s">
        <v>134</v>
      </c>
      <c r="AU807" s="14" t="n">
        <f aca="false">IFERROR(P807/AR807,"")</f>
        <v>159183.4</v>
      </c>
      <c r="AV807" s="12" t="n">
        <v>2557310</v>
      </c>
      <c r="AW807" s="12" t="n">
        <v>957410</v>
      </c>
      <c r="AX807" s="12" t="n">
        <v>670605</v>
      </c>
      <c r="AY807" s="16" t="n">
        <v>9574</v>
      </c>
      <c r="AZ807" s="13" t="n">
        <f aca="false">IFERROR(AY807/AY806-1,"")</f>
        <v>0.123445200657123</v>
      </c>
      <c r="BA807" s="17" t="n">
        <v>0.941</v>
      </c>
      <c r="BB807" s="11" t="s">
        <v>81</v>
      </c>
      <c r="BC807" s="11" t="s">
        <v>108</v>
      </c>
      <c r="BD807" s="11" t="s">
        <v>83</v>
      </c>
      <c r="BE807" s="12" t="n">
        <v>878733</v>
      </c>
      <c r="BF807" s="13" t="n">
        <f aca="false">IFERROR(P807/BE807-1,"")</f>
        <v>-0.0942447819758675</v>
      </c>
      <c r="BG807" s="17" t="n">
        <v>0.088</v>
      </c>
      <c r="BH807" s="17" t="n">
        <v>0.092</v>
      </c>
      <c r="BI807" s="14" t="n">
        <f aca="false">P807*(1+IFERROR(Q807,0))^4</f>
        <v>1726918.32456772</v>
      </c>
      <c r="BJ807" s="12" t="n">
        <v>-2033693</v>
      </c>
      <c r="BK807" s="11" t="s">
        <v>102</v>
      </c>
      <c r="BL807" s="11" t="s">
        <v>128</v>
      </c>
      <c r="BM807" s="14" t="n">
        <f aca="false">O807</f>
        <v>44824660</v>
      </c>
      <c r="BN807" s="11" t="s">
        <v>763</v>
      </c>
      <c r="BO807" s="13" t="n">
        <f aca="false">IFERROR(1-L807/M807,"")</f>
        <v>0.132466129540442</v>
      </c>
      <c r="BP807" s="11" t="s">
        <v>113</v>
      </c>
      <c r="BQ807" s="12" t="n">
        <v>2223486</v>
      </c>
      <c r="BR807" s="11" t="s">
        <v>88</v>
      </c>
      <c r="BS807" s="11" t="s">
        <v>89</v>
      </c>
      <c r="BT807" s="19" t="str">
        <f aca="false">IF(OR(Z807&lt;6,AH807&lt;0.9,S807&lt;0.02,AK807&lt;1),"REVIEW",IF(AND(S807&gt;0.25,AH807&gt;1.2),"ACCELERATING","STABLE"))</f>
        <v>STABLE</v>
      </c>
    </row>
    <row r="808" customFormat="false" ht="15" hidden="false" customHeight="false" outlineLevel="0" collapsed="false">
      <c r="A808" s="11" t="s">
        <v>761</v>
      </c>
      <c r="B808" s="11" t="s">
        <v>92</v>
      </c>
      <c r="C808" s="11" t="s">
        <v>74</v>
      </c>
      <c r="D808" s="11" t="s">
        <v>115</v>
      </c>
      <c r="E808" s="11" t="s">
        <v>289</v>
      </c>
      <c r="F808" s="11" t="s">
        <v>762</v>
      </c>
      <c r="G808" s="11" t="s">
        <v>78</v>
      </c>
      <c r="H808" s="11" t="s">
        <v>644</v>
      </c>
      <c r="I808" s="11" t="s">
        <v>78</v>
      </c>
      <c r="J808" s="12" t="n">
        <v>2943000</v>
      </c>
      <c r="K808" s="13" t="n">
        <f aca="false">IFERROR(J808/M808,"")</f>
        <v>0.132466129540442</v>
      </c>
      <c r="L808" s="12" t="n">
        <v>19274000</v>
      </c>
      <c r="M808" s="14" t="n">
        <f aca="false">L808+J808</f>
        <v>22217000</v>
      </c>
      <c r="N808" s="12" t="n">
        <v>7892000</v>
      </c>
      <c r="O808" s="12" t="n">
        <v>44824660</v>
      </c>
      <c r="P808" s="12" t="n">
        <v>959627</v>
      </c>
      <c r="Q808" s="13" t="n">
        <f aca="false">IFERROR(P808/P807-1,"")</f>
        <v>0.205687276437116</v>
      </c>
      <c r="R808" s="12" t="n">
        <v>978423</v>
      </c>
      <c r="S808" s="13" t="n">
        <f aca="false">IFERROR(R808/R807-1,"")</f>
        <v>0.144124222963334</v>
      </c>
      <c r="T808" s="12" t="n">
        <v>679354</v>
      </c>
      <c r="U808" s="13" t="n">
        <f aca="false">IFERROR(T808/P808,"")</f>
        <v>0.707935479097608</v>
      </c>
      <c r="V808" s="14" t="n">
        <f aca="false">T808-AV808</f>
        <v>-2081554</v>
      </c>
      <c r="W808" s="14" t="n">
        <f aca="false">V808-AA808*0.1</f>
        <v>-2206154</v>
      </c>
      <c r="X808" s="12" t="n">
        <v>3658229</v>
      </c>
      <c r="Y808" s="12" t="n">
        <v>185270</v>
      </c>
      <c r="Z808" s="15" t="n">
        <f aca="false">IFERROR(X808/Y808,"")</f>
        <v>19.7453932099099</v>
      </c>
      <c r="AA808" s="12" t="n">
        <v>1246000</v>
      </c>
      <c r="AB808" s="14" t="n">
        <f aca="false">W808-0.02*P808</f>
        <v>-2225346.54</v>
      </c>
      <c r="AC808" s="16" t="n">
        <v>47</v>
      </c>
      <c r="AD808" s="13" t="n">
        <f aca="false">IFERROR(AC808/AC807-1,"")</f>
        <v>0.175</v>
      </c>
      <c r="AE808" s="17" t="n">
        <v>0.081</v>
      </c>
      <c r="AF808" s="17" t="n">
        <v>0.083</v>
      </c>
      <c r="AG808" s="13" t="n">
        <f aca="false">1-AF808</f>
        <v>0.917</v>
      </c>
      <c r="AH808" s="17" t="n">
        <v>1.057</v>
      </c>
      <c r="AI808" s="12" t="n">
        <v>58854</v>
      </c>
      <c r="AJ808" s="14" t="n">
        <f aca="false">IFERROR(AM808*U808*MIN(1/AE808,5),"")</f>
        <v>158294.373126225</v>
      </c>
      <c r="AK808" s="18" t="n">
        <f aca="false">IFERROR(AJ808/AI808,"")</f>
        <v>2.68961112458329</v>
      </c>
      <c r="AL808" s="15" t="n">
        <f aca="false">IFERROR(AI808/(AM808*U808/12),"")</f>
        <v>22.3080576413425</v>
      </c>
      <c r="AM808" s="12" t="n">
        <v>44720</v>
      </c>
      <c r="AN808" s="12" t="n">
        <v>1340702</v>
      </c>
      <c r="AO808" s="12" t="n">
        <v>2429583</v>
      </c>
      <c r="AP808" s="17" t="n">
        <v>0.253</v>
      </c>
      <c r="AQ808" s="16" t="n">
        <v>43</v>
      </c>
      <c r="AR808" s="16" t="n">
        <v>5</v>
      </c>
      <c r="AS808" s="13" t="n">
        <f aca="false">IFERROR(AR808/AR807-1,"")</f>
        <v>0</v>
      </c>
      <c r="AT808" s="11" t="s">
        <v>134</v>
      </c>
      <c r="AU808" s="14" t="n">
        <f aca="false">IFERROR(P808/AR808,"")</f>
        <v>191925.4</v>
      </c>
      <c r="AV808" s="12" t="n">
        <v>2760908</v>
      </c>
      <c r="AW808" s="12" t="n">
        <v>1315963</v>
      </c>
      <c r="AX808" s="12" t="n">
        <v>842010</v>
      </c>
      <c r="AY808" s="16" t="n">
        <v>11475</v>
      </c>
      <c r="AZ808" s="13" t="n">
        <f aca="false">IFERROR(AY808/AY807-1,"")</f>
        <v>0.198558596198036</v>
      </c>
      <c r="BA808" s="17" t="n">
        <v>0.942</v>
      </c>
      <c r="BB808" s="11" t="s">
        <v>81</v>
      </c>
      <c r="BC808" s="11" t="s">
        <v>108</v>
      </c>
      <c r="BD808" s="11" t="s">
        <v>83</v>
      </c>
      <c r="BE808" s="12" t="n">
        <v>912771</v>
      </c>
      <c r="BF808" s="13" t="n">
        <f aca="false">IFERROR(P808/BE808-1,"")</f>
        <v>0.0513337956617816</v>
      </c>
      <c r="BG808" s="17" t="n">
        <v>0.072</v>
      </c>
      <c r="BH808" s="17" t="n">
        <v>0.013</v>
      </c>
      <c r="BI808" s="14" t="n">
        <f aca="false">P808*(1+IFERROR(Q808,0))^4</f>
        <v>2027874.9483547</v>
      </c>
      <c r="BJ808" s="12" t="n">
        <v>-2137356</v>
      </c>
      <c r="BK808" s="11" t="s">
        <v>102</v>
      </c>
      <c r="BL808" s="11" t="s">
        <v>128</v>
      </c>
      <c r="BM808" s="14" t="n">
        <f aca="false">O808</f>
        <v>44824660</v>
      </c>
      <c r="BN808" s="11" t="s">
        <v>763</v>
      </c>
      <c r="BO808" s="13" t="n">
        <f aca="false">IFERROR(1-L808/M808,"")</f>
        <v>0.132466129540442</v>
      </c>
      <c r="BP808" s="11" t="s">
        <v>113</v>
      </c>
      <c r="BQ808" s="12" t="n">
        <v>3143142</v>
      </c>
      <c r="BR808" s="11" t="s">
        <v>88</v>
      </c>
      <c r="BS808" s="11" t="s">
        <v>89</v>
      </c>
      <c r="BT808" s="19" t="str">
        <f aca="false">IF(OR(Z808&lt;6,AH808&lt;0.9,S808&lt;0.02,AK808&lt;1),"REVIEW",IF(AND(S808&gt;0.25,AH808&gt;1.2),"ACCELERATING","STABLE"))</f>
        <v>STABLE</v>
      </c>
    </row>
    <row r="809" customFormat="false" ht="15" hidden="false" customHeight="false" outlineLevel="0" collapsed="false">
      <c r="A809" s="11" t="s">
        <v>761</v>
      </c>
      <c r="B809" s="11" t="s">
        <v>93</v>
      </c>
      <c r="C809" s="11" t="s">
        <v>74</v>
      </c>
      <c r="D809" s="11" t="s">
        <v>115</v>
      </c>
      <c r="E809" s="11" t="s">
        <v>289</v>
      </c>
      <c r="F809" s="11" t="s">
        <v>762</v>
      </c>
      <c r="G809" s="11" t="s">
        <v>78</v>
      </c>
      <c r="H809" s="11" t="s">
        <v>644</v>
      </c>
      <c r="I809" s="11" t="s">
        <v>78</v>
      </c>
      <c r="J809" s="12" t="n">
        <v>2943000</v>
      </c>
      <c r="K809" s="13" t="n">
        <f aca="false">IFERROR(J809/M809,"")</f>
        <v>0.132466129540442</v>
      </c>
      <c r="L809" s="12" t="n">
        <v>19274000</v>
      </c>
      <c r="M809" s="14" t="n">
        <f aca="false">L809+J809</f>
        <v>22217000</v>
      </c>
      <c r="N809" s="12" t="n">
        <v>7892000</v>
      </c>
      <c r="O809" s="12" t="n">
        <v>44824660</v>
      </c>
      <c r="P809" s="12" t="n">
        <v>1091408</v>
      </c>
      <c r="Q809" s="13" t="n">
        <f aca="false">IFERROR(P809/P808-1,"")</f>
        <v>0.137325231574351</v>
      </c>
      <c r="R809" s="12" t="n">
        <v>1170977</v>
      </c>
      <c r="S809" s="13" t="n">
        <f aca="false">IFERROR(R809/R808-1,"")</f>
        <v>0.196800361397882</v>
      </c>
      <c r="T809" s="12" t="n">
        <v>775749</v>
      </c>
      <c r="U809" s="13" t="n">
        <f aca="false">IFERROR(T809/P809,"")</f>
        <v>0.710778187442276</v>
      </c>
      <c r="V809" s="14" t="n">
        <f aca="false">T809-AV809</f>
        <v>-2429795</v>
      </c>
      <c r="W809" s="14" t="n">
        <f aca="false">V809-AA809*0.1</f>
        <v>-2554395</v>
      </c>
      <c r="X809" s="12" t="n">
        <v>3158000</v>
      </c>
      <c r="Y809" s="12" t="n">
        <v>191000</v>
      </c>
      <c r="Z809" s="15" t="n">
        <f aca="false">IFERROR(X809/Y809,"")</f>
        <v>16.5340314136126</v>
      </c>
      <c r="AA809" s="12" t="n">
        <v>1246000</v>
      </c>
      <c r="AB809" s="14" t="n">
        <f aca="false">W809-0.02*P809</f>
        <v>-2576223.16</v>
      </c>
      <c r="AC809" s="16" t="n">
        <v>56</v>
      </c>
      <c r="AD809" s="13" t="n">
        <f aca="false">IFERROR(AC809/AC808-1,"")</f>
        <v>0.191489361702128</v>
      </c>
      <c r="AE809" s="17" t="n">
        <v>0.079</v>
      </c>
      <c r="AF809" s="17" t="n">
        <v>0.053</v>
      </c>
      <c r="AG809" s="13" t="n">
        <f aca="false">1-AF809</f>
        <v>0.947</v>
      </c>
      <c r="AH809" s="17" t="n">
        <v>1.052</v>
      </c>
      <c r="AI809" s="12" t="n">
        <v>57700</v>
      </c>
      <c r="AJ809" s="14" t="n">
        <f aca="false">IFERROR(AM809*U809*MIN(1/AE809,5),"")</f>
        <v>161986.348918095</v>
      </c>
      <c r="AK809" s="18" t="n">
        <f aca="false">IFERROR(AJ809/AI809,"")</f>
        <v>2.80738906270528</v>
      </c>
      <c r="AL809" s="15" t="n">
        <f aca="false">IFERROR(AI809/(AM809*U809/12),"")</f>
        <v>21.3721713164267</v>
      </c>
      <c r="AM809" s="12" t="n">
        <v>45580</v>
      </c>
      <c r="AN809" s="12" t="n">
        <v>1396234</v>
      </c>
      <c r="AO809" s="12" t="n">
        <v>3772454</v>
      </c>
      <c r="AP809" s="17" t="n">
        <v>0.253</v>
      </c>
      <c r="AQ809" s="16" t="n">
        <v>43</v>
      </c>
      <c r="AR809" s="16" t="n">
        <v>6</v>
      </c>
      <c r="AS809" s="13" t="n">
        <f aca="false">IFERROR(AR809/AR808-1,"")</f>
        <v>0.2</v>
      </c>
      <c r="AT809" s="11" t="s">
        <v>134</v>
      </c>
      <c r="AU809" s="14" t="n">
        <f aca="false">IFERROR(P809/AR809,"")</f>
        <v>181901.333333333</v>
      </c>
      <c r="AV809" s="12" t="n">
        <v>3205544</v>
      </c>
      <c r="AW809" s="12" t="n">
        <v>1123330</v>
      </c>
      <c r="AX809" s="12" t="n">
        <v>613591</v>
      </c>
      <c r="AY809" s="16" t="n">
        <v>12990</v>
      </c>
      <c r="AZ809" s="13" t="n">
        <f aca="false">IFERROR(AY809/AY808-1,"")</f>
        <v>0.13202614379085</v>
      </c>
      <c r="BA809" s="17" t="n">
        <v>0.93</v>
      </c>
      <c r="BB809" s="11" t="s">
        <v>81</v>
      </c>
      <c r="BC809" s="11" t="s">
        <v>108</v>
      </c>
      <c r="BD809" s="11" t="s">
        <v>83</v>
      </c>
      <c r="BE809" s="12" t="n">
        <v>1186583</v>
      </c>
      <c r="BF809" s="13" t="n">
        <f aca="false">IFERROR(P809/BE809-1,"")</f>
        <v>-0.0802093068921432</v>
      </c>
      <c r="BG809" s="17" t="n">
        <v>-0.058</v>
      </c>
      <c r="BH809" s="17" t="n">
        <v>-0.024</v>
      </c>
      <c r="BI809" s="14" t="n">
        <f aca="false">P809*(1+IFERROR(Q809,0))^4</f>
        <v>1826105.35131913</v>
      </c>
      <c r="BJ809" s="12" t="n">
        <v>-2207990</v>
      </c>
      <c r="BK809" s="11" t="s">
        <v>102</v>
      </c>
      <c r="BL809" s="11" t="s">
        <v>128</v>
      </c>
      <c r="BM809" s="14" t="n">
        <f aca="false">O809</f>
        <v>44824660</v>
      </c>
      <c r="BN809" s="11" t="s">
        <v>763</v>
      </c>
      <c r="BO809" s="13" t="n">
        <f aca="false">IFERROR(1-L809/M809,"")</f>
        <v>0.132466129540442</v>
      </c>
      <c r="BP809" s="11" t="s">
        <v>113</v>
      </c>
      <c r="BQ809" s="12" t="n">
        <v>2751466</v>
      </c>
      <c r="BR809" s="11" t="s">
        <v>88</v>
      </c>
      <c r="BS809" s="11" t="s">
        <v>89</v>
      </c>
      <c r="BT809" s="19" t="str">
        <f aca="false">IF(OR(Z809&lt;6,AH809&lt;0.9,S809&lt;0.02,AK809&lt;1),"REVIEW",IF(AND(S809&gt;0.25,AH809&gt;1.2),"ACCELERATING","STABLE"))</f>
        <v>STABLE</v>
      </c>
    </row>
    <row r="810" customFormat="false" ht="15" hidden="false" customHeight="false" outlineLevel="0" collapsed="false">
      <c r="A810" s="3" t="s">
        <v>764</v>
      </c>
      <c r="B810" s="3" t="s">
        <v>73</v>
      </c>
      <c r="C810" s="3" t="s">
        <v>74</v>
      </c>
      <c r="D810" s="3" t="s">
        <v>151</v>
      </c>
      <c r="E810" s="3" t="s">
        <v>289</v>
      </c>
      <c r="F810" s="3" t="s">
        <v>765</v>
      </c>
      <c r="G810" s="3" t="s">
        <v>78</v>
      </c>
      <c r="H810" s="3" t="s">
        <v>644</v>
      </c>
      <c r="I810" s="3" t="s">
        <v>78</v>
      </c>
      <c r="J810" s="4" t="n">
        <v>3977000</v>
      </c>
      <c r="K810" s="5" t="n">
        <f aca="false">IFERROR(J810/M810,"")</f>
        <v>0.163346613545817</v>
      </c>
      <c r="L810" s="4" t="n">
        <v>20370000</v>
      </c>
      <c r="M810" s="6" t="n">
        <f aca="false">L810+J810</f>
        <v>24347000</v>
      </c>
      <c r="N810" s="4" t="n">
        <v>3977000</v>
      </c>
      <c r="O810" s="4" t="n">
        <v>22726375</v>
      </c>
      <c r="P810" s="4" t="n">
        <v>1036051</v>
      </c>
      <c r="Q810" s="7"/>
      <c r="R810" s="4" t="n">
        <v>1230721</v>
      </c>
      <c r="S810" s="7"/>
      <c r="T810" s="4" t="n">
        <v>690941</v>
      </c>
      <c r="U810" s="5" t="n">
        <f aca="false">IFERROR(T810/P810,"")</f>
        <v>0.666898637229248</v>
      </c>
      <c r="V810" s="6" t="n">
        <f aca="false">T810-AV810</f>
        <v>-1683622</v>
      </c>
      <c r="W810" s="6" t="n">
        <f aca="false">V810-AA810*0.1</f>
        <v>-1725622</v>
      </c>
      <c r="X810" s="4" t="n">
        <v>5333070</v>
      </c>
      <c r="Y810" s="4" t="n">
        <v>154700</v>
      </c>
      <c r="Z810" s="8" t="n">
        <f aca="false">IFERROR(X810/Y810,"")</f>
        <v>34.4736263736264</v>
      </c>
      <c r="AA810" s="4" t="n">
        <v>420000</v>
      </c>
      <c r="AB810" s="6" t="n">
        <f aca="false">W810-0.02*P810</f>
        <v>-1746343.02</v>
      </c>
      <c r="AC810" s="9" t="n">
        <v>15</v>
      </c>
      <c r="AD810" s="7"/>
      <c r="AE810" s="7" t="n">
        <v>0.087</v>
      </c>
      <c r="AF810" s="7" t="n">
        <v>0.085</v>
      </c>
      <c r="AG810" s="5" t="n">
        <f aca="false">1-AF810</f>
        <v>0.915</v>
      </c>
      <c r="AH810" s="7" t="n">
        <v>1.188</v>
      </c>
      <c r="AI810" s="4" t="n">
        <v>29468</v>
      </c>
      <c r="AJ810" s="6" t="n">
        <f aca="false">IFERROR(AM810*U810*MIN(1/AE810,5),"")</f>
        <v>93365.8092120948</v>
      </c>
      <c r="AK810" s="10" t="n">
        <f aca="false">IFERROR(AJ810/AI810,"")</f>
        <v>3.16837957147057</v>
      </c>
      <c r="AL810" s="8" t="n">
        <f aca="false">IFERROR(AI810/(AM810*U810/12),"")</f>
        <v>18.9371250024036</v>
      </c>
      <c r="AM810" s="4" t="n">
        <v>28000</v>
      </c>
      <c r="AN810" s="4" t="n">
        <v>1520474</v>
      </c>
      <c r="AO810" s="4" t="n">
        <v>3973085</v>
      </c>
      <c r="AP810" s="7" t="n">
        <v>0.273</v>
      </c>
      <c r="AQ810" s="9" t="n">
        <v>27</v>
      </c>
      <c r="AR810" s="9" t="n">
        <v>6</v>
      </c>
      <c r="AS810" s="7"/>
      <c r="AT810" s="3" t="s">
        <v>98</v>
      </c>
      <c r="AU810" s="6" t="n">
        <f aca="false">IFERROR(P810/AR810,"")</f>
        <v>172675.166666667</v>
      </c>
      <c r="AV810" s="4" t="n">
        <v>2374563</v>
      </c>
      <c r="AW810" s="4" t="n">
        <v>1017198</v>
      </c>
      <c r="AX810" s="4" t="n">
        <v>774999</v>
      </c>
      <c r="AY810" s="9" t="n">
        <v>15180</v>
      </c>
      <c r="AZ810" s="7"/>
      <c r="BA810" s="7" t="n">
        <v>0.916</v>
      </c>
      <c r="BB810" s="3" t="s">
        <v>107</v>
      </c>
      <c r="BC810" s="3" t="s">
        <v>82</v>
      </c>
      <c r="BD810" s="3" t="s">
        <v>101</v>
      </c>
      <c r="BE810" s="4" t="n">
        <v>1282839</v>
      </c>
      <c r="BF810" s="5" t="n">
        <f aca="false">IFERROR(P810/BE810-1,"")</f>
        <v>-0.192376440067694</v>
      </c>
      <c r="BG810" s="7" t="n">
        <v>0.009</v>
      </c>
      <c r="BH810" s="7" t="n">
        <v>-0.001</v>
      </c>
      <c r="BI810" s="6" t="n">
        <f aca="false">P810</f>
        <v>1036051</v>
      </c>
      <c r="BJ810" s="4" t="n">
        <v>-1531405</v>
      </c>
      <c r="BK810" s="3" t="s">
        <v>110</v>
      </c>
      <c r="BL810" s="3" t="s">
        <v>128</v>
      </c>
      <c r="BM810" s="6" t="n">
        <f aca="false">O810</f>
        <v>22726375</v>
      </c>
      <c r="BN810" s="3" t="s">
        <v>766</v>
      </c>
      <c r="BO810" s="5" t="n">
        <f aca="false">IFERROR(1-L810/M810,"")</f>
        <v>0.163346613545817</v>
      </c>
      <c r="BP810" s="3" t="s">
        <v>130</v>
      </c>
      <c r="BQ810" s="4" t="n">
        <v>2846727</v>
      </c>
      <c r="BR810" s="3" t="s">
        <v>88</v>
      </c>
      <c r="BS810" s="3" t="s">
        <v>89</v>
      </c>
      <c r="BT810" s="3" t="s">
        <v>90</v>
      </c>
    </row>
    <row r="811" customFormat="false" ht="15" hidden="false" customHeight="false" outlineLevel="0" collapsed="false">
      <c r="A811" s="11" t="s">
        <v>764</v>
      </c>
      <c r="B811" s="11" t="s">
        <v>91</v>
      </c>
      <c r="C811" s="11" t="s">
        <v>74</v>
      </c>
      <c r="D811" s="11" t="s">
        <v>151</v>
      </c>
      <c r="E811" s="11" t="s">
        <v>289</v>
      </c>
      <c r="F811" s="11" t="s">
        <v>765</v>
      </c>
      <c r="G811" s="11" t="s">
        <v>78</v>
      </c>
      <c r="H811" s="11" t="s">
        <v>644</v>
      </c>
      <c r="I811" s="11" t="s">
        <v>78</v>
      </c>
      <c r="J811" s="12" t="n">
        <v>3977000</v>
      </c>
      <c r="K811" s="13" t="n">
        <f aca="false">IFERROR(J811/M811,"")</f>
        <v>0.163346613545817</v>
      </c>
      <c r="L811" s="12" t="n">
        <v>20370000</v>
      </c>
      <c r="M811" s="14" t="n">
        <f aca="false">L811+J811</f>
        <v>24347000</v>
      </c>
      <c r="N811" s="12" t="n">
        <v>3977000</v>
      </c>
      <c r="O811" s="12" t="n">
        <v>22726375</v>
      </c>
      <c r="P811" s="12" t="n">
        <v>1302598</v>
      </c>
      <c r="Q811" s="13" t="n">
        <f aca="false">IFERROR(P811/P810-1,"")</f>
        <v>0.257272084096246</v>
      </c>
      <c r="R811" s="12" t="n">
        <v>1523214</v>
      </c>
      <c r="S811" s="13" t="n">
        <f aca="false">IFERROR(R811/R810-1,"")</f>
        <v>0.237659875796383</v>
      </c>
      <c r="T811" s="12" t="n">
        <v>872218</v>
      </c>
      <c r="U811" s="13" t="n">
        <f aca="false">IFERROR(T811/P811,"")</f>
        <v>0.66959875571742</v>
      </c>
      <c r="V811" s="14" t="n">
        <f aca="false">T811-AV811</f>
        <v>-1820081</v>
      </c>
      <c r="W811" s="14" t="n">
        <f aca="false">V811-AA811*0.1</f>
        <v>-1862081</v>
      </c>
      <c r="X811" s="12" t="n">
        <v>4942920</v>
      </c>
      <c r="Y811" s="12" t="n">
        <v>159800</v>
      </c>
      <c r="Z811" s="15" t="n">
        <f aca="false">IFERROR(X811/Y811,"")</f>
        <v>30.931914893617</v>
      </c>
      <c r="AA811" s="12" t="n">
        <v>420000</v>
      </c>
      <c r="AB811" s="14" t="n">
        <f aca="false">W811-0.02*P811</f>
        <v>-1888132.96</v>
      </c>
      <c r="AC811" s="16" t="n">
        <v>16</v>
      </c>
      <c r="AD811" s="13" t="n">
        <f aca="false">IFERROR(AC811/AC810-1,"")</f>
        <v>0.0666666666666667</v>
      </c>
      <c r="AE811" s="17" t="n">
        <v>0.085</v>
      </c>
      <c r="AF811" s="17" t="n">
        <v>0.051</v>
      </c>
      <c r="AG811" s="13" t="n">
        <f aca="false">1-AF811</f>
        <v>0.949</v>
      </c>
      <c r="AH811" s="17" t="n">
        <v>1.183</v>
      </c>
      <c r="AI811" s="12" t="n">
        <v>28912</v>
      </c>
      <c r="AJ811" s="14" t="n">
        <f aca="false">IFERROR(AM811*U811*MIN(1/AE811,5),"")</f>
        <v>95618.7023164476</v>
      </c>
      <c r="AK811" s="18" t="n">
        <f aca="false">IFERROR(AJ811/AI811,"")</f>
        <v>3.30723237121083</v>
      </c>
      <c r="AL811" s="15" t="n">
        <f aca="false">IFERROR(AI811/(AM811*U811/12),"")</f>
        <v>18.142057547058</v>
      </c>
      <c r="AM811" s="12" t="n">
        <v>28560</v>
      </c>
      <c r="AN811" s="12" t="n">
        <v>1459802</v>
      </c>
      <c r="AO811" s="12" t="n">
        <v>2636163</v>
      </c>
      <c r="AP811" s="17" t="n">
        <v>0.273</v>
      </c>
      <c r="AQ811" s="16" t="n">
        <v>27</v>
      </c>
      <c r="AR811" s="16" t="n">
        <v>6</v>
      </c>
      <c r="AS811" s="13" t="n">
        <f aca="false">IFERROR(AR811/AR810-1,"")</f>
        <v>0</v>
      </c>
      <c r="AT811" s="11" t="s">
        <v>98</v>
      </c>
      <c r="AU811" s="14" t="n">
        <f aca="false">IFERROR(P811/AR811,"")</f>
        <v>217099.666666667</v>
      </c>
      <c r="AV811" s="12" t="n">
        <v>2692299</v>
      </c>
      <c r="AW811" s="12" t="n">
        <v>1322650</v>
      </c>
      <c r="AX811" s="12" t="n">
        <v>540892</v>
      </c>
      <c r="AY811" s="16" t="n">
        <v>17471</v>
      </c>
      <c r="AZ811" s="13" t="n">
        <f aca="false">IFERROR(AY811/AY810-1,"")</f>
        <v>0.150922266139657</v>
      </c>
      <c r="BA811" s="17" t="n">
        <v>0.917</v>
      </c>
      <c r="BB811" s="11" t="s">
        <v>107</v>
      </c>
      <c r="BC811" s="11" t="s">
        <v>82</v>
      </c>
      <c r="BD811" s="11" t="s">
        <v>101</v>
      </c>
      <c r="BE811" s="12" t="n">
        <v>1356433</v>
      </c>
      <c r="BF811" s="13" t="n">
        <f aca="false">IFERROR(P811/BE811-1,"")</f>
        <v>-0.0396886539917564</v>
      </c>
      <c r="BG811" s="17" t="n">
        <v>-0.02</v>
      </c>
      <c r="BH811" s="17" t="n">
        <v>0.001</v>
      </c>
      <c r="BI811" s="14" t="n">
        <f aca="false">P811*(1+IFERROR(Q811,0))^4</f>
        <v>3254823.91359588</v>
      </c>
      <c r="BJ811" s="12" t="n">
        <v>-1409670</v>
      </c>
      <c r="BK811" s="11" t="s">
        <v>110</v>
      </c>
      <c r="BL811" s="11" t="s">
        <v>128</v>
      </c>
      <c r="BM811" s="14" t="n">
        <f aca="false">O811</f>
        <v>22726375</v>
      </c>
      <c r="BN811" s="11" t="s">
        <v>766</v>
      </c>
      <c r="BO811" s="13" t="n">
        <f aca="false">IFERROR(1-L811/M811,"")</f>
        <v>0.163346613545817</v>
      </c>
      <c r="BP811" s="11" t="s">
        <v>130</v>
      </c>
      <c r="BQ811" s="12" t="n">
        <v>2721779</v>
      </c>
      <c r="BR811" s="11" t="s">
        <v>88</v>
      </c>
      <c r="BS811" s="11" t="s">
        <v>89</v>
      </c>
      <c r="BT811" s="19" t="str">
        <f aca="false">IF(OR(Z811&lt;6,AH811&lt;0.9,S811&lt;0.02,AK811&lt;1),"REVIEW",IF(AND(S811&gt;0.25,AH811&gt;1.2),"ACCELERATING","STABLE"))</f>
        <v>STABLE</v>
      </c>
    </row>
    <row r="812" customFormat="false" ht="15" hidden="false" customHeight="false" outlineLevel="0" collapsed="false">
      <c r="A812" s="11" t="s">
        <v>764</v>
      </c>
      <c r="B812" s="11" t="s">
        <v>92</v>
      </c>
      <c r="C812" s="11" t="s">
        <v>74</v>
      </c>
      <c r="D812" s="11" t="s">
        <v>151</v>
      </c>
      <c r="E812" s="11" t="s">
        <v>289</v>
      </c>
      <c r="F812" s="11" t="s">
        <v>765</v>
      </c>
      <c r="G812" s="11" t="s">
        <v>78</v>
      </c>
      <c r="H812" s="11" t="s">
        <v>644</v>
      </c>
      <c r="I812" s="11" t="s">
        <v>78</v>
      </c>
      <c r="J812" s="12" t="n">
        <v>3977000</v>
      </c>
      <c r="K812" s="13" t="n">
        <f aca="false">IFERROR(J812/M812,"")</f>
        <v>0.163346613545817</v>
      </c>
      <c r="L812" s="12" t="n">
        <v>20370000</v>
      </c>
      <c r="M812" s="14" t="n">
        <f aca="false">L812+J812</f>
        <v>24347000</v>
      </c>
      <c r="N812" s="12" t="n">
        <v>3977000</v>
      </c>
      <c r="O812" s="12" t="n">
        <v>22726375</v>
      </c>
      <c r="P812" s="12" t="n">
        <v>1542239</v>
      </c>
      <c r="Q812" s="13" t="n">
        <f aca="false">IFERROR(P812/P811-1,"")</f>
        <v>0.183971570661094</v>
      </c>
      <c r="R812" s="12" t="n">
        <v>1846693</v>
      </c>
      <c r="S812" s="13" t="n">
        <f aca="false">IFERROR(R812/R811-1,"")</f>
        <v>0.212366089072185</v>
      </c>
      <c r="T812" s="12" t="n">
        <v>1036846</v>
      </c>
      <c r="U812" s="13" t="n">
        <f aca="false">IFERROR(T812/P812,"")</f>
        <v>0.67229917023237</v>
      </c>
      <c r="V812" s="14" t="n">
        <f aca="false">T812-AV812</f>
        <v>-2043966</v>
      </c>
      <c r="W812" s="14" t="n">
        <f aca="false">V812-AA812*0.1</f>
        <v>-2085966</v>
      </c>
      <c r="X812" s="12" t="n">
        <v>4525230</v>
      </c>
      <c r="Y812" s="12" t="n">
        <v>164900</v>
      </c>
      <c r="Z812" s="15" t="n">
        <f aca="false">IFERROR(X812/Y812,"")</f>
        <v>27.4422680412371</v>
      </c>
      <c r="AA812" s="12" t="n">
        <v>420000</v>
      </c>
      <c r="AB812" s="14" t="n">
        <f aca="false">W812-0.02*P812</f>
        <v>-2116810.78</v>
      </c>
      <c r="AC812" s="16" t="n">
        <v>19</v>
      </c>
      <c r="AD812" s="13" t="n">
        <f aca="false">IFERROR(AC812/AC811-1,"")</f>
        <v>0.1875</v>
      </c>
      <c r="AE812" s="17" t="n">
        <v>0.082</v>
      </c>
      <c r="AF812" s="17" t="n">
        <v>0.087</v>
      </c>
      <c r="AG812" s="13" t="n">
        <f aca="false">1-AF812</f>
        <v>0.913</v>
      </c>
      <c r="AH812" s="17" t="n">
        <v>1.178</v>
      </c>
      <c r="AI812" s="12" t="n">
        <v>28356</v>
      </c>
      <c r="AJ812" s="14" t="n">
        <f aca="false">IFERROR(AM812*U812*MIN(1/AE812,5),"")</f>
        <v>97886.7591858331</v>
      </c>
      <c r="AK812" s="18" t="n">
        <f aca="false">IFERROR(AJ812/AI812,"")</f>
        <v>3.45206514267996</v>
      </c>
      <c r="AL812" s="15" t="n">
        <f aca="false">IFERROR(AI812/(AM812*U812/12),"")</f>
        <v>17.3809002785561</v>
      </c>
      <c r="AM812" s="12" t="n">
        <v>29120</v>
      </c>
      <c r="AN812" s="12" t="n">
        <v>2352308</v>
      </c>
      <c r="AO812" s="12" t="n">
        <v>4597329</v>
      </c>
      <c r="AP812" s="17" t="n">
        <v>0.273</v>
      </c>
      <c r="AQ812" s="16" t="n">
        <v>27</v>
      </c>
      <c r="AR812" s="16" t="n">
        <v>6</v>
      </c>
      <c r="AS812" s="13" t="n">
        <f aca="false">IFERROR(AR812/AR811-1,"")</f>
        <v>0</v>
      </c>
      <c r="AT812" s="11" t="s">
        <v>98</v>
      </c>
      <c r="AU812" s="14" t="n">
        <f aca="false">IFERROR(P812/AR812,"")</f>
        <v>257039.833333333</v>
      </c>
      <c r="AV812" s="12" t="n">
        <v>3080812</v>
      </c>
      <c r="AW812" s="12" t="n">
        <v>1188444</v>
      </c>
      <c r="AX812" s="12" t="n">
        <v>968063</v>
      </c>
      <c r="AY812" s="16" t="n">
        <v>21907</v>
      </c>
      <c r="AZ812" s="13" t="n">
        <f aca="false">IFERROR(AY812/AY811-1,"")</f>
        <v>0.253906473584798</v>
      </c>
      <c r="BA812" s="17" t="n">
        <v>0.923</v>
      </c>
      <c r="BB812" s="11" t="s">
        <v>107</v>
      </c>
      <c r="BC812" s="11" t="s">
        <v>82</v>
      </c>
      <c r="BD812" s="11" t="s">
        <v>101</v>
      </c>
      <c r="BE812" s="12" t="n">
        <v>1779744</v>
      </c>
      <c r="BF812" s="13" t="n">
        <f aca="false">IFERROR(P812/BE812-1,"")</f>
        <v>-0.133448967941457</v>
      </c>
      <c r="BG812" s="17" t="n">
        <v>0.037</v>
      </c>
      <c r="BH812" s="17" t="n">
        <v>-0.074</v>
      </c>
      <c r="BI812" s="14" t="n">
        <f aca="false">P812*(1+IFERROR(Q812,0))^4</f>
        <v>3030517.3765334</v>
      </c>
      <c r="BJ812" s="12" t="n">
        <v>-1972718</v>
      </c>
      <c r="BK812" s="11" t="s">
        <v>110</v>
      </c>
      <c r="BL812" s="11" t="s">
        <v>128</v>
      </c>
      <c r="BM812" s="14" t="n">
        <f aca="false">O812</f>
        <v>22726375</v>
      </c>
      <c r="BN812" s="11" t="s">
        <v>766</v>
      </c>
      <c r="BO812" s="13" t="n">
        <f aca="false">IFERROR(1-L812/M812,"")</f>
        <v>0.163346613545817</v>
      </c>
      <c r="BP812" s="11" t="s">
        <v>130</v>
      </c>
      <c r="BQ812" s="12" t="n">
        <v>2228196</v>
      </c>
      <c r="BR812" s="11" t="s">
        <v>88</v>
      </c>
      <c r="BS812" s="11" t="s">
        <v>89</v>
      </c>
      <c r="BT812" s="19" t="str">
        <f aca="false">IF(OR(Z812&lt;6,AH812&lt;0.9,S812&lt;0.02,AK812&lt;1),"REVIEW",IF(AND(S812&gt;0.25,AH812&gt;1.2),"ACCELERATING","STABLE"))</f>
        <v>STABLE</v>
      </c>
    </row>
    <row r="813" customFormat="false" ht="15" hidden="false" customHeight="false" outlineLevel="0" collapsed="false">
      <c r="A813" s="11" t="s">
        <v>764</v>
      </c>
      <c r="B813" s="11" t="s">
        <v>93</v>
      </c>
      <c r="C813" s="11" t="s">
        <v>74</v>
      </c>
      <c r="D813" s="11" t="s">
        <v>151</v>
      </c>
      <c r="E813" s="11" t="s">
        <v>289</v>
      </c>
      <c r="F813" s="11" t="s">
        <v>765</v>
      </c>
      <c r="G813" s="11" t="s">
        <v>78</v>
      </c>
      <c r="H813" s="11" t="s">
        <v>644</v>
      </c>
      <c r="I813" s="11" t="s">
        <v>78</v>
      </c>
      <c r="J813" s="12" t="n">
        <v>3977000</v>
      </c>
      <c r="K813" s="13" t="n">
        <f aca="false">IFERROR(J813/M813,"")</f>
        <v>0.163346613545817</v>
      </c>
      <c r="L813" s="12" t="n">
        <v>20370000</v>
      </c>
      <c r="M813" s="14" t="n">
        <f aca="false">L813+J813</f>
        <v>24347000</v>
      </c>
      <c r="N813" s="12" t="n">
        <v>3977000</v>
      </c>
      <c r="O813" s="12" t="n">
        <v>22726375</v>
      </c>
      <c r="P813" s="12" t="n">
        <v>1905678</v>
      </c>
      <c r="Q813" s="13" t="n">
        <f aca="false">IFERROR(P813/P812-1,"")</f>
        <v>0.235656730247387</v>
      </c>
      <c r="R813" s="12" t="n">
        <v>2296165</v>
      </c>
      <c r="S813" s="13" t="n">
        <f aca="false">IFERROR(R813/R812-1,"")</f>
        <v>0.243392919126244</v>
      </c>
      <c r="T813" s="12" t="n">
        <v>1286331</v>
      </c>
      <c r="U813" s="13" t="n">
        <f aca="false">IFERROR(T813/P813,"")</f>
        <v>0.674999134166423</v>
      </c>
      <c r="V813" s="14" t="n">
        <f aca="false">T813-AV813</f>
        <v>-1914730</v>
      </c>
      <c r="W813" s="14" t="n">
        <f aca="false">V813-AA813*0.1</f>
        <v>-1956730</v>
      </c>
      <c r="X813" s="12" t="n">
        <v>4080000</v>
      </c>
      <c r="Y813" s="12" t="n">
        <v>170000</v>
      </c>
      <c r="Z813" s="15" t="n">
        <f aca="false">IFERROR(X813/Y813,"")</f>
        <v>24</v>
      </c>
      <c r="AA813" s="12" t="n">
        <v>420000</v>
      </c>
      <c r="AB813" s="14" t="n">
        <f aca="false">W813-0.02*P813</f>
        <v>-1994843.56</v>
      </c>
      <c r="AC813" s="16" t="n">
        <v>22</v>
      </c>
      <c r="AD813" s="13" t="n">
        <f aca="false">IFERROR(AC813/AC812-1,"")</f>
        <v>0.157894736842105</v>
      </c>
      <c r="AE813" s="17" t="n">
        <v>0.08</v>
      </c>
      <c r="AF813" s="17" t="n">
        <v>0.055</v>
      </c>
      <c r="AG813" s="13" t="n">
        <f aca="false">1-AF813</f>
        <v>0.945</v>
      </c>
      <c r="AH813" s="17" t="n">
        <v>1.173</v>
      </c>
      <c r="AI813" s="12" t="n">
        <v>27800</v>
      </c>
      <c r="AJ813" s="14" t="n">
        <f aca="false">IFERROR(AM813*U813*MIN(1/AE813,5),"")</f>
        <v>100169.871510297</v>
      </c>
      <c r="AK813" s="18" t="n">
        <f aca="false">IFERROR(AJ813/AI813,"")</f>
        <v>3.60323278814018</v>
      </c>
      <c r="AL813" s="15" t="n">
        <f aca="false">IFERROR(AI813/(AM813*U813/12),"")</f>
        <v>16.6517134828164</v>
      </c>
      <c r="AM813" s="12" t="n">
        <v>29680</v>
      </c>
      <c r="AN813" s="12" t="n">
        <v>3270511</v>
      </c>
      <c r="AO813" s="12" t="n">
        <v>3552042</v>
      </c>
      <c r="AP813" s="17" t="n">
        <v>0.273</v>
      </c>
      <c r="AQ813" s="16" t="n">
        <v>27</v>
      </c>
      <c r="AR813" s="16" t="n">
        <v>6</v>
      </c>
      <c r="AS813" s="13" t="n">
        <f aca="false">IFERROR(AR813/AR812-1,"")</f>
        <v>0</v>
      </c>
      <c r="AT813" s="11" t="s">
        <v>98</v>
      </c>
      <c r="AU813" s="14" t="n">
        <f aca="false">IFERROR(P813/AR813,"")</f>
        <v>317613</v>
      </c>
      <c r="AV813" s="12" t="n">
        <v>3201061</v>
      </c>
      <c r="AW813" s="12" t="n">
        <v>1164120</v>
      </c>
      <c r="AX813" s="12" t="n">
        <v>724205</v>
      </c>
      <c r="AY813" s="16" t="n">
        <v>24471</v>
      </c>
      <c r="AZ813" s="13" t="n">
        <f aca="false">IFERROR(AY813/AY812-1,"")</f>
        <v>0.117040215456247</v>
      </c>
      <c r="BA813" s="17" t="n">
        <v>0.919</v>
      </c>
      <c r="BB813" s="11" t="s">
        <v>107</v>
      </c>
      <c r="BC813" s="11" t="s">
        <v>82</v>
      </c>
      <c r="BD813" s="11" t="s">
        <v>101</v>
      </c>
      <c r="BE813" s="12" t="n">
        <v>1891297</v>
      </c>
      <c r="BF813" s="13" t="n">
        <f aca="false">IFERROR(P813/BE813-1,"")</f>
        <v>0.00760377666754608</v>
      </c>
      <c r="BG813" s="17" t="n">
        <v>0.004</v>
      </c>
      <c r="BH813" s="17" t="n">
        <v>-0.006</v>
      </c>
      <c r="BI813" s="14" t="n">
        <f aca="false">P813*(1+IFERROR(Q813,0))^4</f>
        <v>4442637.48073533</v>
      </c>
      <c r="BJ813" s="12" t="n">
        <v>-1430361</v>
      </c>
      <c r="BK813" s="11" t="s">
        <v>110</v>
      </c>
      <c r="BL813" s="11" t="s">
        <v>128</v>
      </c>
      <c r="BM813" s="14" t="n">
        <f aca="false">O813</f>
        <v>22726375</v>
      </c>
      <c r="BN813" s="11" t="s">
        <v>766</v>
      </c>
      <c r="BO813" s="13" t="n">
        <f aca="false">IFERROR(1-L813/M813,"")</f>
        <v>0.163346613545817</v>
      </c>
      <c r="BP813" s="11" t="s">
        <v>130</v>
      </c>
      <c r="BQ813" s="12" t="n">
        <v>3278340</v>
      </c>
      <c r="BR813" s="11" t="s">
        <v>88</v>
      </c>
      <c r="BS813" s="11" t="s">
        <v>89</v>
      </c>
      <c r="BT813" s="19" t="str">
        <f aca="false">IF(OR(Z813&lt;6,AH813&lt;0.9,S813&lt;0.02,AK813&lt;1),"REVIEW",IF(AND(S813&gt;0.25,AH813&gt;1.2),"ACCELERATING","STABLE"))</f>
        <v>STABLE</v>
      </c>
    </row>
    <row r="814" customFormat="false" ht="15" hidden="false" customHeight="false" outlineLevel="0" collapsed="false">
      <c r="A814" s="3" t="s">
        <v>767</v>
      </c>
      <c r="B814" s="3" t="s">
        <v>73</v>
      </c>
      <c r="C814" s="3" t="s">
        <v>74</v>
      </c>
      <c r="D814" s="3" t="s">
        <v>75</v>
      </c>
      <c r="E814" s="3" t="s">
        <v>105</v>
      </c>
      <c r="F814" s="3" t="s">
        <v>768</v>
      </c>
      <c r="G814" s="3" t="s">
        <v>78</v>
      </c>
      <c r="H814" s="3" t="s">
        <v>644</v>
      </c>
      <c r="I814" s="3" t="s">
        <v>78</v>
      </c>
      <c r="J814" s="4" t="n">
        <v>5426000</v>
      </c>
      <c r="K814" s="5" t="n">
        <f aca="false">IFERROR(J814/M814,"")</f>
        <v>0.185911053244706</v>
      </c>
      <c r="L814" s="4" t="n">
        <v>23760000</v>
      </c>
      <c r="M814" s="6" t="n">
        <f aca="false">L814+J814</f>
        <v>29186000</v>
      </c>
      <c r="N814" s="4" t="n">
        <v>6916000</v>
      </c>
      <c r="O814" s="4" t="n">
        <v>51568244</v>
      </c>
      <c r="P814" s="4" t="n">
        <v>1287471</v>
      </c>
      <c r="Q814" s="7"/>
      <c r="R814" s="4" t="n">
        <v>1482401</v>
      </c>
      <c r="S814" s="7"/>
      <c r="T814" s="4" t="n">
        <v>750619</v>
      </c>
      <c r="U814" s="5" t="n">
        <f aca="false">IFERROR(T814/P814,"")</f>
        <v>0.58301818060368</v>
      </c>
      <c r="V814" s="6" t="n">
        <f aca="false">T814-AV814</f>
        <v>-2454860</v>
      </c>
      <c r="W814" s="6" t="n">
        <f aca="false">V814-AA814*0.1</f>
        <v>-2454860</v>
      </c>
      <c r="X814" s="4" t="n">
        <v>4330115</v>
      </c>
      <c r="Y814" s="4" t="n">
        <v>225680</v>
      </c>
      <c r="Z814" s="8" t="n">
        <f aca="false">IFERROR(X814/Y814,"")</f>
        <v>19.1869682736618</v>
      </c>
      <c r="AA814" s="4" t="n">
        <v>0</v>
      </c>
      <c r="AB814" s="6" t="n">
        <f aca="false">W814-0.02*P814</f>
        <v>-2480609.42</v>
      </c>
      <c r="AC814" s="9" t="n">
        <v>14</v>
      </c>
      <c r="AD814" s="7"/>
      <c r="AE814" s="7" t="n">
        <v>0.073</v>
      </c>
      <c r="AF814" s="7" t="n">
        <v>0.073</v>
      </c>
      <c r="AG814" s="5" t="n">
        <f aca="false">1-AF814</f>
        <v>0.927</v>
      </c>
      <c r="AH814" s="7" t="n">
        <v>1.128</v>
      </c>
      <c r="AI814" s="4" t="n">
        <v>51092</v>
      </c>
      <c r="AJ814" s="6" t="n">
        <f aca="false">IFERROR(AM814*U814*MIN(1/AE814,5),"")</f>
        <v>163245.09056903</v>
      </c>
      <c r="AK814" s="10" t="n">
        <f aca="false">IFERROR(AJ814/AI814,"")</f>
        <v>3.19512038223265</v>
      </c>
      <c r="AL814" s="8" t="n">
        <f aca="false">IFERROR(AI814/(AM814*U814/12),"")</f>
        <v>18.7786351755779</v>
      </c>
      <c r="AM814" s="4" t="n">
        <v>56000</v>
      </c>
      <c r="AN814" s="4" t="n">
        <v>1978298</v>
      </c>
      <c r="AO814" s="4" t="n">
        <v>4705694</v>
      </c>
      <c r="AP814" s="7" t="n">
        <v>0.274</v>
      </c>
      <c r="AQ814" s="9" t="n">
        <v>62</v>
      </c>
      <c r="AR814" s="9" t="n">
        <v>2</v>
      </c>
      <c r="AS814" s="7"/>
      <c r="AT814" s="3" t="s">
        <v>98</v>
      </c>
      <c r="AU814" s="6" t="n">
        <f aca="false">IFERROR(P814/AR814,"")</f>
        <v>643735.5</v>
      </c>
      <c r="AV814" s="4" t="n">
        <v>3205479</v>
      </c>
      <c r="AW814" s="4" t="n">
        <v>1093473</v>
      </c>
      <c r="AX814" s="4" t="n">
        <v>593594</v>
      </c>
      <c r="AY814" s="9" t="n">
        <v>5550</v>
      </c>
      <c r="AZ814" s="7"/>
      <c r="BA814" s="7" t="n">
        <v>0.924</v>
      </c>
      <c r="BB814" s="3" t="s">
        <v>107</v>
      </c>
      <c r="BC814" s="3" t="s">
        <v>82</v>
      </c>
      <c r="BD814" s="3" t="s">
        <v>83</v>
      </c>
      <c r="BE814" s="4" t="n">
        <v>1309281</v>
      </c>
      <c r="BF814" s="5" t="n">
        <f aca="false">IFERROR(P814/BE814-1,"")</f>
        <v>-0.0166579977865714</v>
      </c>
      <c r="BG814" s="7" t="n">
        <v>0.03</v>
      </c>
      <c r="BH814" s="7" t="n">
        <v>-0.002</v>
      </c>
      <c r="BI814" s="6" t="n">
        <f aca="false">P814</f>
        <v>1287471</v>
      </c>
      <c r="BJ814" s="4" t="n">
        <v>-2451125</v>
      </c>
      <c r="BK814" s="3" t="s">
        <v>127</v>
      </c>
      <c r="BL814" s="3" t="s">
        <v>111</v>
      </c>
      <c r="BM814" s="6" t="n">
        <f aca="false">O814</f>
        <v>51568244</v>
      </c>
      <c r="BN814" s="3" t="s">
        <v>769</v>
      </c>
      <c r="BO814" s="5" t="n">
        <f aca="false">IFERROR(1-L814/M814,"")</f>
        <v>0.185911053244706</v>
      </c>
      <c r="BP814" s="3" t="s">
        <v>113</v>
      </c>
      <c r="BQ814" s="4" t="n">
        <v>4008505</v>
      </c>
      <c r="BR814" s="3" t="s">
        <v>88</v>
      </c>
      <c r="BS814" s="3" t="s">
        <v>89</v>
      </c>
      <c r="BT814" s="3" t="s">
        <v>90</v>
      </c>
    </row>
    <row r="815" customFormat="false" ht="15" hidden="false" customHeight="false" outlineLevel="0" collapsed="false">
      <c r="A815" s="11" t="s">
        <v>767</v>
      </c>
      <c r="B815" s="11" t="s">
        <v>91</v>
      </c>
      <c r="C815" s="11" t="s">
        <v>74</v>
      </c>
      <c r="D815" s="11" t="s">
        <v>75</v>
      </c>
      <c r="E815" s="11" t="s">
        <v>105</v>
      </c>
      <c r="F815" s="11" t="s">
        <v>768</v>
      </c>
      <c r="G815" s="11" t="s">
        <v>78</v>
      </c>
      <c r="H815" s="11" t="s">
        <v>644</v>
      </c>
      <c r="I815" s="11" t="s">
        <v>78</v>
      </c>
      <c r="J815" s="12" t="n">
        <v>5426000</v>
      </c>
      <c r="K815" s="13" t="n">
        <f aca="false">IFERROR(J815/M815,"")</f>
        <v>0.185911053244706</v>
      </c>
      <c r="L815" s="12" t="n">
        <v>23760000</v>
      </c>
      <c r="M815" s="14" t="n">
        <f aca="false">L815+J815</f>
        <v>29186000</v>
      </c>
      <c r="N815" s="12" t="n">
        <v>6916000</v>
      </c>
      <c r="O815" s="12" t="n">
        <v>51568244</v>
      </c>
      <c r="P815" s="12" t="n">
        <v>1592145</v>
      </c>
      <c r="Q815" s="13" t="n">
        <f aca="false">IFERROR(P815/P814-1,"")</f>
        <v>0.23664533026375</v>
      </c>
      <c r="R815" s="12" t="n">
        <v>1648392</v>
      </c>
      <c r="S815" s="13" t="n">
        <f aca="false">IFERROR(R815/R814-1,"")</f>
        <v>0.111974425273593</v>
      </c>
      <c r="T815" s="12" t="n">
        <v>932008</v>
      </c>
      <c r="U815" s="13" t="n">
        <f aca="false">IFERROR(T815/P815,"")</f>
        <v>0.585378844263556</v>
      </c>
      <c r="V815" s="14" t="n">
        <f aca="false">T815-AV815</f>
        <v>-2544777</v>
      </c>
      <c r="W815" s="14" t="n">
        <f aca="false">V815-AA815*0.1</f>
        <v>-2544777</v>
      </c>
      <c r="X815" s="12" t="n">
        <v>3760955</v>
      </c>
      <c r="Y815" s="12" t="n">
        <v>233120</v>
      </c>
      <c r="Z815" s="15" t="n">
        <f aca="false">IFERROR(X815/Y815,"")</f>
        <v>16.1331288606726</v>
      </c>
      <c r="AA815" s="12" t="n">
        <v>0</v>
      </c>
      <c r="AB815" s="14" t="n">
        <f aca="false">W815-0.02*P815</f>
        <v>-2576619.9</v>
      </c>
      <c r="AC815" s="16" t="n">
        <v>16</v>
      </c>
      <c r="AD815" s="13" t="n">
        <f aca="false">IFERROR(AC815/AC814-1,"")</f>
        <v>0.142857142857143</v>
      </c>
      <c r="AE815" s="17" t="n">
        <v>0.071</v>
      </c>
      <c r="AF815" s="17" t="n">
        <v>0.077</v>
      </c>
      <c r="AG815" s="13" t="n">
        <f aca="false">1-AF815</f>
        <v>0.923</v>
      </c>
      <c r="AH815" s="17" t="n">
        <v>1.123</v>
      </c>
      <c r="AI815" s="12" t="n">
        <v>50128</v>
      </c>
      <c r="AJ815" s="14" t="n">
        <f aca="false">IFERROR(AM815*U815*MIN(1/AE815,5),"")</f>
        <v>167184.197921672</v>
      </c>
      <c r="AK815" s="18" t="n">
        <f aca="false">IFERROR(AJ815/AI815,"")</f>
        <v>3.33514598471257</v>
      </c>
      <c r="AL815" s="15" t="n">
        <f aca="false">IFERROR(AI815/(AM815*U815/12),"")</f>
        <v>17.9902170025013</v>
      </c>
      <c r="AM815" s="12" t="n">
        <v>57120</v>
      </c>
      <c r="AN815" s="12" t="n">
        <v>2181430</v>
      </c>
      <c r="AO815" s="12" t="n">
        <v>3351797</v>
      </c>
      <c r="AP815" s="17" t="n">
        <v>0.274</v>
      </c>
      <c r="AQ815" s="16" t="n">
        <v>62</v>
      </c>
      <c r="AR815" s="16" t="n">
        <v>2</v>
      </c>
      <c r="AS815" s="13" t="n">
        <f aca="false">IFERROR(AR815/AR814-1,"")</f>
        <v>0</v>
      </c>
      <c r="AT815" s="11" t="s">
        <v>98</v>
      </c>
      <c r="AU815" s="14" t="n">
        <f aca="false">IFERROR(P815/AR815,"")</f>
        <v>796072.5</v>
      </c>
      <c r="AV815" s="12" t="n">
        <v>3476785</v>
      </c>
      <c r="AW815" s="12" t="n">
        <v>1248060</v>
      </c>
      <c r="AX815" s="12" t="n">
        <v>999996</v>
      </c>
      <c r="AY815" s="16" t="n">
        <v>6728</v>
      </c>
      <c r="AZ815" s="13" t="n">
        <f aca="false">IFERROR(AY815/AY814-1,"")</f>
        <v>0.212252252252252</v>
      </c>
      <c r="BA815" s="17" t="n">
        <v>0.942</v>
      </c>
      <c r="BB815" s="11" t="s">
        <v>107</v>
      </c>
      <c r="BC815" s="11" t="s">
        <v>82</v>
      </c>
      <c r="BD815" s="11" t="s">
        <v>83</v>
      </c>
      <c r="BE815" s="12" t="n">
        <v>1669894</v>
      </c>
      <c r="BF815" s="13" t="n">
        <f aca="false">IFERROR(P815/BE815-1,"")</f>
        <v>-0.0465592426824697</v>
      </c>
      <c r="BG815" s="17" t="n">
        <v>0.072</v>
      </c>
      <c r="BH815" s="17" t="n">
        <v>-0.08</v>
      </c>
      <c r="BI815" s="14" t="n">
        <f aca="false">P815*(1+IFERROR(Q815,0))^4</f>
        <v>3723602.08522415</v>
      </c>
      <c r="BJ815" s="12" t="n">
        <v>-2245109</v>
      </c>
      <c r="BK815" s="11" t="s">
        <v>127</v>
      </c>
      <c r="BL815" s="11" t="s">
        <v>111</v>
      </c>
      <c r="BM815" s="14" t="n">
        <f aca="false">O815</f>
        <v>51568244</v>
      </c>
      <c r="BN815" s="11" t="s">
        <v>769</v>
      </c>
      <c r="BO815" s="13" t="n">
        <f aca="false">IFERROR(1-L815/M815,"")</f>
        <v>0.185911053244706</v>
      </c>
      <c r="BP815" s="11" t="s">
        <v>113</v>
      </c>
      <c r="BQ815" s="12" t="n">
        <v>4551515</v>
      </c>
      <c r="BR815" s="11" t="s">
        <v>88</v>
      </c>
      <c r="BS815" s="11" t="s">
        <v>89</v>
      </c>
      <c r="BT815" s="19" t="str">
        <f aca="false">IF(OR(Z815&lt;6,AH815&lt;0.9,S815&lt;0.02,AK815&lt;1),"REVIEW",IF(AND(S815&gt;0.25,AH815&gt;1.2),"ACCELERATING","STABLE"))</f>
        <v>STABLE</v>
      </c>
    </row>
    <row r="816" customFormat="false" ht="15" hidden="false" customHeight="false" outlineLevel="0" collapsed="false">
      <c r="A816" s="11" t="s">
        <v>767</v>
      </c>
      <c r="B816" s="11" t="s">
        <v>92</v>
      </c>
      <c r="C816" s="11" t="s">
        <v>74</v>
      </c>
      <c r="D816" s="11" t="s">
        <v>75</v>
      </c>
      <c r="E816" s="11" t="s">
        <v>105</v>
      </c>
      <c r="F816" s="11" t="s">
        <v>768</v>
      </c>
      <c r="G816" s="11" t="s">
        <v>78</v>
      </c>
      <c r="H816" s="11" t="s">
        <v>644</v>
      </c>
      <c r="I816" s="11" t="s">
        <v>78</v>
      </c>
      <c r="J816" s="12" t="n">
        <v>5426000</v>
      </c>
      <c r="K816" s="13" t="n">
        <f aca="false">IFERROR(J816/M816,"")</f>
        <v>0.185911053244706</v>
      </c>
      <c r="L816" s="12" t="n">
        <v>23760000</v>
      </c>
      <c r="M816" s="14" t="n">
        <f aca="false">L816+J816</f>
        <v>29186000</v>
      </c>
      <c r="N816" s="12" t="n">
        <v>6916000</v>
      </c>
      <c r="O816" s="12" t="n">
        <v>51568244</v>
      </c>
      <c r="P816" s="12" t="n">
        <v>1752910</v>
      </c>
      <c r="Q816" s="13" t="n">
        <f aca="false">IFERROR(P816/P815-1,"")</f>
        <v>0.10097384346275</v>
      </c>
      <c r="R816" s="12" t="n">
        <v>1848940</v>
      </c>
      <c r="S816" s="13" t="n">
        <f aca="false">IFERROR(R816/R815-1,"")</f>
        <v>0.121662808361118</v>
      </c>
      <c r="T816" s="12" t="n">
        <v>1030253</v>
      </c>
      <c r="U816" s="13" t="n">
        <f aca="false">IFERROR(T816/P816,"")</f>
        <v>0.587738674546896</v>
      </c>
      <c r="V816" s="14" t="n">
        <f aca="false">T816-AV816</f>
        <v>-2598646</v>
      </c>
      <c r="W816" s="14" t="n">
        <f aca="false">V816-AA816*0.1</f>
        <v>-2598646</v>
      </c>
      <c r="X816" s="12" t="n">
        <v>3151619</v>
      </c>
      <c r="Y816" s="12" t="n">
        <v>240560</v>
      </c>
      <c r="Z816" s="15" t="n">
        <f aca="false">IFERROR(X816/Y816,"")</f>
        <v>13.1011764216827</v>
      </c>
      <c r="AA816" s="12" t="n">
        <v>0</v>
      </c>
      <c r="AB816" s="14" t="n">
        <f aca="false">W816-0.02*P816</f>
        <v>-2633704.2</v>
      </c>
      <c r="AC816" s="16" t="n">
        <v>18</v>
      </c>
      <c r="AD816" s="13" t="n">
        <f aca="false">IFERROR(AC816/AC815-1,"")</f>
        <v>0.125</v>
      </c>
      <c r="AE816" s="17" t="n">
        <v>0.069</v>
      </c>
      <c r="AF816" s="17" t="n">
        <v>0.05</v>
      </c>
      <c r="AG816" s="13" t="n">
        <f aca="false">1-AF816</f>
        <v>0.95</v>
      </c>
      <c r="AH816" s="17" t="n">
        <v>1.118</v>
      </c>
      <c r="AI816" s="12" t="n">
        <v>49164</v>
      </c>
      <c r="AJ816" s="14" t="n">
        <f aca="false">IFERROR(AM816*U816*MIN(1/AE816,5),"")</f>
        <v>171149.502028056</v>
      </c>
      <c r="AK816" s="18" t="n">
        <f aca="false">IFERROR(AJ816/AI816,"")</f>
        <v>3.48119563152014</v>
      </c>
      <c r="AL816" s="15" t="n">
        <f aca="false">IFERROR(AI816/(AM816*U816/12),"")</f>
        <v>17.2354576849218</v>
      </c>
      <c r="AM816" s="12" t="n">
        <v>58240</v>
      </c>
      <c r="AN816" s="12" t="n">
        <v>2749887</v>
      </c>
      <c r="AO816" s="12" t="n">
        <v>3859436</v>
      </c>
      <c r="AP816" s="17" t="n">
        <v>0.274</v>
      </c>
      <c r="AQ816" s="16" t="n">
        <v>62</v>
      </c>
      <c r="AR816" s="16" t="n">
        <v>2</v>
      </c>
      <c r="AS816" s="13" t="n">
        <f aca="false">IFERROR(AR816/AR815-1,"")</f>
        <v>0</v>
      </c>
      <c r="AT816" s="11" t="s">
        <v>98</v>
      </c>
      <c r="AU816" s="14" t="n">
        <f aca="false">IFERROR(P816/AR816,"")</f>
        <v>876455</v>
      </c>
      <c r="AV816" s="12" t="n">
        <v>3628899</v>
      </c>
      <c r="AW816" s="12" t="n">
        <v>1449264</v>
      </c>
      <c r="AX816" s="12" t="n">
        <v>1150436</v>
      </c>
      <c r="AY816" s="16" t="n">
        <v>7397</v>
      </c>
      <c r="AZ816" s="13" t="n">
        <f aca="false">IFERROR(AY816/AY815-1,"")</f>
        <v>0.099435196195006</v>
      </c>
      <c r="BA816" s="17" t="n">
        <v>0.926</v>
      </c>
      <c r="BB816" s="11" t="s">
        <v>107</v>
      </c>
      <c r="BC816" s="11" t="s">
        <v>82</v>
      </c>
      <c r="BD816" s="11" t="s">
        <v>83</v>
      </c>
      <c r="BE816" s="12" t="n">
        <v>2069545</v>
      </c>
      <c r="BF816" s="13" t="n">
        <f aca="false">IFERROR(P816/BE816-1,"")</f>
        <v>-0.152997397978783</v>
      </c>
      <c r="BG816" s="17" t="n">
        <v>0.043</v>
      </c>
      <c r="BH816" s="17" t="n">
        <v>0.032</v>
      </c>
      <c r="BI816" s="14" t="n">
        <f aca="false">P816*(1+IFERROR(Q816,0))^4</f>
        <v>2575535.9943588</v>
      </c>
      <c r="BJ816" s="12" t="n">
        <v>-1761291</v>
      </c>
      <c r="BK816" s="11" t="s">
        <v>127</v>
      </c>
      <c r="BL816" s="11" t="s">
        <v>111</v>
      </c>
      <c r="BM816" s="14" t="n">
        <f aca="false">O816</f>
        <v>51568244</v>
      </c>
      <c r="BN816" s="11" t="s">
        <v>769</v>
      </c>
      <c r="BO816" s="13" t="n">
        <f aca="false">IFERROR(1-L816/M816,"")</f>
        <v>0.185911053244706</v>
      </c>
      <c r="BP816" s="11" t="s">
        <v>113</v>
      </c>
      <c r="BQ816" s="12" t="n">
        <v>4768796</v>
      </c>
      <c r="BR816" s="11" t="s">
        <v>88</v>
      </c>
      <c r="BS816" s="11" t="s">
        <v>89</v>
      </c>
      <c r="BT816" s="19" t="str">
        <f aca="false">IF(OR(Z816&lt;6,AH816&lt;0.9,S816&lt;0.02,AK816&lt;1),"REVIEW",IF(AND(S816&gt;0.25,AH816&gt;1.2),"ACCELERATING","STABLE"))</f>
        <v>STABLE</v>
      </c>
    </row>
    <row r="817" customFormat="false" ht="15" hidden="false" customHeight="false" outlineLevel="0" collapsed="false">
      <c r="A817" s="11" t="s">
        <v>767</v>
      </c>
      <c r="B817" s="11" t="s">
        <v>93</v>
      </c>
      <c r="C817" s="11" t="s">
        <v>74</v>
      </c>
      <c r="D817" s="11" t="s">
        <v>75</v>
      </c>
      <c r="E817" s="11" t="s">
        <v>105</v>
      </c>
      <c r="F817" s="11" t="s">
        <v>768</v>
      </c>
      <c r="G817" s="11" t="s">
        <v>78</v>
      </c>
      <c r="H817" s="11" t="s">
        <v>644</v>
      </c>
      <c r="I817" s="11" t="s">
        <v>78</v>
      </c>
      <c r="J817" s="12" t="n">
        <v>5426000</v>
      </c>
      <c r="K817" s="13" t="n">
        <f aca="false">IFERROR(J817/M817,"")</f>
        <v>0.185911053244706</v>
      </c>
      <c r="L817" s="12" t="n">
        <v>23760000</v>
      </c>
      <c r="M817" s="14" t="n">
        <f aca="false">L817+J817</f>
        <v>29186000</v>
      </c>
      <c r="N817" s="12" t="n">
        <v>6916000</v>
      </c>
      <c r="O817" s="12" t="n">
        <v>51568244</v>
      </c>
      <c r="P817" s="12" t="n">
        <v>2006898</v>
      </c>
      <c r="Q817" s="13" t="n">
        <f aca="false">IFERROR(P817/P816-1,"")</f>
        <v>0.144895060214158</v>
      </c>
      <c r="R817" s="12" t="n">
        <v>2141131</v>
      </c>
      <c r="S817" s="13" t="n">
        <f aca="false">IFERROR(R817/R816-1,"")</f>
        <v>0.158031628933335</v>
      </c>
      <c r="T817" s="12" t="n">
        <v>1184269</v>
      </c>
      <c r="U817" s="13" t="n">
        <f aca="false">IFERROR(T817/P817,"")</f>
        <v>0.590099247694701</v>
      </c>
      <c r="V817" s="14" t="n">
        <f aca="false">T817-AV817</f>
        <v>-3008591</v>
      </c>
      <c r="W817" s="14" t="n">
        <f aca="false">V817-AA817*0.1</f>
        <v>-3008591</v>
      </c>
      <c r="X817" s="12" t="n">
        <v>2502107</v>
      </c>
      <c r="Y817" s="12" t="n">
        <v>248000</v>
      </c>
      <c r="Z817" s="15" t="n">
        <f aca="false">IFERROR(X817/Y817,"")</f>
        <v>10.0891411290323</v>
      </c>
      <c r="AA817" s="12" t="n">
        <v>0</v>
      </c>
      <c r="AB817" s="14" t="n">
        <f aca="false">W817-0.02*P817</f>
        <v>-3048728.96</v>
      </c>
      <c r="AC817" s="16" t="n">
        <v>20</v>
      </c>
      <c r="AD817" s="13" t="n">
        <f aca="false">IFERROR(AC817/AC816-1,"")</f>
        <v>0.111111111111111</v>
      </c>
      <c r="AE817" s="17" t="n">
        <v>0.067</v>
      </c>
      <c r="AF817" s="17" t="n">
        <v>0.047</v>
      </c>
      <c r="AG817" s="13" t="n">
        <f aca="false">1-AF817</f>
        <v>0.953</v>
      </c>
      <c r="AH817" s="17" t="n">
        <v>1.113</v>
      </c>
      <c r="AI817" s="12" t="n">
        <v>48200</v>
      </c>
      <c r="AJ817" s="14" t="n">
        <f aca="false">IFERROR(AM817*U817*MIN(1/AE817,5),"")</f>
        <v>175141.456715787</v>
      </c>
      <c r="AK817" s="18" t="n">
        <f aca="false">IFERROR(AJ817/AI817,"")</f>
        <v>3.63364018082546</v>
      </c>
      <c r="AL817" s="15" t="n">
        <f aca="false">IFERROR(AI817/(AM817*U817/12),"")</f>
        <v>16.5123669417289</v>
      </c>
      <c r="AM817" s="12" t="n">
        <v>59360</v>
      </c>
      <c r="AN817" s="12" t="n">
        <v>2922346</v>
      </c>
      <c r="AO817" s="12" t="n">
        <v>8303394</v>
      </c>
      <c r="AP817" s="17" t="n">
        <v>0.274</v>
      </c>
      <c r="AQ817" s="16" t="n">
        <v>62</v>
      </c>
      <c r="AR817" s="16" t="n">
        <v>2</v>
      </c>
      <c r="AS817" s="13" t="n">
        <f aca="false">IFERROR(AR817/AR816-1,"")</f>
        <v>0</v>
      </c>
      <c r="AT817" s="11" t="s">
        <v>98</v>
      </c>
      <c r="AU817" s="14" t="n">
        <f aca="false">IFERROR(P817/AR817,"")</f>
        <v>1003449</v>
      </c>
      <c r="AV817" s="12" t="n">
        <v>4192860</v>
      </c>
      <c r="AW817" s="12" t="n">
        <v>1898942</v>
      </c>
      <c r="AX817" s="12" t="n">
        <v>1300505</v>
      </c>
      <c r="AY817" s="16" t="n">
        <v>8623</v>
      </c>
      <c r="AZ817" s="13" t="n">
        <f aca="false">IFERROR(AY817/AY816-1,"")</f>
        <v>0.165742868730566</v>
      </c>
      <c r="BA817" s="17" t="n">
        <v>0.945</v>
      </c>
      <c r="BB817" s="11" t="s">
        <v>107</v>
      </c>
      <c r="BC817" s="11" t="s">
        <v>82</v>
      </c>
      <c r="BD817" s="11" t="s">
        <v>83</v>
      </c>
      <c r="BE817" s="12" t="n">
        <v>2507463</v>
      </c>
      <c r="BF817" s="13" t="n">
        <f aca="false">IFERROR(P817/BE817-1,"")</f>
        <v>-0.199630064331956</v>
      </c>
      <c r="BG817" s="17" t="n">
        <v>0.053</v>
      </c>
      <c r="BH817" s="17" t="n">
        <v>0.081</v>
      </c>
      <c r="BI817" s="14" t="n">
        <f aca="false">P817*(1+IFERROR(Q817,0))^4</f>
        <v>3448164.89747771</v>
      </c>
      <c r="BJ817" s="12" t="n">
        <v>-2055259</v>
      </c>
      <c r="BK817" s="11" t="s">
        <v>127</v>
      </c>
      <c r="BL817" s="11" t="s">
        <v>111</v>
      </c>
      <c r="BM817" s="14" t="n">
        <f aca="false">O817</f>
        <v>51568244</v>
      </c>
      <c r="BN817" s="11" t="s">
        <v>769</v>
      </c>
      <c r="BO817" s="13" t="n">
        <f aca="false">IFERROR(1-L817/M817,"")</f>
        <v>0.185911053244706</v>
      </c>
      <c r="BP817" s="11" t="s">
        <v>113</v>
      </c>
      <c r="BQ817" s="12" t="n">
        <v>3927502</v>
      </c>
      <c r="BR817" s="11" t="s">
        <v>88</v>
      </c>
      <c r="BS817" s="11" t="s">
        <v>89</v>
      </c>
      <c r="BT817" s="19" t="str">
        <f aca="false">IF(OR(Z817&lt;6,AH817&lt;0.9,S817&lt;0.02,AK817&lt;1),"REVIEW",IF(AND(S817&gt;0.25,AH817&gt;1.2),"ACCELERATING","STABLE"))</f>
        <v>STABLE</v>
      </c>
    </row>
    <row r="818" customFormat="false" ht="15" hidden="false" customHeight="false" outlineLevel="0" collapsed="false">
      <c r="A818" s="3" t="s">
        <v>770</v>
      </c>
      <c r="B818" s="3" t="s">
        <v>73</v>
      </c>
      <c r="C818" s="3" t="s">
        <v>74</v>
      </c>
      <c r="D818" s="3" t="s">
        <v>210</v>
      </c>
      <c r="E818" s="3" t="s">
        <v>105</v>
      </c>
      <c r="F818" s="3" t="s">
        <v>771</v>
      </c>
      <c r="G818" s="3" t="s">
        <v>78</v>
      </c>
      <c r="H818" s="3" t="s">
        <v>644</v>
      </c>
      <c r="I818" s="3" t="s">
        <v>78</v>
      </c>
      <c r="J818" s="4" t="n">
        <v>3009000</v>
      </c>
      <c r="K818" s="5" t="n">
        <f aca="false">IFERROR(J818/M818,"")</f>
        <v>0.197143418725021</v>
      </c>
      <c r="L818" s="4" t="n">
        <v>12254000</v>
      </c>
      <c r="M818" s="6" t="n">
        <f aca="false">L818+J818</f>
        <v>15263000</v>
      </c>
      <c r="N818" s="4" t="n">
        <v>4037000</v>
      </c>
      <c r="O818" s="4" t="n">
        <v>15348401</v>
      </c>
      <c r="P818" s="4" t="n">
        <v>897966</v>
      </c>
      <c r="Q818" s="7"/>
      <c r="R818" s="4" t="n">
        <v>894274</v>
      </c>
      <c r="S818" s="7"/>
      <c r="T818" s="4" t="n">
        <v>668024</v>
      </c>
      <c r="U818" s="5" t="n">
        <f aca="false">IFERROR(T818/P818,"")</f>
        <v>0.74393017107552</v>
      </c>
      <c r="V818" s="6" t="n">
        <f aca="false">T818-AV818</f>
        <v>-1067505</v>
      </c>
      <c r="W818" s="6" t="n">
        <f aca="false">V818-AA818*0.1</f>
        <v>-1067505</v>
      </c>
      <c r="X818" s="4" t="n">
        <v>3073891</v>
      </c>
      <c r="Y818" s="4" t="n">
        <v>110110</v>
      </c>
      <c r="Z818" s="8" t="n">
        <f aca="false">IFERROR(X818/Y818,"")</f>
        <v>27.9165470892744</v>
      </c>
      <c r="AA818" s="4" t="n">
        <v>0</v>
      </c>
      <c r="AB818" s="6" t="n">
        <f aca="false">W818-0.02*P818</f>
        <v>-1085464.32</v>
      </c>
      <c r="AC818" s="9" t="n">
        <v>26</v>
      </c>
      <c r="AD818" s="7"/>
      <c r="AE818" s="7" t="n">
        <v>0.121</v>
      </c>
      <c r="AF818" s="7" t="n">
        <v>0.117</v>
      </c>
      <c r="AG818" s="5" t="n">
        <f aca="false">1-AF818</f>
        <v>0.883</v>
      </c>
      <c r="AH818" s="7" t="n">
        <v>1.153</v>
      </c>
      <c r="AI818" s="4" t="n">
        <v>29044</v>
      </c>
      <c r="AJ818" s="6" t="n">
        <f aca="false">IFERROR(AM818*U818*MIN(1/AE818,5),"")</f>
        <v>85551.9696736847</v>
      </c>
      <c r="AK818" s="10" t="n">
        <f aca="false">IFERROR(AJ818/AI818,"")</f>
        <v>2.9455987354939</v>
      </c>
      <c r="AL818" s="8" t="n">
        <f aca="false">IFERROR(AI818/(AM818*U818/12),"")</f>
        <v>20.3693732201238</v>
      </c>
      <c r="AM818" s="4" t="n">
        <v>23000</v>
      </c>
      <c r="AN818" s="4" t="n">
        <v>907641</v>
      </c>
      <c r="AO818" s="4" t="n">
        <v>2282275</v>
      </c>
      <c r="AP818" s="7" t="n">
        <v>0.26</v>
      </c>
      <c r="AQ818" s="9" t="n">
        <v>30</v>
      </c>
      <c r="AR818" s="9" t="n">
        <v>1</v>
      </c>
      <c r="AS818" s="7"/>
      <c r="AT818" s="3" t="s">
        <v>218</v>
      </c>
      <c r="AU818" s="6" t="n">
        <f aca="false">IFERROR(P818/AR818,"")</f>
        <v>897966</v>
      </c>
      <c r="AV818" s="4" t="n">
        <v>1735529</v>
      </c>
      <c r="AW818" s="4" t="n">
        <v>597861</v>
      </c>
      <c r="AX818" s="4" t="n">
        <v>475359</v>
      </c>
      <c r="AY818" s="9" t="n">
        <v>19904</v>
      </c>
      <c r="AZ818" s="7"/>
      <c r="BA818" s="7" t="n">
        <v>0.914</v>
      </c>
      <c r="BB818" s="3" t="s">
        <v>81</v>
      </c>
      <c r="BC818" s="3" t="s">
        <v>82</v>
      </c>
      <c r="BD818" s="3" t="s">
        <v>109</v>
      </c>
      <c r="BE818" s="4" t="n">
        <v>1046080</v>
      </c>
      <c r="BF818" s="5" t="n">
        <f aca="false">IFERROR(P818/BE818-1,"")</f>
        <v>-0.141589553380239</v>
      </c>
      <c r="BG818" s="7" t="n">
        <v>0.076</v>
      </c>
      <c r="BH818" s="7" t="n">
        <v>0</v>
      </c>
      <c r="BI818" s="6" t="n">
        <f aca="false">P818</f>
        <v>897966</v>
      </c>
      <c r="BJ818" s="4" t="n">
        <v>-907225</v>
      </c>
      <c r="BK818" s="3" t="s">
        <v>84</v>
      </c>
      <c r="BL818" s="3" t="s">
        <v>111</v>
      </c>
      <c r="BM818" s="6" t="n">
        <f aca="false">O818</f>
        <v>15348401</v>
      </c>
      <c r="BN818" s="3" t="s">
        <v>772</v>
      </c>
      <c r="BO818" s="5" t="n">
        <f aca="false">IFERROR(1-L818/M818,"")</f>
        <v>0.197143418725021</v>
      </c>
      <c r="BP818" s="3" t="s">
        <v>130</v>
      </c>
      <c r="BQ818" s="4" t="n">
        <v>1622700</v>
      </c>
      <c r="BR818" s="3" t="s">
        <v>88</v>
      </c>
      <c r="BS818" s="3" t="s">
        <v>89</v>
      </c>
      <c r="BT818" s="3" t="s">
        <v>90</v>
      </c>
    </row>
    <row r="819" customFormat="false" ht="15" hidden="false" customHeight="false" outlineLevel="0" collapsed="false">
      <c r="A819" s="11" t="s">
        <v>770</v>
      </c>
      <c r="B819" s="11" t="s">
        <v>91</v>
      </c>
      <c r="C819" s="11" t="s">
        <v>74</v>
      </c>
      <c r="D819" s="11" t="s">
        <v>210</v>
      </c>
      <c r="E819" s="11" t="s">
        <v>105</v>
      </c>
      <c r="F819" s="11" t="s">
        <v>771</v>
      </c>
      <c r="G819" s="11" t="s">
        <v>78</v>
      </c>
      <c r="H819" s="11" t="s">
        <v>644</v>
      </c>
      <c r="I819" s="11" t="s">
        <v>78</v>
      </c>
      <c r="J819" s="12" t="n">
        <v>3009000</v>
      </c>
      <c r="K819" s="13" t="n">
        <f aca="false">IFERROR(J819/M819,"")</f>
        <v>0.197143418725021</v>
      </c>
      <c r="L819" s="12" t="n">
        <v>12254000</v>
      </c>
      <c r="M819" s="14" t="n">
        <f aca="false">L819+J819</f>
        <v>15263000</v>
      </c>
      <c r="N819" s="12" t="n">
        <v>4037000</v>
      </c>
      <c r="O819" s="12" t="n">
        <v>15348401</v>
      </c>
      <c r="P819" s="12" t="n">
        <v>1022298</v>
      </c>
      <c r="Q819" s="13" t="n">
        <f aca="false">IFERROR(P819/P818-1,"")</f>
        <v>0.138459585329511</v>
      </c>
      <c r="R819" s="12" t="n">
        <v>1104977</v>
      </c>
      <c r="S819" s="13" t="n">
        <f aca="false">IFERROR(R819/R818-1,"")</f>
        <v>0.235613469697207</v>
      </c>
      <c r="T819" s="12" t="n">
        <v>763598</v>
      </c>
      <c r="U819" s="13" t="n">
        <f aca="false">IFERROR(T819/P819,"")</f>
        <v>0.746942672293206</v>
      </c>
      <c r="V819" s="14" t="n">
        <f aca="false">T819-AV819</f>
        <v>-1292594</v>
      </c>
      <c r="W819" s="14" t="n">
        <f aca="false">V819-AA819*0.1</f>
        <v>-1292594</v>
      </c>
      <c r="X819" s="12" t="n">
        <v>2796196</v>
      </c>
      <c r="Y819" s="12" t="n">
        <v>113740</v>
      </c>
      <c r="Z819" s="15" t="n">
        <f aca="false">IFERROR(X819/Y819,"")</f>
        <v>24.5841040970635</v>
      </c>
      <c r="AA819" s="12" t="n">
        <v>0</v>
      </c>
      <c r="AB819" s="14" t="n">
        <f aca="false">W819-0.02*P819</f>
        <v>-1313039.96</v>
      </c>
      <c r="AC819" s="16" t="n">
        <v>29</v>
      </c>
      <c r="AD819" s="13" t="n">
        <f aca="false">IFERROR(AC819/AC818-1,"")</f>
        <v>0.115384615384615</v>
      </c>
      <c r="AE819" s="17" t="n">
        <v>0.118</v>
      </c>
      <c r="AF819" s="17" t="n">
        <v>0.1</v>
      </c>
      <c r="AG819" s="13" t="n">
        <f aca="false">1-AF819</f>
        <v>0.9</v>
      </c>
      <c r="AH819" s="17" t="n">
        <v>1.148</v>
      </c>
      <c r="AI819" s="12" t="n">
        <v>28496</v>
      </c>
      <c r="AJ819" s="14" t="n">
        <f aca="false">IFERROR(AM819*U819*MIN(1/AE819,5),"")</f>
        <v>87616.3754599931</v>
      </c>
      <c r="AK819" s="18" t="n">
        <f aca="false">IFERROR(AJ819/AI819,"")</f>
        <v>3.07469032355394</v>
      </c>
      <c r="AL819" s="15" t="n">
        <f aca="false">IFERROR(AI819/(AM819*U819/12),"")</f>
        <v>19.5141603498618</v>
      </c>
      <c r="AM819" s="12" t="n">
        <v>23460</v>
      </c>
      <c r="AN819" s="12" t="n">
        <v>1143072</v>
      </c>
      <c r="AO819" s="12" t="n">
        <v>3156906</v>
      </c>
      <c r="AP819" s="17" t="n">
        <v>0.26</v>
      </c>
      <c r="AQ819" s="16" t="n">
        <v>30</v>
      </c>
      <c r="AR819" s="16" t="n">
        <v>2</v>
      </c>
      <c r="AS819" s="13" t="n">
        <f aca="false">IFERROR(AR819/AR818-1,"")</f>
        <v>1</v>
      </c>
      <c r="AT819" s="11" t="s">
        <v>218</v>
      </c>
      <c r="AU819" s="14" t="n">
        <f aca="false">IFERROR(P819/AR819,"")</f>
        <v>511149</v>
      </c>
      <c r="AV819" s="12" t="n">
        <v>2056192</v>
      </c>
      <c r="AW819" s="12" t="n">
        <v>844857</v>
      </c>
      <c r="AX819" s="12" t="n">
        <v>512076</v>
      </c>
      <c r="AY819" s="16" t="n">
        <v>22940</v>
      </c>
      <c r="AZ819" s="13" t="n">
        <f aca="false">IFERROR(AY819/AY818-1,"")</f>
        <v>0.152532154340836</v>
      </c>
      <c r="BA819" s="17" t="n">
        <v>0.883</v>
      </c>
      <c r="BB819" s="11" t="s">
        <v>81</v>
      </c>
      <c r="BC819" s="11" t="s">
        <v>82</v>
      </c>
      <c r="BD819" s="11" t="s">
        <v>109</v>
      </c>
      <c r="BE819" s="12" t="n">
        <v>1009992</v>
      </c>
      <c r="BF819" s="13" t="n">
        <f aca="false">IFERROR(P819/BE819-1,"")</f>
        <v>0.0121842549247915</v>
      </c>
      <c r="BG819" s="17" t="n">
        <v>-0.019</v>
      </c>
      <c r="BH819" s="17" t="n">
        <v>-0.031</v>
      </c>
      <c r="BI819" s="14" t="n">
        <f aca="false">P819*(1+IFERROR(Q819,0))^4</f>
        <v>1717307.17020756</v>
      </c>
      <c r="BJ819" s="12" t="n">
        <v>-698272</v>
      </c>
      <c r="BK819" s="11" t="s">
        <v>84</v>
      </c>
      <c r="BL819" s="11" t="s">
        <v>111</v>
      </c>
      <c r="BM819" s="14" t="n">
        <f aca="false">O819</f>
        <v>15348401</v>
      </c>
      <c r="BN819" s="11" t="s">
        <v>772</v>
      </c>
      <c r="BO819" s="13" t="n">
        <f aca="false">IFERROR(1-L819/M819,"")</f>
        <v>0.197143418725021</v>
      </c>
      <c r="BP819" s="11" t="s">
        <v>130</v>
      </c>
      <c r="BQ819" s="12" t="n">
        <v>1546275</v>
      </c>
      <c r="BR819" s="11" t="s">
        <v>88</v>
      </c>
      <c r="BS819" s="11" t="s">
        <v>89</v>
      </c>
      <c r="BT819" s="19" t="str">
        <f aca="false">IF(OR(Z819&lt;6,AH819&lt;0.9,S819&lt;0.02,AK819&lt;1),"REVIEW",IF(AND(S819&gt;0.25,AH819&gt;1.2),"ACCELERATING","STABLE"))</f>
        <v>STABLE</v>
      </c>
    </row>
    <row r="820" customFormat="false" ht="15" hidden="false" customHeight="false" outlineLevel="0" collapsed="false">
      <c r="A820" s="11" t="s">
        <v>770</v>
      </c>
      <c r="B820" s="11" t="s">
        <v>92</v>
      </c>
      <c r="C820" s="11" t="s">
        <v>74</v>
      </c>
      <c r="D820" s="11" t="s">
        <v>210</v>
      </c>
      <c r="E820" s="11" t="s">
        <v>105</v>
      </c>
      <c r="F820" s="11" t="s">
        <v>771</v>
      </c>
      <c r="G820" s="11" t="s">
        <v>78</v>
      </c>
      <c r="H820" s="11" t="s">
        <v>644</v>
      </c>
      <c r="I820" s="11" t="s">
        <v>78</v>
      </c>
      <c r="J820" s="12" t="n">
        <v>3009000</v>
      </c>
      <c r="K820" s="13" t="n">
        <f aca="false">IFERROR(J820/M820,"")</f>
        <v>0.197143418725021</v>
      </c>
      <c r="L820" s="12" t="n">
        <v>12254000</v>
      </c>
      <c r="M820" s="14" t="n">
        <f aca="false">L820+J820</f>
        <v>15263000</v>
      </c>
      <c r="N820" s="12" t="n">
        <v>4037000</v>
      </c>
      <c r="O820" s="12" t="n">
        <v>15348401</v>
      </c>
      <c r="P820" s="12" t="n">
        <v>1264207</v>
      </c>
      <c r="Q820" s="13" t="n">
        <f aca="false">IFERROR(P820/P819-1,"")</f>
        <v>0.236632567020575</v>
      </c>
      <c r="R820" s="12" t="n">
        <v>1214363</v>
      </c>
      <c r="S820" s="13" t="n">
        <f aca="false">IFERROR(R820/R819-1,"")</f>
        <v>0.0989939157104627</v>
      </c>
      <c r="T820" s="12" t="n">
        <v>948098</v>
      </c>
      <c r="U820" s="13" t="n">
        <f aca="false">IFERROR(T820/P820,"")</f>
        <v>0.749954714694666</v>
      </c>
      <c r="V820" s="14" t="n">
        <f aca="false">T820-AV820</f>
        <v>-1465638</v>
      </c>
      <c r="W820" s="14" t="n">
        <f aca="false">V820-AA820*0.1</f>
        <v>-1465638</v>
      </c>
      <c r="X820" s="12" t="n">
        <v>2498899</v>
      </c>
      <c r="Y820" s="12" t="n">
        <v>117370</v>
      </c>
      <c r="Z820" s="15" t="n">
        <f aca="false">IFERROR(X820/Y820,"")</f>
        <v>21.2907812899378</v>
      </c>
      <c r="AA820" s="12" t="n">
        <v>0</v>
      </c>
      <c r="AB820" s="14" t="n">
        <f aca="false">W820-0.02*P820</f>
        <v>-1490922.14</v>
      </c>
      <c r="AC820" s="16" t="n">
        <v>35</v>
      </c>
      <c r="AD820" s="13" t="n">
        <f aca="false">IFERROR(AC820/AC819-1,"")</f>
        <v>0.206896551724138</v>
      </c>
      <c r="AE820" s="17" t="n">
        <v>0.114</v>
      </c>
      <c r="AF820" s="17" t="n">
        <v>0.122</v>
      </c>
      <c r="AG820" s="13" t="n">
        <f aca="false">1-AF820</f>
        <v>0.878</v>
      </c>
      <c r="AH820" s="17" t="n">
        <v>1.143</v>
      </c>
      <c r="AI820" s="12" t="n">
        <v>27948</v>
      </c>
      <c r="AJ820" s="14" t="n">
        <f aca="false">IFERROR(AM820*U820*MIN(1/AE820,5),"")</f>
        <v>89694.5838774821</v>
      </c>
      <c r="AK820" s="18" t="n">
        <f aca="false">IFERROR(AJ820/AI820,"")</f>
        <v>3.2093381951296</v>
      </c>
      <c r="AL820" s="15" t="n">
        <f aca="false">IFERROR(AI820/(AM820*U820/12),"")</f>
        <v>18.6954432197436</v>
      </c>
      <c r="AM820" s="12" t="n">
        <v>23920</v>
      </c>
      <c r="AN820" s="12" t="n">
        <v>1776649</v>
      </c>
      <c r="AO820" s="12" t="n">
        <v>2843139</v>
      </c>
      <c r="AP820" s="17" t="n">
        <v>0.26</v>
      </c>
      <c r="AQ820" s="16" t="n">
        <v>30</v>
      </c>
      <c r="AR820" s="16" t="n">
        <v>2</v>
      </c>
      <c r="AS820" s="13" t="n">
        <f aca="false">IFERROR(AR820/AR819-1,"")</f>
        <v>0</v>
      </c>
      <c r="AT820" s="11" t="s">
        <v>218</v>
      </c>
      <c r="AU820" s="14" t="n">
        <f aca="false">IFERROR(P820/AR820,"")</f>
        <v>632103.5</v>
      </c>
      <c r="AV820" s="12" t="n">
        <v>2413736</v>
      </c>
      <c r="AW820" s="12" t="n">
        <v>841918</v>
      </c>
      <c r="AX820" s="12" t="n">
        <v>552202</v>
      </c>
      <c r="AY820" s="16" t="n">
        <v>26716</v>
      </c>
      <c r="AZ820" s="13" t="n">
        <f aca="false">IFERROR(AY820/AY819-1,"")</f>
        <v>0.16460331299041</v>
      </c>
      <c r="BA820" s="17" t="n">
        <v>0.915</v>
      </c>
      <c r="BB820" s="11" t="s">
        <v>81</v>
      </c>
      <c r="BC820" s="11" t="s">
        <v>82</v>
      </c>
      <c r="BD820" s="11" t="s">
        <v>109</v>
      </c>
      <c r="BE820" s="12" t="n">
        <v>1444557</v>
      </c>
      <c r="BF820" s="13" t="n">
        <f aca="false">IFERROR(P820/BE820-1,"")</f>
        <v>-0.124847963770208</v>
      </c>
      <c r="BG820" s="17" t="n">
        <v>0.085</v>
      </c>
      <c r="BH820" s="17" t="n">
        <v>0.058</v>
      </c>
      <c r="BI820" s="14" t="n">
        <f aca="false">P820*(1+IFERROR(Q820,0))^4</f>
        <v>2956520.59739697</v>
      </c>
      <c r="BJ820" s="12" t="n">
        <v>-981815</v>
      </c>
      <c r="BK820" s="11" t="s">
        <v>84</v>
      </c>
      <c r="BL820" s="11" t="s">
        <v>111</v>
      </c>
      <c r="BM820" s="14" t="n">
        <f aca="false">O820</f>
        <v>15348401</v>
      </c>
      <c r="BN820" s="11" t="s">
        <v>772</v>
      </c>
      <c r="BO820" s="13" t="n">
        <f aca="false">IFERROR(1-L820/M820,"")</f>
        <v>0.197143418725021</v>
      </c>
      <c r="BP820" s="11" t="s">
        <v>130</v>
      </c>
      <c r="BQ820" s="12" t="n">
        <v>1499479</v>
      </c>
      <c r="BR820" s="11" t="s">
        <v>88</v>
      </c>
      <c r="BS820" s="11" t="s">
        <v>89</v>
      </c>
      <c r="BT820" s="19" t="str">
        <f aca="false">IF(OR(Z820&lt;6,AH820&lt;0.9,S820&lt;0.02,AK820&lt;1),"REVIEW",IF(AND(S820&gt;0.25,AH820&gt;1.2),"ACCELERATING","STABLE"))</f>
        <v>STABLE</v>
      </c>
    </row>
    <row r="821" customFormat="false" ht="15" hidden="false" customHeight="false" outlineLevel="0" collapsed="false">
      <c r="A821" s="11" t="s">
        <v>770</v>
      </c>
      <c r="B821" s="11" t="s">
        <v>93</v>
      </c>
      <c r="C821" s="11" t="s">
        <v>74</v>
      </c>
      <c r="D821" s="11" t="s">
        <v>210</v>
      </c>
      <c r="E821" s="11" t="s">
        <v>105</v>
      </c>
      <c r="F821" s="11" t="s">
        <v>771</v>
      </c>
      <c r="G821" s="11" t="s">
        <v>78</v>
      </c>
      <c r="H821" s="11" t="s">
        <v>644</v>
      </c>
      <c r="I821" s="11" t="s">
        <v>78</v>
      </c>
      <c r="J821" s="12" t="n">
        <v>3009000</v>
      </c>
      <c r="K821" s="13" t="n">
        <f aca="false">IFERROR(J821/M821,"")</f>
        <v>0.197143418725021</v>
      </c>
      <c r="L821" s="12" t="n">
        <v>12254000</v>
      </c>
      <c r="M821" s="14" t="n">
        <f aca="false">L821+J821</f>
        <v>15263000</v>
      </c>
      <c r="N821" s="12" t="n">
        <v>4037000</v>
      </c>
      <c r="O821" s="12" t="n">
        <v>15348401</v>
      </c>
      <c r="P821" s="12" t="n">
        <v>1446233</v>
      </c>
      <c r="Q821" s="13" t="n">
        <f aca="false">IFERROR(P821/P820-1,"")</f>
        <v>0.143984331679859</v>
      </c>
      <c r="R821" s="12" t="n">
        <v>1483462</v>
      </c>
      <c r="S821" s="13" t="n">
        <f aca="false">IFERROR(R821/R820-1,"")</f>
        <v>0.221596837189539</v>
      </c>
      <c r="T821" s="12" t="n">
        <v>1088965</v>
      </c>
      <c r="U821" s="13" t="n">
        <f aca="false">IFERROR(T821/P821,"")</f>
        <v>0.752966499865513</v>
      </c>
      <c r="V821" s="14" t="n">
        <f aca="false">T821-AV821</f>
        <v>-1277208</v>
      </c>
      <c r="W821" s="14" t="n">
        <f aca="false">V821-AA821*0.1</f>
        <v>-1277208</v>
      </c>
      <c r="X821" s="12" t="n">
        <v>2182000</v>
      </c>
      <c r="Y821" s="12" t="n">
        <v>121000</v>
      </c>
      <c r="Z821" s="15" t="n">
        <f aca="false">IFERROR(X821/Y821,"")</f>
        <v>18.0330578512397</v>
      </c>
      <c r="AA821" s="12" t="n">
        <v>0</v>
      </c>
      <c r="AB821" s="14" t="n">
        <f aca="false">W821-0.02*P821</f>
        <v>-1306132.66</v>
      </c>
      <c r="AC821" s="16" t="n">
        <v>38</v>
      </c>
      <c r="AD821" s="13" t="n">
        <f aca="false">IFERROR(AC821/AC820-1,"")</f>
        <v>0.0857142857142856</v>
      </c>
      <c r="AE821" s="17" t="n">
        <v>0.111</v>
      </c>
      <c r="AF821" s="17" t="n">
        <v>0.115</v>
      </c>
      <c r="AG821" s="13" t="n">
        <f aca="false">1-AF821</f>
        <v>0.885</v>
      </c>
      <c r="AH821" s="17" t="n">
        <v>1.138</v>
      </c>
      <c r="AI821" s="12" t="n">
        <v>27400</v>
      </c>
      <c r="AJ821" s="14" t="n">
        <f aca="false">IFERROR(AM821*U821*MIN(1/AE821,5),"")</f>
        <v>91786.616333606</v>
      </c>
      <c r="AK821" s="18" t="n">
        <f aca="false">IFERROR(AJ821/AI821,"")</f>
        <v>3.34987650852577</v>
      </c>
      <c r="AL821" s="15" t="n">
        <f aca="false">IFERROR(AI821/(AM821*U821/12),"")</f>
        <v>17.9111080206372</v>
      </c>
      <c r="AM821" s="12" t="n">
        <v>24380</v>
      </c>
      <c r="AN821" s="12" t="n">
        <v>1887105</v>
      </c>
      <c r="AO821" s="12" t="n">
        <v>2298631</v>
      </c>
      <c r="AP821" s="17" t="n">
        <v>0.26</v>
      </c>
      <c r="AQ821" s="16" t="n">
        <v>30</v>
      </c>
      <c r="AR821" s="16" t="n">
        <v>2</v>
      </c>
      <c r="AS821" s="13" t="n">
        <f aca="false">IFERROR(AR821/AR820-1,"")</f>
        <v>0</v>
      </c>
      <c r="AT821" s="11" t="s">
        <v>218</v>
      </c>
      <c r="AU821" s="14" t="n">
        <f aca="false">IFERROR(P821/AR821,"")</f>
        <v>723116.5</v>
      </c>
      <c r="AV821" s="12" t="n">
        <v>2366173</v>
      </c>
      <c r="AW821" s="12" t="n">
        <v>1177149</v>
      </c>
      <c r="AX821" s="12" t="n">
        <v>556261</v>
      </c>
      <c r="AY821" s="16" t="n">
        <v>29692</v>
      </c>
      <c r="AZ821" s="13" t="n">
        <f aca="false">IFERROR(AY821/AY820-1,"")</f>
        <v>0.111393921245695</v>
      </c>
      <c r="BA821" s="17" t="n">
        <v>0.882</v>
      </c>
      <c r="BB821" s="11" t="s">
        <v>81</v>
      </c>
      <c r="BC821" s="11" t="s">
        <v>82</v>
      </c>
      <c r="BD821" s="11" t="s">
        <v>109</v>
      </c>
      <c r="BE821" s="12" t="n">
        <v>1802508</v>
      </c>
      <c r="BF821" s="13" t="n">
        <f aca="false">IFERROR(P821/BE821-1,"")</f>
        <v>-0.197655156038142</v>
      </c>
      <c r="BG821" s="17" t="n">
        <v>0.006</v>
      </c>
      <c r="BH821" s="17" t="n">
        <v>-0.005</v>
      </c>
      <c r="BI821" s="14" t="n">
        <f aca="false">P821*(1+IFERROR(Q821,0))^4</f>
        <v>2476957.59791508</v>
      </c>
      <c r="BJ821" s="12" t="n">
        <v>-1171777</v>
      </c>
      <c r="BK821" s="11" t="s">
        <v>84</v>
      </c>
      <c r="BL821" s="11" t="s">
        <v>111</v>
      </c>
      <c r="BM821" s="14" t="n">
        <f aca="false">O821</f>
        <v>15348401</v>
      </c>
      <c r="BN821" s="11" t="s">
        <v>772</v>
      </c>
      <c r="BO821" s="13" t="n">
        <f aca="false">IFERROR(1-L821/M821,"")</f>
        <v>0.197143418725021</v>
      </c>
      <c r="BP821" s="11" t="s">
        <v>130</v>
      </c>
      <c r="BQ821" s="12" t="n">
        <v>2170578</v>
      </c>
      <c r="BR821" s="11" t="s">
        <v>88</v>
      </c>
      <c r="BS821" s="11" t="s">
        <v>89</v>
      </c>
      <c r="BT821" s="19" t="str">
        <f aca="false">IF(OR(Z821&lt;6,AH821&lt;0.9,S821&lt;0.02,AK821&lt;1),"REVIEW",IF(AND(S821&gt;0.25,AH821&gt;1.2),"ACCELERATING","STABLE"))</f>
        <v>STABLE</v>
      </c>
    </row>
    <row r="822" customFormat="false" ht="15" hidden="false" customHeight="false" outlineLevel="0" collapsed="false">
      <c r="A822" s="3" t="s">
        <v>773</v>
      </c>
      <c r="B822" s="3" t="s">
        <v>73</v>
      </c>
      <c r="C822" s="3" t="s">
        <v>74</v>
      </c>
      <c r="D822" s="3" t="s">
        <v>132</v>
      </c>
      <c r="E822" s="3" t="s">
        <v>105</v>
      </c>
      <c r="F822" s="3" t="s">
        <v>774</v>
      </c>
      <c r="G822" s="3" t="s">
        <v>78</v>
      </c>
      <c r="H822" s="3" t="s">
        <v>644</v>
      </c>
      <c r="I822" s="3" t="s">
        <v>78</v>
      </c>
      <c r="J822" s="4" t="n">
        <v>3702000</v>
      </c>
      <c r="K822" s="5" t="n">
        <f aca="false">IFERROR(J822/M822,"")</f>
        <v>0.171341294084976</v>
      </c>
      <c r="L822" s="4" t="n">
        <v>17904000</v>
      </c>
      <c r="M822" s="6" t="n">
        <f aca="false">L822+J822</f>
        <v>21606000</v>
      </c>
      <c r="N822" s="4" t="n">
        <v>5638000</v>
      </c>
      <c r="O822" s="4" t="n">
        <v>30996309</v>
      </c>
      <c r="P822" s="4" t="n">
        <v>618443</v>
      </c>
      <c r="Q822" s="7"/>
      <c r="R822" s="4" t="n">
        <v>693647</v>
      </c>
      <c r="S822" s="7"/>
      <c r="T822" s="4" t="n">
        <v>424565</v>
      </c>
      <c r="U822" s="5" t="n">
        <f aca="false">IFERROR(T822/P822,"")</f>
        <v>0.686506274628381</v>
      </c>
      <c r="V822" s="6" t="n">
        <f aca="false">T822-AV822</f>
        <v>-1315495</v>
      </c>
      <c r="W822" s="6" t="n">
        <f aca="false">V822-AA822*0.1</f>
        <v>-1315495</v>
      </c>
      <c r="X822" s="4" t="n">
        <v>4799763</v>
      </c>
      <c r="Y822" s="4" t="n">
        <v>139230</v>
      </c>
      <c r="Z822" s="8" t="n">
        <f aca="false">IFERROR(X822/Y822,"")</f>
        <v>34.4736263736264</v>
      </c>
      <c r="AA822" s="4" t="n">
        <v>0</v>
      </c>
      <c r="AB822" s="6" t="n">
        <f aca="false">W822-0.02*P822</f>
        <v>-1327863.86</v>
      </c>
      <c r="AC822" s="9" t="n">
        <v>10</v>
      </c>
      <c r="AD822" s="7"/>
      <c r="AE822" s="7" t="n">
        <v>0.065</v>
      </c>
      <c r="AF822" s="7" t="n">
        <v>0.045</v>
      </c>
      <c r="AG822" s="5" t="n">
        <f aca="false">1-AF822</f>
        <v>0.955</v>
      </c>
      <c r="AH822" s="7" t="n">
        <v>1.146</v>
      </c>
      <c r="AI822" s="4" t="n">
        <v>50774</v>
      </c>
      <c r="AJ822" s="6" t="n">
        <f aca="false">IFERROR(AM822*U822*MIN(1/AE822,5),"")</f>
        <v>89245.8157016896</v>
      </c>
      <c r="AK822" s="10" t="n">
        <f aca="false">IFERROR(AJ822/AI822,"")</f>
        <v>1.75770700952632</v>
      </c>
      <c r="AL822" s="8" t="n">
        <f aca="false">IFERROR(AI822/(AM822*U822/12),"")</f>
        <v>34.1353818781033</v>
      </c>
      <c r="AM822" s="4" t="n">
        <v>26000</v>
      </c>
      <c r="AN822" s="4" t="n">
        <v>714738</v>
      </c>
      <c r="AO822" s="4" t="n">
        <v>1695715</v>
      </c>
      <c r="AP822" s="7" t="n">
        <v>0.335</v>
      </c>
      <c r="AQ822" s="9" t="n">
        <v>31</v>
      </c>
      <c r="AR822" s="9" t="n">
        <v>4</v>
      </c>
      <c r="AS822" s="7"/>
      <c r="AT822" s="3" t="s">
        <v>218</v>
      </c>
      <c r="AU822" s="6" t="n">
        <f aca="false">IFERROR(P822/AR822,"")</f>
        <v>154610.75</v>
      </c>
      <c r="AV822" s="4" t="n">
        <v>1740060</v>
      </c>
      <c r="AW822" s="4" t="n">
        <v>681446</v>
      </c>
      <c r="AX822" s="4" t="n">
        <v>443894</v>
      </c>
      <c r="AY822" s="9" t="n">
        <v>4946</v>
      </c>
      <c r="AZ822" s="7"/>
      <c r="BA822" s="7" t="n">
        <v>0.944</v>
      </c>
      <c r="BB822" s="3" t="s">
        <v>99</v>
      </c>
      <c r="BC822" s="3" t="s">
        <v>108</v>
      </c>
      <c r="BD822" s="3" t="s">
        <v>109</v>
      </c>
      <c r="BE822" s="4" t="n">
        <v>739828</v>
      </c>
      <c r="BF822" s="5" t="n">
        <f aca="false">IFERROR(P822/BE822-1,"")</f>
        <v>-0.164071919419108</v>
      </c>
      <c r="BG822" s="7" t="n">
        <v>0.069</v>
      </c>
      <c r="BH822" s="7" t="n">
        <v>-0.052</v>
      </c>
      <c r="BI822" s="6" t="n">
        <f aca="false">P822</f>
        <v>618443</v>
      </c>
      <c r="BJ822" s="4" t="n">
        <v>-1271958</v>
      </c>
      <c r="BK822" s="3" t="s">
        <v>192</v>
      </c>
      <c r="BL822" s="3" t="s">
        <v>128</v>
      </c>
      <c r="BM822" s="6" t="n">
        <f aca="false">O822</f>
        <v>30996309</v>
      </c>
      <c r="BN822" s="3" t="s">
        <v>775</v>
      </c>
      <c r="BO822" s="5" t="n">
        <f aca="false">IFERROR(1-L822/M822,"")</f>
        <v>0.171341294084976</v>
      </c>
      <c r="BP822" s="3" t="s">
        <v>142</v>
      </c>
      <c r="BQ822" s="4" t="n">
        <v>1976168</v>
      </c>
      <c r="BR822" s="3" t="s">
        <v>88</v>
      </c>
      <c r="BS822" s="3" t="s">
        <v>89</v>
      </c>
      <c r="BT822" s="3" t="s">
        <v>90</v>
      </c>
    </row>
    <row r="823" customFormat="false" ht="15" hidden="false" customHeight="false" outlineLevel="0" collapsed="false">
      <c r="A823" s="11" t="s">
        <v>773</v>
      </c>
      <c r="B823" s="11" t="s">
        <v>91</v>
      </c>
      <c r="C823" s="11" t="s">
        <v>74</v>
      </c>
      <c r="D823" s="11" t="s">
        <v>132</v>
      </c>
      <c r="E823" s="11" t="s">
        <v>105</v>
      </c>
      <c r="F823" s="11" t="s">
        <v>774</v>
      </c>
      <c r="G823" s="11" t="s">
        <v>78</v>
      </c>
      <c r="H823" s="11" t="s">
        <v>644</v>
      </c>
      <c r="I823" s="11" t="s">
        <v>78</v>
      </c>
      <c r="J823" s="12" t="n">
        <v>3702000</v>
      </c>
      <c r="K823" s="13" t="n">
        <f aca="false">IFERROR(J823/M823,"")</f>
        <v>0.171341294084976</v>
      </c>
      <c r="L823" s="12" t="n">
        <v>17904000</v>
      </c>
      <c r="M823" s="14" t="n">
        <f aca="false">L823+J823</f>
        <v>21606000</v>
      </c>
      <c r="N823" s="12" t="n">
        <v>5638000</v>
      </c>
      <c r="O823" s="12" t="n">
        <v>30996309</v>
      </c>
      <c r="P823" s="12" t="n">
        <v>737688</v>
      </c>
      <c r="Q823" s="13" t="n">
        <f aca="false">IFERROR(P823/P822-1,"")</f>
        <v>0.192814859251378</v>
      </c>
      <c r="R823" s="12" t="n">
        <v>796880</v>
      </c>
      <c r="S823" s="13" t="n">
        <f aca="false">IFERROR(R823/R822-1,"")</f>
        <v>0.148826420355022</v>
      </c>
      <c r="T823" s="12" t="n">
        <v>508478</v>
      </c>
      <c r="U823" s="13" t="n">
        <f aca="false">IFERROR(T823/P823,"")</f>
        <v>0.689285985403043</v>
      </c>
      <c r="V823" s="14" t="n">
        <f aca="false">T823-AV823</f>
        <v>-1441535</v>
      </c>
      <c r="W823" s="14" t="n">
        <f aca="false">V823-AA823*0.1</f>
        <v>-1441535</v>
      </c>
      <c r="X823" s="12" t="n">
        <v>4448628</v>
      </c>
      <c r="Y823" s="12" t="n">
        <v>143820</v>
      </c>
      <c r="Z823" s="15" t="n">
        <f aca="false">IFERROR(X823/Y823,"")</f>
        <v>30.931914893617</v>
      </c>
      <c r="AA823" s="12" t="n">
        <v>0</v>
      </c>
      <c r="AB823" s="14" t="n">
        <f aca="false">W823-0.02*P823</f>
        <v>-1456288.76</v>
      </c>
      <c r="AC823" s="16" t="n">
        <v>11</v>
      </c>
      <c r="AD823" s="13" t="n">
        <f aca="false">IFERROR(AC823/AC822-1,"")</f>
        <v>0.1</v>
      </c>
      <c r="AE823" s="17" t="n">
        <v>0.064</v>
      </c>
      <c r="AF823" s="17" t="n">
        <v>0.067</v>
      </c>
      <c r="AG823" s="13" t="n">
        <f aca="false">1-AF823</f>
        <v>0.933</v>
      </c>
      <c r="AH823" s="17" t="n">
        <v>1.141</v>
      </c>
      <c r="AI823" s="12" t="n">
        <v>49816</v>
      </c>
      <c r="AJ823" s="14" t="n">
        <f aca="false">IFERROR(AM823*U823*MIN(1/AE823,5),"")</f>
        <v>91399.3216644435</v>
      </c>
      <c r="AK823" s="18" t="n">
        <f aca="false">IFERROR(AJ823/AI823,"")</f>
        <v>1.83473827012292</v>
      </c>
      <c r="AL823" s="15" t="n">
        <f aca="false">IFERROR(AI823/(AM823*U823/12),"")</f>
        <v>32.7022120686348</v>
      </c>
      <c r="AM823" s="12" t="n">
        <v>26520</v>
      </c>
      <c r="AN823" s="12" t="n">
        <v>1029897</v>
      </c>
      <c r="AO823" s="12" t="n">
        <v>2010104</v>
      </c>
      <c r="AP823" s="17" t="n">
        <v>0.335</v>
      </c>
      <c r="AQ823" s="16" t="n">
        <v>31</v>
      </c>
      <c r="AR823" s="16" t="n">
        <v>4</v>
      </c>
      <c r="AS823" s="13" t="n">
        <f aca="false">IFERROR(AR823/AR822-1,"")</f>
        <v>0</v>
      </c>
      <c r="AT823" s="11" t="s">
        <v>218</v>
      </c>
      <c r="AU823" s="14" t="n">
        <f aca="false">IFERROR(P823/AR823,"")</f>
        <v>184422</v>
      </c>
      <c r="AV823" s="12" t="n">
        <v>1950013</v>
      </c>
      <c r="AW823" s="12" t="n">
        <v>790535</v>
      </c>
      <c r="AX823" s="12" t="n">
        <v>522324</v>
      </c>
      <c r="AY823" s="16" t="n">
        <v>5967</v>
      </c>
      <c r="AZ823" s="13" t="n">
        <f aca="false">IFERROR(AY823/AY822-1,"")</f>
        <v>0.20642943792964</v>
      </c>
      <c r="BA823" s="17" t="n">
        <v>0.937</v>
      </c>
      <c r="BB823" s="11" t="s">
        <v>99</v>
      </c>
      <c r="BC823" s="11" t="s">
        <v>108</v>
      </c>
      <c r="BD823" s="11" t="s">
        <v>109</v>
      </c>
      <c r="BE823" s="12" t="n">
        <v>789923</v>
      </c>
      <c r="BF823" s="13" t="n">
        <f aca="false">IFERROR(P823/BE823-1,"")</f>
        <v>-0.0661266984250364</v>
      </c>
      <c r="BG823" s="17" t="n">
        <v>0.055</v>
      </c>
      <c r="BH823" s="17" t="n">
        <v>0.059</v>
      </c>
      <c r="BI823" s="14" t="n">
        <f aca="false">P823*(1+IFERROR(Q823,0))^4</f>
        <v>1493361.26134991</v>
      </c>
      <c r="BJ823" s="12" t="n">
        <v>-1709544</v>
      </c>
      <c r="BK823" s="11" t="s">
        <v>192</v>
      </c>
      <c r="BL823" s="11" t="s">
        <v>128</v>
      </c>
      <c r="BM823" s="14" t="n">
        <f aca="false">O823</f>
        <v>30996309</v>
      </c>
      <c r="BN823" s="11" t="s">
        <v>775</v>
      </c>
      <c r="BO823" s="13" t="n">
        <f aca="false">IFERROR(1-L823/M823,"")</f>
        <v>0.171341294084976</v>
      </c>
      <c r="BP823" s="11" t="s">
        <v>142</v>
      </c>
      <c r="BQ823" s="12" t="n">
        <v>2139220</v>
      </c>
      <c r="BR823" s="11" t="s">
        <v>88</v>
      </c>
      <c r="BS823" s="11" t="s">
        <v>89</v>
      </c>
      <c r="BT823" s="19" t="str">
        <f aca="false">IF(OR(Z823&lt;6,AH823&lt;0.9,S823&lt;0.02,AK823&lt;1),"REVIEW",IF(AND(S823&gt;0.25,AH823&gt;1.2),"ACCELERATING","STABLE"))</f>
        <v>STABLE</v>
      </c>
    </row>
    <row r="824" customFormat="false" ht="15" hidden="false" customHeight="false" outlineLevel="0" collapsed="false">
      <c r="A824" s="11" t="s">
        <v>773</v>
      </c>
      <c r="B824" s="11" t="s">
        <v>92</v>
      </c>
      <c r="C824" s="11" t="s">
        <v>74</v>
      </c>
      <c r="D824" s="11" t="s">
        <v>132</v>
      </c>
      <c r="E824" s="11" t="s">
        <v>105</v>
      </c>
      <c r="F824" s="11" t="s">
        <v>774</v>
      </c>
      <c r="G824" s="11" t="s">
        <v>78</v>
      </c>
      <c r="H824" s="11" t="s">
        <v>644</v>
      </c>
      <c r="I824" s="11" t="s">
        <v>78</v>
      </c>
      <c r="J824" s="12" t="n">
        <v>3702000</v>
      </c>
      <c r="K824" s="13" t="n">
        <f aca="false">IFERROR(J824/M824,"")</f>
        <v>0.171341294084976</v>
      </c>
      <c r="L824" s="12" t="n">
        <v>17904000</v>
      </c>
      <c r="M824" s="14" t="n">
        <f aca="false">L824+J824</f>
        <v>21606000</v>
      </c>
      <c r="N824" s="12" t="n">
        <v>5638000</v>
      </c>
      <c r="O824" s="12" t="n">
        <v>30996309</v>
      </c>
      <c r="P824" s="12" t="n">
        <v>848067</v>
      </c>
      <c r="Q824" s="13" t="n">
        <f aca="false">IFERROR(P824/P823-1,"")</f>
        <v>0.149628298142304</v>
      </c>
      <c r="R824" s="12" t="n">
        <v>1011088</v>
      </c>
      <c r="S824" s="13" t="n">
        <f aca="false">IFERROR(R824/R823-1,"")</f>
        <v>0.268808352575043</v>
      </c>
      <c r="T824" s="12" t="n">
        <v>586918</v>
      </c>
      <c r="U824" s="13" t="n">
        <f aca="false">IFERROR(T824/P824,"")</f>
        <v>0.692065603307286</v>
      </c>
      <c r="V824" s="14" t="n">
        <f aca="false">T824-AV824</f>
        <v>-1470771</v>
      </c>
      <c r="W824" s="14" t="n">
        <f aca="false">V824-AA824*0.1</f>
        <v>-1470771</v>
      </c>
      <c r="X824" s="12" t="n">
        <v>4072707</v>
      </c>
      <c r="Y824" s="12" t="n">
        <v>148410</v>
      </c>
      <c r="Z824" s="15" t="n">
        <f aca="false">IFERROR(X824/Y824,"")</f>
        <v>27.4422680412371</v>
      </c>
      <c r="AA824" s="12" t="n">
        <v>0</v>
      </c>
      <c r="AB824" s="14" t="n">
        <f aca="false">W824-0.02*P824</f>
        <v>-1487732.34</v>
      </c>
      <c r="AC824" s="16" t="n">
        <v>13</v>
      </c>
      <c r="AD824" s="13" t="n">
        <f aca="false">IFERROR(AC824/AC823-1,"")</f>
        <v>0.181818181818182</v>
      </c>
      <c r="AE824" s="17" t="n">
        <v>0.062</v>
      </c>
      <c r="AF824" s="17" t="n">
        <v>0.042</v>
      </c>
      <c r="AG824" s="13" t="n">
        <f aca="false">1-AF824</f>
        <v>0.958</v>
      </c>
      <c r="AH824" s="17" t="n">
        <v>1.136</v>
      </c>
      <c r="AI824" s="12" t="n">
        <v>48858</v>
      </c>
      <c r="AJ824" s="14" t="n">
        <f aca="false">IFERROR(AM824*U824*MIN(1/AE824,5),"")</f>
        <v>93567.2695671451</v>
      </c>
      <c r="AK824" s="18" t="n">
        <f aca="false">IFERROR(AJ824/AI824,"")</f>
        <v>1.9150859545447</v>
      </c>
      <c r="AL824" s="15" t="n">
        <f aca="false">IFERROR(AI824/(AM824*U824/12),"")</f>
        <v>31.3301864376446</v>
      </c>
      <c r="AM824" s="12" t="n">
        <v>27040</v>
      </c>
      <c r="AN824" s="12" t="n">
        <v>1332002</v>
      </c>
      <c r="AO824" s="12" t="n">
        <v>2985308</v>
      </c>
      <c r="AP824" s="17" t="n">
        <v>0.335</v>
      </c>
      <c r="AQ824" s="16" t="n">
        <v>31</v>
      </c>
      <c r="AR824" s="16" t="n">
        <v>5</v>
      </c>
      <c r="AS824" s="13" t="n">
        <f aca="false">IFERROR(AR824/AR823-1,"")</f>
        <v>0.25</v>
      </c>
      <c r="AT824" s="11" t="s">
        <v>218</v>
      </c>
      <c r="AU824" s="14" t="n">
        <f aca="false">IFERROR(P824/AR824,"")</f>
        <v>169613.4</v>
      </c>
      <c r="AV824" s="12" t="n">
        <v>2057689</v>
      </c>
      <c r="AW824" s="12" t="n">
        <v>680295</v>
      </c>
      <c r="AX824" s="12" t="n">
        <v>472844</v>
      </c>
      <c r="AY824" s="16" t="n">
        <v>7463</v>
      </c>
      <c r="AZ824" s="13" t="n">
        <f aca="false">IFERROR(AY824/AY823-1,"")</f>
        <v>0.250712250712251</v>
      </c>
      <c r="BA824" s="17" t="n">
        <v>0.952</v>
      </c>
      <c r="BB824" s="11" t="s">
        <v>99</v>
      </c>
      <c r="BC824" s="11" t="s">
        <v>108</v>
      </c>
      <c r="BD824" s="11" t="s">
        <v>109</v>
      </c>
      <c r="BE824" s="12" t="n">
        <v>822482</v>
      </c>
      <c r="BF824" s="13" t="n">
        <f aca="false">IFERROR(P824/BE824-1,"")</f>
        <v>0.0311070637412125</v>
      </c>
      <c r="BG824" s="17" t="n">
        <v>-0.01</v>
      </c>
      <c r="BH824" s="17" t="n">
        <v>0.099</v>
      </c>
      <c r="BI824" s="14" t="n">
        <f aca="false">P824*(1+IFERROR(Q824,0))^4</f>
        <v>1481357.72294849</v>
      </c>
      <c r="BJ824" s="12" t="n">
        <v>-1618253</v>
      </c>
      <c r="BK824" s="11" t="s">
        <v>192</v>
      </c>
      <c r="BL824" s="11" t="s">
        <v>128</v>
      </c>
      <c r="BM824" s="14" t="n">
        <f aca="false">O824</f>
        <v>30996309</v>
      </c>
      <c r="BN824" s="11" t="s">
        <v>775</v>
      </c>
      <c r="BO824" s="13" t="n">
        <f aca="false">IFERROR(1-L824/M824,"")</f>
        <v>0.171341294084976</v>
      </c>
      <c r="BP824" s="11" t="s">
        <v>142</v>
      </c>
      <c r="BQ824" s="12" t="n">
        <v>2815223</v>
      </c>
      <c r="BR824" s="11" t="s">
        <v>88</v>
      </c>
      <c r="BS824" s="11" t="s">
        <v>89</v>
      </c>
      <c r="BT824" s="19" t="str">
        <f aca="false">IF(OR(Z824&lt;6,AH824&lt;0.9,S824&lt;0.02,AK824&lt;1),"REVIEW",IF(AND(S824&gt;0.25,AH824&gt;1.2),"ACCELERATING","STABLE"))</f>
        <v>STABLE</v>
      </c>
    </row>
    <row r="825" customFormat="false" ht="15" hidden="false" customHeight="false" outlineLevel="0" collapsed="false">
      <c r="A825" s="11" t="s">
        <v>773</v>
      </c>
      <c r="B825" s="11" t="s">
        <v>93</v>
      </c>
      <c r="C825" s="11" t="s">
        <v>74</v>
      </c>
      <c r="D825" s="11" t="s">
        <v>132</v>
      </c>
      <c r="E825" s="11" t="s">
        <v>105</v>
      </c>
      <c r="F825" s="11" t="s">
        <v>774</v>
      </c>
      <c r="G825" s="11" t="s">
        <v>78</v>
      </c>
      <c r="H825" s="11" t="s">
        <v>644</v>
      </c>
      <c r="I825" s="11" t="s">
        <v>78</v>
      </c>
      <c r="J825" s="12" t="n">
        <v>3702000</v>
      </c>
      <c r="K825" s="13" t="n">
        <f aca="false">IFERROR(J825/M825,"")</f>
        <v>0.171341294084976</v>
      </c>
      <c r="L825" s="12" t="n">
        <v>17904000</v>
      </c>
      <c r="M825" s="14" t="n">
        <f aca="false">L825+J825</f>
        <v>21606000</v>
      </c>
      <c r="N825" s="12" t="n">
        <v>5638000</v>
      </c>
      <c r="O825" s="12" t="n">
        <v>30996309</v>
      </c>
      <c r="P825" s="12" t="n">
        <v>1129576</v>
      </c>
      <c r="Q825" s="13" t="n">
        <f aca="false">IFERROR(P825/P824-1,"")</f>
        <v>0.331941933833058</v>
      </c>
      <c r="R825" s="12" t="n">
        <v>1181517</v>
      </c>
      <c r="S825" s="13" t="n">
        <f aca="false">IFERROR(R825/R824-1,"")</f>
        <v>0.168560006646306</v>
      </c>
      <c r="T825" s="12" t="n">
        <v>784880</v>
      </c>
      <c r="U825" s="13" t="n">
        <f aca="false">IFERROR(T825/P825,"")</f>
        <v>0.694844791319929</v>
      </c>
      <c r="V825" s="14" t="n">
        <f aca="false">T825-AV825</f>
        <v>-1890276</v>
      </c>
      <c r="W825" s="14" t="n">
        <f aca="false">V825-AA825*0.1</f>
        <v>-1890276</v>
      </c>
      <c r="X825" s="12" t="n">
        <v>3672000</v>
      </c>
      <c r="Y825" s="12" t="n">
        <v>153000</v>
      </c>
      <c r="Z825" s="15" t="n">
        <f aca="false">IFERROR(X825/Y825,"")</f>
        <v>24</v>
      </c>
      <c r="AA825" s="12" t="n">
        <v>0</v>
      </c>
      <c r="AB825" s="14" t="n">
        <f aca="false">W825-0.02*P825</f>
        <v>-1912867.52</v>
      </c>
      <c r="AC825" s="16" t="n">
        <v>15</v>
      </c>
      <c r="AD825" s="13" t="n">
        <f aca="false">IFERROR(AC825/AC824-1,"")</f>
        <v>0.153846153846154</v>
      </c>
      <c r="AE825" s="17" t="n">
        <v>0.06</v>
      </c>
      <c r="AF825" s="17" t="n">
        <v>0.037</v>
      </c>
      <c r="AG825" s="13" t="n">
        <f aca="false">1-AF825</f>
        <v>0.963</v>
      </c>
      <c r="AH825" s="17" t="n">
        <v>1.131</v>
      </c>
      <c r="AI825" s="12" t="n">
        <v>47900</v>
      </c>
      <c r="AJ825" s="14" t="n">
        <f aca="false">IFERROR(AM825*U825*MIN(1/AE825,5),"")</f>
        <v>95749.6122438862</v>
      </c>
      <c r="AK825" s="18" t="n">
        <f aca="false">IFERROR(AJ825/AI825,"")</f>
        <v>1.99894806354669</v>
      </c>
      <c r="AL825" s="15" t="n">
        <f aca="false">IFERROR(AI825/(AM825*U825/12),"")</f>
        <v>30.0157873504444</v>
      </c>
      <c r="AM825" s="12" t="n">
        <v>27560</v>
      </c>
      <c r="AN825" s="12" t="n">
        <v>1765691</v>
      </c>
      <c r="AO825" s="12" t="n">
        <v>2972751</v>
      </c>
      <c r="AP825" s="17" t="n">
        <v>0.335</v>
      </c>
      <c r="AQ825" s="16" t="n">
        <v>31</v>
      </c>
      <c r="AR825" s="16" t="n">
        <v>5</v>
      </c>
      <c r="AS825" s="13" t="n">
        <f aca="false">IFERROR(AR825/AR824-1,"")</f>
        <v>0</v>
      </c>
      <c r="AT825" s="11" t="s">
        <v>218</v>
      </c>
      <c r="AU825" s="14" t="n">
        <f aca="false">IFERROR(P825/AR825,"")</f>
        <v>225915.2</v>
      </c>
      <c r="AV825" s="12" t="n">
        <v>2675156</v>
      </c>
      <c r="AW825" s="12" t="n">
        <v>1233599</v>
      </c>
      <c r="AX825" s="12" t="n">
        <v>801031</v>
      </c>
      <c r="AY825" s="16" t="n">
        <v>8748</v>
      </c>
      <c r="AZ825" s="13" t="n">
        <f aca="false">IFERROR(AY825/AY824-1,"")</f>
        <v>0.17218276832373</v>
      </c>
      <c r="BA825" s="17" t="n">
        <v>0.942</v>
      </c>
      <c r="BB825" s="11" t="s">
        <v>99</v>
      </c>
      <c r="BC825" s="11" t="s">
        <v>108</v>
      </c>
      <c r="BD825" s="11" t="s">
        <v>109</v>
      </c>
      <c r="BE825" s="12" t="n">
        <v>1093404</v>
      </c>
      <c r="BF825" s="13" t="n">
        <f aca="false">IFERROR(P825/BE825-1,"")</f>
        <v>0.0330820081141097</v>
      </c>
      <c r="BG825" s="17" t="n">
        <v>0.026</v>
      </c>
      <c r="BH825" s="17" t="n">
        <v>0.087</v>
      </c>
      <c r="BI825" s="14" t="n">
        <f aca="false">P825*(1+IFERROR(Q825,0))^4</f>
        <v>3555139.32181217</v>
      </c>
      <c r="BJ825" s="12" t="n">
        <v>-1003795</v>
      </c>
      <c r="BK825" s="11" t="s">
        <v>192</v>
      </c>
      <c r="BL825" s="11" t="s">
        <v>128</v>
      </c>
      <c r="BM825" s="14" t="n">
        <f aca="false">O825</f>
        <v>30996309</v>
      </c>
      <c r="BN825" s="11" t="s">
        <v>775</v>
      </c>
      <c r="BO825" s="13" t="n">
        <f aca="false">IFERROR(1-L825/M825,"")</f>
        <v>0.171341294084976</v>
      </c>
      <c r="BP825" s="11" t="s">
        <v>142</v>
      </c>
      <c r="BQ825" s="12" t="n">
        <v>2996998</v>
      </c>
      <c r="BR825" s="11" t="s">
        <v>88</v>
      </c>
      <c r="BS825" s="11" t="s">
        <v>89</v>
      </c>
      <c r="BT825" s="19" t="str">
        <f aca="false">IF(OR(Z825&lt;6,AH825&lt;0.9,S825&lt;0.02,AK825&lt;1),"REVIEW",IF(AND(S825&gt;0.25,AH825&gt;1.2),"ACCELERATING","STABLE"))</f>
        <v>STABLE</v>
      </c>
    </row>
    <row r="826" customFormat="false" ht="15" hidden="false" customHeight="false" outlineLevel="0" collapsed="false">
      <c r="A826" s="3" t="s">
        <v>776</v>
      </c>
      <c r="B826" s="3" t="s">
        <v>73</v>
      </c>
      <c r="C826" s="3" t="s">
        <v>74</v>
      </c>
      <c r="D826" s="3" t="s">
        <v>210</v>
      </c>
      <c r="E826" s="3" t="s">
        <v>777</v>
      </c>
      <c r="F826" s="3" t="s">
        <v>778</v>
      </c>
      <c r="G826" s="3" t="s">
        <v>78</v>
      </c>
      <c r="H826" s="3" t="s">
        <v>644</v>
      </c>
      <c r="I826" s="3" t="s">
        <v>78</v>
      </c>
      <c r="J826" s="4" t="n">
        <v>5567000</v>
      </c>
      <c r="K826" s="5" t="n">
        <f aca="false">IFERROR(J826/M826,"")</f>
        <v>0.161306212331943</v>
      </c>
      <c r="L826" s="4" t="n">
        <v>28945000</v>
      </c>
      <c r="M826" s="6" t="n">
        <f aca="false">L826+J826</f>
        <v>34512000</v>
      </c>
      <c r="N826" s="4" t="n">
        <v>5567000</v>
      </c>
      <c r="O826" s="4" t="n">
        <v>21098351</v>
      </c>
      <c r="P826" s="4" t="n">
        <v>361433</v>
      </c>
      <c r="Q826" s="7"/>
      <c r="R826" s="4" t="n">
        <v>406710</v>
      </c>
      <c r="S826" s="7"/>
      <c r="T826" s="4" t="n">
        <v>202361</v>
      </c>
      <c r="U826" s="5" t="n">
        <f aca="false">IFERROR(T826/P826,"")</f>
        <v>0.559885234607797</v>
      </c>
      <c r="V826" s="6" t="n">
        <f aca="false">T826-AV826</f>
        <v>-1152317</v>
      </c>
      <c r="W826" s="6" t="n">
        <f aca="false">V826-AA826*0.1</f>
        <v>-1152317</v>
      </c>
      <c r="X826" s="4" t="n">
        <v>1771496</v>
      </c>
      <c r="Y826" s="4" t="n">
        <v>118080</v>
      </c>
      <c r="Z826" s="8" t="n">
        <f aca="false">IFERROR(X826/Y826,"")</f>
        <v>15.0025067750678</v>
      </c>
      <c r="AA826" s="4" t="n">
        <v>0</v>
      </c>
      <c r="AB826" s="6" t="n">
        <f aca="false">W826-0.02*P826</f>
        <v>-1159545.66</v>
      </c>
      <c r="AC826" s="9" t="n">
        <v>19</v>
      </c>
      <c r="AD826" s="7"/>
      <c r="AE826" s="7" t="n">
        <v>0.187</v>
      </c>
      <c r="AF826" s="7" t="n">
        <v>0.198</v>
      </c>
      <c r="AG826" s="5" t="n">
        <f aca="false">1-AF826</f>
        <v>0.802</v>
      </c>
      <c r="AH826" s="7" t="n">
        <v>0.901</v>
      </c>
      <c r="AI826" s="4" t="n">
        <v>89376</v>
      </c>
      <c r="AJ826" s="6" t="n">
        <f aca="false">IFERROR(AM826*U826*MIN(1/AE826,5),"")</f>
        <v>95180.4898833255</v>
      </c>
      <c r="AK826" s="10" t="n">
        <f aca="false">IFERROR(AJ826/AI826,"")</f>
        <v>1.06494461469886</v>
      </c>
      <c r="AL826" s="8" t="n">
        <f aca="false">IFERROR(AI826/(AM826*U826/12),"")</f>
        <v>56.3409581792818</v>
      </c>
      <c r="AM826" s="4" t="n">
        <v>34000</v>
      </c>
      <c r="AN826" s="4" t="n">
        <v>482392</v>
      </c>
      <c r="AO826" s="4" t="n">
        <v>1023579</v>
      </c>
      <c r="AP826" s="7" t="n">
        <v>0.257</v>
      </c>
      <c r="AQ826" s="9" t="n">
        <v>23</v>
      </c>
      <c r="AR826" s="9" t="n">
        <v>3</v>
      </c>
      <c r="AS826" s="7"/>
      <c r="AT826" s="3" t="s">
        <v>145</v>
      </c>
      <c r="AU826" s="6" t="n">
        <f aca="false">IFERROR(P826/AR826,"")</f>
        <v>120477.666666667</v>
      </c>
      <c r="AV826" s="4" t="n">
        <v>1354678</v>
      </c>
      <c r="AW826" s="4" t="n">
        <v>559473</v>
      </c>
      <c r="AX826" s="4" t="n">
        <v>418877</v>
      </c>
      <c r="AY826" s="9" t="n">
        <v>27052</v>
      </c>
      <c r="AZ826" s="7"/>
      <c r="BA826" s="7" t="n">
        <v>0.816</v>
      </c>
      <c r="BB826" s="3" t="s">
        <v>138</v>
      </c>
      <c r="BC826" s="3" t="s">
        <v>120</v>
      </c>
      <c r="BD826" s="3" t="s">
        <v>157</v>
      </c>
      <c r="BE826" s="4" t="n">
        <v>572978</v>
      </c>
      <c r="BF826" s="5" t="n">
        <f aca="false">IFERROR(P826/BE826-1,"")</f>
        <v>-0.369202656995557</v>
      </c>
      <c r="BG826" s="7" t="n">
        <v>0.144</v>
      </c>
      <c r="BH826" s="7" t="n">
        <v>0.159</v>
      </c>
      <c r="BI826" s="6" t="n">
        <f aca="false">P826</f>
        <v>361433</v>
      </c>
      <c r="BJ826" s="4" t="n">
        <v>-987536</v>
      </c>
      <c r="BK826" s="3" t="s">
        <v>121</v>
      </c>
      <c r="BL826" s="3" t="s">
        <v>148</v>
      </c>
      <c r="BM826" s="6" t="n">
        <f aca="false">O826</f>
        <v>21098351</v>
      </c>
      <c r="BN826" s="3" t="s">
        <v>779</v>
      </c>
      <c r="BO826" s="5" t="n">
        <f aca="false">IFERROR(1-L826/M826,"")</f>
        <v>0.161306212331943</v>
      </c>
      <c r="BP826" s="3" t="s">
        <v>142</v>
      </c>
      <c r="BQ826" s="4" t="n">
        <v>1525716</v>
      </c>
      <c r="BR826" s="3" t="s">
        <v>88</v>
      </c>
      <c r="BS826" s="3" t="s">
        <v>89</v>
      </c>
      <c r="BT826" s="3" t="s">
        <v>90</v>
      </c>
    </row>
    <row r="827" customFormat="false" ht="15" hidden="false" customHeight="false" outlineLevel="0" collapsed="false">
      <c r="A827" s="11" t="s">
        <v>776</v>
      </c>
      <c r="B827" s="11" t="s">
        <v>91</v>
      </c>
      <c r="C827" s="11" t="s">
        <v>74</v>
      </c>
      <c r="D827" s="11" t="s">
        <v>210</v>
      </c>
      <c r="E827" s="11" t="s">
        <v>777</v>
      </c>
      <c r="F827" s="11" t="s">
        <v>778</v>
      </c>
      <c r="G827" s="11" t="s">
        <v>78</v>
      </c>
      <c r="H827" s="11" t="s">
        <v>644</v>
      </c>
      <c r="I827" s="11" t="s">
        <v>78</v>
      </c>
      <c r="J827" s="12" t="n">
        <v>5567000</v>
      </c>
      <c r="K827" s="13" t="n">
        <f aca="false">IFERROR(J827/M827,"")</f>
        <v>0.161306212331943</v>
      </c>
      <c r="L827" s="12" t="n">
        <v>28945000</v>
      </c>
      <c r="M827" s="14" t="n">
        <f aca="false">L827+J827</f>
        <v>34512000</v>
      </c>
      <c r="N827" s="12" t="n">
        <v>5567000</v>
      </c>
      <c r="O827" s="12" t="n">
        <v>21098351</v>
      </c>
      <c r="P827" s="12" t="n">
        <v>309504</v>
      </c>
      <c r="Q827" s="13" t="n">
        <f aca="false">IFERROR(P827/P826-1,"")</f>
        <v>-0.143675314650295</v>
      </c>
      <c r="R827" s="12" t="n">
        <v>355282</v>
      </c>
      <c r="S827" s="13" t="n">
        <f aca="false">IFERROR(R827/R826-1,"")</f>
        <v>-0.126448821027268</v>
      </c>
      <c r="T827" s="12" t="n">
        <v>170017</v>
      </c>
      <c r="U827" s="13" t="n">
        <f aca="false">IFERROR(T827/P827,"")</f>
        <v>0.549320848842018</v>
      </c>
      <c r="V827" s="14" t="n">
        <f aca="false">T827-AV827</f>
        <v>-1634131</v>
      </c>
      <c r="W827" s="14" t="n">
        <f aca="false">V827-AA827*0.1</f>
        <v>-1634131</v>
      </c>
      <c r="X827" s="12" t="n">
        <v>1438856</v>
      </c>
      <c r="Y827" s="12" t="n">
        <v>126720</v>
      </c>
      <c r="Z827" s="15" t="n">
        <f aca="false">IFERROR(X827/Y827,"")</f>
        <v>11.3546085858586</v>
      </c>
      <c r="AA827" s="12" t="n">
        <v>0</v>
      </c>
      <c r="AB827" s="14" t="n">
        <f aca="false">W827-0.02*P827</f>
        <v>-1640321.08</v>
      </c>
      <c r="AC827" s="16" t="n">
        <v>16</v>
      </c>
      <c r="AD827" s="13" t="n">
        <f aca="false">IFERROR(AC827/AC826-1,"")</f>
        <v>-0.157894736842105</v>
      </c>
      <c r="AE827" s="17" t="n">
        <v>0.222</v>
      </c>
      <c r="AF827" s="17" t="n">
        <v>0.22</v>
      </c>
      <c r="AG827" s="13" t="n">
        <f aca="false">1-AF827</f>
        <v>0.78</v>
      </c>
      <c r="AH827" s="17" t="n">
        <v>0.861</v>
      </c>
      <c r="AI827" s="12" t="n">
        <v>98784</v>
      </c>
      <c r="AJ827" s="14" t="n">
        <f aca="false">IFERROR(AM827*U827*MIN(1/AE827,5),"")</f>
        <v>85812.8244947801</v>
      </c>
      <c r="AK827" s="18" t="n">
        <f aca="false">IFERROR(AJ827/AI827,"")</f>
        <v>0.868691534001257</v>
      </c>
      <c r="AL827" s="15" t="n">
        <f aca="false">IFERROR(AI827/(AM827*U827/12),"")</f>
        <v>62.224681533475</v>
      </c>
      <c r="AM827" s="12" t="n">
        <v>34680</v>
      </c>
      <c r="AN827" s="12" t="n">
        <v>362938</v>
      </c>
      <c r="AO827" s="12" t="n">
        <v>852990</v>
      </c>
      <c r="AP827" s="17" t="n">
        <v>0.257</v>
      </c>
      <c r="AQ827" s="16" t="n">
        <v>23</v>
      </c>
      <c r="AR827" s="16" t="n">
        <v>2</v>
      </c>
      <c r="AS827" s="13" t="n">
        <f aca="false">IFERROR(AR827/AR826-1,"")</f>
        <v>-0.333333333333333</v>
      </c>
      <c r="AT827" s="11" t="s">
        <v>145</v>
      </c>
      <c r="AU827" s="14" t="n">
        <f aca="false">IFERROR(P827/AR827,"")</f>
        <v>154752</v>
      </c>
      <c r="AV827" s="12" t="n">
        <v>1804148</v>
      </c>
      <c r="AW827" s="12" t="n">
        <v>849712</v>
      </c>
      <c r="AX827" s="12" t="n">
        <v>580820</v>
      </c>
      <c r="AY827" s="16" t="n">
        <v>24097</v>
      </c>
      <c r="AZ827" s="13" t="n">
        <f aca="false">IFERROR(AY827/AY826-1,"")</f>
        <v>-0.109234067721425</v>
      </c>
      <c r="BA827" s="17" t="n">
        <v>0.797</v>
      </c>
      <c r="BB827" s="11" t="s">
        <v>138</v>
      </c>
      <c r="BC827" s="11" t="s">
        <v>120</v>
      </c>
      <c r="BD827" s="11" t="s">
        <v>157</v>
      </c>
      <c r="BE827" s="12" t="n">
        <v>430445</v>
      </c>
      <c r="BF827" s="13" t="n">
        <f aca="false">IFERROR(P827/BE827-1,"")</f>
        <v>-0.280967370976548</v>
      </c>
      <c r="BG827" s="17" t="n">
        <v>0.2</v>
      </c>
      <c r="BH827" s="17" t="n">
        <v>0.204</v>
      </c>
      <c r="BI827" s="14" t="n">
        <f aca="false">P827*(1+IFERROR(Q827,0))^4</f>
        <v>166425.59594434</v>
      </c>
      <c r="BJ827" s="12" t="n">
        <v>-1050763</v>
      </c>
      <c r="BK827" s="11" t="s">
        <v>121</v>
      </c>
      <c r="BL827" s="11" t="s">
        <v>148</v>
      </c>
      <c r="BM827" s="14" t="n">
        <f aca="false">O827</f>
        <v>21098351</v>
      </c>
      <c r="BN827" s="11" t="s">
        <v>779</v>
      </c>
      <c r="BO827" s="13" t="n">
        <f aca="false">IFERROR(1-L827/M827,"")</f>
        <v>0.161306212331943</v>
      </c>
      <c r="BP827" s="11" t="s">
        <v>142</v>
      </c>
      <c r="BQ827" s="12" t="n">
        <v>1960030</v>
      </c>
      <c r="BR827" s="11" t="s">
        <v>88</v>
      </c>
      <c r="BS827" s="11" t="s">
        <v>89</v>
      </c>
      <c r="BT827" s="19" t="str">
        <f aca="false">IF(OR(Z827&lt;6,AH827&lt;0.9,S827&lt;0.02,AK827&lt;1),"REVIEW",IF(AND(S827&gt;0.25,AH827&gt;1.2),"ACCELERATING","STABLE"))</f>
        <v>REVIEW</v>
      </c>
    </row>
    <row r="828" customFormat="false" ht="15" hidden="false" customHeight="false" outlineLevel="0" collapsed="false">
      <c r="A828" s="11" t="s">
        <v>776</v>
      </c>
      <c r="B828" s="11" t="s">
        <v>92</v>
      </c>
      <c r="C828" s="11" t="s">
        <v>74</v>
      </c>
      <c r="D828" s="11" t="s">
        <v>210</v>
      </c>
      <c r="E828" s="11" t="s">
        <v>777</v>
      </c>
      <c r="F828" s="11" t="s">
        <v>778</v>
      </c>
      <c r="G828" s="11" t="s">
        <v>78</v>
      </c>
      <c r="H828" s="11" t="s">
        <v>644</v>
      </c>
      <c r="I828" s="11" t="s">
        <v>78</v>
      </c>
      <c r="J828" s="12" t="n">
        <v>5567000</v>
      </c>
      <c r="K828" s="13" t="n">
        <f aca="false">IFERROR(J828/M828,"")</f>
        <v>0.161306212331943</v>
      </c>
      <c r="L828" s="12" t="n">
        <v>28945000</v>
      </c>
      <c r="M828" s="14" t="n">
        <f aca="false">L828+J828</f>
        <v>34512000</v>
      </c>
      <c r="N828" s="12" t="n">
        <v>5567000</v>
      </c>
      <c r="O828" s="12" t="n">
        <v>21098351</v>
      </c>
      <c r="P828" s="12" t="n">
        <v>265630</v>
      </c>
      <c r="Q828" s="13" t="n">
        <f aca="false">IFERROR(P828/P827-1,"")</f>
        <v>-0.141755841604632</v>
      </c>
      <c r="R828" s="12" t="n">
        <v>311306</v>
      </c>
      <c r="S828" s="13" t="n">
        <f aca="false">IFERROR(R828/R827-1,"")</f>
        <v>-0.123777731492167</v>
      </c>
      <c r="T828" s="12" t="n">
        <v>143110</v>
      </c>
      <c r="U828" s="13" t="n">
        <f aca="false">IFERROR(T828/P828,"")</f>
        <v>0.538756917516847</v>
      </c>
      <c r="V828" s="14" t="n">
        <f aca="false">T828-AV828</f>
        <v>-1325675</v>
      </c>
      <c r="W828" s="14" t="n">
        <f aca="false">V828-AA828*0.1</f>
        <v>-1325675</v>
      </c>
      <c r="X828" s="12" t="n">
        <v>1049192</v>
      </c>
      <c r="Y828" s="12" t="n">
        <v>135360</v>
      </c>
      <c r="Z828" s="15" t="n">
        <f aca="false">IFERROR(X828/Y828,"")</f>
        <v>7.75112293144208</v>
      </c>
      <c r="AA828" s="12" t="n">
        <v>0</v>
      </c>
      <c r="AB828" s="14" t="n">
        <f aca="false">W828-0.02*P828</f>
        <v>-1330987.6</v>
      </c>
      <c r="AC828" s="16" t="n">
        <v>15</v>
      </c>
      <c r="AD828" s="13" t="n">
        <f aca="false">IFERROR(AC828/AC827-1,"")</f>
        <v>-0.0625</v>
      </c>
      <c r="AE828" s="17" t="n">
        <v>0.257</v>
      </c>
      <c r="AF828" s="17" t="n">
        <v>0.272</v>
      </c>
      <c r="AG828" s="13" t="n">
        <f aca="false">1-AF828</f>
        <v>0.728</v>
      </c>
      <c r="AH828" s="17" t="n">
        <v>0.821</v>
      </c>
      <c r="AI828" s="12" t="n">
        <v>108192</v>
      </c>
      <c r="AJ828" s="14" t="n">
        <f aca="false">IFERROR(AM828*U828*MIN(1/AE828,5),"")</f>
        <v>74126.2435929794</v>
      </c>
      <c r="AK828" s="18" t="n">
        <f aca="false">IFERROR(AJ828/AI828,"")</f>
        <v>0.685136087631058</v>
      </c>
      <c r="AL828" s="15" t="n">
        <f aca="false">IFERROR(AI828/(AM828*U828/12),"")</f>
        <v>68.1508503884776</v>
      </c>
      <c r="AM828" s="12" t="n">
        <v>35360</v>
      </c>
      <c r="AN828" s="12" t="n">
        <v>294208</v>
      </c>
      <c r="AO828" s="12" t="n">
        <v>537729</v>
      </c>
      <c r="AP828" s="17" t="n">
        <v>0.257</v>
      </c>
      <c r="AQ828" s="16" t="n">
        <v>23</v>
      </c>
      <c r="AR828" s="16" t="n">
        <v>2</v>
      </c>
      <c r="AS828" s="13" t="n">
        <f aca="false">IFERROR(AR828/AR827-1,"")</f>
        <v>0</v>
      </c>
      <c r="AT828" s="11" t="s">
        <v>145</v>
      </c>
      <c r="AU828" s="14" t="n">
        <f aca="false">IFERROR(P828/AR828,"")</f>
        <v>132815</v>
      </c>
      <c r="AV828" s="12" t="n">
        <v>1468785</v>
      </c>
      <c r="AW828" s="12" t="n">
        <v>630455</v>
      </c>
      <c r="AX828" s="12" t="n">
        <v>287418</v>
      </c>
      <c r="AY828" s="16" t="n">
        <v>20764</v>
      </c>
      <c r="AZ828" s="13" t="n">
        <f aca="false">IFERROR(AY828/AY827-1,"")</f>
        <v>-0.13831597294269</v>
      </c>
      <c r="BA828" s="17" t="n">
        <v>0.816</v>
      </c>
      <c r="BB828" s="11" t="s">
        <v>138</v>
      </c>
      <c r="BC828" s="11" t="s">
        <v>120</v>
      </c>
      <c r="BD828" s="11" t="s">
        <v>157</v>
      </c>
      <c r="BE828" s="12" t="n">
        <v>391802</v>
      </c>
      <c r="BF828" s="13" t="n">
        <f aca="false">IFERROR(P828/BE828-1,"")</f>
        <v>-0.322030004951481</v>
      </c>
      <c r="BG828" s="17" t="n">
        <v>0.219</v>
      </c>
      <c r="BH828" s="17" t="n">
        <v>0.331</v>
      </c>
      <c r="BI828" s="14" t="n">
        <f aca="false">P828*(1+IFERROR(Q828,0))^4</f>
        <v>144118.769915958</v>
      </c>
      <c r="BJ828" s="12" t="n">
        <v>-1393350</v>
      </c>
      <c r="BK828" s="11" t="s">
        <v>121</v>
      </c>
      <c r="BL828" s="11" t="s">
        <v>148</v>
      </c>
      <c r="BM828" s="14" t="n">
        <f aca="false">O828</f>
        <v>21098351</v>
      </c>
      <c r="BN828" s="11" t="s">
        <v>779</v>
      </c>
      <c r="BO828" s="13" t="n">
        <f aca="false">IFERROR(1-L828/M828,"")</f>
        <v>0.161306212331943</v>
      </c>
      <c r="BP828" s="11" t="s">
        <v>142</v>
      </c>
      <c r="BQ828" s="12" t="n">
        <v>2215936</v>
      </c>
      <c r="BR828" s="11" t="s">
        <v>88</v>
      </c>
      <c r="BS828" s="11" t="s">
        <v>89</v>
      </c>
      <c r="BT828" s="19" t="str">
        <f aca="false">IF(OR(Z828&lt;6,AH828&lt;0.9,S828&lt;0.02,AK828&lt;1),"REVIEW",IF(AND(S828&gt;0.25,AH828&gt;1.2),"ACCELERATING","STABLE"))</f>
        <v>REVIEW</v>
      </c>
    </row>
    <row r="829" customFormat="false" ht="15" hidden="false" customHeight="false" outlineLevel="0" collapsed="false">
      <c r="A829" s="11" t="s">
        <v>776</v>
      </c>
      <c r="B829" s="11" t="s">
        <v>93</v>
      </c>
      <c r="C829" s="11" t="s">
        <v>74</v>
      </c>
      <c r="D829" s="11" t="s">
        <v>210</v>
      </c>
      <c r="E829" s="11" t="s">
        <v>777</v>
      </c>
      <c r="F829" s="11" t="s">
        <v>778</v>
      </c>
      <c r="G829" s="11" t="s">
        <v>78</v>
      </c>
      <c r="H829" s="11" t="s">
        <v>644</v>
      </c>
      <c r="I829" s="11" t="s">
        <v>78</v>
      </c>
      <c r="J829" s="12" t="n">
        <v>5567000</v>
      </c>
      <c r="K829" s="13" t="n">
        <f aca="false">IFERROR(J829/M829,"")</f>
        <v>0.161306212331943</v>
      </c>
      <c r="L829" s="12" t="n">
        <v>28945000</v>
      </c>
      <c r="M829" s="14" t="n">
        <f aca="false">L829+J829</f>
        <v>34512000</v>
      </c>
      <c r="N829" s="12" t="n">
        <v>5567000</v>
      </c>
      <c r="O829" s="12" t="n">
        <v>21098351</v>
      </c>
      <c r="P829" s="12" t="n">
        <v>228700</v>
      </c>
      <c r="Q829" s="13" t="n">
        <f aca="false">IFERROR(P829/P828-1,"")</f>
        <v>-0.139027971238188</v>
      </c>
      <c r="R829" s="12" t="n">
        <v>267374</v>
      </c>
      <c r="S829" s="13" t="n">
        <f aca="false">IFERROR(R829/R828-1,"")</f>
        <v>-0.141121597399343</v>
      </c>
      <c r="T829" s="12" t="n">
        <v>120798</v>
      </c>
      <c r="U829" s="13" t="n">
        <f aca="false">IFERROR(T829/P829,"")</f>
        <v>0.528194140795802</v>
      </c>
      <c r="V829" s="14" t="n">
        <f aca="false">T829-AV829</f>
        <v>-1771014</v>
      </c>
      <c r="W829" s="14" t="n">
        <f aca="false">V829-AA829*0.1</f>
        <v>-1771014</v>
      </c>
      <c r="X829" s="12" t="n">
        <v>602504</v>
      </c>
      <c r="Y829" s="12" t="n">
        <v>144000</v>
      </c>
      <c r="Z829" s="15" t="n">
        <f aca="false">IFERROR(X829/Y829,"")</f>
        <v>4.18405555555556</v>
      </c>
      <c r="AA829" s="12" t="n">
        <v>0</v>
      </c>
      <c r="AB829" s="14" t="n">
        <f aca="false">W829-0.02*P829</f>
        <v>-1775588</v>
      </c>
      <c r="AC829" s="16" t="n">
        <v>13</v>
      </c>
      <c r="AD829" s="13" t="n">
        <f aca="false">IFERROR(AC829/AC828-1,"")</f>
        <v>-0.133333333333333</v>
      </c>
      <c r="AE829" s="17" t="n">
        <v>0.292</v>
      </c>
      <c r="AF829" s="17" t="n">
        <v>0.284</v>
      </c>
      <c r="AG829" s="13" t="n">
        <f aca="false">1-AF829</f>
        <v>0.716</v>
      </c>
      <c r="AH829" s="17" t="n">
        <v>0.781</v>
      </c>
      <c r="AI829" s="12" t="n">
        <v>117600</v>
      </c>
      <c r="AJ829" s="14" t="n">
        <f aca="false">IFERROR(AM829*U829*MIN(1/AE829,5),"")</f>
        <v>65192.1809393175</v>
      </c>
      <c r="AK829" s="18" t="n">
        <f aca="false">IFERROR(AJ829/AI829,"")</f>
        <v>0.554355280096238</v>
      </c>
      <c r="AL829" s="15" t="n">
        <f aca="false">IFERROR(AI829/(AM829*U829/12),"")</f>
        <v>74.1327662718835</v>
      </c>
      <c r="AM829" s="12" t="n">
        <v>36040</v>
      </c>
      <c r="AN829" s="12" t="n">
        <v>395367</v>
      </c>
      <c r="AO829" s="12" t="n">
        <v>702471</v>
      </c>
      <c r="AP829" s="17" t="n">
        <v>0.257</v>
      </c>
      <c r="AQ829" s="16" t="n">
        <v>23</v>
      </c>
      <c r="AR829" s="16" t="n">
        <v>2</v>
      </c>
      <c r="AS829" s="13" t="n">
        <f aca="false">IFERROR(AR829/AR828-1,"")</f>
        <v>0</v>
      </c>
      <c r="AT829" s="11" t="s">
        <v>145</v>
      </c>
      <c r="AU829" s="14" t="n">
        <f aca="false">IFERROR(P829/AR829,"")</f>
        <v>114350</v>
      </c>
      <c r="AV829" s="12" t="n">
        <v>1891812</v>
      </c>
      <c r="AW829" s="12" t="n">
        <v>902877</v>
      </c>
      <c r="AX829" s="12" t="n">
        <v>619169</v>
      </c>
      <c r="AY829" s="16" t="n">
        <v>18552</v>
      </c>
      <c r="AZ829" s="13" t="n">
        <f aca="false">IFERROR(AY829/AY828-1,"")</f>
        <v>-0.106530533615874</v>
      </c>
      <c r="BA829" s="17" t="n">
        <v>0.765</v>
      </c>
      <c r="BB829" s="11" t="s">
        <v>138</v>
      </c>
      <c r="BC829" s="11" t="s">
        <v>120</v>
      </c>
      <c r="BD829" s="11" t="s">
        <v>157</v>
      </c>
      <c r="BE829" s="12" t="n">
        <v>387717</v>
      </c>
      <c r="BF829" s="13" t="n">
        <f aca="false">IFERROR(P829/BE829-1,"")</f>
        <v>-0.410136775018893</v>
      </c>
      <c r="BG829" s="17" t="n">
        <v>0.204</v>
      </c>
      <c r="BH829" s="17" t="n">
        <v>0.247</v>
      </c>
      <c r="BI829" s="14" t="n">
        <f aca="false">P829*(1+IFERROR(Q829,0))^4</f>
        <v>125667.314384502</v>
      </c>
      <c r="BJ829" s="12" t="n">
        <v>-1306094</v>
      </c>
      <c r="BK829" s="11" t="s">
        <v>121</v>
      </c>
      <c r="BL829" s="11" t="s">
        <v>148</v>
      </c>
      <c r="BM829" s="14" t="n">
        <f aca="false">O829</f>
        <v>21098351</v>
      </c>
      <c r="BN829" s="11" t="s">
        <v>779</v>
      </c>
      <c r="BO829" s="13" t="n">
        <f aca="false">IFERROR(1-L829/M829,"")</f>
        <v>0.161306212331943</v>
      </c>
      <c r="BP829" s="11" t="s">
        <v>142</v>
      </c>
      <c r="BQ829" s="12" t="n">
        <v>2166998</v>
      </c>
      <c r="BR829" s="11" t="s">
        <v>88</v>
      </c>
      <c r="BS829" s="11" t="s">
        <v>89</v>
      </c>
      <c r="BT829" s="19" t="str">
        <f aca="false">IF(OR(Z829&lt;6,AH829&lt;0.9,S829&lt;0.02,AK829&lt;1),"REVIEW",IF(AND(S829&gt;0.25,AH829&gt;1.2),"ACCELERATING","STABLE"))</f>
        <v>REVIEW</v>
      </c>
    </row>
    <row r="830" customFormat="false" ht="15" hidden="false" customHeight="false" outlineLevel="0" collapsed="false">
      <c r="A830" s="3" t="s">
        <v>780</v>
      </c>
      <c r="B830" s="3" t="s">
        <v>73</v>
      </c>
      <c r="C830" s="3" t="s">
        <v>74</v>
      </c>
      <c r="D830" s="3" t="s">
        <v>210</v>
      </c>
      <c r="E830" s="3" t="s">
        <v>105</v>
      </c>
      <c r="F830" s="3" t="s">
        <v>781</v>
      </c>
      <c r="G830" s="3" t="s">
        <v>78</v>
      </c>
      <c r="H830" s="3" t="s">
        <v>644</v>
      </c>
      <c r="I830" s="3" t="s">
        <v>78</v>
      </c>
      <c r="J830" s="4" t="n">
        <v>1661000</v>
      </c>
      <c r="K830" s="5" t="n">
        <f aca="false">IFERROR(J830/M830,"")</f>
        <v>0.166299559471366</v>
      </c>
      <c r="L830" s="4" t="n">
        <v>8327000</v>
      </c>
      <c r="M830" s="6" t="n">
        <f aca="false">L830+J830</f>
        <v>9988000</v>
      </c>
      <c r="N830" s="4" t="n">
        <v>7497000</v>
      </c>
      <c r="O830" s="4" t="n">
        <v>20573120</v>
      </c>
      <c r="P830" s="4" t="n">
        <v>494069</v>
      </c>
      <c r="Q830" s="7"/>
      <c r="R830" s="4" t="n">
        <v>533250</v>
      </c>
      <c r="S830" s="7"/>
      <c r="T830" s="4" t="n">
        <v>284661</v>
      </c>
      <c r="U830" s="5" t="n">
        <f aca="false">IFERROR(T830/P830,"")</f>
        <v>0.576156366823257</v>
      </c>
      <c r="V830" s="6" t="n">
        <f aca="false">T830-AV830</f>
        <v>-1875056</v>
      </c>
      <c r="W830" s="6" t="n">
        <f aca="false">V830-AA830*0.1</f>
        <v>-1875056</v>
      </c>
      <c r="X830" s="4" t="n">
        <v>1277150</v>
      </c>
      <c r="Y830" s="4" t="n">
        <v>207480</v>
      </c>
      <c r="Z830" s="8" t="n">
        <f aca="false">IFERROR(X830/Y830,"")</f>
        <v>6.1555330634278</v>
      </c>
      <c r="AA830" s="4" t="n">
        <v>0</v>
      </c>
      <c r="AB830" s="6" t="n">
        <f aca="false">W830-0.02*P830</f>
        <v>-1884937.38</v>
      </c>
      <c r="AC830" s="9" t="n">
        <v>25</v>
      </c>
      <c r="AD830" s="7"/>
      <c r="AE830" s="7" t="n">
        <v>0.073</v>
      </c>
      <c r="AF830" s="7" t="n">
        <v>0.064</v>
      </c>
      <c r="AG830" s="5" t="n">
        <f aca="false">1-AF830</f>
        <v>0.936</v>
      </c>
      <c r="AH830" s="7" t="n">
        <v>1.179</v>
      </c>
      <c r="AI830" s="4" t="n">
        <v>12614</v>
      </c>
      <c r="AJ830" s="6" t="n">
        <f aca="false">IFERROR(AM830*U830*MIN(1/AE830,5),"")</f>
        <v>63377.2003505583</v>
      </c>
      <c r="AK830" s="10" t="n">
        <f aca="false">IFERROR(AJ830/AI830,"")</f>
        <v>5.02435392029161</v>
      </c>
      <c r="AL830" s="8" t="n">
        <f aca="false">IFERROR(AI830/(AM830*U830/12),"")</f>
        <v>11.9418339057846</v>
      </c>
      <c r="AM830" s="4" t="n">
        <v>22000</v>
      </c>
      <c r="AN830" s="4" t="n">
        <v>777735</v>
      </c>
      <c r="AO830" s="4" t="n">
        <v>1480237</v>
      </c>
      <c r="AP830" s="7" t="n">
        <v>0.203</v>
      </c>
      <c r="AQ830" s="9" t="n">
        <v>25</v>
      </c>
      <c r="AR830" s="9" t="n">
        <v>3</v>
      </c>
      <c r="AS830" s="7"/>
      <c r="AT830" s="3" t="s">
        <v>98</v>
      </c>
      <c r="AU830" s="6" t="n">
        <f aca="false">IFERROR(P830/AR830,"")</f>
        <v>164689.666666667</v>
      </c>
      <c r="AV830" s="4" t="n">
        <v>2159717</v>
      </c>
      <c r="AW830" s="4" t="n">
        <v>950230</v>
      </c>
      <c r="AX830" s="4" t="n">
        <v>666994</v>
      </c>
      <c r="AY830" s="9" t="n">
        <v>4840</v>
      </c>
      <c r="AZ830" s="7"/>
      <c r="BA830" s="7" t="n">
        <v>0.925</v>
      </c>
      <c r="BB830" s="3" t="s">
        <v>161</v>
      </c>
      <c r="BC830" s="3" t="s">
        <v>108</v>
      </c>
      <c r="BD830" s="3" t="s">
        <v>175</v>
      </c>
      <c r="BE830" s="4" t="n">
        <v>616296</v>
      </c>
      <c r="BF830" s="5" t="n">
        <f aca="false">IFERROR(P830/BE830-1,"")</f>
        <v>-0.198325155444786</v>
      </c>
      <c r="BG830" s="7" t="n">
        <v>0.074</v>
      </c>
      <c r="BH830" s="7" t="n">
        <v>0.035</v>
      </c>
      <c r="BI830" s="6" t="n">
        <f aca="false">P830</f>
        <v>494069</v>
      </c>
      <c r="BJ830" s="4" t="n">
        <v>-1856879</v>
      </c>
      <c r="BK830" s="3" t="s">
        <v>110</v>
      </c>
      <c r="BL830" s="3" t="s">
        <v>128</v>
      </c>
      <c r="BM830" s="6" t="n">
        <f aca="false">O830</f>
        <v>20573120</v>
      </c>
      <c r="BN830" s="3" t="s">
        <v>782</v>
      </c>
      <c r="BO830" s="5" t="n">
        <f aca="false">IFERROR(1-L830/M830,"")</f>
        <v>0.166299559471366</v>
      </c>
      <c r="BP830" s="3" t="s">
        <v>142</v>
      </c>
      <c r="BQ830" s="4" t="n">
        <v>2795602</v>
      </c>
      <c r="BR830" s="3" t="s">
        <v>88</v>
      </c>
      <c r="BS830" s="3" t="s">
        <v>89</v>
      </c>
      <c r="BT830" s="3" t="s">
        <v>90</v>
      </c>
    </row>
    <row r="831" customFormat="false" ht="15" hidden="false" customHeight="false" outlineLevel="0" collapsed="false">
      <c r="A831" s="11" t="s">
        <v>780</v>
      </c>
      <c r="B831" s="11" t="s">
        <v>91</v>
      </c>
      <c r="C831" s="11" t="s">
        <v>74</v>
      </c>
      <c r="D831" s="11" t="s">
        <v>210</v>
      </c>
      <c r="E831" s="11" t="s">
        <v>105</v>
      </c>
      <c r="F831" s="11" t="s">
        <v>781</v>
      </c>
      <c r="G831" s="11" t="s">
        <v>78</v>
      </c>
      <c r="H831" s="11" t="s">
        <v>644</v>
      </c>
      <c r="I831" s="11" t="s">
        <v>78</v>
      </c>
      <c r="J831" s="12" t="n">
        <v>1661000</v>
      </c>
      <c r="K831" s="13" t="n">
        <f aca="false">IFERROR(J831/M831,"")</f>
        <v>0.166299559471366</v>
      </c>
      <c r="L831" s="12" t="n">
        <v>8327000</v>
      </c>
      <c r="M831" s="14" t="n">
        <f aca="false">L831+J831</f>
        <v>9988000</v>
      </c>
      <c r="N831" s="12" t="n">
        <v>7497000</v>
      </c>
      <c r="O831" s="12" t="n">
        <v>20573120</v>
      </c>
      <c r="P831" s="12" t="n">
        <v>677226</v>
      </c>
      <c r="Q831" s="13" t="n">
        <f aca="false">IFERROR(P831/P830-1,"")</f>
        <v>0.370711378370228</v>
      </c>
      <c r="R831" s="12" t="n">
        <v>712534</v>
      </c>
      <c r="S831" s="13" t="n">
        <f aca="false">IFERROR(R831/R830-1,"")</f>
        <v>0.336210032817628</v>
      </c>
      <c r="T831" s="12" t="n">
        <v>391768</v>
      </c>
      <c r="U831" s="13" t="n">
        <f aca="false">IFERROR(T831/P831,"")</f>
        <v>0.578489307852918</v>
      </c>
      <c r="V831" s="14" t="n">
        <f aca="false">T831-AV831</f>
        <v>-2205173</v>
      </c>
      <c r="W831" s="14" t="n">
        <f aca="false">V831-AA831*0.1</f>
        <v>-2205173</v>
      </c>
      <c r="X831" s="12" t="n">
        <v>1642050</v>
      </c>
      <c r="Y831" s="12" t="n">
        <v>214320</v>
      </c>
      <c r="Z831" s="15" t="n">
        <f aca="false">IFERROR(X831/Y831,"")</f>
        <v>7.66167413213886</v>
      </c>
      <c r="AA831" s="12" t="n">
        <v>0</v>
      </c>
      <c r="AB831" s="14" t="n">
        <f aca="false">W831-0.02*P831</f>
        <v>-2218717.52</v>
      </c>
      <c r="AC831" s="16" t="n">
        <v>29</v>
      </c>
      <c r="AD831" s="13" t="n">
        <f aca="false">IFERROR(AC831/AC830-1,"")</f>
        <v>0.16</v>
      </c>
      <c r="AE831" s="17" t="n">
        <v>0.071</v>
      </c>
      <c r="AF831" s="17" t="n">
        <v>0.078</v>
      </c>
      <c r="AG831" s="13" t="n">
        <f aca="false">1-AF831</f>
        <v>0.922</v>
      </c>
      <c r="AH831" s="17" t="n">
        <v>1.209</v>
      </c>
      <c r="AI831" s="12" t="n">
        <v>12376</v>
      </c>
      <c r="AJ831" s="14" t="n">
        <f aca="false">IFERROR(AM831*U831*MIN(1/AE831,5),"")</f>
        <v>64906.5003410974</v>
      </c>
      <c r="AK831" s="18" t="n">
        <f aca="false">IFERROR(AJ831/AI831,"")</f>
        <v>5.24454592284239</v>
      </c>
      <c r="AL831" s="15" t="n">
        <f aca="false">IFERROR(AI831/(AM831*U831/12),"")</f>
        <v>11.4404565967613</v>
      </c>
      <c r="AM831" s="12" t="n">
        <v>22440</v>
      </c>
      <c r="AN831" s="12" t="n">
        <v>818033</v>
      </c>
      <c r="AO831" s="12" t="n">
        <v>2827918</v>
      </c>
      <c r="AP831" s="17" t="n">
        <v>0.203</v>
      </c>
      <c r="AQ831" s="16" t="n">
        <v>25</v>
      </c>
      <c r="AR831" s="16" t="n">
        <v>3</v>
      </c>
      <c r="AS831" s="13" t="n">
        <f aca="false">IFERROR(AR831/AR830-1,"")</f>
        <v>0</v>
      </c>
      <c r="AT831" s="11" t="s">
        <v>98</v>
      </c>
      <c r="AU831" s="14" t="n">
        <f aca="false">IFERROR(P831/AR831,"")</f>
        <v>225742</v>
      </c>
      <c r="AV831" s="12" t="n">
        <v>2596941</v>
      </c>
      <c r="AW831" s="12" t="n">
        <v>1003502</v>
      </c>
      <c r="AX831" s="12" t="n">
        <v>532080</v>
      </c>
      <c r="AY831" s="16" t="n">
        <v>5945</v>
      </c>
      <c r="AZ831" s="13" t="n">
        <f aca="false">IFERROR(AY831/AY830-1,"")</f>
        <v>0.228305785123967</v>
      </c>
      <c r="BA831" s="17" t="n">
        <v>0.926</v>
      </c>
      <c r="BB831" s="11" t="s">
        <v>161</v>
      </c>
      <c r="BC831" s="11" t="s">
        <v>108</v>
      </c>
      <c r="BD831" s="11" t="s">
        <v>175</v>
      </c>
      <c r="BE831" s="12" t="n">
        <v>639059</v>
      </c>
      <c r="BF831" s="13" t="n">
        <f aca="false">IFERROR(P831/BE831-1,"")</f>
        <v>0.0597237500762839</v>
      </c>
      <c r="BG831" s="17" t="n">
        <v>0.002</v>
      </c>
      <c r="BH831" s="17" t="n">
        <v>-0.036</v>
      </c>
      <c r="BI831" s="14" t="n">
        <f aca="false">P831*(1+IFERROR(Q831,0))^4</f>
        <v>2390659.33757678</v>
      </c>
      <c r="BJ831" s="12" t="n">
        <v>-1358054</v>
      </c>
      <c r="BK831" s="11" t="s">
        <v>110</v>
      </c>
      <c r="BL831" s="11" t="s">
        <v>128</v>
      </c>
      <c r="BM831" s="14" t="n">
        <f aca="false">O831</f>
        <v>20573120</v>
      </c>
      <c r="BN831" s="11" t="s">
        <v>782</v>
      </c>
      <c r="BO831" s="13" t="n">
        <f aca="false">IFERROR(1-L831/M831,"")</f>
        <v>0.166299559471366</v>
      </c>
      <c r="BP831" s="11" t="s">
        <v>142</v>
      </c>
      <c r="BQ831" s="12" t="n">
        <v>3415473</v>
      </c>
      <c r="BR831" s="11" t="s">
        <v>88</v>
      </c>
      <c r="BS831" s="11" t="s">
        <v>89</v>
      </c>
      <c r="BT831" s="19" t="str">
        <f aca="false">IF(OR(Z831&lt;6,AH831&lt;0.9,S831&lt;0.02,AK831&lt;1),"REVIEW",IF(AND(S831&gt;0.25,AH831&gt;1.2),"ACCELERATING","STABLE"))</f>
        <v>ACCELERATING</v>
      </c>
    </row>
    <row r="832" customFormat="false" ht="15" hidden="false" customHeight="false" outlineLevel="0" collapsed="false">
      <c r="A832" s="11" t="s">
        <v>780</v>
      </c>
      <c r="B832" s="11" t="s">
        <v>92</v>
      </c>
      <c r="C832" s="11" t="s">
        <v>74</v>
      </c>
      <c r="D832" s="11" t="s">
        <v>210</v>
      </c>
      <c r="E832" s="11" t="s">
        <v>105</v>
      </c>
      <c r="F832" s="11" t="s">
        <v>781</v>
      </c>
      <c r="G832" s="11" t="s">
        <v>78</v>
      </c>
      <c r="H832" s="11" t="s">
        <v>644</v>
      </c>
      <c r="I832" s="11" t="s">
        <v>78</v>
      </c>
      <c r="J832" s="12" t="n">
        <v>1661000</v>
      </c>
      <c r="K832" s="13" t="n">
        <f aca="false">IFERROR(J832/M832,"")</f>
        <v>0.166299559471366</v>
      </c>
      <c r="L832" s="12" t="n">
        <v>8327000</v>
      </c>
      <c r="M832" s="14" t="n">
        <f aca="false">L832+J832</f>
        <v>9988000</v>
      </c>
      <c r="N832" s="12" t="n">
        <v>7497000</v>
      </c>
      <c r="O832" s="12" t="n">
        <v>20573120</v>
      </c>
      <c r="P832" s="12" t="n">
        <v>855868</v>
      </c>
      <c r="Q832" s="13" t="n">
        <f aca="false">IFERROR(P832/P831-1,"")</f>
        <v>0.263784910797873</v>
      </c>
      <c r="R832" s="12" t="n">
        <v>947695</v>
      </c>
      <c r="S832" s="13" t="n">
        <f aca="false">IFERROR(R832/R831-1,"")</f>
        <v>0.330034777287821</v>
      </c>
      <c r="T832" s="12" t="n">
        <v>497107</v>
      </c>
      <c r="U832" s="13" t="n">
        <f aca="false">IFERROR(T832/P832,"")</f>
        <v>0.580822042651437</v>
      </c>
      <c r="V832" s="14" t="n">
        <f aca="false">T832-AV832</f>
        <v>-2570569</v>
      </c>
      <c r="W832" s="14" t="n">
        <f aca="false">V832-AA832*0.1</f>
        <v>-2570569</v>
      </c>
      <c r="X832" s="12" t="n">
        <v>2006950</v>
      </c>
      <c r="Y832" s="12" t="n">
        <v>221160</v>
      </c>
      <c r="Z832" s="15" t="n">
        <f aca="false">IFERROR(X832/Y832,"")</f>
        <v>9.074651835775</v>
      </c>
      <c r="AA832" s="12" t="n">
        <v>0</v>
      </c>
      <c r="AB832" s="14" t="n">
        <f aca="false">W832-0.02*P832</f>
        <v>-2587686.36</v>
      </c>
      <c r="AC832" s="16" t="n">
        <v>37</v>
      </c>
      <c r="AD832" s="13" t="n">
        <f aca="false">IFERROR(AC832/AC831-1,"")</f>
        <v>0.275862068965517</v>
      </c>
      <c r="AE832" s="17" t="n">
        <v>0.069</v>
      </c>
      <c r="AF832" s="17" t="n">
        <v>0.045</v>
      </c>
      <c r="AG832" s="13" t="n">
        <f aca="false">1-AF832</f>
        <v>0.955</v>
      </c>
      <c r="AH832" s="17" t="n">
        <v>1.239</v>
      </c>
      <c r="AI832" s="12" t="n">
        <v>12138</v>
      </c>
      <c r="AJ832" s="14" t="n">
        <f aca="false">IFERROR(AM832*U832*MIN(1/AE832,5),"")</f>
        <v>66446.0416793244</v>
      </c>
      <c r="AK832" s="18" t="n">
        <f aca="false">IFERROR(AJ832/AI832,"")</f>
        <v>5.47421664848611</v>
      </c>
      <c r="AL832" s="15" t="n">
        <f aca="false">IFERROR(AI832/(AM832*U832/12),"")</f>
        <v>10.9604723109731</v>
      </c>
      <c r="AM832" s="12" t="n">
        <v>22880</v>
      </c>
      <c r="AN832" s="12" t="n">
        <v>861877</v>
      </c>
      <c r="AO832" s="12" t="n">
        <v>2435457</v>
      </c>
      <c r="AP832" s="17" t="n">
        <v>0.203</v>
      </c>
      <c r="AQ832" s="16" t="n">
        <v>25</v>
      </c>
      <c r="AR832" s="16" t="n">
        <v>4</v>
      </c>
      <c r="AS832" s="13" t="n">
        <f aca="false">IFERROR(AR832/AR831-1,"")</f>
        <v>0.333333333333333</v>
      </c>
      <c r="AT832" s="11" t="s">
        <v>98</v>
      </c>
      <c r="AU832" s="14" t="n">
        <f aca="false">IFERROR(P832/AR832,"")</f>
        <v>213967</v>
      </c>
      <c r="AV832" s="12" t="n">
        <v>3067676</v>
      </c>
      <c r="AW832" s="12" t="n">
        <v>1079768</v>
      </c>
      <c r="AX832" s="12" t="n">
        <v>892240</v>
      </c>
      <c r="AY832" s="16" t="n">
        <v>7424</v>
      </c>
      <c r="AZ832" s="13" t="n">
        <f aca="false">IFERROR(AY832/AY831-1,"")</f>
        <v>0.248780487804878</v>
      </c>
      <c r="BA832" s="17" t="n">
        <v>0.933</v>
      </c>
      <c r="BB832" s="11" t="s">
        <v>161</v>
      </c>
      <c r="BC832" s="11" t="s">
        <v>108</v>
      </c>
      <c r="BD832" s="11" t="s">
        <v>175</v>
      </c>
      <c r="BE832" s="12" t="n">
        <v>953853</v>
      </c>
      <c r="BF832" s="13" t="n">
        <f aca="false">IFERROR(P832/BE832-1,"")</f>
        <v>-0.102725472373626</v>
      </c>
      <c r="BG832" s="17" t="n">
        <v>0.051</v>
      </c>
      <c r="BH832" s="17" t="n">
        <v>0.024</v>
      </c>
      <c r="BI832" s="14" t="n">
        <f aca="false">P832*(1+IFERROR(Q832,0))^4</f>
        <v>2183229.80567923</v>
      </c>
      <c r="BJ832" s="12" t="n">
        <v>-1330095</v>
      </c>
      <c r="BK832" s="11" t="s">
        <v>110</v>
      </c>
      <c r="BL832" s="11" t="s">
        <v>128</v>
      </c>
      <c r="BM832" s="14" t="n">
        <f aca="false">O832</f>
        <v>20573120</v>
      </c>
      <c r="BN832" s="11" t="s">
        <v>782</v>
      </c>
      <c r="BO832" s="13" t="n">
        <f aca="false">IFERROR(1-L832/M832,"")</f>
        <v>0.166299559471366</v>
      </c>
      <c r="BP832" s="11" t="s">
        <v>142</v>
      </c>
      <c r="BQ832" s="12" t="n">
        <v>3220030</v>
      </c>
      <c r="BR832" s="11" t="s">
        <v>88</v>
      </c>
      <c r="BS832" s="11" t="s">
        <v>89</v>
      </c>
      <c r="BT832" s="19" t="str">
        <f aca="false">IF(OR(Z832&lt;6,AH832&lt;0.9,S832&lt;0.02,AK832&lt;1),"REVIEW",IF(AND(S832&gt;0.25,AH832&gt;1.2),"ACCELERATING","STABLE"))</f>
        <v>ACCELERATING</v>
      </c>
    </row>
    <row r="833" customFormat="false" ht="15" hidden="false" customHeight="false" outlineLevel="0" collapsed="false">
      <c r="A833" s="11" t="s">
        <v>780</v>
      </c>
      <c r="B833" s="11" t="s">
        <v>93</v>
      </c>
      <c r="C833" s="11" t="s">
        <v>74</v>
      </c>
      <c r="D833" s="11" t="s">
        <v>210</v>
      </c>
      <c r="E833" s="11" t="s">
        <v>105</v>
      </c>
      <c r="F833" s="11" t="s">
        <v>781</v>
      </c>
      <c r="G833" s="11" t="s">
        <v>78</v>
      </c>
      <c r="H833" s="11" t="s">
        <v>644</v>
      </c>
      <c r="I833" s="11" t="s">
        <v>78</v>
      </c>
      <c r="J833" s="12" t="n">
        <v>1661000</v>
      </c>
      <c r="K833" s="13" t="n">
        <f aca="false">IFERROR(J833/M833,"")</f>
        <v>0.166299559471366</v>
      </c>
      <c r="L833" s="12" t="n">
        <v>8327000</v>
      </c>
      <c r="M833" s="14" t="n">
        <f aca="false">L833+J833</f>
        <v>9988000</v>
      </c>
      <c r="N833" s="12" t="n">
        <v>7497000</v>
      </c>
      <c r="O833" s="12" t="n">
        <v>20573120</v>
      </c>
      <c r="P833" s="12" t="n">
        <v>1142958</v>
      </c>
      <c r="Q833" s="13" t="n">
        <f aca="false">IFERROR(P833/P832-1,"")</f>
        <v>0.335437240322106</v>
      </c>
      <c r="R833" s="12" t="n">
        <v>1169982</v>
      </c>
      <c r="S833" s="13" t="n">
        <f aca="false">IFERROR(R833/R832-1,"")</f>
        <v>0.234555421311709</v>
      </c>
      <c r="T833" s="12" t="n">
        <v>666521</v>
      </c>
      <c r="U833" s="13" t="n">
        <f aca="false">IFERROR(T833/P833,"")</f>
        <v>0.583154411623174</v>
      </c>
      <c r="V833" s="14" t="n">
        <f aca="false">T833-AV833</f>
        <v>-2916303</v>
      </c>
      <c r="W833" s="14" t="n">
        <f aca="false">V833-AA833*0.1</f>
        <v>-2916303</v>
      </c>
      <c r="X833" s="12" t="n">
        <v>3649000</v>
      </c>
      <c r="Y833" s="12" t="n">
        <v>228000</v>
      </c>
      <c r="Z833" s="15" t="n">
        <f aca="false">IFERROR(X833/Y833,"")</f>
        <v>16.0043859649123</v>
      </c>
      <c r="AA833" s="12" t="n">
        <v>0</v>
      </c>
      <c r="AB833" s="14" t="n">
        <f aca="false">W833-0.02*P833</f>
        <v>-2939162.16</v>
      </c>
      <c r="AC833" s="16" t="n">
        <v>44</v>
      </c>
      <c r="AD833" s="13" t="n">
        <f aca="false">IFERROR(AC833/AC832-1,"")</f>
        <v>0.189189189189189</v>
      </c>
      <c r="AE833" s="17" t="n">
        <v>0.067</v>
      </c>
      <c r="AF833" s="17" t="n">
        <v>0.048</v>
      </c>
      <c r="AG833" s="13" t="n">
        <f aca="false">1-AF833</f>
        <v>0.952</v>
      </c>
      <c r="AH833" s="17" t="n">
        <v>1.269</v>
      </c>
      <c r="AI833" s="12" t="n">
        <v>11900</v>
      </c>
      <c r="AJ833" s="14" t="n">
        <f aca="false">IFERROR(AM833*U833*MIN(1/AE833,5),"")</f>
        <v>67995.8043952621</v>
      </c>
      <c r="AK833" s="18" t="n">
        <f aca="false">IFERROR(AJ833/AI833,"")</f>
        <v>5.713933142459</v>
      </c>
      <c r="AL833" s="15" t="n">
        <f aca="false">IFERROR(AI833/(AM833*U833/12),"")</f>
        <v>10.5006478907065</v>
      </c>
      <c r="AM833" s="12" t="n">
        <v>23320</v>
      </c>
      <c r="AN833" s="12" t="n">
        <v>1598787</v>
      </c>
      <c r="AO833" s="12" t="n">
        <v>3356956</v>
      </c>
      <c r="AP833" s="17" t="n">
        <v>0.203</v>
      </c>
      <c r="AQ833" s="16" t="n">
        <v>25</v>
      </c>
      <c r="AR833" s="16" t="n">
        <v>5</v>
      </c>
      <c r="AS833" s="13" t="n">
        <f aca="false">IFERROR(AR833/AR832-1,"")</f>
        <v>0.25</v>
      </c>
      <c r="AT833" s="11" t="s">
        <v>98</v>
      </c>
      <c r="AU833" s="14" t="n">
        <f aca="false">IFERROR(P833/AR833,"")</f>
        <v>228591.6</v>
      </c>
      <c r="AV833" s="12" t="n">
        <v>3582824</v>
      </c>
      <c r="AW833" s="12" t="n">
        <v>1141978</v>
      </c>
      <c r="AX833" s="12" t="n">
        <v>715314</v>
      </c>
      <c r="AY833" s="16" t="n">
        <v>9481</v>
      </c>
      <c r="AZ833" s="13" t="n">
        <f aca="false">IFERROR(AY833/AY832-1,"")</f>
        <v>0.277074353448276</v>
      </c>
      <c r="BA833" s="17" t="n">
        <v>0.93</v>
      </c>
      <c r="BB833" s="11" t="s">
        <v>161</v>
      </c>
      <c r="BC833" s="11" t="s">
        <v>108</v>
      </c>
      <c r="BD833" s="11" t="s">
        <v>175</v>
      </c>
      <c r="BE833" s="12" t="n">
        <v>1083832</v>
      </c>
      <c r="BF833" s="13" t="n">
        <f aca="false">IFERROR(P833/BE833-1,"")</f>
        <v>0.0545527351102384</v>
      </c>
      <c r="BG833" s="17" t="n">
        <v>-0.017</v>
      </c>
      <c r="BH833" s="17" t="n">
        <v>0.014</v>
      </c>
      <c r="BI833" s="14" t="n">
        <f aca="false">P833*(1+IFERROR(Q833,0))^4</f>
        <v>3635165.62899779</v>
      </c>
      <c r="BJ833" s="12" t="n">
        <v>-2537300</v>
      </c>
      <c r="BK833" s="11" t="s">
        <v>110</v>
      </c>
      <c r="BL833" s="11" t="s">
        <v>128</v>
      </c>
      <c r="BM833" s="14" t="n">
        <f aca="false">O833</f>
        <v>20573120</v>
      </c>
      <c r="BN833" s="11" t="s">
        <v>782</v>
      </c>
      <c r="BO833" s="13" t="n">
        <f aca="false">IFERROR(1-L833/M833,"")</f>
        <v>0.166299559471366</v>
      </c>
      <c r="BP833" s="11" t="s">
        <v>142</v>
      </c>
      <c r="BQ833" s="12" t="n">
        <v>4079757</v>
      </c>
      <c r="BR833" s="11" t="s">
        <v>88</v>
      </c>
      <c r="BS833" s="11" t="s">
        <v>89</v>
      </c>
      <c r="BT833" s="19" t="str">
        <f aca="false">IF(OR(Z833&lt;6,AH833&lt;0.9,S833&lt;0.02,AK833&lt;1),"REVIEW",IF(AND(S833&gt;0.25,AH833&gt;1.2),"ACCELERATING","STABLE"))</f>
        <v>STABLE</v>
      </c>
    </row>
    <row r="834" customFormat="false" ht="15" hidden="false" customHeight="false" outlineLevel="0" collapsed="false">
      <c r="A834" s="3" t="s">
        <v>783</v>
      </c>
      <c r="B834" s="3" t="s">
        <v>73</v>
      </c>
      <c r="C834" s="3" t="s">
        <v>74</v>
      </c>
      <c r="D834" s="3" t="s">
        <v>95</v>
      </c>
      <c r="E834" s="3" t="s">
        <v>105</v>
      </c>
      <c r="F834" s="3" t="s">
        <v>784</v>
      </c>
      <c r="G834" s="3" t="s">
        <v>78</v>
      </c>
      <c r="H834" s="3" t="s">
        <v>644</v>
      </c>
      <c r="I834" s="3" t="s">
        <v>78</v>
      </c>
      <c r="J834" s="4" t="n">
        <v>1042000</v>
      </c>
      <c r="K834" s="5" t="n">
        <f aca="false">IFERROR(J834/M834,"")</f>
        <v>0.100067223662729</v>
      </c>
      <c r="L834" s="4" t="n">
        <v>9371000</v>
      </c>
      <c r="M834" s="6" t="n">
        <f aca="false">L834+J834</f>
        <v>10413000</v>
      </c>
      <c r="N834" s="4" t="n">
        <v>1711000</v>
      </c>
      <c r="O834" s="4" t="n">
        <v>21508761</v>
      </c>
      <c r="P834" s="4" t="n">
        <v>204333</v>
      </c>
      <c r="Q834" s="7"/>
      <c r="R834" s="4" t="n">
        <v>213899</v>
      </c>
      <c r="S834" s="7"/>
      <c r="T834" s="4" t="n">
        <v>160396</v>
      </c>
      <c r="U834" s="5" t="n">
        <f aca="false">IFERROR(T834/P834,"")</f>
        <v>0.784973548080829</v>
      </c>
      <c r="V834" s="6" t="n">
        <f aca="false">T834-AV834</f>
        <v>-1684004</v>
      </c>
      <c r="W834" s="6" t="n">
        <f aca="false">V834-AA834*0.1</f>
        <v>-1688604</v>
      </c>
      <c r="X834" s="4" t="n">
        <v>5238716</v>
      </c>
      <c r="Y834" s="4" t="n">
        <v>178360</v>
      </c>
      <c r="Z834" s="8" t="n">
        <f aca="false">IFERROR(X834/Y834,"")</f>
        <v>29.3715855572998</v>
      </c>
      <c r="AA834" s="4" t="n">
        <v>46000</v>
      </c>
      <c r="AB834" s="6" t="n">
        <f aca="false">W834-0.02*P834</f>
        <v>-1692690.66</v>
      </c>
      <c r="AC834" s="9" t="n">
        <v>48</v>
      </c>
      <c r="AD834" s="7"/>
      <c r="AE834" s="7" t="n">
        <v>0.046</v>
      </c>
      <c r="AF834" s="7" t="n">
        <v>0.049</v>
      </c>
      <c r="AG834" s="5" t="n">
        <f aca="false">1-AF834</f>
        <v>0.951</v>
      </c>
      <c r="AH834" s="7" t="n">
        <v>1.085</v>
      </c>
      <c r="AI834" s="4" t="n">
        <v>47064</v>
      </c>
      <c r="AJ834" s="6" t="n">
        <f aca="false">IFERROR(AM834*U834*MIN(1/AE834,5),"")</f>
        <v>90271.9580292953</v>
      </c>
      <c r="AK834" s="10" t="n">
        <f aca="false">IFERROR(AJ834/AI834,"")</f>
        <v>1.91806812062926</v>
      </c>
      <c r="AL834" s="8" t="n">
        <f aca="false">IFERROR(AI834/(AM834*U834/12),"")</f>
        <v>31.2814750188935</v>
      </c>
      <c r="AM834" s="4" t="n">
        <v>23000</v>
      </c>
      <c r="AN834" s="4" t="n">
        <v>265683</v>
      </c>
      <c r="AO834" s="4" t="n">
        <v>383165</v>
      </c>
      <c r="AP834" s="7" t="n">
        <v>0.265</v>
      </c>
      <c r="AQ834" s="9" t="n">
        <v>57</v>
      </c>
      <c r="AR834" s="9" t="n">
        <v>1</v>
      </c>
      <c r="AS834" s="7"/>
      <c r="AT834" s="3" t="s">
        <v>201</v>
      </c>
      <c r="AU834" s="6" t="n">
        <f aca="false">IFERROR(P834/AR834,"")</f>
        <v>204333</v>
      </c>
      <c r="AV834" s="4" t="n">
        <v>1844400</v>
      </c>
      <c r="AW834" s="4" t="n">
        <v>601831</v>
      </c>
      <c r="AX834" s="4" t="n">
        <v>431463</v>
      </c>
      <c r="AY834" s="9" t="n">
        <v>7629</v>
      </c>
      <c r="AZ834" s="7"/>
      <c r="BA834" s="7" t="n">
        <v>0.966</v>
      </c>
      <c r="BB834" s="3" t="s">
        <v>107</v>
      </c>
      <c r="BC834" s="3" t="s">
        <v>100</v>
      </c>
      <c r="BD834" s="3" t="s">
        <v>83</v>
      </c>
      <c r="BE834" s="4" t="n">
        <v>192861</v>
      </c>
      <c r="BF834" s="5" t="n">
        <f aca="false">IFERROR(P834/BE834-1,"")</f>
        <v>0.0594832547793489</v>
      </c>
      <c r="BG834" s="7" t="n">
        <v>-0.004</v>
      </c>
      <c r="BH834" s="7" t="n">
        <v>0.09</v>
      </c>
      <c r="BI834" s="6" t="n">
        <f aca="false">P834</f>
        <v>204333</v>
      </c>
      <c r="BJ834" s="4" t="n">
        <v>-1367056</v>
      </c>
      <c r="BK834" s="3" t="s">
        <v>102</v>
      </c>
      <c r="BL834" s="3" t="s">
        <v>162</v>
      </c>
      <c r="BM834" s="6" t="n">
        <f aca="false">O834</f>
        <v>21508761</v>
      </c>
      <c r="BN834" s="3" t="s">
        <v>785</v>
      </c>
      <c r="BO834" s="5" t="n">
        <f aca="false">IFERROR(1-L834/M834,"")</f>
        <v>0.100067223662729</v>
      </c>
      <c r="BP834" s="3" t="s">
        <v>198</v>
      </c>
      <c r="BQ834" s="4" t="n">
        <v>3423493</v>
      </c>
      <c r="BR834" s="3" t="s">
        <v>88</v>
      </c>
      <c r="BS834" s="3" t="s">
        <v>89</v>
      </c>
      <c r="BT834" s="3" t="s">
        <v>90</v>
      </c>
    </row>
    <row r="835" customFormat="false" ht="15" hidden="false" customHeight="false" outlineLevel="0" collapsed="false">
      <c r="A835" s="11" t="s">
        <v>783</v>
      </c>
      <c r="B835" s="11" t="s">
        <v>91</v>
      </c>
      <c r="C835" s="11" t="s">
        <v>74</v>
      </c>
      <c r="D835" s="11" t="s">
        <v>95</v>
      </c>
      <c r="E835" s="11" t="s">
        <v>105</v>
      </c>
      <c r="F835" s="11" t="s">
        <v>784</v>
      </c>
      <c r="G835" s="11" t="s">
        <v>78</v>
      </c>
      <c r="H835" s="11" t="s">
        <v>644</v>
      </c>
      <c r="I835" s="11" t="s">
        <v>78</v>
      </c>
      <c r="J835" s="12" t="n">
        <v>1042000</v>
      </c>
      <c r="K835" s="13" t="n">
        <f aca="false">IFERROR(J835/M835,"")</f>
        <v>0.100067223662729</v>
      </c>
      <c r="L835" s="12" t="n">
        <v>9371000</v>
      </c>
      <c r="M835" s="14" t="n">
        <f aca="false">L835+J835</f>
        <v>10413000</v>
      </c>
      <c r="N835" s="12" t="n">
        <v>1711000</v>
      </c>
      <c r="O835" s="12" t="n">
        <v>21508761</v>
      </c>
      <c r="P835" s="12" t="n">
        <v>235392</v>
      </c>
      <c r="Q835" s="13" t="n">
        <f aca="false">IFERROR(P835/P834-1,"")</f>
        <v>0.152001879285284</v>
      </c>
      <c r="R835" s="12" t="n">
        <v>253688</v>
      </c>
      <c r="S835" s="13" t="n">
        <f aca="false">IFERROR(R835/R834-1,"")</f>
        <v>0.186017699942496</v>
      </c>
      <c r="T835" s="12" t="n">
        <v>185524</v>
      </c>
      <c r="U835" s="13" t="n">
        <f aca="false">IFERROR(T835/P835,"")</f>
        <v>0.788149129961936</v>
      </c>
      <c r="V835" s="14" t="n">
        <f aca="false">T835-AV835</f>
        <v>-2015775</v>
      </c>
      <c r="W835" s="14" t="n">
        <f aca="false">V835-AA835*0.1</f>
        <v>-2020375</v>
      </c>
      <c r="X835" s="12" t="n">
        <v>4788896</v>
      </c>
      <c r="Y835" s="12" t="n">
        <v>184240</v>
      </c>
      <c r="Z835" s="15" t="n">
        <f aca="false">IFERROR(X835/Y835,"")</f>
        <v>25.9927051671733</v>
      </c>
      <c r="AA835" s="12" t="n">
        <v>46000</v>
      </c>
      <c r="AB835" s="14" t="n">
        <f aca="false">W835-0.02*P835</f>
        <v>-2025082.84</v>
      </c>
      <c r="AC835" s="16" t="n">
        <v>60</v>
      </c>
      <c r="AD835" s="13" t="n">
        <f aca="false">IFERROR(AC835/AC834-1,"")</f>
        <v>0.25</v>
      </c>
      <c r="AE835" s="17" t="n">
        <v>0.045</v>
      </c>
      <c r="AF835" s="17" t="n">
        <v>0.049</v>
      </c>
      <c r="AG835" s="13" t="n">
        <f aca="false">1-AF835</f>
        <v>0.951</v>
      </c>
      <c r="AH835" s="17" t="n">
        <v>1.08</v>
      </c>
      <c r="AI835" s="12" t="n">
        <v>46176</v>
      </c>
      <c r="AJ835" s="14" t="n">
        <f aca="false">IFERROR(AM835*U835*MIN(1/AE835,5),"")</f>
        <v>92449.8929445351</v>
      </c>
      <c r="AK835" s="18" t="n">
        <f aca="false">IFERROR(AJ835/AI835,"")</f>
        <v>2.00211999620008</v>
      </c>
      <c r="AL835" s="15" t="n">
        <f aca="false">IFERROR(AI835/(AM835*U835/12),"")</f>
        <v>29.9682337291855</v>
      </c>
      <c r="AM835" s="12" t="n">
        <v>23460</v>
      </c>
      <c r="AN835" s="12" t="n">
        <v>347725</v>
      </c>
      <c r="AO835" s="12" t="n">
        <v>898205</v>
      </c>
      <c r="AP835" s="17" t="n">
        <v>0.265</v>
      </c>
      <c r="AQ835" s="16" t="n">
        <v>57</v>
      </c>
      <c r="AR835" s="16" t="n">
        <v>2</v>
      </c>
      <c r="AS835" s="13" t="n">
        <f aca="false">IFERROR(AR835/AR834-1,"")</f>
        <v>1</v>
      </c>
      <c r="AT835" s="11" t="s">
        <v>201</v>
      </c>
      <c r="AU835" s="14" t="n">
        <f aca="false">IFERROR(P835/AR835,"")</f>
        <v>117696</v>
      </c>
      <c r="AV835" s="12" t="n">
        <v>2201299</v>
      </c>
      <c r="AW835" s="12" t="n">
        <v>720060</v>
      </c>
      <c r="AX835" s="12" t="n">
        <v>588326</v>
      </c>
      <c r="AY835" s="16" t="n">
        <v>8967</v>
      </c>
      <c r="AZ835" s="13" t="n">
        <f aca="false">IFERROR(AY835/AY834-1,"")</f>
        <v>0.175383405426661</v>
      </c>
      <c r="BA835" s="17" t="n">
        <v>0.951</v>
      </c>
      <c r="BB835" s="11" t="s">
        <v>107</v>
      </c>
      <c r="BC835" s="11" t="s">
        <v>100</v>
      </c>
      <c r="BD835" s="11" t="s">
        <v>83</v>
      </c>
      <c r="BE835" s="12" t="n">
        <v>234804</v>
      </c>
      <c r="BF835" s="13" t="n">
        <f aca="false">IFERROR(P835/BE835-1,"")</f>
        <v>0.0025042162825164</v>
      </c>
      <c r="BG835" s="17" t="n">
        <v>-0.05</v>
      </c>
      <c r="BH835" s="17" t="n">
        <v>0.068</v>
      </c>
      <c r="BI835" s="14" t="n">
        <f aca="false">P835*(1+IFERROR(Q835,0))^4</f>
        <v>414576.278894226</v>
      </c>
      <c r="BJ835" s="12" t="n">
        <v>-1609310</v>
      </c>
      <c r="BK835" s="11" t="s">
        <v>102</v>
      </c>
      <c r="BL835" s="11" t="s">
        <v>162</v>
      </c>
      <c r="BM835" s="14" t="n">
        <f aca="false">O835</f>
        <v>21508761</v>
      </c>
      <c r="BN835" s="11" t="s">
        <v>785</v>
      </c>
      <c r="BO835" s="13" t="n">
        <f aca="false">IFERROR(1-L835/M835,"")</f>
        <v>0.100067223662729</v>
      </c>
      <c r="BP835" s="11" t="s">
        <v>198</v>
      </c>
      <c r="BQ835" s="12" t="n">
        <v>2854860</v>
      </c>
      <c r="BR835" s="11" t="s">
        <v>88</v>
      </c>
      <c r="BS835" s="11" t="s">
        <v>89</v>
      </c>
      <c r="BT835" s="19" t="str">
        <f aca="false">IF(OR(Z835&lt;6,AH835&lt;0.9,S835&lt;0.02,AK835&lt;1),"REVIEW",IF(AND(S835&gt;0.25,AH835&gt;1.2),"ACCELERATING","STABLE"))</f>
        <v>STABLE</v>
      </c>
    </row>
    <row r="836" customFormat="false" ht="15" hidden="false" customHeight="false" outlineLevel="0" collapsed="false">
      <c r="A836" s="11" t="s">
        <v>783</v>
      </c>
      <c r="B836" s="11" t="s">
        <v>92</v>
      </c>
      <c r="C836" s="11" t="s">
        <v>74</v>
      </c>
      <c r="D836" s="11" t="s">
        <v>95</v>
      </c>
      <c r="E836" s="11" t="s">
        <v>105</v>
      </c>
      <c r="F836" s="11" t="s">
        <v>784</v>
      </c>
      <c r="G836" s="11" t="s">
        <v>78</v>
      </c>
      <c r="H836" s="11" t="s">
        <v>644</v>
      </c>
      <c r="I836" s="11" t="s">
        <v>78</v>
      </c>
      <c r="J836" s="12" t="n">
        <v>1042000</v>
      </c>
      <c r="K836" s="13" t="n">
        <f aca="false">IFERROR(J836/M836,"")</f>
        <v>0.100067223662729</v>
      </c>
      <c r="L836" s="12" t="n">
        <v>9371000</v>
      </c>
      <c r="M836" s="14" t="n">
        <f aca="false">L836+J836</f>
        <v>10413000</v>
      </c>
      <c r="N836" s="12" t="n">
        <v>1711000</v>
      </c>
      <c r="O836" s="12" t="n">
        <v>21508761</v>
      </c>
      <c r="P836" s="12" t="n">
        <v>272371</v>
      </c>
      <c r="Q836" s="13" t="n">
        <f aca="false">IFERROR(P836/P835-1,"")</f>
        <v>0.157095398314301</v>
      </c>
      <c r="R836" s="12" t="n">
        <v>297842</v>
      </c>
      <c r="S836" s="13" t="n">
        <f aca="false">IFERROR(R836/R835-1,"")</f>
        <v>0.174048437450727</v>
      </c>
      <c r="T836" s="12" t="n">
        <v>215535</v>
      </c>
      <c r="U836" s="13" t="n">
        <f aca="false">IFERROR(T836/P836,"")</f>
        <v>0.791328739109523</v>
      </c>
      <c r="V836" s="14" t="n">
        <f aca="false">T836-AV836</f>
        <v>-1925305</v>
      </c>
      <c r="W836" s="14" t="n">
        <f aca="false">V836-AA836*0.1</f>
        <v>-1929905</v>
      </c>
      <c r="X836" s="12" t="n">
        <v>4307324</v>
      </c>
      <c r="Y836" s="12" t="n">
        <v>190120</v>
      </c>
      <c r="Z836" s="15" t="n">
        <f aca="false">IFERROR(X836/Y836,"")</f>
        <v>22.6558173784978</v>
      </c>
      <c r="AA836" s="12" t="n">
        <v>46000</v>
      </c>
      <c r="AB836" s="14" t="n">
        <f aca="false">W836-0.02*P836</f>
        <v>-1935352.42</v>
      </c>
      <c r="AC836" s="16" t="n">
        <v>67</v>
      </c>
      <c r="AD836" s="13" t="n">
        <f aca="false">IFERROR(AC836/AC835-1,"")</f>
        <v>0.116666666666667</v>
      </c>
      <c r="AE836" s="17" t="n">
        <v>0.043</v>
      </c>
      <c r="AF836" s="17" t="n">
        <v>0.038</v>
      </c>
      <c r="AG836" s="13" t="n">
        <f aca="false">1-AF836</f>
        <v>0.962</v>
      </c>
      <c r="AH836" s="17" t="n">
        <v>1.075</v>
      </c>
      <c r="AI836" s="12" t="n">
        <v>45288</v>
      </c>
      <c r="AJ836" s="14" t="n">
        <f aca="false">IFERROR(AM836*U836*MIN(1/AE836,5),"")</f>
        <v>94642.917197499</v>
      </c>
      <c r="AK836" s="18" t="n">
        <f aca="false">IFERROR(AJ836/AI836,"")</f>
        <v>2.08980120997834</v>
      </c>
      <c r="AL836" s="15" t="n">
        <f aca="false">IFERROR(AI836/(AM836*U836/12),"")</f>
        <v>28.7108648006869</v>
      </c>
      <c r="AM836" s="12" t="n">
        <v>23920</v>
      </c>
      <c r="AN836" s="12" t="n">
        <v>350139</v>
      </c>
      <c r="AO836" s="12" t="n">
        <v>849700</v>
      </c>
      <c r="AP836" s="17" t="n">
        <v>0.265</v>
      </c>
      <c r="AQ836" s="16" t="n">
        <v>57</v>
      </c>
      <c r="AR836" s="16" t="n">
        <v>2</v>
      </c>
      <c r="AS836" s="13" t="n">
        <f aca="false">IFERROR(AR836/AR835-1,"")</f>
        <v>0</v>
      </c>
      <c r="AT836" s="11" t="s">
        <v>201</v>
      </c>
      <c r="AU836" s="14" t="n">
        <f aca="false">IFERROR(P836/AR836,"")</f>
        <v>136185.5</v>
      </c>
      <c r="AV836" s="12" t="n">
        <v>2140840</v>
      </c>
      <c r="AW836" s="12" t="n">
        <v>667945</v>
      </c>
      <c r="AX836" s="12" t="n">
        <v>586648</v>
      </c>
      <c r="AY836" s="16" t="n">
        <v>9817</v>
      </c>
      <c r="AZ836" s="13" t="n">
        <f aca="false">IFERROR(AY836/AY835-1,"")</f>
        <v>0.0947920151667225</v>
      </c>
      <c r="BA836" s="17" t="n">
        <v>0.962</v>
      </c>
      <c r="BB836" s="11" t="s">
        <v>107</v>
      </c>
      <c r="BC836" s="11" t="s">
        <v>100</v>
      </c>
      <c r="BD836" s="11" t="s">
        <v>83</v>
      </c>
      <c r="BE836" s="12" t="n">
        <v>303377</v>
      </c>
      <c r="BF836" s="13" t="n">
        <f aca="false">IFERROR(P836/BE836-1,"")</f>
        <v>-0.10220286969678</v>
      </c>
      <c r="BG836" s="17" t="n">
        <v>0.014</v>
      </c>
      <c r="BH836" s="17" t="n">
        <v>-0.041</v>
      </c>
      <c r="BI836" s="14" t="n">
        <f aca="false">P836*(1+IFERROR(Q836,0))^4</f>
        <v>488244.692596419</v>
      </c>
      <c r="BJ836" s="12" t="n">
        <v>-1201651</v>
      </c>
      <c r="BK836" s="11" t="s">
        <v>102</v>
      </c>
      <c r="BL836" s="11" t="s">
        <v>162</v>
      </c>
      <c r="BM836" s="14" t="n">
        <f aca="false">O836</f>
        <v>21508761</v>
      </c>
      <c r="BN836" s="11" t="s">
        <v>785</v>
      </c>
      <c r="BO836" s="13" t="n">
        <f aca="false">IFERROR(1-L836/M836,"")</f>
        <v>0.100067223662729</v>
      </c>
      <c r="BP836" s="11" t="s">
        <v>198</v>
      </c>
      <c r="BQ836" s="12" t="n">
        <v>3774125</v>
      </c>
      <c r="BR836" s="11" t="s">
        <v>88</v>
      </c>
      <c r="BS836" s="11" t="s">
        <v>89</v>
      </c>
      <c r="BT836" s="19" t="str">
        <f aca="false">IF(OR(Z836&lt;6,AH836&lt;0.9,S836&lt;0.02,AK836&lt;1),"REVIEW",IF(AND(S836&gt;0.25,AH836&gt;1.2),"ACCELERATING","STABLE"))</f>
        <v>STABLE</v>
      </c>
    </row>
    <row r="837" customFormat="false" ht="15" hidden="false" customHeight="false" outlineLevel="0" collapsed="false">
      <c r="A837" s="11" t="s">
        <v>783</v>
      </c>
      <c r="B837" s="11" t="s">
        <v>93</v>
      </c>
      <c r="C837" s="11" t="s">
        <v>74</v>
      </c>
      <c r="D837" s="11" t="s">
        <v>95</v>
      </c>
      <c r="E837" s="11" t="s">
        <v>105</v>
      </c>
      <c r="F837" s="11" t="s">
        <v>784</v>
      </c>
      <c r="G837" s="11" t="s">
        <v>78</v>
      </c>
      <c r="H837" s="11" t="s">
        <v>644</v>
      </c>
      <c r="I837" s="11" t="s">
        <v>78</v>
      </c>
      <c r="J837" s="12" t="n">
        <v>1042000</v>
      </c>
      <c r="K837" s="13" t="n">
        <f aca="false">IFERROR(J837/M837,"")</f>
        <v>0.100067223662729</v>
      </c>
      <c r="L837" s="12" t="n">
        <v>9371000</v>
      </c>
      <c r="M837" s="14" t="n">
        <f aca="false">L837+J837</f>
        <v>10413000</v>
      </c>
      <c r="N837" s="12" t="n">
        <v>1711000</v>
      </c>
      <c r="O837" s="12" t="n">
        <v>21508761</v>
      </c>
      <c r="P837" s="12" t="n">
        <v>342544</v>
      </c>
      <c r="Q837" s="13" t="n">
        <f aca="false">IFERROR(P837/P836-1,"")</f>
        <v>0.257637560533243</v>
      </c>
      <c r="R837" s="12" t="n">
        <v>352654</v>
      </c>
      <c r="S837" s="13" t="n">
        <f aca="false">IFERROR(R837/R836-1,"")</f>
        <v>0.184030459102477</v>
      </c>
      <c r="T837" s="12" t="n">
        <v>272153</v>
      </c>
      <c r="U837" s="13" t="n">
        <f aca="false">IFERROR(T837/P837,"")</f>
        <v>0.79450523144472</v>
      </c>
      <c r="V837" s="14" t="n">
        <f aca="false">T837-AV837</f>
        <v>-2011012</v>
      </c>
      <c r="W837" s="14" t="n">
        <f aca="false">V837-AA837*0.1</f>
        <v>-2015612</v>
      </c>
      <c r="X837" s="12" t="n">
        <v>3794000</v>
      </c>
      <c r="Y837" s="12" t="n">
        <v>196000</v>
      </c>
      <c r="Z837" s="15" t="n">
        <f aca="false">IFERROR(X837/Y837,"")</f>
        <v>19.3571428571429</v>
      </c>
      <c r="AA837" s="12" t="n">
        <v>46000</v>
      </c>
      <c r="AB837" s="14" t="n">
        <f aca="false">W837-0.02*P837</f>
        <v>-2022462.88</v>
      </c>
      <c r="AC837" s="16" t="n">
        <v>75</v>
      </c>
      <c r="AD837" s="13" t="n">
        <f aca="false">IFERROR(AC837/AC836-1,"")</f>
        <v>0.119402985074627</v>
      </c>
      <c r="AE837" s="17" t="n">
        <v>0.042</v>
      </c>
      <c r="AF837" s="17" t="n">
        <v>0.027</v>
      </c>
      <c r="AG837" s="13" t="n">
        <f aca="false">1-AF837</f>
        <v>0.973</v>
      </c>
      <c r="AH837" s="17" t="n">
        <v>1.07</v>
      </c>
      <c r="AI837" s="12" t="n">
        <v>44400</v>
      </c>
      <c r="AJ837" s="14" t="n">
        <f aca="false">IFERROR(AM837*U837*MIN(1/AE837,5),"")</f>
        <v>96850.1877131113</v>
      </c>
      <c r="AK837" s="18" t="n">
        <f aca="false">IFERROR(AJ837/AI837,"")</f>
        <v>2.18131053407908</v>
      </c>
      <c r="AL837" s="15" t="n">
        <f aca="false">IFERROR(AI837/(AM837*U837/12),"")</f>
        <v>27.5063999658036</v>
      </c>
      <c r="AM837" s="12" t="n">
        <v>24380</v>
      </c>
      <c r="AN837" s="12" t="n">
        <v>460204</v>
      </c>
      <c r="AO837" s="12" t="n">
        <v>770067</v>
      </c>
      <c r="AP837" s="17" t="n">
        <v>0.265</v>
      </c>
      <c r="AQ837" s="16" t="n">
        <v>57</v>
      </c>
      <c r="AR837" s="16" t="n">
        <v>2</v>
      </c>
      <c r="AS837" s="13" t="n">
        <f aca="false">IFERROR(AR837/AR836-1,"")</f>
        <v>0</v>
      </c>
      <c r="AT837" s="11" t="s">
        <v>201</v>
      </c>
      <c r="AU837" s="14" t="n">
        <f aca="false">IFERROR(P837/AR837,"")</f>
        <v>171272</v>
      </c>
      <c r="AV837" s="12" t="n">
        <v>2283165</v>
      </c>
      <c r="AW837" s="12" t="n">
        <v>699116</v>
      </c>
      <c r="AX837" s="12" t="n">
        <v>464007</v>
      </c>
      <c r="AY837" s="16" t="n">
        <v>12202</v>
      </c>
      <c r="AZ837" s="13" t="n">
        <f aca="false">IFERROR(AY837/AY836-1,"")</f>
        <v>0.242945910155852</v>
      </c>
      <c r="BA837" s="17" t="n">
        <v>0.961</v>
      </c>
      <c r="BB837" s="11" t="s">
        <v>107</v>
      </c>
      <c r="BC837" s="11" t="s">
        <v>100</v>
      </c>
      <c r="BD837" s="11" t="s">
        <v>83</v>
      </c>
      <c r="BE837" s="12" t="n">
        <v>349614</v>
      </c>
      <c r="BF837" s="13" t="n">
        <f aca="false">IFERROR(P837/BE837-1,"")</f>
        <v>-0.0202223023105482</v>
      </c>
      <c r="BG837" s="17" t="n">
        <v>0.048</v>
      </c>
      <c r="BH837" s="17" t="n">
        <v>-0.021</v>
      </c>
      <c r="BI837" s="14" t="n">
        <f aca="false">P837*(1+IFERROR(Q837,0))^4</f>
        <v>856916.218923796</v>
      </c>
      <c r="BJ837" s="12" t="n">
        <v>-1539457</v>
      </c>
      <c r="BK837" s="11" t="s">
        <v>102</v>
      </c>
      <c r="BL837" s="11" t="s">
        <v>162</v>
      </c>
      <c r="BM837" s="14" t="n">
        <f aca="false">O837</f>
        <v>21508761</v>
      </c>
      <c r="BN837" s="11" t="s">
        <v>785</v>
      </c>
      <c r="BO837" s="13" t="n">
        <f aca="false">IFERROR(1-L837/M837,"")</f>
        <v>0.100067223662729</v>
      </c>
      <c r="BP837" s="11" t="s">
        <v>198</v>
      </c>
      <c r="BQ837" s="12" t="n">
        <v>3890960</v>
      </c>
      <c r="BR837" s="11" t="s">
        <v>88</v>
      </c>
      <c r="BS837" s="11" t="s">
        <v>89</v>
      </c>
      <c r="BT837" s="19" t="str">
        <f aca="false">IF(OR(Z837&lt;6,AH837&lt;0.9,S837&lt;0.02,AK837&lt;1),"REVIEW",IF(AND(S837&gt;0.25,AH837&gt;1.2),"ACCELERATING","STABLE"))</f>
        <v>STABLE</v>
      </c>
    </row>
    <row r="838" customFormat="false" ht="15" hidden="false" customHeight="false" outlineLevel="0" collapsed="false">
      <c r="A838" s="3" t="s">
        <v>786</v>
      </c>
      <c r="B838" s="3" t="s">
        <v>73</v>
      </c>
      <c r="C838" s="3" t="s">
        <v>74</v>
      </c>
      <c r="D838" s="3" t="s">
        <v>132</v>
      </c>
      <c r="E838" s="3" t="s">
        <v>105</v>
      </c>
      <c r="F838" s="3" t="s">
        <v>787</v>
      </c>
      <c r="G838" s="3" t="s">
        <v>78</v>
      </c>
      <c r="H838" s="3" t="s">
        <v>644</v>
      </c>
      <c r="I838" s="3" t="s">
        <v>78</v>
      </c>
      <c r="J838" s="4" t="n">
        <v>3395000</v>
      </c>
      <c r="K838" s="5" t="n">
        <f aca="false">IFERROR(J838/M838,"")</f>
        <v>0.145458440445587</v>
      </c>
      <c r="L838" s="4" t="n">
        <v>19945000</v>
      </c>
      <c r="M838" s="6" t="n">
        <f aca="false">L838+J838</f>
        <v>23340000</v>
      </c>
      <c r="N838" s="4" t="n">
        <v>3395000</v>
      </c>
      <c r="O838" s="4" t="n">
        <v>24123843</v>
      </c>
      <c r="P838" s="4" t="n">
        <v>726653</v>
      </c>
      <c r="Q838" s="7"/>
      <c r="R838" s="4" t="n">
        <v>822470</v>
      </c>
      <c r="S838" s="7"/>
      <c r="T838" s="4" t="n">
        <v>433901</v>
      </c>
      <c r="U838" s="5" t="n">
        <f aca="false">IFERROR(T838/P838,"")</f>
        <v>0.597122698179186</v>
      </c>
      <c r="V838" s="6" t="n">
        <f aca="false">T838-AV838</f>
        <v>-1065669</v>
      </c>
      <c r="W838" s="6" t="n">
        <f aca="false">V838-AA838*0.1</f>
        <v>-1065669</v>
      </c>
      <c r="X838" s="4" t="n">
        <v>2217665</v>
      </c>
      <c r="Y838" s="4" t="n">
        <v>104650</v>
      </c>
      <c r="Z838" s="8" t="n">
        <f aca="false">IFERROR(X838/Y838,"")</f>
        <v>21.1912565695174</v>
      </c>
      <c r="AA838" s="4" t="n">
        <v>0</v>
      </c>
      <c r="AB838" s="6" t="n">
        <f aca="false">W838-0.02*P838</f>
        <v>-1080202.06</v>
      </c>
      <c r="AC838" s="9" t="n">
        <v>16</v>
      </c>
      <c r="AD838" s="7"/>
      <c r="AE838" s="7" t="n">
        <v>0.109</v>
      </c>
      <c r="AF838" s="7" t="n">
        <v>0.079</v>
      </c>
      <c r="AG838" s="5" t="n">
        <f aca="false">1-AF838</f>
        <v>0.921</v>
      </c>
      <c r="AH838" s="7" t="n">
        <v>1.048</v>
      </c>
      <c r="AI838" s="4" t="n">
        <v>49396</v>
      </c>
      <c r="AJ838" s="6" t="n">
        <f aca="false">IFERROR(AM838*U838*MIN(1/AE838,5),"")</f>
        <v>152266.288035692</v>
      </c>
      <c r="AK838" s="10" t="n">
        <f aca="false">IFERROR(AJ838/AI838,"")</f>
        <v>3.08256312324262</v>
      </c>
      <c r="AL838" s="8" t="n">
        <f aca="false">IFERROR(AI838/(AM838*U838/12),"")</f>
        <v>19.4643216054841</v>
      </c>
      <c r="AM838" s="4" t="n">
        <v>51000</v>
      </c>
      <c r="AN838" s="4" t="n">
        <v>777364</v>
      </c>
      <c r="AO838" s="4" t="n">
        <v>2256435</v>
      </c>
      <c r="AP838" s="7" t="n">
        <v>0.313</v>
      </c>
      <c r="AQ838" s="9" t="n">
        <v>31</v>
      </c>
      <c r="AR838" s="9" t="n">
        <v>1</v>
      </c>
      <c r="AS838" s="7"/>
      <c r="AT838" s="3" t="s">
        <v>218</v>
      </c>
      <c r="AU838" s="6" t="n">
        <f aca="false">IFERROR(P838/AR838,"")</f>
        <v>726653</v>
      </c>
      <c r="AV838" s="4" t="n">
        <v>1499570</v>
      </c>
      <c r="AW838" s="4" t="n">
        <v>576264</v>
      </c>
      <c r="AX838" s="4" t="n">
        <v>406647</v>
      </c>
      <c r="AY838" s="9" t="n">
        <v>10666</v>
      </c>
      <c r="AZ838" s="7"/>
      <c r="BA838" s="7" t="n">
        <v>0.887</v>
      </c>
      <c r="BB838" s="3" t="s">
        <v>99</v>
      </c>
      <c r="BC838" s="3" t="s">
        <v>126</v>
      </c>
      <c r="BD838" s="3" t="s">
        <v>109</v>
      </c>
      <c r="BE838" s="4" t="n">
        <v>843482</v>
      </c>
      <c r="BF838" s="5" t="n">
        <f aca="false">IFERROR(P838/BE838-1,"")</f>
        <v>-0.138507994242912</v>
      </c>
      <c r="BG838" s="7" t="n">
        <v>0.025</v>
      </c>
      <c r="BH838" s="7" t="n">
        <v>0.095</v>
      </c>
      <c r="BI838" s="6" t="n">
        <f aca="false">P838</f>
        <v>726653</v>
      </c>
      <c r="BJ838" s="4" t="n">
        <v>-846037</v>
      </c>
      <c r="BK838" s="3" t="s">
        <v>110</v>
      </c>
      <c r="BL838" s="3" t="s">
        <v>85</v>
      </c>
      <c r="BM838" s="6" t="n">
        <f aca="false">O838</f>
        <v>24123843</v>
      </c>
      <c r="BN838" s="3" t="s">
        <v>788</v>
      </c>
      <c r="BO838" s="5" t="n">
        <f aca="false">IFERROR(1-L838/M838,"")</f>
        <v>0.145458440445587</v>
      </c>
      <c r="BP838" s="3" t="s">
        <v>142</v>
      </c>
      <c r="BQ838" s="4" t="n">
        <v>1272860</v>
      </c>
      <c r="BR838" s="3" t="s">
        <v>695</v>
      </c>
      <c r="BS838" s="3" t="s">
        <v>89</v>
      </c>
      <c r="BT838" s="3" t="s">
        <v>90</v>
      </c>
    </row>
    <row r="839" customFormat="false" ht="15" hidden="false" customHeight="false" outlineLevel="0" collapsed="false">
      <c r="A839" s="11" t="s">
        <v>786</v>
      </c>
      <c r="B839" s="11" t="s">
        <v>91</v>
      </c>
      <c r="C839" s="11" t="s">
        <v>74</v>
      </c>
      <c r="D839" s="11" t="s">
        <v>132</v>
      </c>
      <c r="E839" s="11" t="s">
        <v>105</v>
      </c>
      <c r="F839" s="11" t="s">
        <v>787</v>
      </c>
      <c r="G839" s="11" t="s">
        <v>78</v>
      </c>
      <c r="H839" s="11" t="s">
        <v>644</v>
      </c>
      <c r="I839" s="11" t="s">
        <v>78</v>
      </c>
      <c r="J839" s="12" t="n">
        <v>3395000</v>
      </c>
      <c r="K839" s="13" t="n">
        <f aca="false">IFERROR(J839/M839,"")</f>
        <v>0.145458440445587</v>
      </c>
      <c r="L839" s="12" t="n">
        <v>19945000</v>
      </c>
      <c r="M839" s="14" t="n">
        <f aca="false">L839+J839</f>
        <v>23340000</v>
      </c>
      <c r="N839" s="12" t="n">
        <v>3395000</v>
      </c>
      <c r="O839" s="12" t="n">
        <v>24123843</v>
      </c>
      <c r="P839" s="12" t="n">
        <v>842057</v>
      </c>
      <c r="Q839" s="13" t="n">
        <f aca="false">IFERROR(P839/P838-1,"")</f>
        <v>0.15881583093994</v>
      </c>
      <c r="R839" s="12" t="n">
        <v>1025598</v>
      </c>
      <c r="S839" s="13" t="n">
        <f aca="false">IFERROR(R839/R838-1,"")</f>
        <v>0.246973141877515</v>
      </c>
      <c r="T839" s="12" t="n">
        <v>504847</v>
      </c>
      <c r="U839" s="13" t="n">
        <f aca="false">IFERROR(T839/P839,"")</f>
        <v>0.599540173646202</v>
      </c>
      <c r="V839" s="14" t="n">
        <f aca="false">T839-AV839</f>
        <v>-1017362</v>
      </c>
      <c r="W839" s="14" t="n">
        <f aca="false">V839-AA839*0.1</f>
        <v>-1017362</v>
      </c>
      <c r="X839" s="12" t="n">
        <v>1953740</v>
      </c>
      <c r="Y839" s="12" t="n">
        <v>108100</v>
      </c>
      <c r="Z839" s="15" t="n">
        <f aca="false">IFERROR(X839/Y839,"")</f>
        <v>18.0734505087882</v>
      </c>
      <c r="AA839" s="12" t="n">
        <v>0</v>
      </c>
      <c r="AB839" s="14" t="n">
        <f aca="false">W839-0.02*P839</f>
        <v>-1034203.14</v>
      </c>
      <c r="AC839" s="16" t="n">
        <v>19</v>
      </c>
      <c r="AD839" s="13" t="n">
        <f aca="false">IFERROR(AC839/AC838-1,"")</f>
        <v>0.1875</v>
      </c>
      <c r="AE839" s="17" t="n">
        <v>0.106</v>
      </c>
      <c r="AF839" s="17" t="n">
        <v>0.107</v>
      </c>
      <c r="AG839" s="13" t="n">
        <f aca="false">1-AF839</f>
        <v>0.893</v>
      </c>
      <c r="AH839" s="17" t="n">
        <v>1.043</v>
      </c>
      <c r="AI839" s="12" t="n">
        <v>48464</v>
      </c>
      <c r="AJ839" s="14" t="n">
        <f aca="false">IFERROR(AM839*U839*MIN(1/AE839,5),"")</f>
        <v>155940.399165377</v>
      </c>
      <c r="AK839" s="18" t="n">
        <f aca="false">IFERROR(AJ839/AI839,"")</f>
        <v>3.21765432414529</v>
      </c>
      <c r="AL839" s="15" t="n">
        <f aca="false">IFERROR(AI839/(AM839*U839/12),"")</f>
        <v>18.647124257494</v>
      </c>
      <c r="AM839" s="12" t="n">
        <v>52020</v>
      </c>
      <c r="AN839" s="12" t="n">
        <v>1016931</v>
      </c>
      <c r="AO839" s="12" t="n">
        <v>3867457</v>
      </c>
      <c r="AP839" s="17" t="n">
        <v>0.313</v>
      </c>
      <c r="AQ839" s="16" t="n">
        <v>31</v>
      </c>
      <c r="AR839" s="16" t="n">
        <v>2</v>
      </c>
      <c r="AS839" s="13" t="n">
        <f aca="false">IFERROR(AR839/AR838-1,"")</f>
        <v>1</v>
      </c>
      <c r="AT839" s="11" t="s">
        <v>218</v>
      </c>
      <c r="AU839" s="14" t="n">
        <f aca="false">IFERROR(P839/AR839,"")</f>
        <v>421028.5</v>
      </c>
      <c r="AV839" s="12" t="n">
        <v>1522209</v>
      </c>
      <c r="AW839" s="12" t="n">
        <v>720998</v>
      </c>
      <c r="AX839" s="12" t="n">
        <v>505047</v>
      </c>
      <c r="AY839" s="16" t="n">
        <v>12431</v>
      </c>
      <c r="AZ839" s="13" t="n">
        <f aca="false">IFERROR(AY839/AY838-1,"")</f>
        <v>0.165479092443278</v>
      </c>
      <c r="BA839" s="17" t="n">
        <v>0.91</v>
      </c>
      <c r="BB839" s="11" t="s">
        <v>99</v>
      </c>
      <c r="BC839" s="11" t="s">
        <v>126</v>
      </c>
      <c r="BD839" s="11" t="s">
        <v>109</v>
      </c>
      <c r="BE839" s="12" t="n">
        <v>936223</v>
      </c>
      <c r="BF839" s="13" t="n">
        <f aca="false">IFERROR(P839/BE839-1,"")</f>
        <v>-0.100580737708858</v>
      </c>
      <c r="BG839" s="17" t="n">
        <v>0.046</v>
      </c>
      <c r="BH839" s="17" t="n">
        <v>0.075</v>
      </c>
      <c r="BI839" s="14" t="n">
        <f aca="false">P839*(1+IFERROR(Q839,0))^4</f>
        <v>1518445.36031864</v>
      </c>
      <c r="BJ839" s="12" t="n">
        <v>-1076425</v>
      </c>
      <c r="BK839" s="11" t="s">
        <v>110</v>
      </c>
      <c r="BL839" s="11" t="s">
        <v>85</v>
      </c>
      <c r="BM839" s="14" t="n">
        <f aca="false">O839</f>
        <v>24123843</v>
      </c>
      <c r="BN839" s="11" t="s">
        <v>788</v>
      </c>
      <c r="BO839" s="13" t="n">
        <f aca="false">IFERROR(1-L839/M839,"")</f>
        <v>0.145458440445587</v>
      </c>
      <c r="BP839" s="11" t="s">
        <v>142</v>
      </c>
      <c r="BQ839" s="12" t="n">
        <v>2058721</v>
      </c>
      <c r="BR839" s="11" t="s">
        <v>695</v>
      </c>
      <c r="BS839" s="11" t="s">
        <v>89</v>
      </c>
      <c r="BT839" s="19" t="str">
        <f aca="false">IF(OR(Z839&lt;6,AH839&lt;0.9,S839&lt;0.02,AK839&lt;1),"REVIEW",IF(AND(S839&gt;0.25,AH839&gt;1.2),"ACCELERATING","STABLE"))</f>
        <v>STABLE</v>
      </c>
    </row>
    <row r="840" customFormat="false" ht="15" hidden="false" customHeight="false" outlineLevel="0" collapsed="false">
      <c r="A840" s="11" t="s">
        <v>786</v>
      </c>
      <c r="B840" s="11" t="s">
        <v>92</v>
      </c>
      <c r="C840" s="11" t="s">
        <v>74</v>
      </c>
      <c r="D840" s="11" t="s">
        <v>132</v>
      </c>
      <c r="E840" s="11" t="s">
        <v>105</v>
      </c>
      <c r="F840" s="11" t="s">
        <v>787</v>
      </c>
      <c r="G840" s="11" t="s">
        <v>78</v>
      </c>
      <c r="H840" s="11" t="s">
        <v>644</v>
      </c>
      <c r="I840" s="11" t="s">
        <v>78</v>
      </c>
      <c r="J840" s="12" t="n">
        <v>3395000</v>
      </c>
      <c r="K840" s="13" t="n">
        <f aca="false">IFERROR(J840/M840,"")</f>
        <v>0.145458440445587</v>
      </c>
      <c r="L840" s="12" t="n">
        <v>19945000</v>
      </c>
      <c r="M840" s="14" t="n">
        <f aca="false">L840+J840</f>
        <v>23340000</v>
      </c>
      <c r="N840" s="12" t="n">
        <v>3395000</v>
      </c>
      <c r="O840" s="12" t="n">
        <v>24123843</v>
      </c>
      <c r="P840" s="12" t="n">
        <v>1066680</v>
      </c>
      <c r="Q840" s="13" t="n">
        <f aca="false">IFERROR(P840/P839-1,"")</f>
        <v>0.26675510090172</v>
      </c>
      <c r="R840" s="12" t="n">
        <v>1218653</v>
      </c>
      <c r="S840" s="13" t="n">
        <f aca="false">IFERROR(R840/R839-1,"")</f>
        <v>0.188236521522078</v>
      </c>
      <c r="T840" s="12" t="n">
        <v>642097</v>
      </c>
      <c r="U840" s="13" t="n">
        <f aca="false">IFERROR(T840/P840,"")</f>
        <v>0.601958413019837</v>
      </c>
      <c r="V840" s="14" t="n">
        <f aca="false">T840-AV840</f>
        <v>-1005405</v>
      </c>
      <c r="W840" s="14" t="n">
        <f aca="false">V840-AA840*0.1</f>
        <v>-1005405</v>
      </c>
      <c r="X840" s="12" t="n">
        <v>1671185</v>
      </c>
      <c r="Y840" s="12" t="n">
        <v>111550</v>
      </c>
      <c r="Z840" s="15" t="n">
        <f aca="false">IFERROR(X840/Y840,"")</f>
        <v>14.9814881219184</v>
      </c>
      <c r="AA840" s="12" t="n">
        <v>0</v>
      </c>
      <c r="AB840" s="14" t="n">
        <f aca="false">W840-0.02*P840</f>
        <v>-1026738.6</v>
      </c>
      <c r="AC840" s="16" t="n">
        <v>21</v>
      </c>
      <c r="AD840" s="13" t="n">
        <f aca="false">IFERROR(AC840/AC839-1,"")</f>
        <v>0.105263157894737</v>
      </c>
      <c r="AE840" s="17" t="n">
        <v>0.103</v>
      </c>
      <c r="AF840" s="17" t="n">
        <v>0.109</v>
      </c>
      <c r="AG840" s="13" t="n">
        <f aca="false">1-AF840</f>
        <v>0.891</v>
      </c>
      <c r="AH840" s="17" t="n">
        <v>1.038</v>
      </c>
      <c r="AI840" s="12" t="n">
        <v>47532</v>
      </c>
      <c r="AJ840" s="14" t="n">
        <f aca="false">IFERROR(AM840*U840*MIN(1/AE840,5),"")</f>
        <v>159639.371132861</v>
      </c>
      <c r="AK840" s="18" t="n">
        <f aca="false">IFERROR(AJ840/AI840,"")</f>
        <v>3.35856625290038</v>
      </c>
      <c r="AL840" s="15" t="n">
        <f aca="false">IFERROR(AI840/(AM840*U840/12),"")</f>
        <v>17.8647659393902</v>
      </c>
      <c r="AM840" s="12" t="n">
        <v>53040</v>
      </c>
      <c r="AN840" s="12" t="n">
        <v>1324128</v>
      </c>
      <c r="AO840" s="12" t="n">
        <v>4309533</v>
      </c>
      <c r="AP840" s="17" t="n">
        <v>0.313</v>
      </c>
      <c r="AQ840" s="16" t="n">
        <v>31</v>
      </c>
      <c r="AR840" s="16" t="n">
        <v>2</v>
      </c>
      <c r="AS840" s="13" t="n">
        <f aca="false">IFERROR(AR840/AR839-1,"")</f>
        <v>0</v>
      </c>
      <c r="AT840" s="11" t="s">
        <v>218</v>
      </c>
      <c r="AU840" s="14" t="n">
        <f aca="false">IFERROR(P840/AR840,"")</f>
        <v>533340</v>
      </c>
      <c r="AV840" s="12" t="n">
        <v>1647502</v>
      </c>
      <c r="AW840" s="12" t="n">
        <v>702813</v>
      </c>
      <c r="AX840" s="12" t="n">
        <v>424358</v>
      </c>
      <c r="AY840" s="16" t="n">
        <v>15097</v>
      </c>
      <c r="AZ840" s="13" t="n">
        <f aca="false">IFERROR(AY840/AY839-1,"")</f>
        <v>0.214463840399002</v>
      </c>
      <c r="BA840" s="17" t="n">
        <v>0.891</v>
      </c>
      <c r="BB840" s="11" t="s">
        <v>99</v>
      </c>
      <c r="BC840" s="11" t="s">
        <v>126</v>
      </c>
      <c r="BD840" s="11" t="s">
        <v>109</v>
      </c>
      <c r="BE840" s="12" t="n">
        <v>973745</v>
      </c>
      <c r="BF840" s="13" t="n">
        <f aca="false">IFERROR(P840/BE840-1,"")</f>
        <v>0.0954407981555747</v>
      </c>
      <c r="BG840" s="17" t="n">
        <v>0.084</v>
      </c>
      <c r="BH840" s="17" t="n">
        <v>0.061</v>
      </c>
      <c r="BI840" s="14" t="n">
        <f aca="false">P840*(1+IFERROR(Q840,0))^4</f>
        <v>2746659.34494284</v>
      </c>
      <c r="BJ840" s="12" t="n">
        <v>-1223873</v>
      </c>
      <c r="BK840" s="11" t="s">
        <v>110</v>
      </c>
      <c r="BL840" s="11" t="s">
        <v>85</v>
      </c>
      <c r="BM840" s="14" t="n">
        <f aca="false">O840</f>
        <v>24123843</v>
      </c>
      <c r="BN840" s="11" t="s">
        <v>788</v>
      </c>
      <c r="BO840" s="13" t="n">
        <f aca="false">IFERROR(1-L840/M840,"")</f>
        <v>0.145458440445587</v>
      </c>
      <c r="BP840" s="11" t="s">
        <v>142</v>
      </c>
      <c r="BQ840" s="12" t="n">
        <v>1828456</v>
      </c>
      <c r="BR840" s="11" t="s">
        <v>695</v>
      </c>
      <c r="BS840" s="11" t="s">
        <v>89</v>
      </c>
      <c r="BT840" s="19" t="str">
        <f aca="false">IF(OR(Z840&lt;6,AH840&lt;0.9,S840&lt;0.02,AK840&lt;1),"REVIEW",IF(AND(S840&gt;0.25,AH840&gt;1.2),"ACCELERATING","STABLE"))</f>
        <v>STABLE</v>
      </c>
    </row>
    <row r="841" customFormat="false" ht="15" hidden="false" customHeight="false" outlineLevel="0" collapsed="false">
      <c r="A841" s="11" t="s">
        <v>786</v>
      </c>
      <c r="B841" s="11" t="s">
        <v>93</v>
      </c>
      <c r="C841" s="11" t="s">
        <v>74</v>
      </c>
      <c r="D841" s="11" t="s">
        <v>132</v>
      </c>
      <c r="E841" s="11" t="s">
        <v>105</v>
      </c>
      <c r="F841" s="11" t="s">
        <v>787</v>
      </c>
      <c r="G841" s="11" t="s">
        <v>78</v>
      </c>
      <c r="H841" s="11" t="s">
        <v>644</v>
      </c>
      <c r="I841" s="11" t="s">
        <v>78</v>
      </c>
      <c r="J841" s="12" t="n">
        <v>3395000</v>
      </c>
      <c r="K841" s="13" t="n">
        <f aca="false">IFERROR(J841/M841,"")</f>
        <v>0.145458440445587</v>
      </c>
      <c r="L841" s="12" t="n">
        <v>19945000</v>
      </c>
      <c r="M841" s="14" t="n">
        <f aca="false">L841+J841</f>
        <v>23340000</v>
      </c>
      <c r="N841" s="12" t="n">
        <v>3395000</v>
      </c>
      <c r="O841" s="12" t="n">
        <v>24123843</v>
      </c>
      <c r="P841" s="12" t="n">
        <v>1217806</v>
      </c>
      <c r="Q841" s="13" t="n">
        <f aca="false">IFERROR(P841/P840-1,"")</f>
        <v>0.141678854014325</v>
      </c>
      <c r="R841" s="12" t="n">
        <v>1421844</v>
      </c>
      <c r="S841" s="13" t="n">
        <f aca="false">IFERROR(R841/R840-1,"")</f>
        <v>0.166734090836358</v>
      </c>
      <c r="T841" s="12" t="n">
        <v>736012</v>
      </c>
      <c r="U841" s="13" t="n">
        <f aca="false">IFERROR(T841/P841,"")</f>
        <v>0.60437540954799</v>
      </c>
      <c r="V841" s="14" t="n">
        <f aca="false">T841-AV841</f>
        <v>-1156597</v>
      </c>
      <c r="W841" s="14" t="n">
        <f aca="false">V841-AA841*0.1</f>
        <v>-1156597</v>
      </c>
      <c r="X841" s="12" t="n">
        <v>1370000</v>
      </c>
      <c r="Y841" s="12" t="n">
        <v>115000</v>
      </c>
      <c r="Z841" s="15" t="n">
        <f aca="false">IFERROR(X841/Y841,"")</f>
        <v>11.9130434782609</v>
      </c>
      <c r="AA841" s="12" t="n">
        <v>0</v>
      </c>
      <c r="AB841" s="14" t="n">
        <f aca="false">W841-0.02*P841</f>
        <v>-1180953.12</v>
      </c>
      <c r="AC841" s="16" t="n">
        <v>26</v>
      </c>
      <c r="AD841" s="13" t="n">
        <f aca="false">IFERROR(AC841/AC840-1,"")</f>
        <v>0.238095238095238</v>
      </c>
      <c r="AE841" s="17" t="n">
        <v>0.1</v>
      </c>
      <c r="AF841" s="17" t="n">
        <v>0.109</v>
      </c>
      <c r="AG841" s="13" t="n">
        <f aca="false">1-AF841</f>
        <v>0.891</v>
      </c>
      <c r="AH841" s="17" t="n">
        <v>1.033</v>
      </c>
      <c r="AI841" s="12" t="n">
        <v>46600</v>
      </c>
      <c r="AJ841" s="14" t="n">
        <f aca="false">IFERROR(AM841*U841*MIN(1/AE841,5),"")</f>
        <v>163362.673200822</v>
      </c>
      <c r="AK841" s="18" t="n">
        <f aca="false">IFERROR(AJ841/AI841,"")</f>
        <v>3.50563676396613</v>
      </c>
      <c r="AL841" s="15" t="n">
        <f aca="false">IFERROR(AI841/(AM841*U841/12),"")</f>
        <v>17.1152928953536</v>
      </c>
      <c r="AM841" s="12" t="n">
        <v>54060</v>
      </c>
      <c r="AN841" s="12" t="n">
        <v>2067748</v>
      </c>
      <c r="AO841" s="12" t="n">
        <v>4328954</v>
      </c>
      <c r="AP841" s="17" t="n">
        <v>0.313</v>
      </c>
      <c r="AQ841" s="16" t="n">
        <v>31</v>
      </c>
      <c r="AR841" s="16" t="n">
        <v>2</v>
      </c>
      <c r="AS841" s="13" t="n">
        <f aca="false">IFERROR(AR841/AR840-1,"")</f>
        <v>0</v>
      </c>
      <c r="AT841" s="11" t="s">
        <v>218</v>
      </c>
      <c r="AU841" s="14" t="n">
        <f aca="false">IFERROR(P841/AR841,"")</f>
        <v>608903</v>
      </c>
      <c r="AV841" s="12" t="n">
        <v>1892609</v>
      </c>
      <c r="AW841" s="12" t="n">
        <v>904462</v>
      </c>
      <c r="AX841" s="12" t="n">
        <v>639353</v>
      </c>
      <c r="AY841" s="16" t="n">
        <v>18553</v>
      </c>
      <c r="AZ841" s="13" t="n">
        <f aca="false">IFERROR(AY841/AY840-1,"")</f>
        <v>0.228919652911174</v>
      </c>
      <c r="BA841" s="17" t="n">
        <v>0.913</v>
      </c>
      <c r="BB841" s="11" t="s">
        <v>99</v>
      </c>
      <c r="BC841" s="11" t="s">
        <v>126</v>
      </c>
      <c r="BD841" s="11" t="s">
        <v>109</v>
      </c>
      <c r="BE841" s="12" t="n">
        <v>1407311</v>
      </c>
      <c r="BF841" s="13" t="n">
        <f aca="false">IFERROR(P841/BE841-1,"")</f>
        <v>-0.13465751351336</v>
      </c>
      <c r="BG841" s="17" t="n">
        <v>0.086</v>
      </c>
      <c r="BH841" s="17" t="n">
        <v>0.027</v>
      </c>
      <c r="BI841" s="14" t="n">
        <f aca="false">P841*(1+IFERROR(Q841,0))^4</f>
        <v>2068968.7841706</v>
      </c>
      <c r="BJ841" s="12" t="n">
        <v>-1022089</v>
      </c>
      <c r="BK841" s="11" t="s">
        <v>110</v>
      </c>
      <c r="BL841" s="11" t="s">
        <v>85</v>
      </c>
      <c r="BM841" s="14" t="n">
        <f aca="false">O841</f>
        <v>24123843</v>
      </c>
      <c r="BN841" s="11" t="s">
        <v>788</v>
      </c>
      <c r="BO841" s="13" t="n">
        <f aca="false">IFERROR(1-L841/M841,"")</f>
        <v>0.145458440445587</v>
      </c>
      <c r="BP841" s="11" t="s">
        <v>142</v>
      </c>
      <c r="BQ841" s="12" t="n">
        <v>1585622</v>
      </c>
      <c r="BR841" s="11" t="s">
        <v>695</v>
      </c>
      <c r="BS841" s="11" t="s">
        <v>89</v>
      </c>
      <c r="BT841" s="19" t="str">
        <f aca="false">IF(OR(Z841&lt;6,AH841&lt;0.9,S841&lt;0.02,AK841&lt;1),"REVIEW",IF(AND(S841&gt;0.25,AH841&gt;1.2),"ACCELERATING","STABLE"))</f>
        <v>STABLE</v>
      </c>
    </row>
    <row r="842" customFormat="false" ht="15" hidden="false" customHeight="false" outlineLevel="0" collapsed="false">
      <c r="A842" s="3" t="s">
        <v>789</v>
      </c>
      <c r="B842" s="3" t="s">
        <v>73</v>
      </c>
      <c r="C842" s="3" t="s">
        <v>74</v>
      </c>
      <c r="D842" s="3" t="s">
        <v>95</v>
      </c>
      <c r="E842" s="3" t="s">
        <v>105</v>
      </c>
      <c r="F842" s="3" t="s">
        <v>790</v>
      </c>
      <c r="G842" s="3" t="s">
        <v>78</v>
      </c>
      <c r="H842" s="3" t="s">
        <v>644</v>
      </c>
      <c r="I842" s="3" t="s">
        <v>78</v>
      </c>
      <c r="J842" s="4" t="n">
        <v>4214000</v>
      </c>
      <c r="K842" s="5" t="n">
        <f aca="false">IFERROR(J842/M842,"")</f>
        <v>0.148031053500545</v>
      </c>
      <c r="L842" s="4" t="n">
        <v>24253000</v>
      </c>
      <c r="M842" s="6" t="n">
        <f aca="false">L842+J842</f>
        <v>28467000</v>
      </c>
      <c r="N842" s="4" t="n">
        <v>5435000</v>
      </c>
      <c r="O842" s="4" t="n">
        <v>39218882</v>
      </c>
      <c r="P842" s="4" t="n">
        <v>275972</v>
      </c>
      <c r="Q842" s="7"/>
      <c r="R842" s="4" t="n">
        <v>321748</v>
      </c>
      <c r="S842" s="7"/>
      <c r="T842" s="4" t="n">
        <v>222220</v>
      </c>
      <c r="U842" s="5" t="n">
        <f aca="false">IFERROR(T842/P842,"")</f>
        <v>0.805226617193049</v>
      </c>
      <c r="V842" s="6" t="n">
        <f aca="false">T842-AV842</f>
        <v>-1802998</v>
      </c>
      <c r="W842" s="6" t="n">
        <f aca="false">V842-AA842*0.1</f>
        <v>-1921698</v>
      </c>
      <c r="X842" s="4" t="n">
        <v>1300250</v>
      </c>
      <c r="Y842" s="4" t="n">
        <v>153790</v>
      </c>
      <c r="Z842" s="8" t="n">
        <f aca="false">IFERROR(X842/Y842,"")</f>
        <v>8.45471096950387</v>
      </c>
      <c r="AA842" s="4" t="n">
        <v>1187000</v>
      </c>
      <c r="AB842" s="6" t="n">
        <f aca="false">W842-0.02*P842</f>
        <v>-1927217.44</v>
      </c>
      <c r="AC842" s="9" t="n">
        <v>32</v>
      </c>
      <c r="AD842" s="7"/>
      <c r="AE842" s="7" t="n">
        <v>0.052</v>
      </c>
      <c r="AF842" s="7" t="n">
        <v>0.035</v>
      </c>
      <c r="AG842" s="5" t="n">
        <f aca="false">1-AF842</f>
        <v>0.965</v>
      </c>
      <c r="AH842" s="7" t="n">
        <v>1.306</v>
      </c>
      <c r="AI842" s="4" t="n">
        <v>50456</v>
      </c>
      <c r="AJ842" s="6" t="n">
        <f aca="false">IFERROR(AM842*U842*MIN(1/AE842,5),"")</f>
        <v>217411.186642123</v>
      </c>
      <c r="AK842" s="10" t="n">
        <f aca="false">IFERROR(AJ842/AI842,"")</f>
        <v>4.30892632476065</v>
      </c>
      <c r="AL842" s="8" t="n">
        <f aca="false">IFERROR(AI842/(AM842*U842/12),"")</f>
        <v>13.9245824778248</v>
      </c>
      <c r="AM842" s="4" t="n">
        <v>54000</v>
      </c>
      <c r="AN842" s="4" t="n">
        <v>429858</v>
      </c>
      <c r="AO842" s="4" t="n">
        <v>1232027</v>
      </c>
      <c r="AP842" s="7" t="n">
        <v>0.136</v>
      </c>
      <c r="AQ842" s="9" t="n">
        <v>65</v>
      </c>
      <c r="AR842" s="9" t="n">
        <v>1</v>
      </c>
      <c r="AS842" s="7"/>
      <c r="AT842" s="3" t="s">
        <v>134</v>
      </c>
      <c r="AU842" s="6" t="n">
        <f aca="false">IFERROR(P842/AR842,"")</f>
        <v>275972</v>
      </c>
      <c r="AV842" s="4" t="n">
        <v>2025218</v>
      </c>
      <c r="AW842" s="4" t="n">
        <v>925362</v>
      </c>
      <c r="AX842" s="4" t="n">
        <v>411409</v>
      </c>
      <c r="AY842" s="9" t="n">
        <v>4351</v>
      </c>
      <c r="AZ842" s="7"/>
      <c r="BA842" s="7" t="n">
        <v>0.957</v>
      </c>
      <c r="BB842" s="3" t="s">
        <v>161</v>
      </c>
      <c r="BC842" s="3" t="s">
        <v>100</v>
      </c>
      <c r="BD842" s="3" t="s">
        <v>109</v>
      </c>
      <c r="BE842" s="4" t="n">
        <v>253553</v>
      </c>
      <c r="BF842" s="5" t="n">
        <f aca="false">IFERROR(P842/BE842-1,"")</f>
        <v>0.0884193837185914</v>
      </c>
      <c r="BG842" s="7" t="n">
        <v>0.069</v>
      </c>
      <c r="BH842" s="7" t="n">
        <v>0.044</v>
      </c>
      <c r="BI842" s="6" t="n">
        <f aca="false">P842</f>
        <v>275972</v>
      </c>
      <c r="BJ842" s="4" t="n">
        <v>-1679657</v>
      </c>
      <c r="BK842" s="3" t="s">
        <v>127</v>
      </c>
      <c r="BL842" s="3" t="s">
        <v>85</v>
      </c>
      <c r="BM842" s="6" t="n">
        <f aca="false">O842</f>
        <v>39218882</v>
      </c>
      <c r="BN842" s="3" t="s">
        <v>791</v>
      </c>
      <c r="BO842" s="5" t="n">
        <f aca="false">IFERROR(1-L842/M842,"")</f>
        <v>0.148031053500544</v>
      </c>
      <c r="BP842" s="3" t="s">
        <v>142</v>
      </c>
      <c r="BQ842" s="4" t="n">
        <v>2619409</v>
      </c>
      <c r="BR842" s="3" t="s">
        <v>88</v>
      </c>
      <c r="BS842" s="3" t="s">
        <v>89</v>
      </c>
      <c r="BT842" s="3" t="s">
        <v>90</v>
      </c>
    </row>
    <row r="843" customFormat="false" ht="15" hidden="false" customHeight="false" outlineLevel="0" collapsed="false">
      <c r="A843" s="11" t="s">
        <v>789</v>
      </c>
      <c r="B843" s="11" t="s">
        <v>91</v>
      </c>
      <c r="C843" s="11" t="s">
        <v>74</v>
      </c>
      <c r="D843" s="11" t="s">
        <v>95</v>
      </c>
      <c r="E843" s="11" t="s">
        <v>105</v>
      </c>
      <c r="F843" s="11" t="s">
        <v>790</v>
      </c>
      <c r="G843" s="11" t="s">
        <v>78</v>
      </c>
      <c r="H843" s="11" t="s">
        <v>644</v>
      </c>
      <c r="I843" s="11" t="s">
        <v>78</v>
      </c>
      <c r="J843" s="12" t="n">
        <v>4214000</v>
      </c>
      <c r="K843" s="13" t="n">
        <f aca="false">IFERROR(J843/M843,"")</f>
        <v>0.148031053500545</v>
      </c>
      <c r="L843" s="12" t="n">
        <v>24253000</v>
      </c>
      <c r="M843" s="14" t="n">
        <f aca="false">L843+J843</f>
        <v>28467000</v>
      </c>
      <c r="N843" s="12" t="n">
        <v>5435000</v>
      </c>
      <c r="O843" s="12" t="n">
        <v>39218882</v>
      </c>
      <c r="P843" s="12" t="n">
        <v>361032</v>
      </c>
      <c r="Q843" s="13" t="n">
        <f aca="false">IFERROR(P843/P842-1,"")</f>
        <v>0.308219674459728</v>
      </c>
      <c r="R843" s="12" t="n">
        <v>444026</v>
      </c>
      <c r="S843" s="13" t="n">
        <f aca="false">IFERROR(R843/R842-1,"")</f>
        <v>0.380042766388602</v>
      </c>
      <c r="T843" s="12" t="n">
        <v>291890</v>
      </c>
      <c r="U843" s="13" t="n">
        <f aca="false">IFERROR(T843/P843,"")</f>
        <v>0.808487890270115</v>
      </c>
      <c r="V843" s="14" t="n">
        <f aca="false">T843-AV843</f>
        <v>-1435977</v>
      </c>
      <c r="W843" s="14" t="n">
        <f aca="false">V843-AA843*0.1</f>
        <v>-1554677</v>
      </c>
      <c r="X843" s="12" t="n">
        <v>1671750</v>
      </c>
      <c r="Y843" s="12" t="n">
        <v>158860</v>
      </c>
      <c r="Z843" s="15" t="n">
        <f aca="false">IFERROR(X843/Y843,"")</f>
        <v>10.5234168450208</v>
      </c>
      <c r="AA843" s="12" t="n">
        <v>1187000</v>
      </c>
      <c r="AB843" s="14" t="n">
        <f aca="false">W843-0.02*P843</f>
        <v>-1561897.64</v>
      </c>
      <c r="AC843" s="16" t="n">
        <v>41</v>
      </c>
      <c r="AD843" s="13" t="n">
        <f aca="false">IFERROR(AC843/AC842-1,"")</f>
        <v>0.28125</v>
      </c>
      <c r="AE843" s="17" t="n">
        <v>0.051</v>
      </c>
      <c r="AF843" s="17" t="n">
        <v>0.045</v>
      </c>
      <c r="AG843" s="13" t="n">
        <f aca="false">1-AF843</f>
        <v>0.955</v>
      </c>
      <c r="AH843" s="17" t="n">
        <v>1.336</v>
      </c>
      <c r="AI843" s="12" t="n">
        <v>49504</v>
      </c>
      <c r="AJ843" s="14" t="n">
        <f aca="false">IFERROR(AM843*U843*MIN(1/AE843,5),"")</f>
        <v>222657.56498039</v>
      </c>
      <c r="AK843" s="18" t="n">
        <f aca="false">IFERROR(AJ843/AI843,"")</f>
        <v>4.49776916977193</v>
      </c>
      <c r="AL843" s="15" t="n">
        <f aca="false">IFERROR(AI843/(AM843*U843/12),"")</f>
        <v>13.339946479077</v>
      </c>
      <c r="AM843" s="12" t="n">
        <v>55080</v>
      </c>
      <c r="AN843" s="12" t="n">
        <v>645239</v>
      </c>
      <c r="AO843" s="12" t="n">
        <v>1749794</v>
      </c>
      <c r="AP843" s="17" t="n">
        <v>0.136</v>
      </c>
      <c r="AQ843" s="16" t="n">
        <v>65</v>
      </c>
      <c r="AR843" s="16" t="n">
        <v>1</v>
      </c>
      <c r="AS843" s="13" t="n">
        <f aca="false">IFERROR(AR843/AR842-1,"")</f>
        <v>0</v>
      </c>
      <c r="AT843" s="11" t="s">
        <v>134</v>
      </c>
      <c r="AU843" s="14" t="n">
        <f aca="false">IFERROR(P843/AR843,"")</f>
        <v>361032</v>
      </c>
      <c r="AV843" s="12" t="n">
        <v>1727867</v>
      </c>
      <c r="AW843" s="12" t="n">
        <v>776142</v>
      </c>
      <c r="AX843" s="12" t="n">
        <v>376413</v>
      </c>
      <c r="AY843" s="16" t="n">
        <v>5529</v>
      </c>
      <c r="AZ843" s="13" t="n">
        <f aca="false">IFERROR(AY843/AY842-1,"")</f>
        <v>0.270742358078603</v>
      </c>
      <c r="BA843" s="17" t="n">
        <v>0.956</v>
      </c>
      <c r="BB843" s="11" t="s">
        <v>161</v>
      </c>
      <c r="BC843" s="11" t="s">
        <v>100</v>
      </c>
      <c r="BD843" s="11" t="s">
        <v>109</v>
      </c>
      <c r="BE843" s="12" t="n">
        <v>446004</v>
      </c>
      <c r="BF843" s="13" t="n">
        <f aca="false">IFERROR(P843/BE843-1,"")</f>
        <v>-0.190518470686362</v>
      </c>
      <c r="BG843" s="17" t="n">
        <v>0.053</v>
      </c>
      <c r="BH843" s="17" t="n">
        <v>0.052</v>
      </c>
      <c r="BI843" s="14" t="n">
        <f aca="false">P843*(1+IFERROR(Q843,0))^4</f>
        <v>1057470.84429772</v>
      </c>
      <c r="BJ843" s="12" t="n">
        <v>-1702741</v>
      </c>
      <c r="BK843" s="11" t="s">
        <v>127</v>
      </c>
      <c r="BL843" s="11" t="s">
        <v>85</v>
      </c>
      <c r="BM843" s="14" t="n">
        <f aca="false">O843</f>
        <v>39218882</v>
      </c>
      <c r="BN843" s="11" t="s">
        <v>791</v>
      </c>
      <c r="BO843" s="13" t="n">
        <f aca="false">IFERROR(1-L843/M843,"")</f>
        <v>0.148031053500544</v>
      </c>
      <c r="BP843" s="11" t="s">
        <v>142</v>
      </c>
      <c r="BQ843" s="12" t="n">
        <v>2989017</v>
      </c>
      <c r="BR843" s="11" t="s">
        <v>88</v>
      </c>
      <c r="BS843" s="11" t="s">
        <v>89</v>
      </c>
      <c r="BT843" s="19" t="str">
        <f aca="false">IF(OR(Z843&lt;6,AH843&lt;0.9,S843&lt;0.02,AK843&lt;1),"REVIEW",IF(AND(S843&gt;0.25,AH843&gt;1.2),"ACCELERATING","STABLE"))</f>
        <v>ACCELERATING</v>
      </c>
    </row>
    <row r="844" customFormat="false" ht="15" hidden="false" customHeight="false" outlineLevel="0" collapsed="false">
      <c r="A844" s="11" t="s">
        <v>789</v>
      </c>
      <c r="B844" s="11" t="s">
        <v>92</v>
      </c>
      <c r="C844" s="11" t="s">
        <v>74</v>
      </c>
      <c r="D844" s="11" t="s">
        <v>95</v>
      </c>
      <c r="E844" s="11" t="s">
        <v>105</v>
      </c>
      <c r="F844" s="11" t="s">
        <v>790</v>
      </c>
      <c r="G844" s="11" t="s">
        <v>78</v>
      </c>
      <c r="H844" s="11" t="s">
        <v>644</v>
      </c>
      <c r="I844" s="11" t="s">
        <v>78</v>
      </c>
      <c r="J844" s="12" t="n">
        <v>4214000</v>
      </c>
      <c r="K844" s="13" t="n">
        <f aca="false">IFERROR(J844/M844,"")</f>
        <v>0.148031053500545</v>
      </c>
      <c r="L844" s="12" t="n">
        <v>24253000</v>
      </c>
      <c r="M844" s="14" t="n">
        <f aca="false">L844+J844</f>
        <v>28467000</v>
      </c>
      <c r="N844" s="12" t="n">
        <v>5435000</v>
      </c>
      <c r="O844" s="12" t="n">
        <v>39218882</v>
      </c>
      <c r="P844" s="12" t="n">
        <v>481576</v>
      </c>
      <c r="Q844" s="13" t="n">
        <f aca="false">IFERROR(P844/P843-1,"")</f>
        <v>0.333887300848678</v>
      </c>
      <c r="R844" s="12" t="n">
        <v>602157</v>
      </c>
      <c r="S844" s="13" t="n">
        <f aca="false">IFERROR(R844/R843-1,"")</f>
        <v>0.356130046438722</v>
      </c>
      <c r="T844" s="12" t="n">
        <v>390918</v>
      </c>
      <c r="U844" s="13" t="n">
        <f aca="false">IFERROR(T844/P844,"")</f>
        <v>0.811747263152649</v>
      </c>
      <c r="V844" s="14" t="n">
        <f aca="false">T844-AV844</f>
        <v>-1813127</v>
      </c>
      <c r="W844" s="14" t="n">
        <f aca="false">V844-AA844*0.1</f>
        <v>-1931827</v>
      </c>
      <c r="X844" s="12" t="n">
        <v>2043250</v>
      </c>
      <c r="Y844" s="12" t="n">
        <v>163930</v>
      </c>
      <c r="Z844" s="15" t="n">
        <f aca="false">IFERROR(X844/Y844,"")</f>
        <v>12.4641615323614</v>
      </c>
      <c r="AA844" s="12" t="n">
        <v>1187000</v>
      </c>
      <c r="AB844" s="14" t="n">
        <f aca="false">W844-0.02*P844</f>
        <v>-1941458.52</v>
      </c>
      <c r="AC844" s="16" t="n">
        <v>52</v>
      </c>
      <c r="AD844" s="13" t="n">
        <f aca="false">IFERROR(AC844/AC843-1,"")</f>
        <v>0.268292682926829</v>
      </c>
      <c r="AE844" s="17" t="n">
        <v>0.049</v>
      </c>
      <c r="AF844" s="17" t="n">
        <v>0.035</v>
      </c>
      <c r="AG844" s="13" t="n">
        <f aca="false">1-AF844</f>
        <v>0.965</v>
      </c>
      <c r="AH844" s="17" t="n">
        <v>1.366</v>
      </c>
      <c r="AI844" s="12" t="n">
        <v>48552</v>
      </c>
      <c r="AJ844" s="14" t="n">
        <f aca="false">IFERROR(AM844*U844*MIN(1/AE844,5),"")</f>
        <v>227938.631493264</v>
      </c>
      <c r="AK844" s="18" t="n">
        <f aca="false">IFERROR(AJ844/AI844,"")</f>
        <v>4.69473207063074</v>
      </c>
      <c r="AL844" s="15" t="n">
        <f aca="false">IFERROR(AI844/(AM844*U844/12),"")</f>
        <v>12.7802820474777</v>
      </c>
      <c r="AM844" s="12" t="n">
        <v>56160</v>
      </c>
      <c r="AN844" s="12" t="n">
        <v>668985</v>
      </c>
      <c r="AO844" s="12" t="n">
        <v>1046136</v>
      </c>
      <c r="AP844" s="17" t="n">
        <v>0.136</v>
      </c>
      <c r="AQ844" s="16" t="n">
        <v>65</v>
      </c>
      <c r="AR844" s="16" t="n">
        <v>1</v>
      </c>
      <c r="AS844" s="13" t="n">
        <f aca="false">IFERROR(AR844/AR843-1,"")</f>
        <v>0</v>
      </c>
      <c r="AT844" s="11" t="s">
        <v>134</v>
      </c>
      <c r="AU844" s="14" t="n">
        <f aca="false">IFERROR(P844/AR844,"")</f>
        <v>481576</v>
      </c>
      <c r="AV844" s="12" t="n">
        <v>2204045</v>
      </c>
      <c r="AW844" s="12" t="n">
        <v>687676</v>
      </c>
      <c r="AX844" s="12" t="n">
        <v>512160</v>
      </c>
      <c r="AY844" s="16" t="n">
        <v>7376</v>
      </c>
      <c r="AZ844" s="13" t="n">
        <f aca="false">IFERROR(AY844/AY843-1,"")</f>
        <v>0.334056791463194</v>
      </c>
      <c r="BA844" s="17" t="n">
        <v>0.952</v>
      </c>
      <c r="BB844" s="11" t="s">
        <v>161</v>
      </c>
      <c r="BC844" s="11" t="s">
        <v>100</v>
      </c>
      <c r="BD844" s="11" t="s">
        <v>109</v>
      </c>
      <c r="BE844" s="12" t="n">
        <v>506007</v>
      </c>
      <c r="BF844" s="13" t="n">
        <f aca="false">IFERROR(P844/BE844-1,"")</f>
        <v>-0.0482819407636653</v>
      </c>
      <c r="BG844" s="17" t="n">
        <v>-0.001</v>
      </c>
      <c r="BH844" s="17" t="n">
        <v>0.088</v>
      </c>
      <c r="BI844" s="14" t="n">
        <f aca="false">P844*(1+IFERROR(Q844,0))^4</f>
        <v>1524548.9976781</v>
      </c>
      <c r="BJ844" s="12" t="n">
        <v>-1215600</v>
      </c>
      <c r="BK844" s="11" t="s">
        <v>127</v>
      </c>
      <c r="BL844" s="11" t="s">
        <v>85</v>
      </c>
      <c r="BM844" s="14" t="n">
        <f aca="false">O844</f>
        <v>39218882</v>
      </c>
      <c r="BN844" s="11" t="s">
        <v>791</v>
      </c>
      <c r="BO844" s="13" t="n">
        <f aca="false">IFERROR(1-L844/M844,"")</f>
        <v>0.148031053500544</v>
      </c>
      <c r="BP844" s="11" t="s">
        <v>142</v>
      </c>
      <c r="BQ844" s="12" t="n">
        <v>2311454</v>
      </c>
      <c r="BR844" s="11" t="s">
        <v>88</v>
      </c>
      <c r="BS844" s="11" t="s">
        <v>89</v>
      </c>
      <c r="BT844" s="19" t="str">
        <f aca="false">IF(OR(Z844&lt;6,AH844&lt;0.9,S844&lt;0.02,AK844&lt;1),"REVIEW",IF(AND(S844&gt;0.25,AH844&gt;1.2),"ACCELERATING","STABLE"))</f>
        <v>ACCELERATING</v>
      </c>
    </row>
    <row r="845" customFormat="false" ht="15" hidden="false" customHeight="false" outlineLevel="0" collapsed="false">
      <c r="A845" s="11" t="s">
        <v>789</v>
      </c>
      <c r="B845" s="11" t="s">
        <v>93</v>
      </c>
      <c r="C845" s="11" t="s">
        <v>74</v>
      </c>
      <c r="D845" s="11" t="s">
        <v>95</v>
      </c>
      <c r="E845" s="11" t="s">
        <v>105</v>
      </c>
      <c r="F845" s="11" t="s">
        <v>790</v>
      </c>
      <c r="G845" s="11" t="s">
        <v>78</v>
      </c>
      <c r="H845" s="11" t="s">
        <v>644</v>
      </c>
      <c r="I845" s="11" t="s">
        <v>78</v>
      </c>
      <c r="J845" s="12" t="n">
        <v>4214000</v>
      </c>
      <c r="K845" s="13" t="n">
        <f aca="false">IFERROR(J845/M845,"")</f>
        <v>0.148031053500545</v>
      </c>
      <c r="L845" s="12" t="n">
        <v>24253000</v>
      </c>
      <c r="M845" s="14" t="n">
        <f aca="false">L845+J845</f>
        <v>28467000</v>
      </c>
      <c r="N845" s="12" t="n">
        <v>5435000</v>
      </c>
      <c r="O845" s="12" t="n">
        <v>39218882</v>
      </c>
      <c r="P845" s="12" t="n">
        <v>634501</v>
      </c>
      <c r="Q845" s="13" t="n">
        <f aca="false">IFERROR(P845/P844-1,"")</f>
        <v>0.317551123810157</v>
      </c>
      <c r="R845" s="12" t="n">
        <v>787380</v>
      </c>
      <c r="S845" s="13" t="n">
        <f aca="false">IFERROR(R845/R844-1,"")</f>
        <v>0.307599180944504</v>
      </c>
      <c r="T845" s="12" t="n">
        <v>517123</v>
      </c>
      <c r="U845" s="13" t="n">
        <f aca="false">IFERROR(T845/P845,"")</f>
        <v>0.815007383755108</v>
      </c>
      <c r="V845" s="14" t="n">
        <f aca="false">T845-AV845</f>
        <v>-2045924</v>
      </c>
      <c r="W845" s="14" t="n">
        <f aca="false">V845-AA845*0.1</f>
        <v>-2164624</v>
      </c>
      <c r="X845" s="12" t="n">
        <v>3715000</v>
      </c>
      <c r="Y845" s="12" t="n">
        <v>169000</v>
      </c>
      <c r="Z845" s="15" t="n">
        <f aca="false">IFERROR(X845/Y845,"")</f>
        <v>21.9822485207101</v>
      </c>
      <c r="AA845" s="12" t="n">
        <v>1187000</v>
      </c>
      <c r="AB845" s="14" t="n">
        <f aca="false">W845-0.02*P845</f>
        <v>-2177314.02</v>
      </c>
      <c r="AC845" s="16" t="n">
        <v>69</v>
      </c>
      <c r="AD845" s="13" t="n">
        <f aca="false">IFERROR(AC845/AC844-1,"")</f>
        <v>0.326923076923077</v>
      </c>
      <c r="AE845" s="17" t="n">
        <v>0.048</v>
      </c>
      <c r="AF845" s="17" t="n">
        <v>0.039</v>
      </c>
      <c r="AG845" s="13" t="n">
        <f aca="false">1-AF845</f>
        <v>0.961</v>
      </c>
      <c r="AH845" s="17" t="n">
        <v>1.396</v>
      </c>
      <c r="AI845" s="12" t="n">
        <v>47600</v>
      </c>
      <c r="AJ845" s="14" t="n">
        <f aca="false">IFERROR(AM845*U845*MIN(1/AE845,5),"")</f>
        <v>233255.113230712</v>
      </c>
      <c r="AK845" s="18" t="n">
        <f aca="false">IFERROR(AJ845/AI845,"")</f>
        <v>4.90031750484689</v>
      </c>
      <c r="AL845" s="15" t="n">
        <f aca="false">IFERROR(AI845/(AM845*U845/12),"")</f>
        <v>12.2441045790715</v>
      </c>
      <c r="AM845" s="12" t="n">
        <v>57240</v>
      </c>
      <c r="AN845" s="12" t="n">
        <v>1024527</v>
      </c>
      <c r="AO845" s="12" t="n">
        <v>2165321</v>
      </c>
      <c r="AP845" s="17" t="n">
        <v>0.136</v>
      </c>
      <c r="AQ845" s="16" t="n">
        <v>65</v>
      </c>
      <c r="AR845" s="16" t="n">
        <v>1</v>
      </c>
      <c r="AS845" s="13" t="n">
        <f aca="false">IFERROR(AR845/AR844-1,"")</f>
        <v>0</v>
      </c>
      <c r="AT845" s="11" t="s">
        <v>134</v>
      </c>
      <c r="AU845" s="14" t="n">
        <f aca="false">IFERROR(P845/AR845,"")</f>
        <v>634501</v>
      </c>
      <c r="AV845" s="12" t="n">
        <v>2563047</v>
      </c>
      <c r="AW845" s="12" t="n">
        <v>1043932</v>
      </c>
      <c r="AX845" s="12" t="n">
        <v>734607</v>
      </c>
      <c r="AY845" s="16" t="n">
        <v>9144</v>
      </c>
      <c r="AZ845" s="13" t="n">
        <f aca="false">IFERROR(AY845/AY844-1,"")</f>
        <v>0.239696312364425</v>
      </c>
      <c r="BA845" s="17" t="n">
        <v>0.956</v>
      </c>
      <c r="BB845" s="11" t="s">
        <v>161</v>
      </c>
      <c r="BC845" s="11" t="s">
        <v>100</v>
      </c>
      <c r="BD845" s="11" t="s">
        <v>109</v>
      </c>
      <c r="BE845" s="12" t="n">
        <v>662088</v>
      </c>
      <c r="BF845" s="13" t="n">
        <f aca="false">IFERROR(P845/BE845-1,"")</f>
        <v>-0.0416666666666666</v>
      </c>
      <c r="BG845" s="17" t="n">
        <v>0.013</v>
      </c>
      <c r="BH845" s="17" t="n">
        <v>-0.026</v>
      </c>
      <c r="BI845" s="14" t="n">
        <f aca="false">P845*(1+IFERROR(Q845,0))^4</f>
        <v>1912063.07201607</v>
      </c>
      <c r="BJ845" s="12" t="n">
        <v>-1619304</v>
      </c>
      <c r="BK845" s="11" t="s">
        <v>127</v>
      </c>
      <c r="BL845" s="11" t="s">
        <v>85</v>
      </c>
      <c r="BM845" s="14" t="n">
        <f aca="false">O845</f>
        <v>39218882</v>
      </c>
      <c r="BN845" s="11" t="s">
        <v>791</v>
      </c>
      <c r="BO845" s="13" t="n">
        <f aca="false">IFERROR(1-L845/M845,"")</f>
        <v>0.148031053500544</v>
      </c>
      <c r="BP845" s="11" t="s">
        <v>142</v>
      </c>
      <c r="BQ845" s="12" t="n">
        <v>2427929</v>
      </c>
      <c r="BR845" s="11" t="s">
        <v>88</v>
      </c>
      <c r="BS845" s="11" t="s">
        <v>89</v>
      </c>
      <c r="BT845" s="19" t="str">
        <f aca="false">IF(OR(Z845&lt;6,AH845&lt;0.9,S845&lt;0.02,AK845&lt;1),"REVIEW",IF(AND(S845&gt;0.25,AH845&gt;1.2),"ACCELERATING","STABLE"))</f>
        <v>ACCELERATING</v>
      </c>
    </row>
    <row r="846" customFormat="false" ht="15" hidden="false" customHeight="false" outlineLevel="0" collapsed="false">
      <c r="A846" s="3" t="s">
        <v>792</v>
      </c>
      <c r="B846" s="3" t="s">
        <v>73</v>
      </c>
      <c r="C846" s="3" t="s">
        <v>74</v>
      </c>
      <c r="D846" s="3" t="s">
        <v>115</v>
      </c>
      <c r="E846" s="3" t="s">
        <v>105</v>
      </c>
      <c r="F846" s="3" t="s">
        <v>793</v>
      </c>
      <c r="G846" s="3" t="s">
        <v>78</v>
      </c>
      <c r="H846" s="3" t="s">
        <v>644</v>
      </c>
      <c r="I846" s="3" t="s">
        <v>78</v>
      </c>
      <c r="J846" s="4" t="n">
        <v>3043000</v>
      </c>
      <c r="K846" s="5" t="n">
        <f aca="false">IFERROR(J846/M846,"")</f>
        <v>0.170076011625307</v>
      </c>
      <c r="L846" s="4" t="n">
        <v>14849000</v>
      </c>
      <c r="M846" s="6" t="n">
        <f aca="false">L846+J846</f>
        <v>17892000</v>
      </c>
      <c r="N846" s="4" t="n">
        <v>3218000</v>
      </c>
      <c r="O846" s="4" t="n">
        <v>29285844</v>
      </c>
      <c r="P846" s="4" t="n">
        <v>166342</v>
      </c>
      <c r="Q846" s="7"/>
      <c r="R846" s="4" t="n">
        <v>183560</v>
      </c>
      <c r="S846" s="7"/>
      <c r="T846" s="4" t="n">
        <v>115766</v>
      </c>
      <c r="U846" s="5" t="n">
        <f aca="false">IFERROR(T846/P846,"")</f>
        <v>0.695951713938753</v>
      </c>
      <c r="V846" s="6" t="n">
        <f aca="false">T846-AV846</f>
        <v>-720088</v>
      </c>
      <c r="W846" s="6" t="n">
        <f aca="false">V846-AA846*0.1</f>
        <v>-720088</v>
      </c>
      <c r="X846" s="4" t="n">
        <v>2509680</v>
      </c>
      <c r="Y846" s="4" t="n">
        <v>72800</v>
      </c>
      <c r="Z846" s="8" t="n">
        <f aca="false">IFERROR(X846/Y846,"")</f>
        <v>34.4736263736264</v>
      </c>
      <c r="AA846" s="4" t="n">
        <v>0</v>
      </c>
      <c r="AB846" s="6" t="n">
        <f aca="false">W846-0.02*P846</f>
        <v>-723414.84</v>
      </c>
      <c r="AC846" s="9" t="n">
        <v>52</v>
      </c>
      <c r="AD846" s="7"/>
      <c r="AE846" s="7" t="n">
        <v>0.12</v>
      </c>
      <c r="AF846" s="7" t="n">
        <v>0.098</v>
      </c>
      <c r="AG846" s="5" t="n">
        <f aca="false">1-AF846</f>
        <v>0.902</v>
      </c>
      <c r="AH846" s="7" t="n">
        <v>1.17</v>
      </c>
      <c r="AI846" s="4" t="n">
        <v>37100</v>
      </c>
      <c r="AJ846" s="6" t="n">
        <f aca="false">IFERROR(AM846*U846*MIN(1/AE846,5),"")</f>
        <v>80034.4471029566</v>
      </c>
      <c r="AK846" s="10" t="n">
        <f aca="false">IFERROR(AJ846/AI846,"")</f>
        <v>2.15726272514708</v>
      </c>
      <c r="AL846" s="8" t="n">
        <f aca="false">IFERROR(AI846/(AM846*U846/12),"")</f>
        <v>27.813024023724</v>
      </c>
      <c r="AM846" s="4" t="n">
        <v>23000</v>
      </c>
      <c r="AN846" s="4" t="n">
        <v>169860</v>
      </c>
      <c r="AO846" s="4" t="n">
        <v>570015</v>
      </c>
      <c r="AP846" s="7" t="n">
        <v>0.128</v>
      </c>
      <c r="AQ846" s="9" t="n">
        <v>49</v>
      </c>
      <c r="AR846" s="9" t="n">
        <v>7</v>
      </c>
      <c r="AS846" s="7"/>
      <c r="AT846" s="3" t="s">
        <v>80</v>
      </c>
      <c r="AU846" s="6" t="n">
        <f aca="false">IFERROR(P846/AR846,"")</f>
        <v>23763.1428571429</v>
      </c>
      <c r="AV846" s="4" t="n">
        <v>835854</v>
      </c>
      <c r="AW846" s="4" t="n">
        <v>343638</v>
      </c>
      <c r="AX846" s="4" t="n">
        <v>271775</v>
      </c>
      <c r="AY846" s="9" t="n">
        <v>25363</v>
      </c>
      <c r="AZ846" s="7"/>
      <c r="BA846" s="7" t="n">
        <v>0.912</v>
      </c>
      <c r="BB846" s="3" t="s">
        <v>107</v>
      </c>
      <c r="BC846" s="3" t="s">
        <v>108</v>
      </c>
      <c r="BD846" s="3" t="s">
        <v>175</v>
      </c>
      <c r="BE846" s="4" t="n">
        <v>155073</v>
      </c>
      <c r="BF846" s="5" t="n">
        <f aca="false">IFERROR(P846/BE846-1,"")</f>
        <v>0.072669001051118</v>
      </c>
      <c r="BG846" s="7" t="n">
        <v>0.024</v>
      </c>
      <c r="BH846" s="7" t="n">
        <v>-0.06</v>
      </c>
      <c r="BI846" s="6" t="n">
        <f aca="false">P846</f>
        <v>166342</v>
      </c>
      <c r="BJ846" s="4" t="n">
        <v>-608278</v>
      </c>
      <c r="BK846" s="3" t="s">
        <v>84</v>
      </c>
      <c r="BL846" s="3" t="s">
        <v>162</v>
      </c>
      <c r="BM846" s="6" t="n">
        <f aca="false">O846</f>
        <v>29285844</v>
      </c>
      <c r="BN846" s="3" t="s">
        <v>794</v>
      </c>
      <c r="BO846" s="5" t="n">
        <f aca="false">IFERROR(1-L846/M846,"")</f>
        <v>0.170076011625307</v>
      </c>
      <c r="BP846" s="3" t="s">
        <v>142</v>
      </c>
      <c r="BQ846" s="4" t="n">
        <v>1058107</v>
      </c>
      <c r="BR846" s="3" t="s">
        <v>88</v>
      </c>
      <c r="BS846" s="3" t="s">
        <v>89</v>
      </c>
      <c r="BT846" s="3" t="s">
        <v>90</v>
      </c>
    </row>
    <row r="847" customFormat="false" ht="15" hidden="false" customHeight="false" outlineLevel="0" collapsed="false">
      <c r="A847" s="11" t="s">
        <v>792</v>
      </c>
      <c r="B847" s="11" t="s">
        <v>91</v>
      </c>
      <c r="C847" s="11" t="s">
        <v>74</v>
      </c>
      <c r="D847" s="11" t="s">
        <v>115</v>
      </c>
      <c r="E847" s="11" t="s">
        <v>105</v>
      </c>
      <c r="F847" s="11" t="s">
        <v>793</v>
      </c>
      <c r="G847" s="11" t="s">
        <v>78</v>
      </c>
      <c r="H847" s="11" t="s">
        <v>644</v>
      </c>
      <c r="I847" s="11" t="s">
        <v>78</v>
      </c>
      <c r="J847" s="12" t="n">
        <v>3043000</v>
      </c>
      <c r="K847" s="13" t="n">
        <f aca="false">IFERROR(J847/M847,"")</f>
        <v>0.170076011625307</v>
      </c>
      <c r="L847" s="12" t="n">
        <v>14849000</v>
      </c>
      <c r="M847" s="14" t="n">
        <f aca="false">L847+J847</f>
        <v>17892000</v>
      </c>
      <c r="N847" s="12" t="n">
        <v>3218000</v>
      </c>
      <c r="O847" s="12" t="n">
        <v>29285844</v>
      </c>
      <c r="P847" s="12" t="n">
        <v>207444</v>
      </c>
      <c r="Q847" s="13" t="n">
        <f aca="false">IFERROR(P847/P846-1,"")</f>
        <v>0.247093337822077</v>
      </c>
      <c r="R847" s="12" t="n">
        <v>220840</v>
      </c>
      <c r="S847" s="13" t="n">
        <f aca="false">IFERROR(R847/R846-1,"")</f>
        <v>0.20309435606886</v>
      </c>
      <c r="T847" s="12" t="n">
        <v>144955</v>
      </c>
      <c r="U847" s="13" t="n">
        <f aca="false">IFERROR(T847/P847,"")</f>
        <v>0.698766896126184</v>
      </c>
      <c r="V847" s="14" t="n">
        <f aca="false">T847-AV847</f>
        <v>-811428</v>
      </c>
      <c r="W847" s="14" t="n">
        <f aca="false">V847-AA847*0.1</f>
        <v>-811428</v>
      </c>
      <c r="X847" s="12" t="n">
        <v>2326080</v>
      </c>
      <c r="Y847" s="12" t="n">
        <v>75200</v>
      </c>
      <c r="Z847" s="15" t="n">
        <f aca="false">IFERROR(X847/Y847,"")</f>
        <v>30.931914893617</v>
      </c>
      <c r="AA847" s="12" t="n">
        <v>0</v>
      </c>
      <c r="AB847" s="14" t="n">
        <f aca="false">W847-0.02*P847</f>
        <v>-815576.88</v>
      </c>
      <c r="AC847" s="16" t="n">
        <v>60</v>
      </c>
      <c r="AD847" s="13" t="n">
        <f aca="false">IFERROR(AC847/AC846-1,"")</f>
        <v>0.153846153846154</v>
      </c>
      <c r="AE847" s="17" t="n">
        <v>0.117</v>
      </c>
      <c r="AF847" s="17" t="n">
        <v>0.083</v>
      </c>
      <c r="AG847" s="13" t="n">
        <f aca="false">1-AF847</f>
        <v>0.917</v>
      </c>
      <c r="AH847" s="17" t="n">
        <v>1.165</v>
      </c>
      <c r="AI847" s="12" t="n">
        <v>36400</v>
      </c>
      <c r="AJ847" s="14" t="n">
        <f aca="false">IFERROR(AM847*U847*MIN(1/AE847,5),"")</f>
        <v>81965.3569156013</v>
      </c>
      <c r="AK847" s="18" t="n">
        <f aca="false">IFERROR(AJ847/AI847,"")</f>
        <v>2.25179551965938</v>
      </c>
      <c r="AL847" s="15" t="n">
        <f aca="false">IFERROR(AI847/(AM847*U847/12),"")</f>
        <v>26.6454034019377</v>
      </c>
      <c r="AM847" s="12" t="n">
        <v>23460</v>
      </c>
      <c r="AN847" s="12" t="n">
        <v>258792</v>
      </c>
      <c r="AO847" s="12" t="n">
        <v>447180</v>
      </c>
      <c r="AP847" s="17" t="n">
        <v>0.128</v>
      </c>
      <c r="AQ847" s="16" t="n">
        <v>49</v>
      </c>
      <c r="AR847" s="16" t="n">
        <v>7</v>
      </c>
      <c r="AS847" s="13" t="n">
        <f aca="false">IFERROR(AR847/AR846-1,"")</f>
        <v>0</v>
      </c>
      <c r="AT847" s="11" t="s">
        <v>80</v>
      </c>
      <c r="AU847" s="14" t="n">
        <f aca="false">IFERROR(P847/AR847,"")</f>
        <v>29634.8571428571</v>
      </c>
      <c r="AV847" s="12" t="n">
        <v>956383</v>
      </c>
      <c r="AW847" s="12" t="n">
        <v>378446</v>
      </c>
      <c r="AX847" s="12" t="n">
        <v>256699</v>
      </c>
      <c r="AY847" s="16" t="n">
        <v>29645</v>
      </c>
      <c r="AZ847" s="13" t="n">
        <f aca="false">IFERROR(AY847/AY846-1,"")</f>
        <v>0.168828608603083</v>
      </c>
      <c r="BA847" s="17" t="n">
        <v>0.884</v>
      </c>
      <c r="BB847" s="11" t="s">
        <v>107</v>
      </c>
      <c r="BC847" s="11" t="s">
        <v>108</v>
      </c>
      <c r="BD847" s="11" t="s">
        <v>175</v>
      </c>
      <c r="BE847" s="12" t="n">
        <v>198870</v>
      </c>
      <c r="BF847" s="13" t="n">
        <f aca="false">IFERROR(P847/BE847-1,"")</f>
        <v>0.0431135917936341</v>
      </c>
      <c r="BG847" s="17" t="n">
        <v>0.05</v>
      </c>
      <c r="BH847" s="17" t="n">
        <v>-0.017</v>
      </c>
      <c r="BI847" s="14" t="n">
        <f aca="false">P847*(1+IFERROR(Q847,0))^4</f>
        <v>501760.783340028</v>
      </c>
      <c r="BJ847" s="12" t="n">
        <v>-781957</v>
      </c>
      <c r="BK847" s="11" t="s">
        <v>84</v>
      </c>
      <c r="BL847" s="11" t="s">
        <v>162</v>
      </c>
      <c r="BM847" s="14" t="n">
        <f aca="false">O847</f>
        <v>29285844</v>
      </c>
      <c r="BN847" s="11" t="s">
        <v>794</v>
      </c>
      <c r="BO847" s="13" t="n">
        <f aca="false">IFERROR(1-L847/M847,"")</f>
        <v>0.170076011625307</v>
      </c>
      <c r="BP847" s="11" t="s">
        <v>142</v>
      </c>
      <c r="BQ847" s="12" t="n">
        <v>1345234</v>
      </c>
      <c r="BR847" s="11" t="s">
        <v>88</v>
      </c>
      <c r="BS847" s="11" t="s">
        <v>89</v>
      </c>
      <c r="BT847" s="19" t="str">
        <f aca="false">IF(OR(Z847&lt;6,AH847&lt;0.9,S847&lt;0.02,AK847&lt;1),"REVIEW",IF(AND(S847&gt;0.25,AH847&gt;1.2),"ACCELERATING","STABLE"))</f>
        <v>STABLE</v>
      </c>
    </row>
    <row r="848" customFormat="false" ht="15" hidden="false" customHeight="false" outlineLevel="0" collapsed="false">
      <c r="A848" s="11" t="s">
        <v>792</v>
      </c>
      <c r="B848" s="11" t="s">
        <v>92</v>
      </c>
      <c r="C848" s="11" t="s">
        <v>74</v>
      </c>
      <c r="D848" s="11" t="s">
        <v>115</v>
      </c>
      <c r="E848" s="11" t="s">
        <v>105</v>
      </c>
      <c r="F848" s="11" t="s">
        <v>793</v>
      </c>
      <c r="G848" s="11" t="s">
        <v>78</v>
      </c>
      <c r="H848" s="11" t="s">
        <v>644</v>
      </c>
      <c r="I848" s="11" t="s">
        <v>78</v>
      </c>
      <c r="J848" s="12" t="n">
        <v>3043000</v>
      </c>
      <c r="K848" s="13" t="n">
        <f aca="false">IFERROR(J848/M848,"")</f>
        <v>0.170076011625307</v>
      </c>
      <c r="L848" s="12" t="n">
        <v>14849000</v>
      </c>
      <c r="M848" s="14" t="n">
        <f aca="false">L848+J848</f>
        <v>17892000</v>
      </c>
      <c r="N848" s="12" t="n">
        <v>3218000</v>
      </c>
      <c r="O848" s="12" t="n">
        <v>29285844</v>
      </c>
      <c r="P848" s="12" t="n">
        <v>240625</v>
      </c>
      <c r="Q848" s="13" t="n">
        <f aca="false">IFERROR(P848/P847-1,"")</f>
        <v>0.159951601396039</v>
      </c>
      <c r="R848" s="12" t="n">
        <v>257208</v>
      </c>
      <c r="S848" s="13" t="n">
        <f aca="false">IFERROR(R848/R847-1,"")</f>
        <v>0.164680311537765</v>
      </c>
      <c r="T848" s="12" t="n">
        <v>168819</v>
      </c>
      <c r="U848" s="13" t="n">
        <f aca="false">IFERROR(T848/P848,"")</f>
        <v>0.701585454545455</v>
      </c>
      <c r="V848" s="14" t="n">
        <f aca="false">T848-AV848</f>
        <v>-1007601</v>
      </c>
      <c r="W848" s="14" t="n">
        <f aca="false">V848-AA848*0.1</f>
        <v>-1007601</v>
      </c>
      <c r="X848" s="12" t="n">
        <v>2129520</v>
      </c>
      <c r="Y848" s="12" t="n">
        <v>77600</v>
      </c>
      <c r="Z848" s="15" t="n">
        <f aca="false">IFERROR(X848/Y848,"")</f>
        <v>27.4422680412371</v>
      </c>
      <c r="AA848" s="12" t="n">
        <v>0</v>
      </c>
      <c r="AB848" s="14" t="n">
        <f aca="false">W848-0.02*P848</f>
        <v>-1012413.5</v>
      </c>
      <c r="AC848" s="16" t="n">
        <v>69</v>
      </c>
      <c r="AD848" s="13" t="n">
        <f aca="false">IFERROR(AC848/AC847-1,"")</f>
        <v>0.15</v>
      </c>
      <c r="AE848" s="17" t="n">
        <v>0.113</v>
      </c>
      <c r="AF848" s="17" t="n">
        <v>0.077</v>
      </c>
      <c r="AG848" s="13" t="n">
        <f aca="false">1-AF848</f>
        <v>0.923</v>
      </c>
      <c r="AH848" s="17" t="n">
        <v>1.16</v>
      </c>
      <c r="AI848" s="12" t="n">
        <v>35700</v>
      </c>
      <c r="AJ848" s="14" t="n">
        <f aca="false">IFERROR(AM848*U848*MIN(1/AE848,5),"")</f>
        <v>83909.6203636364</v>
      </c>
      <c r="AK848" s="18" t="n">
        <f aca="false">IFERROR(AJ848/AI848,"")</f>
        <v>2.35040953399542</v>
      </c>
      <c r="AL848" s="15" t="n">
        <f aca="false">IFERROR(AI848/(AM848*U848/12),"")</f>
        <v>25.5274662275587</v>
      </c>
      <c r="AM848" s="12" t="n">
        <v>23920</v>
      </c>
      <c r="AN848" s="12" t="n">
        <v>267056</v>
      </c>
      <c r="AO848" s="12" t="n">
        <v>685548</v>
      </c>
      <c r="AP848" s="17" t="n">
        <v>0.128</v>
      </c>
      <c r="AQ848" s="16" t="n">
        <v>49</v>
      </c>
      <c r="AR848" s="16" t="n">
        <v>8</v>
      </c>
      <c r="AS848" s="13" t="n">
        <f aca="false">IFERROR(AR848/AR847-1,"")</f>
        <v>0.142857142857143</v>
      </c>
      <c r="AT848" s="11" t="s">
        <v>80</v>
      </c>
      <c r="AU848" s="14" t="n">
        <f aca="false">IFERROR(P848/AR848,"")</f>
        <v>30078.125</v>
      </c>
      <c r="AV848" s="12" t="n">
        <v>1176420</v>
      </c>
      <c r="AW848" s="12" t="n">
        <v>449557</v>
      </c>
      <c r="AX848" s="12" t="n">
        <v>335879</v>
      </c>
      <c r="AY848" s="16" t="n">
        <v>31408</v>
      </c>
      <c r="AZ848" s="13" t="n">
        <f aca="false">IFERROR(AY848/AY847-1,"")</f>
        <v>0.05947039973014</v>
      </c>
      <c r="BA848" s="17" t="n">
        <v>0.913</v>
      </c>
      <c r="BB848" s="11" t="s">
        <v>107</v>
      </c>
      <c r="BC848" s="11" t="s">
        <v>108</v>
      </c>
      <c r="BD848" s="11" t="s">
        <v>175</v>
      </c>
      <c r="BE848" s="12" t="n">
        <v>277073</v>
      </c>
      <c r="BF848" s="13" t="n">
        <f aca="false">IFERROR(P848/BE848-1,"")</f>
        <v>-0.131546559931859</v>
      </c>
      <c r="BG848" s="17" t="n">
        <v>-0.044</v>
      </c>
      <c r="BH848" s="17" t="n">
        <v>-0.075</v>
      </c>
      <c r="BI848" s="14" t="n">
        <f aca="false">P848*(1+IFERROR(Q848,0))^4</f>
        <v>435612.388307723</v>
      </c>
      <c r="BJ848" s="12" t="n">
        <v>-753483</v>
      </c>
      <c r="BK848" s="11" t="s">
        <v>84</v>
      </c>
      <c r="BL848" s="11" t="s">
        <v>162</v>
      </c>
      <c r="BM848" s="14" t="n">
        <f aca="false">O848</f>
        <v>29285844</v>
      </c>
      <c r="BN848" s="11" t="s">
        <v>794</v>
      </c>
      <c r="BO848" s="13" t="n">
        <f aca="false">IFERROR(1-L848/M848,"")</f>
        <v>0.170076011625307</v>
      </c>
      <c r="BP848" s="11" t="s">
        <v>142</v>
      </c>
      <c r="BQ848" s="12" t="n">
        <v>1163168</v>
      </c>
      <c r="BR848" s="11" t="s">
        <v>88</v>
      </c>
      <c r="BS848" s="11" t="s">
        <v>89</v>
      </c>
      <c r="BT848" s="19" t="str">
        <f aca="false">IF(OR(Z848&lt;6,AH848&lt;0.9,S848&lt;0.02,AK848&lt;1),"REVIEW",IF(AND(S848&gt;0.25,AH848&gt;1.2),"ACCELERATING","STABLE"))</f>
        <v>STABLE</v>
      </c>
    </row>
    <row r="849" customFormat="false" ht="15" hidden="false" customHeight="false" outlineLevel="0" collapsed="false">
      <c r="A849" s="11" t="s">
        <v>792</v>
      </c>
      <c r="B849" s="11" t="s">
        <v>93</v>
      </c>
      <c r="C849" s="11" t="s">
        <v>74</v>
      </c>
      <c r="D849" s="11" t="s">
        <v>115</v>
      </c>
      <c r="E849" s="11" t="s">
        <v>105</v>
      </c>
      <c r="F849" s="11" t="s">
        <v>793</v>
      </c>
      <c r="G849" s="11" t="s">
        <v>78</v>
      </c>
      <c r="H849" s="11" t="s">
        <v>644</v>
      </c>
      <c r="I849" s="11" t="s">
        <v>78</v>
      </c>
      <c r="J849" s="12" t="n">
        <v>3043000</v>
      </c>
      <c r="K849" s="13" t="n">
        <f aca="false">IFERROR(J849/M849,"")</f>
        <v>0.170076011625307</v>
      </c>
      <c r="L849" s="12" t="n">
        <v>14849000</v>
      </c>
      <c r="M849" s="14" t="n">
        <f aca="false">L849+J849</f>
        <v>17892000</v>
      </c>
      <c r="N849" s="12" t="n">
        <v>3218000</v>
      </c>
      <c r="O849" s="12" t="n">
        <v>29285844</v>
      </c>
      <c r="P849" s="12" t="n">
        <v>273301</v>
      </c>
      <c r="Q849" s="13" t="n">
        <f aca="false">IFERROR(P849/P848-1,"")</f>
        <v>0.135796363636364</v>
      </c>
      <c r="R849" s="12" t="n">
        <v>310089</v>
      </c>
      <c r="S849" s="13" t="n">
        <f aca="false">IFERROR(R849/R848-1,"")</f>
        <v>0.205596248950266</v>
      </c>
      <c r="T849" s="12" t="n">
        <v>192514</v>
      </c>
      <c r="U849" s="13" t="n">
        <f aca="false">IFERROR(T849/P849,"")</f>
        <v>0.704402837896678</v>
      </c>
      <c r="V849" s="14" t="n">
        <f aca="false">T849-AV849</f>
        <v>-932427</v>
      </c>
      <c r="W849" s="14" t="n">
        <f aca="false">V849-AA849*0.1</f>
        <v>-932427</v>
      </c>
      <c r="X849" s="12" t="n">
        <v>1920000</v>
      </c>
      <c r="Y849" s="12" t="n">
        <v>80000</v>
      </c>
      <c r="Z849" s="15" t="n">
        <f aca="false">IFERROR(X849/Y849,"")</f>
        <v>24</v>
      </c>
      <c r="AA849" s="12" t="n">
        <v>0</v>
      </c>
      <c r="AB849" s="14" t="n">
        <f aca="false">W849-0.02*P849</f>
        <v>-937893.02</v>
      </c>
      <c r="AC849" s="16" t="n">
        <v>77</v>
      </c>
      <c r="AD849" s="13" t="n">
        <f aca="false">IFERROR(AC849/AC848-1,"")</f>
        <v>0.115942028985507</v>
      </c>
      <c r="AE849" s="17" t="n">
        <v>0.11</v>
      </c>
      <c r="AF849" s="17" t="n">
        <v>0.093</v>
      </c>
      <c r="AG849" s="13" t="n">
        <f aca="false">1-AF849</f>
        <v>0.907</v>
      </c>
      <c r="AH849" s="17" t="n">
        <v>1.155</v>
      </c>
      <c r="AI849" s="12" t="n">
        <v>35000</v>
      </c>
      <c r="AJ849" s="14" t="n">
        <f aca="false">IFERROR(AM849*U849*MIN(1/AE849,5),"")</f>
        <v>85866.7059396051</v>
      </c>
      <c r="AK849" s="18" t="n">
        <f aca="false">IFERROR(AJ849/AI849,"")</f>
        <v>2.45333445541729</v>
      </c>
      <c r="AL849" s="15" t="n">
        <f aca="false">IFERROR(AI849/(AM849*U849/12),"")</f>
        <v>24.4565105534274</v>
      </c>
      <c r="AM849" s="12" t="n">
        <v>24380</v>
      </c>
      <c r="AN849" s="12" t="n">
        <v>327297</v>
      </c>
      <c r="AO849" s="12" t="n">
        <v>657283</v>
      </c>
      <c r="AP849" s="17" t="n">
        <v>0.128</v>
      </c>
      <c r="AQ849" s="16" t="n">
        <v>49</v>
      </c>
      <c r="AR849" s="16" t="n">
        <v>8</v>
      </c>
      <c r="AS849" s="13" t="n">
        <f aca="false">IFERROR(AR849/AR848-1,"")</f>
        <v>0</v>
      </c>
      <c r="AT849" s="11" t="s">
        <v>80</v>
      </c>
      <c r="AU849" s="14" t="n">
        <f aca="false">IFERROR(P849/AR849,"")</f>
        <v>34162.625</v>
      </c>
      <c r="AV849" s="12" t="n">
        <v>1124941</v>
      </c>
      <c r="AW849" s="12" t="n">
        <v>404058</v>
      </c>
      <c r="AX849" s="12" t="n">
        <v>232901</v>
      </c>
      <c r="AY849" s="16" t="n">
        <v>36204</v>
      </c>
      <c r="AZ849" s="13" t="n">
        <f aca="false">IFERROR(AY849/AY848-1,"")</f>
        <v>0.152699949057565</v>
      </c>
      <c r="BA849" s="17" t="n">
        <v>0.893</v>
      </c>
      <c r="BB849" s="11" t="s">
        <v>107</v>
      </c>
      <c r="BC849" s="11" t="s">
        <v>108</v>
      </c>
      <c r="BD849" s="11" t="s">
        <v>175</v>
      </c>
      <c r="BE849" s="12" t="n">
        <v>308506</v>
      </c>
      <c r="BF849" s="13" t="n">
        <f aca="false">IFERROR(P849/BE849-1,"")</f>
        <v>-0.114114474272786</v>
      </c>
      <c r="BG849" s="17" t="n">
        <v>-0.018</v>
      </c>
      <c r="BH849" s="17" t="n">
        <v>0.057</v>
      </c>
      <c r="BI849" s="14" t="n">
        <f aca="false">P849*(1+IFERROR(Q849,0))^4</f>
        <v>454823.730948871</v>
      </c>
      <c r="BJ849" s="12" t="n">
        <v>-838112</v>
      </c>
      <c r="BK849" s="11" t="s">
        <v>84</v>
      </c>
      <c r="BL849" s="11" t="s">
        <v>162</v>
      </c>
      <c r="BM849" s="14" t="n">
        <f aca="false">O849</f>
        <v>29285844</v>
      </c>
      <c r="BN849" s="11" t="s">
        <v>794</v>
      </c>
      <c r="BO849" s="13" t="n">
        <f aca="false">IFERROR(1-L849/M849,"")</f>
        <v>0.170076011625307</v>
      </c>
      <c r="BP849" s="11" t="s">
        <v>142</v>
      </c>
      <c r="BQ849" s="12" t="n">
        <v>1403685</v>
      </c>
      <c r="BR849" s="11" t="s">
        <v>88</v>
      </c>
      <c r="BS849" s="11" t="s">
        <v>89</v>
      </c>
      <c r="BT849" s="19" t="str">
        <f aca="false">IF(OR(Z849&lt;6,AH849&lt;0.9,S849&lt;0.02,AK849&lt;1),"REVIEW",IF(AND(S849&gt;0.25,AH849&gt;1.2),"ACCELERATING","STABLE"))</f>
        <v>STABLE</v>
      </c>
    </row>
    <row r="850" customFormat="false" ht="15" hidden="false" customHeight="false" outlineLevel="0" collapsed="false">
      <c r="A850" s="3" t="s">
        <v>795</v>
      </c>
      <c r="B850" s="3" t="s">
        <v>73</v>
      </c>
      <c r="C850" s="3" t="s">
        <v>74</v>
      </c>
      <c r="D850" s="3" t="s">
        <v>165</v>
      </c>
      <c r="E850" s="3" t="s">
        <v>116</v>
      </c>
      <c r="F850" s="3" t="s">
        <v>796</v>
      </c>
      <c r="G850" s="3" t="s">
        <v>78</v>
      </c>
      <c r="H850" s="3" t="s">
        <v>644</v>
      </c>
      <c r="I850" s="3" t="s">
        <v>78</v>
      </c>
      <c r="J850" s="4" t="n">
        <v>3347000</v>
      </c>
      <c r="K850" s="5" t="n">
        <f aca="false">IFERROR(J850/M850,"")</f>
        <v>0.198646803964627</v>
      </c>
      <c r="L850" s="4" t="n">
        <v>13502000</v>
      </c>
      <c r="M850" s="6" t="n">
        <f aca="false">L850+J850</f>
        <v>16849000</v>
      </c>
      <c r="N850" s="4" t="n">
        <v>4071000</v>
      </c>
      <c r="O850" s="4" t="n">
        <v>35678636</v>
      </c>
      <c r="P850" s="4" t="n">
        <v>1098526</v>
      </c>
      <c r="Q850" s="7"/>
      <c r="R850" s="4" t="n">
        <v>1264837</v>
      </c>
      <c r="S850" s="7"/>
      <c r="T850" s="4" t="n">
        <v>691153</v>
      </c>
      <c r="U850" s="5" t="n">
        <f aca="false">IFERROR(T850/P850,"")</f>
        <v>0.629163988835949</v>
      </c>
      <c r="V850" s="6" t="n">
        <f aca="false">T850-AV850</f>
        <v>-1572136</v>
      </c>
      <c r="W850" s="6" t="n">
        <f aca="false">V850-AA850*0.1</f>
        <v>-1667236</v>
      </c>
      <c r="X850" s="4" t="n">
        <v>4454682</v>
      </c>
      <c r="Y850" s="4" t="n">
        <v>129220</v>
      </c>
      <c r="Z850" s="8" t="n">
        <f aca="false">IFERROR(X850/Y850,"")</f>
        <v>34.4736263736264</v>
      </c>
      <c r="AA850" s="4" t="n">
        <v>951000</v>
      </c>
      <c r="AB850" s="6" t="n">
        <f aca="false">W850-0.02*P850</f>
        <v>-1689206.52</v>
      </c>
      <c r="AC850" s="9" t="n">
        <v>51</v>
      </c>
      <c r="AD850" s="7"/>
      <c r="AE850" s="7" t="n">
        <v>0.092</v>
      </c>
      <c r="AF850" s="7" t="n">
        <v>0.065</v>
      </c>
      <c r="AG850" s="5" t="n">
        <f aca="false">1-AF850</f>
        <v>0.935</v>
      </c>
      <c r="AH850" s="7" t="n">
        <v>1.162</v>
      </c>
      <c r="AI850" s="4" t="n">
        <v>21942</v>
      </c>
      <c r="AJ850" s="6" t="n">
        <f aca="false">IFERROR(AM850*U850*MIN(1/AE850,5),"")</f>
        <v>75499.6786603139</v>
      </c>
      <c r="AK850" s="10" t="n">
        <f aca="false">IFERROR(AJ850/AI850,"")</f>
        <v>3.44087497312524</v>
      </c>
      <c r="AL850" s="8" t="n">
        <f aca="false">IFERROR(AI850/(AM850*U850/12),"")</f>
        <v>17.4374252097582</v>
      </c>
      <c r="AM850" s="4" t="n">
        <v>24000</v>
      </c>
      <c r="AN850" s="4" t="n">
        <v>1756549</v>
      </c>
      <c r="AO850" s="4" t="n">
        <v>2134644</v>
      </c>
      <c r="AP850" s="7" t="n">
        <v>0.188</v>
      </c>
      <c r="AQ850" s="9" t="n">
        <v>49</v>
      </c>
      <c r="AR850" s="9" t="n">
        <v>6</v>
      </c>
      <c r="AS850" s="7"/>
      <c r="AT850" s="3" t="s">
        <v>153</v>
      </c>
      <c r="AU850" s="6" t="n">
        <f aca="false">IFERROR(P850/AR850,"")</f>
        <v>183087.666666667</v>
      </c>
      <c r="AV850" s="4" t="n">
        <v>2263289</v>
      </c>
      <c r="AW850" s="4" t="n">
        <v>696102</v>
      </c>
      <c r="AX850" s="4" t="n">
        <v>468642</v>
      </c>
      <c r="AY850" s="9" t="n">
        <v>22148</v>
      </c>
      <c r="AZ850" s="7"/>
      <c r="BA850" s="7" t="n">
        <v>0.921</v>
      </c>
      <c r="BB850" s="3" t="s">
        <v>81</v>
      </c>
      <c r="BC850" s="3" t="s">
        <v>82</v>
      </c>
      <c r="BD850" s="3" t="s">
        <v>109</v>
      </c>
      <c r="BE850" s="4" t="n">
        <v>1335673</v>
      </c>
      <c r="BF850" s="5" t="n">
        <f aca="false">IFERROR(P850/BE850-1,"")</f>
        <v>-0.177548696424948</v>
      </c>
      <c r="BG850" s="7" t="n">
        <v>-0.003</v>
      </c>
      <c r="BH850" s="7" t="n">
        <v>-0.077</v>
      </c>
      <c r="BI850" s="6" t="n">
        <f aca="false">P850</f>
        <v>1098526</v>
      </c>
      <c r="BJ850" s="4" t="n">
        <v>-1019713</v>
      </c>
      <c r="BK850" s="3" t="s">
        <v>110</v>
      </c>
      <c r="BL850" s="3" t="s">
        <v>162</v>
      </c>
      <c r="BM850" s="6" t="n">
        <f aca="false">O850</f>
        <v>35678636</v>
      </c>
      <c r="BN850" s="3" t="s">
        <v>797</v>
      </c>
      <c r="BO850" s="5" t="n">
        <f aca="false">IFERROR(1-L850/M850,"")</f>
        <v>0.198646803964627</v>
      </c>
      <c r="BP850" s="3" t="s">
        <v>142</v>
      </c>
      <c r="BQ850" s="4" t="n">
        <v>2282899</v>
      </c>
      <c r="BR850" s="3" t="s">
        <v>88</v>
      </c>
      <c r="BS850" s="3" t="s">
        <v>89</v>
      </c>
      <c r="BT850" s="3" t="s">
        <v>90</v>
      </c>
    </row>
    <row r="851" customFormat="false" ht="15" hidden="false" customHeight="false" outlineLevel="0" collapsed="false">
      <c r="A851" s="11" t="s">
        <v>795</v>
      </c>
      <c r="B851" s="11" t="s">
        <v>91</v>
      </c>
      <c r="C851" s="11" t="s">
        <v>74</v>
      </c>
      <c r="D851" s="11" t="s">
        <v>165</v>
      </c>
      <c r="E851" s="11" t="s">
        <v>116</v>
      </c>
      <c r="F851" s="11" t="s">
        <v>796</v>
      </c>
      <c r="G851" s="11" t="s">
        <v>78</v>
      </c>
      <c r="H851" s="11" t="s">
        <v>644</v>
      </c>
      <c r="I851" s="11" t="s">
        <v>78</v>
      </c>
      <c r="J851" s="12" t="n">
        <v>3347000</v>
      </c>
      <c r="K851" s="13" t="n">
        <f aca="false">IFERROR(J851/M851,"")</f>
        <v>0.198646803964627</v>
      </c>
      <c r="L851" s="12" t="n">
        <v>13502000</v>
      </c>
      <c r="M851" s="14" t="n">
        <f aca="false">L851+J851</f>
        <v>16849000</v>
      </c>
      <c r="N851" s="12" t="n">
        <v>4071000</v>
      </c>
      <c r="O851" s="12" t="n">
        <v>35678636</v>
      </c>
      <c r="P851" s="12" t="n">
        <v>1242526</v>
      </c>
      <c r="Q851" s="13" t="n">
        <f aca="false">IFERROR(P851/P850-1,"")</f>
        <v>0.131084744466676</v>
      </c>
      <c r="R851" s="12" t="n">
        <v>1594144</v>
      </c>
      <c r="S851" s="13" t="n">
        <f aca="false">IFERROR(R851/R850-1,"")</f>
        <v>0.260355286886769</v>
      </c>
      <c r="T851" s="12" t="n">
        <v>784918</v>
      </c>
      <c r="U851" s="13" t="n">
        <f aca="false">IFERROR(T851/P851,"")</f>
        <v>0.631711529577651</v>
      </c>
      <c r="V851" s="14" t="n">
        <f aca="false">T851-AV851</f>
        <v>-1710875</v>
      </c>
      <c r="W851" s="14" t="n">
        <f aca="false">V851-AA851*0.1</f>
        <v>-1805975</v>
      </c>
      <c r="X851" s="12" t="n">
        <v>4128792</v>
      </c>
      <c r="Y851" s="12" t="n">
        <v>133480</v>
      </c>
      <c r="Z851" s="15" t="n">
        <f aca="false">IFERROR(X851/Y851,"")</f>
        <v>30.931914893617</v>
      </c>
      <c r="AA851" s="12" t="n">
        <v>951000</v>
      </c>
      <c r="AB851" s="14" t="n">
        <f aca="false">W851-0.02*P851</f>
        <v>-1830825.52</v>
      </c>
      <c r="AC851" s="16" t="n">
        <v>61</v>
      </c>
      <c r="AD851" s="13" t="n">
        <f aca="false">IFERROR(AC851/AC850-1,"")</f>
        <v>0.196078431372549</v>
      </c>
      <c r="AE851" s="17" t="n">
        <v>0.089</v>
      </c>
      <c r="AF851" s="17" t="n">
        <v>0.058</v>
      </c>
      <c r="AG851" s="13" t="n">
        <f aca="false">1-AF851</f>
        <v>0.942</v>
      </c>
      <c r="AH851" s="17" t="n">
        <v>1.157</v>
      </c>
      <c r="AI851" s="12" t="n">
        <v>21528</v>
      </c>
      <c r="AJ851" s="14" t="n">
        <f aca="false">IFERROR(AM851*U851*MIN(1/AE851,5),"")</f>
        <v>77321.4912203044</v>
      </c>
      <c r="AK851" s="18" t="n">
        <f aca="false">IFERROR(AJ851/AI851,"")</f>
        <v>3.5916709039532</v>
      </c>
      <c r="AL851" s="15" t="n">
        <f aca="false">IFERROR(AI851/(AM851*U851/12),"")</f>
        <v>16.7053167187341</v>
      </c>
      <c r="AM851" s="12" t="n">
        <v>24480</v>
      </c>
      <c r="AN851" s="12" t="n">
        <v>1561729</v>
      </c>
      <c r="AO851" s="12" t="n">
        <v>5979090</v>
      </c>
      <c r="AP851" s="17" t="n">
        <v>0.188</v>
      </c>
      <c r="AQ851" s="16" t="n">
        <v>49</v>
      </c>
      <c r="AR851" s="16" t="n">
        <v>6</v>
      </c>
      <c r="AS851" s="13" t="n">
        <f aca="false">IFERROR(AR851/AR850-1,"")</f>
        <v>0</v>
      </c>
      <c r="AT851" s="11" t="s">
        <v>153</v>
      </c>
      <c r="AU851" s="14" t="n">
        <f aca="false">IFERROR(P851/AR851,"")</f>
        <v>207087.666666667</v>
      </c>
      <c r="AV851" s="12" t="n">
        <v>2495793</v>
      </c>
      <c r="AW851" s="12" t="n">
        <v>760970</v>
      </c>
      <c r="AX851" s="12" t="n">
        <v>561010</v>
      </c>
      <c r="AY851" s="16" t="n">
        <v>25996</v>
      </c>
      <c r="AZ851" s="13" t="n">
        <f aca="false">IFERROR(AY851/AY850-1,"")</f>
        <v>0.173740292577208</v>
      </c>
      <c r="BA851" s="17" t="n">
        <v>0.922</v>
      </c>
      <c r="BB851" s="11" t="s">
        <v>81</v>
      </c>
      <c r="BC851" s="11" t="s">
        <v>82</v>
      </c>
      <c r="BD851" s="11" t="s">
        <v>109</v>
      </c>
      <c r="BE851" s="12" t="n">
        <v>1186895</v>
      </c>
      <c r="BF851" s="13" t="n">
        <f aca="false">IFERROR(P851/BE851-1,"")</f>
        <v>0.0468710374548718</v>
      </c>
      <c r="BG851" s="17" t="n">
        <v>-0.028</v>
      </c>
      <c r="BH851" s="17" t="n">
        <v>0.076</v>
      </c>
      <c r="BI851" s="14" t="n">
        <f aca="false">P851*(1+IFERROR(Q851,0))^4</f>
        <v>2033696.14143684</v>
      </c>
      <c r="BJ851" s="12" t="n">
        <v>-1202598</v>
      </c>
      <c r="BK851" s="11" t="s">
        <v>110</v>
      </c>
      <c r="BL851" s="11" t="s">
        <v>162</v>
      </c>
      <c r="BM851" s="14" t="n">
        <f aca="false">O851</f>
        <v>35678636</v>
      </c>
      <c r="BN851" s="11" t="s">
        <v>797</v>
      </c>
      <c r="BO851" s="13" t="n">
        <f aca="false">IFERROR(1-L851/M851,"")</f>
        <v>0.198646803964627</v>
      </c>
      <c r="BP851" s="11" t="s">
        <v>142</v>
      </c>
      <c r="BQ851" s="12" t="n">
        <v>2503290</v>
      </c>
      <c r="BR851" s="11" t="s">
        <v>88</v>
      </c>
      <c r="BS851" s="11" t="s">
        <v>89</v>
      </c>
      <c r="BT851" s="19" t="str">
        <f aca="false">IF(OR(Z851&lt;6,AH851&lt;0.9,S851&lt;0.02,AK851&lt;1),"REVIEW",IF(AND(S851&gt;0.25,AH851&gt;1.2),"ACCELERATING","STABLE"))</f>
        <v>STABLE</v>
      </c>
    </row>
    <row r="852" customFormat="false" ht="15" hidden="false" customHeight="false" outlineLevel="0" collapsed="false">
      <c r="A852" s="11" t="s">
        <v>795</v>
      </c>
      <c r="B852" s="11" t="s">
        <v>92</v>
      </c>
      <c r="C852" s="11" t="s">
        <v>74</v>
      </c>
      <c r="D852" s="11" t="s">
        <v>165</v>
      </c>
      <c r="E852" s="11" t="s">
        <v>116</v>
      </c>
      <c r="F852" s="11" t="s">
        <v>796</v>
      </c>
      <c r="G852" s="11" t="s">
        <v>78</v>
      </c>
      <c r="H852" s="11" t="s">
        <v>644</v>
      </c>
      <c r="I852" s="11" t="s">
        <v>78</v>
      </c>
      <c r="J852" s="12" t="n">
        <v>3347000</v>
      </c>
      <c r="K852" s="13" t="n">
        <f aca="false">IFERROR(J852/M852,"")</f>
        <v>0.198646803964627</v>
      </c>
      <c r="L852" s="12" t="n">
        <v>13502000</v>
      </c>
      <c r="M852" s="14" t="n">
        <f aca="false">L852+J852</f>
        <v>16849000</v>
      </c>
      <c r="N852" s="12" t="n">
        <v>4071000</v>
      </c>
      <c r="O852" s="12" t="n">
        <v>35678636</v>
      </c>
      <c r="P852" s="12" t="n">
        <v>1615181</v>
      </c>
      <c r="Q852" s="13" t="n">
        <f aca="false">IFERROR(P852/P851-1,"")</f>
        <v>0.299917265312758</v>
      </c>
      <c r="R852" s="12" t="n">
        <v>1845471</v>
      </c>
      <c r="S852" s="13" t="n">
        <f aca="false">IFERROR(R852/R851-1,"")</f>
        <v>0.157656397414537</v>
      </c>
      <c r="T852" s="12" t="n">
        <v>1024443</v>
      </c>
      <c r="U852" s="13" t="n">
        <f aca="false">IFERROR(T852/P852,"")</f>
        <v>0.634258946830108</v>
      </c>
      <c r="V852" s="14" t="n">
        <f aca="false">T852-AV852</f>
        <v>-1708384</v>
      </c>
      <c r="W852" s="14" t="n">
        <f aca="false">V852-AA852*0.1</f>
        <v>-1803484</v>
      </c>
      <c r="X852" s="12" t="n">
        <v>3779898</v>
      </c>
      <c r="Y852" s="12" t="n">
        <v>137740</v>
      </c>
      <c r="Z852" s="15" t="n">
        <f aca="false">IFERROR(X852/Y852,"")</f>
        <v>27.4422680412371</v>
      </c>
      <c r="AA852" s="12" t="n">
        <v>951000</v>
      </c>
      <c r="AB852" s="14" t="n">
        <f aca="false">W852-0.02*P852</f>
        <v>-1835787.62</v>
      </c>
      <c r="AC852" s="16" t="n">
        <v>72</v>
      </c>
      <c r="AD852" s="13" t="n">
        <f aca="false">IFERROR(AC852/AC851-1,"")</f>
        <v>0.180327868852459</v>
      </c>
      <c r="AE852" s="17" t="n">
        <v>0.087</v>
      </c>
      <c r="AF852" s="17" t="n">
        <v>0.086</v>
      </c>
      <c r="AG852" s="13" t="n">
        <f aca="false">1-AF852</f>
        <v>0.914</v>
      </c>
      <c r="AH852" s="17" t="n">
        <v>1.152</v>
      </c>
      <c r="AI852" s="12" t="n">
        <v>21114</v>
      </c>
      <c r="AJ852" s="14" t="n">
        <f aca="false">IFERROR(AM852*U852*MIN(1/AE852,5),"")</f>
        <v>79155.5165643974</v>
      </c>
      <c r="AK852" s="18" t="n">
        <f aca="false">IFERROR(AJ852/AI852,"")</f>
        <v>3.74895882184321</v>
      </c>
      <c r="AL852" s="15" t="n">
        <f aca="false">IFERROR(AI852/(AM852*U852/12),"")</f>
        <v>16.0044435938884</v>
      </c>
      <c r="AM852" s="12" t="n">
        <v>24960</v>
      </c>
      <c r="AN852" s="12" t="n">
        <v>2652326</v>
      </c>
      <c r="AO852" s="12" t="n">
        <v>4576341</v>
      </c>
      <c r="AP852" s="17" t="n">
        <v>0.188</v>
      </c>
      <c r="AQ852" s="16" t="n">
        <v>49</v>
      </c>
      <c r="AR852" s="16" t="n">
        <v>7</v>
      </c>
      <c r="AS852" s="13" t="n">
        <f aca="false">IFERROR(AR852/AR851-1,"")</f>
        <v>0.166666666666667</v>
      </c>
      <c r="AT852" s="11" t="s">
        <v>153</v>
      </c>
      <c r="AU852" s="14" t="n">
        <f aca="false">IFERROR(P852/AR852,"")</f>
        <v>230740.142857143</v>
      </c>
      <c r="AV852" s="12" t="n">
        <v>2732827</v>
      </c>
      <c r="AW852" s="12" t="n">
        <v>1342987</v>
      </c>
      <c r="AX852" s="12" t="n">
        <v>909129</v>
      </c>
      <c r="AY852" s="16" t="n">
        <v>28653</v>
      </c>
      <c r="AZ852" s="13" t="n">
        <f aca="false">IFERROR(AY852/AY851-1,"")</f>
        <v>0.102208032004924</v>
      </c>
      <c r="BA852" s="17" t="n">
        <v>0.929</v>
      </c>
      <c r="BB852" s="11" t="s">
        <v>81</v>
      </c>
      <c r="BC852" s="11" t="s">
        <v>82</v>
      </c>
      <c r="BD852" s="11" t="s">
        <v>109</v>
      </c>
      <c r="BE852" s="12" t="n">
        <v>1578291</v>
      </c>
      <c r="BF852" s="13" t="n">
        <f aca="false">IFERROR(P852/BE852-1,"")</f>
        <v>0.0233733829819722</v>
      </c>
      <c r="BG852" s="17" t="n">
        <v>0.026</v>
      </c>
      <c r="BH852" s="17" t="n">
        <v>-0.037</v>
      </c>
      <c r="BI852" s="14" t="n">
        <f aca="false">P852*(1+IFERROR(Q852,0))^4</f>
        <v>4611944.21262572</v>
      </c>
      <c r="BJ852" s="12" t="n">
        <v>-1271245</v>
      </c>
      <c r="BK852" s="11" t="s">
        <v>110</v>
      </c>
      <c r="BL852" s="11" t="s">
        <v>162</v>
      </c>
      <c r="BM852" s="14" t="n">
        <f aca="false">O852</f>
        <v>35678636</v>
      </c>
      <c r="BN852" s="11" t="s">
        <v>797</v>
      </c>
      <c r="BO852" s="13" t="n">
        <f aca="false">IFERROR(1-L852/M852,"")</f>
        <v>0.198646803964627</v>
      </c>
      <c r="BP852" s="11" t="s">
        <v>142</v>
      </c>
      <c r="BQ852" s="12" t="n">
        <v>2481074</v>
      </c>
      <c r="BR852" s="11" t="s">
        <v>88</v>
      </c>
      <c r="BS852" s="11" t="s">
        <v>89</v>
      </c>
      <c r="BT852" s="19" t="str">
        <f aca="false">IF(OR(Z852&lt;6,AH852&lt;0.9,S852&lt;0.02,AK852&lt;1),"REVIEW",IF(AND(S852&gt;0.25,AH852&gt;1.2),"ACCELERATING","STABLE"))</f>
        <v>STABLE</v>
      </c>
    </row>
    <row r="853" customFormat="false" ht="15" hidden="false" customHeight="false" outlineLevel="0" collapsed="false">
      <c r="A853" s="11" t="s">
        <v>795</v>
      </c>
      <c r="B853" s="11" t="s">
        <v>93</v>
      </c>
      <c r="C853" s="11" t="s">
        <v>74</v>
      </c>
      <c r="D853" s="11" t="s">
        <v>165</v>
      </c>
      <c r="E853" s="11" t="s">
        <v>116</v>
      </c>
      <c r="F853" s="11" t="s">
        <v>796</v>
      </c>
      <c r="G853" s="11" t="s">
        <v>78</v>
      </c>
      <c r="H853" s="11" t="s">
        <v>644</v>
      </c>
      <c r="I853" s="11" t="s">
        <v>78</v>
      </c>
      <c r="J853" s="12" t="n">
        <v>3347000</v>
      </c>
      <c r="K853" s="13" t="n">
        <f aca="false">IFERROR(J853/M853,"")</f>
        <v>0.198646803964627</v>
      </c>
      <c r="L853" s="12" t="n">
        <v>13502000</v>
      </c>
      <c r="M853" s="14" t="n">
        <f aca="false">L853+J853</f>
        <v>16849000</v>
      </c>
      <c r="N853" s="12" t="n">
        <v>4071000</v>
      </c>
      <c r="O853" s="12" t="n">
        <v>35678636</v>
      </c>
      <c r="P853" s="12" t="n">
        <v>1783469</v>
      </c>
      <c r="Q853" s="13" t="n">
        <f aca="false">IFERROR(P853/P852-1,"")</f>
        <v>0.10419141879455</v>
      </c>
      <c r="R853" s="12" t="n">
        <v>2097428</v>
      </c>
      <c r="S853" s="13" t="n">
        <f aca="false">IFERROR(R853/R852-1,"")</f>
        <v>0.136527206333776</v>
      </c>
      <c r="T853" s="12" t="n">
        <v>1135724</v>
      </c>
      <c r="U853" s="13" t="n">
        <f aca="false">IFERROR(T853/P853,"")</f>
        <v>0.636806134561352</v>
      </c>
      <c r="V853" s="14" t="n">
        <f aca="false">T853-AV853</f>
        <v>-1594089</v>
      </c>
      <c r="W853" s="14" t="n">
        <f aca="false">V853-AA853*0.1</f>
        <v>-1689189</v>
      </c>
      <c r="X853" s="12" t="n">
        <v>3408000</v>
      </c>
      <c r="Y853" s="12" t="n">
        <v>142000</v>
      </c>
      <c r="Z853" s="15" t="n">
        <f aca="false">IFERROR(X853/Y853,"")</f>
        <v>24</v>
      </c>
      <c r="AA853" s="12" t="n">
        <v>951000</v>
      </c>
      <c r="AB853" s="14" t="n">
        <f aca="false">W853-0.02*P853</f>
        <v>-1724858.38</v>
      </c>
      <c r="AC853" s="16" t="n">
        <v>80</v>
      </c>
      <c r="AD853" s="13" t="n">
        <f aca="false">IFERROR(AC853/AC852-1,"")</f>
        <v>0.111111111111111</v>
      </c>
      <c r="AE853" s="17" t="n">
        <v>0.084</v>
      </c>
      <c r="AF853" s="17" t="n">
        <v>0.086</v>
      </c>
      <c r="AG853" s="13" t="n">
        <f aca="false">1-AF853</f>
        <v>0.914</v>
      </c>
      <c r="AH853" s="17" t="n">
        <v>1.147</v>
      </c>
      <c r="AI853" s="12" t="n">
        <v>20700</v>
      </c>
      <c r="AJ853" s="14" t="n">
        <f aca="false">IFERROR(AM853*U853*MIN(1/AE853,5),"")</f>
        <v>81001.740316204</v>
      </c>
      <c r="AK853" s="18" t="n">
        <f aca="false">IFERROR(AJ853/AI853,"")</f>
        <v>3.91312755150744</v>
      </c>
      <c r="AL853" s="15" t="n">
        <f aca="false">IFERROR(AI853/(AM853*U853/12),"")</f>
        <v>15.3330038978378</v>
      </c>
      <c r="AM853" s="12" t="n">
        <v>25440</v>
      </c>
      <c r="AN853" s="12" t="n">
        <v>2163944</v>
      </c>
      <c r="AO853" s="12" t="n">
        <v>7040857</v>
      </c>
      <c r="AP853" s="17" t="n">
        <v>0.188</v>
      </c>
      <c r="AQ853" s="16" t="n">
        <v>49</v>
      </c>
      <c r="AR853" s="16" t="n">
        <v>7</v>
      </c>
      <c r="AS853" s="13" t="n">
        <f aca="false">IFERROR(AR853/AR852-1,"")</f>
        <v>0</v>
      </c>
      <c r="AT853" s="11" t="s">
        <v>153</v>
      </c>
      <c r="AU853" s="14" t="n">
        <f aca="false">IFERROR(P853/AR853,"")</f>
        <v>254781.285714286</v>
      </c>
      <c r="AV853" s="12" t="n">
        <v>2729813</v>
      </c>
      <c r="AW853" s="12" t="n">
        <v>1124924</v>
      </c>
      <c r="AX853" s="12" t="n">
        <v>876718</v>
      </c>
      <c r="AY853" s="16" t="n">
        <v>34174</v>
      </c>
      <c r="AZ853" s="13" t="n">
        <f aca="false">IFERROR(AY853/AY852-1,"")</f>
        <v>0.192684884654312</v>
      </c>
      <c r="BA853" s="17" t="n">
        <v>0.937</v>
      </c>
      <c r="BB853" s="11" t="s">
        <v>81</v>
      </c>
      <c r="BC853" s="11" t="s">
        <v>82</v>
      </c>
      <c r="BD853" s="11" t="s">
        <v>109</v>
      </c>
      <c r="BE853" s="12" t="n">
        <v>2213899</v>
      </c>
      <c r="BF853" s="13" t="n">
        <f aca="false">IFERROR(P853/BE853-1,"")</f>
        <v>-0.19442169674407</v>
      </c>
      <c r="BG853" s="17" t="n">
        <v>0.065</v>
      </c>
      <c r="BH853" s="17" t="n">
        <v>0.077</v>
      </c>
      <c r="BI853" s="14" t="n">
        <f aca="false">P853*(1+IFERROR(Q853,0))^4</f>
        <v>2651203.3248197</v>
      </c>
      <c r="BJ853" s="12" t="n">
        <v>-1047700</v>
      </c>
      <c r="BK853" s="11" t="s">
        <v>110</v>
      </c>
      <c r="BL853" s="11" t="s">
        <v>162</v>
      </c>
      <c r="BM853" s="14" t="n">
        <f aca="false">O853</f>
        <v>35678636</v>
      </c>
      <c r="BN853" s="11" t="s">
        <v>797</v>
      </c>
      <c r="BO853" s="13" t="n">
        <f aca="false">IFERROR(1-L853/M853,"")</f>
        <v>0.198646803964627</v>
      </c>
      <c r="BP853" s="11" t="s">
        <v>142</v>
      </c>
      <c r="BQ853" s="12" t="n">
        <v>2416533</v>
      </c>
      <c r="BR853" s="11" t="s">
        <v>88</v>
      </c>
      <c r="BS853" s="11" t="s">
        <v>89</v>
      </c>
      <c r="BT853" s="19" t="str">
        <f aca="false">IF(OR(Z853&lt;6,AH853&lt;0.9,S853&lt;0.02,AK853&lt;1),"REVIEW",IF(AND(S853&gt;0.25,AH853&gt;1.2),"ACCELERATING","STABLE"))</f>
        <v>STABLE</v>
      </c>
    </row>
    <row r="854" customFormat="false" ht="15" hidden="false" customHeight="false" outlineLevel="0" collapsed="false">
      <c r="A854" s="3" t="s">
        <v>798</v>
      </c>
      <c r="B854" s="3" t="s">
        <v>73</v>
      </c>
      <c r="C854" s="3" t="s">
        <v>74</v>
      </c>
      <c r="D854" s="3" t="s">
        <v>132</v>
      </c>
      <c r="E854" s="3" t="s">
        <v>289</v>
      </c>
      <c r="F854" s="3" t="s">
        <v>799</v>
      </c>
      <c r="G854" s="3" t="s">
        <v>78</v>
      </c>
      <c r="H854" s="3" t="s">
        <v>644</v>
      </c>
      <c r="I854" s="3" t="s">
        <v>78</v>
      </c>
      <c r="J854" s="4" t="n">
        <v>2463000</v>
      </c>
      <c r="K854" s="5" t="n">
        <f aca="false">IFERROR(J854/M854,"")</f>
        <v>0.11542787515231</v>
      </c>
      <c r="L854" s="4" t="n">
        <v>18875000</v>
      </c>
      <c r="M854" s="6" t="n">
        <f aca="false">L854+J854</f>
        <v>21338000</v>
      </c>
      <c r="N854" s="4" t="n">
        <v>2808000</v>
      </c>
      <c r="O854" s="4" t="n">
        <v>25969260</v>
      </c>
      <c r="P854" s="4" t="n">
        <v>798587</v>
      </c>
      <c r="Q854" s="7"/>
      <c r="R854" s="4" t="n">
        <v>874678</v>
      </c>
      <c r="S854" s="7"/>
      <c r="T854" s="4" t="n">
        <v>505400</v>
      </c>
      <c r="U854" s="5" t="n">
        <f aca="false">IFERROR(T854/P854,"")</f>
        <v>0.632867802756619</v>
      </c>
      <c r="V854" s="6" t="n">
        <f aca="false">T854-AV854</f>
        <v>-888948</v>
      </c>
      <c r="W854" s="6" t="n">
        <f aca="false">V854-AA854*0.1</f>
        <v>-994048</v>
      </c>
      <c r="X854" s="4" t="n">
        <v>2500535</v>
      </c>
      <c r="Y854" s="4" t="n">
        <v>77350</v>
      </c>
      <c r="Z854" s="8" t="n">
        <f aca="false">IFERROR(X854/Y854,"")</f>
        <v>32.3275371687136</v>
      </c>
      <c r="AA854" s="4" t="n">
        <v>1051000</v>
      </c>
      <c r="AB854" s="6" t="n">
        <f aca="false">W854-0.02*P854</f>
        <v>-1010019.74</v>
      </c>
      <c r="AC854" s="9" t="n">
        <v>32</v>
      </c>
      <c r="AD854" s="7"/>
      <c r="AE854" s="7" t="n">
        <v>0.105</v>
      </c>
      <c r="AF854" s="7" t="n">
        <v>0.079</v>
      </c>
      <c r="AG854" s="5" t="n">
        <f aca="false">1-AF854</f>
        <v>0.921</v>
      </c>
      <c r="AH854" s="7" t="n">
        <v>1.055</v>
      </c>
      <c r="AI854" s="4" t="n">
        <v>59678</v>
      </c>
      <c r="AJ854" s="6" t="n">
        <f aca="false">IFERROR(AM854*U854*MIN(1/AE854,5),"")</f>
        <v>183531.66279942</v>
      </c>
      <c r="AK854" s="10" t="n">
        <f aca="false">IFERROR(AJ854/AI854,"")</f>
        <v>3.07536550821776</v>
      </c>
      <c r="AL854" s="8" t="n">
        <f aca="false">IFERROR(AI854/(AM854*U854/12),"")</f>
        <v>19.5098760910443</v>
      </c>
      <c r="AM854" s="4" t="n">
        <v>58000</v>
      </c>
      <c r="AN854" s="4" t="n">
        <v>992031</v>
      </c>
      <c r="AO854" s="4" t="n">
        <v>3228832</v>
      </c>
      <c r="AP854" s="7" t="n">
        <v>0.373</v>
      </c>
      <c r="AQ854" s="9" t="n">
        <v>53</v>
      </c>
      <c r="AR854" s="9" t="n">
        <v>4</v>
      </c>
      <c r="AS854" s="7"/>
      <c r="AT854" s="3" t="s">
        <v>201</v>
      </c>
      <c r="AU854" s="6" t="n">
        <f aca="false">IFERROR(P854/AR854,"")</f>
        <v>199646.75</v>
      </c>
      <c r="AV854" s="4" t="n">
        <v>1394348</v>
      </c>
      <c r="AW854" s="4" t="n">
        <v>620444</v>
      </c>
      <c r="AX854" s="4" t="n">
        <v>374590</v>
      </c>
      <c r="AY854" s="9" t="n">
        <v>14896</v>
      </c>
      <c r="AZ854" s="7"/>
      <c r="BA854" s="7" t="n">
        <v>0.907</v>
      </c>
      <c r="BB854" s="3" t="s">
        <v>107</v>
      </c>
      <c r="BC854" s="3" t="s">
        <v>126</v>
      </c>
      <c r="BD854" s="3" t="s">
        <v>101</v>
      </c>
      <c r="BE854" s="4" t="n">
        <v>872830</v>
      </c>
      <c r="BF854" s="5" t="n">
        <f aca="false">IFERROR(P854/BE854-1,"")</f>
        <v>-0.0850600918850177</v>
      </c>
      <c r="BG854" s="7" t="n">
        <v>-0.027</v>
      </c>
      <c r="BH854" s="7" t="n">
        <v>-0.023</v>
      </c>
      <c r="BI854" s="6" t="n">
        <f aca="false">P854</f>
        <v>798587</v>
      </c>
      <c r="BJ854" s="4" t="n">
        <v>-546913</v>
      </c>
      <c r="BK854" s="3" t="s">
        <v>110</v>
      </c>
      <c r="BL854" s="3" t="s">
        <v>111</v>
      </c>
      <c r="BM854" s="6" t="n">
        <f aca="false">O854</f>
        <v>25969260</v>
      </c>
      <c r="BN854" s="3" t="s">
        <v>800</v>
      </c>
      <c r="BO854" s="5" t="n">
        <f aca="false">IFERROR(1-L854/M854,"")</f>
        <v>0.11542787515231</v>
      </c>
      <c r="BP854" s="3" t="s">
        <v>142</v>
      </c>
      <c r="BQ854" s="4" t="n">
        <v>1339813</v>
      </c>
      <c r="BR854" s="3" t="s">
        <v>88</v>
      </c>
      <c r="BS854" s="3" t="s">
        <v>89</v>
      </c>
      <c r="BT854" s="3" t="s">
        <v>90</v>
      </c>
    </row>
    <row r="855" customFormat="false" ht="15" hidden="false" customHeight="false" outlineLevel="0" collapsed="false">
      <c r="A855" s="11" t="s">
        <v>798</v>
      </c>
      <c r="B855" s="11" t="s">
        <v>91</v>
      </c>
      <c r="C855" s="11" t="s">
        <v>74</v>
      </c>
      <c r="D855" s="11" t="s">
        <v>132</v>
      </c>
      <c r="E855" s="11" t="s">
        <v>289</v>
      </c>
      <c r="F855" s="11" t="s">
        <v>799</v>
      </c>
      <c r="G855" s="11" t="s">
        <v>78</v>
      </c>
      <c r="H855" s="11" t="s">
        <v>644</v>
      </c>
      <c r="I855" s="11" t="s">
        <v>78</v>
      </c>
      <c r="J855" s="12" t="n">
        <v>2463000</v>
      </c>
      <c r="K855" s="13" t="n">
        <f aca="false">IFERROR(J855/M855,"")</f>
        <v>0.11542787515231</v>
      </c>
      <c r="L855" s="12" t="n">
        <v>18875000</v>
      </c>
      <c r="M855" s="14" t="n">
        <f aca="false">L855+J855</f>
        <v>21338000</v>
      </c>
      <c r="N855" s="12" t="n">
        <v>2808000</v>
      </c>
      <c r="O855" s="12" t="n">
        <v>25969260</v>
      </c>
      <c r="P855" s="12" t="n">
        <v>939435</v>
      </c>
      <c r="Q855" s="13" t="n">
        <f aca="false">IFERROR(P855/P854-1,"")</f>
        <v>0.176371516190471</v>
      </c>
      <c r="R855" s="12" t="n">
        <v>1139038</v>
      </c>
      <c r="S855" s="13" t="n">
        <f aca="false">IFERROR(R855/R854-1,"")</f>
        <v>0.302236937478706</v>
      </c>
      <c r="T855" s="12" t="n">
        <v>596945</v>
      </c>
      <c r="U855" s="13" t="n">
        <f aca="false">IFERROR(T855/P855,"")</f>
        <v>0.635429806213309</v>
      </c>
      <c r="V855" s="14" t="n">
        <f aca="false">T855-AV855</f>
        <v>-1031239</v>
      </c>
      <c r="W855" s="14" t="n">
        <f aca="false">V855-AA855*0.1</f>
        <v>-1136339</v>
      </c>
      <c r="X855" s="12" t="n">
        <v>2305460</v>
      </c>
      <c r="Y855" s="12" t="n">
        <v>79900</v>
      </c>
      <c r="Z855" s="15" t="n">
        <f aca="false">IFERROR(X855/Y855,"")</f>
        <v>28.8543178973717</v>
      </c>
      <c r="AA855" s="12" t="n">
        <v>1051000</v>
      </c>
      <c r="AB855" s="14" t="n">
        <f aca="false">W855-0.02*P855</f>
        <v>-1155127.7</v>
      </c>
      <c r="AC855" s="16" t="n">
        <v>36</v>
      </c>
      <c r="AD855" s="13" t="n">
        <f aca="false">IFERROR(AC855/AC854-1,"")</f>
        <v>0.125</v>
      </c>
      <c r="AE855" s="17" t="n">
        <v>0.102</v>
      </c>
      <c r="AF855" s="17" t="n">
        <v>0.097</v>
      </c>
      <c r="AG855" s="13" t="n">
        <f aca="false">1-AF855</f>
        <v>0.903</v>
      </c>
      <c r="AH855" s="17" t="n">
        <v>1.05</v>
      </c>
      <c r="AI855" s="12" t="n">
        <v>58552</v>
      </c>
      <c r="AJ855" s="14" t="n">
        <f aca="false">IFERROR(AM855*U855*MIN(1/AE855,5),"")</f>
        <v>187960.136677897</v>
      </c>
      <c r="AK855" s="18" t="n">
        <f aca="false">IFERROR(AJ855/AI855,"")</f>
        <v>3.2101403312935</v>
      </c>
      <c r="AL855" s="15" t="n">
        <f aca="false">IFERROR(AI855/(AM855*U855/12),"")</f>
        <v>18.6907716821911</v>
      </c>
      <c r="AM855" s="12" t="n">
        <v>59160</v>
      </c>
      <c r="AN855" s="12" t="n">
        <v>1537177</v>
      </c>
      <c r="AO855" s="12" t="n">
        <v>2723510</v>
      </c>
      <c r="AP855" s="17" t="n">
        <v>0.373</v>
      </c>
      <c r="AQ855" s="16" t="n">
        <v>53</v>
      </c>
      <c r="AR855" s="16" t="n">
        <v>5</v>
      </c>
      <c r="AS855" s="13" t="n">
        <f aca="false">IFERROR(AR855/AR854-1,"")</f>
        <v>0.25</v>
      </c>
      <c r="AT855" s="11" t="s">
        <v>201</v>
      </c>
      <c r="AU855" s="14" t="n">
        <f aca="false">IFERROR(P855/AR855,"")</f>
        <v>187887</v>
      </c>
      <c r="AV855" s="12" t="n">
        <v>1628184</v>
      </c>
      <c r="AW855" s="12" t="n">
        <v>586228</v>
      </c>
      <c r="AX855" s="12" t="n">
        <v>400713</v>
      </c>
      <c r="AY855" s="16" t="n">
        <v>17850</v>
      </c>
      <c r="AZ855" s="13" t="n">
        <f aca="false">IFERROR(AY855/AY854-1,"")</f>
        <v>0.198308270676692</v>
      </c>
      <c r="BA855" s="17" t="n">
        <v>0.915</v>
      </c>
      <c r="BB855" s="11" t="s">
        <v>107</v>
      </c>
      <c r="BC855" s="11" t="s">
        <v>126</v>
      </c>
      <c r="BD855" s="11" t="s">
        <v>101</v>
      </c>
      <c r="BE855" s="12" t="n">
        <v>963635</v>
      </c>
      <c r="BF855" s="13" t="n">
        <f aca="false">IFERROR(P855/BE855-1,"")</f>
        <v>-0.0251132430847779</v>
      </c>
      <c r="BG855" s="17" t="n">
        <v>-0.052</v>
      </c>
      <c r="BH855" s="17" t="n">
        <v>0.015</v>
      </c>
      <c r="BI855" s="14" t="n">
        <f aca="false">P855*(1+IFERROR(Q855,0))^4</f>
        <v>1799056.22975224</v>
      </c>
      <c r="BJ855" s="12" t="n">
        <v>-846258</v>
      </c>
      <c r="BK855" s="11" t="s">
        <v>110</v>
      </c>
      <c r="BL855" s="11" t="s">
        <v>111</v>
      </c>
      <c r="BM855" s="14" t="n">
        <f aca="false">O855</f>
        <v>25969260</v>
      </c>
      <c r="BN855" s="11" t="s">
        <v>800</v>
      </c>
      <c r="BO855" s="13" t="n">
        <f aca="false">IFERROR(1-L855/M855,"")</f>
        <v>0.11542787515231</v>
      </c>
      <c r="BP855" s="11" t="s">
        <v>142</v>
      </c>
      <c r="BQ855" s="12" t="n">
        <v>1349870</v>
      </c>
      <c r="BR855" s="11" t="s">
        <v>88</v>
      </c>
      <c r="BS855" s="11" t="s">
        <v>89</v>
      </c>
      <c r="BT855" s="19" t="str">
        <f aca="false">IF(OR(Z855&lt;6,AH855&lt;0.9,S855&lt;0.02,AK855&lt;1),"REVIEW",IF(AND(S855&gt;0.25,AH855&gt;1.2),"ACCELERATING","STABLE"))</f>
        <v>STABLE</v>
      </c>
    </row>
    <row r="856" customFormat="false" ht="15" hidden="false" customHeight="false" outlineLevel="0" collapsed="false">
      <c r="A856" s="11" t="s">
        <v>798</v>
      </c>
      <c r="B856" s="11" t="s">
        <v>92</v>
      </c>
      <c r="C856" s="11" t="s">
        <v>74</v>
      </c>
      <c r="D856" s="11" t="s">
        <v>132</v>
      </c>
      <c r="E856" s="11" t="s">
        <v>289</v>
      </c>
      <c r="F856" s="11" t="s">
        <v>799</v>
      </c>
      <c r="G856" s="11" t="s">
        <v>78</v>
      </c>
      <c r="H856" s="11" t="s">
        <v>644</v>
      </c>
      <c r="I856" s="11" t="s">
        <v>78</v>
      </c>
      <c r="J856" s="12" t="n">
        <v>2463000</v>
      </c>
      <c r="K856" s="13" t="n">
        <f aca="false">IFERROR(J856/M856,"")</f>
        <v>0.11542787515231</v>
      </c>
      <c r="L856" s="12" t="n">
        <v>18875000</v>
      </c>
      <c r="M856" s="14" t="n">
        <f aca="false">L856+J856</f>
        <v>21338000</v>
      </c>
      <c r="N856" s="12" t="n">
        <v>2808000</v>
      </c>
      <c r="O856" s="12" t="n">
        <v>25969260</v>
      </c>
      <c r="P856" s="12" t="n">
        <v>1110247</v>
      </c>
      <c r="Q856" s="13" t="n">
        <f aca="false">IFERROR(P856/P855-1,"")</f>
        <v>0.181824181555935</v>
      </c>
      <c r="R856" s="12" t="n">
        <v>1240205</v>
      </c>
      <c r="S856" s="13" t="n">
        <f aca="false">IFERROR(R856/R855-1,"")</f>
        <v>0.0888179323253482</v>
      </c>
      <c r="T856" s="12" t="n">
        <v>708329</v>
      </c>
      <c r="U856" s="13" t="n">
        <f aca="false">IFERROR(T856/P856,"")</f>
        <v>0.637992266585724</v>
      </c>
      <c r="V856" s="14" t="n">
        <f aca="false">T856-AV856</f>
        <v>-897687</v>
      </c>
      <c r="W856" s="14" t="n">
        <f aca="false">V856-AA856*0.1</f>
        <v>-1002787</v>
      </c>
      <c r="X856" s="12" t="n">
        <v>2096615</v>
      </c>
      <c r="Y856" s="12" t="n">
        <v>82450</v>
      </c>
      <c r="Z856" s="15" t="n">
        <f aca="false">IFERROR(X856/Y856,"")</f>
        <v>25.4289266221953</v>
      </c>
      <c r="AA856" s="12" t="n">
        <v>1051000</v>
      </c>
      <c r="AB856" s="14" t="n">
        <f aca="false">W856-0.02*P856</f>
        <v>-1024991.94</v>
      </c>
      <c r="AC856" s="16" t="n">
        <v>44</v>
      </c>
      <c r="AD856" s="13" t="n">
        <f aca="false">IFERROR(AC856/AC855-1,"")</f>
        <v>0.222222222222222</v>
      </c>
      <c r="AE856" s="17" t="n">
        <v>0.099</v>
      </c>
      <c r="AF856" s="17" t="n">
        <v>0.078</v>
      </c>
      <c r="AG856" s="13" t="n">
        <f aca="false">1-AF856</f>
        <v>0.922</v>
      </c>
      <c r="AH856" s="17" t="n">
        <v>1.045</v>
      </c>
      <c r="AI856" s="12" t="n">
        <v>57426</v>
      </c>
      <c r="AJ856" s="14" t="n">
        <f aca="false">IFERROR(AM856*U856*MIN(1/AE856,5),"")</f>
        <v>192418.467602254</v>
      </c>
      <c r="AK856" s="18" t="n">
        <f aca="false">IFERROR(AJ856/AI856,"")</f>
        <v>3.35072036363763</v>
      </c>
      <c r="AL856" s="15" t="n">
        <f aca="false">IFERROR(AI856/(AM856*U856/12),"")</f>
        <v>17.9065972353666</v>
      </c>
      <c r="AM856" s="12" t="n">
        <v>60320</v>
      </c>
      <c r="AN856" s="12" t="n">
        <v>1400575</v>
      </c>
      <c r="AO856" s="12" t="n">
        <v>3778316</v>
      </c>
      <c r="AP856" s="17" t="n">
        <v>0.373</v>
      </c>
      <c r="AQ856" s="16" t="n">
        <v>53</v>
      </c>
      <c r="AR856" s="16" t="n">
        <v>5</v>
      </c>
      <c r="AS856" s="13" t="n">
        <f aca="false">IFERROR(AR856/AR855-1,"")</f>
        <v>0</v>
      </c>
      <c r="AT856" s="11" t="s">
        <v>201</v>
      </c>
      <c r="AU856" s="14" t="n">
        <f aca="false">IFERROR(P856/AR856,"")</f>
        <v>222049.4</v>
      </c>
      <c r="AV856" s="12" t="n">
        <v>1606016</v>
      </c>
      <c r="AW856" s="12" t="n">
        <v>656787</v>
      </c>
      <c r="AX856" s="12" t="n">
        <v>311724</v>
      </c>
      <c r="AY856" s="16" t="n">
        <v>21000</v>
      </c>
      <c r="AZ856" s="13" t="n">
        <f aca="false">IFERROR(AY856/AY855-1,"")</f>
        <v>0.176470588235294</v>
      </c>
      <c r="BA856" s="17" t="n">
        <v>0.92</v>
      </c>
      <c r="BB856" s="11" t="s">
        <v>107</v>
      </c>
      <c r="BC856" s="11" t="s">
        <v>126</v>
      </c>
      <c r="BD856" s="11" t="s">
        <v>101</v>
      </c>
      <c r="BE856" s="12" t="n">
        <v>1175818</v>
      </c>
      <c r="BF856" s="13" t="n">
        <f aca="false">IFERROR(P856/BE856-1,"")</f>
        <v>-0.0557662835574894</v>
      </c>
      <c r="BG856" s="17" t="n">
        <v>0.073</v>
      </c>
      <c r="BH856" s="17" t="n">
        <v>0.005</v>
      </c>
      <c r="BI856" s="14" t="n">
        <f aca="false">P856*(1+IFERROR(Q856,0))^4</f>
        <v>2165863.56778224</v>
      </c>
      <c r="BJ856" s="12" t="n">
        <v>-712338</v>
      </c>
      <c r="BK856" s="11" t="s">
        <v>110</v>
      </c>
      <c r="BL856" s="11" t="s">
        <v>111</v>
      </c>
      <c r="BM856" s="14" t="n">
        <f aca="false">O856</f>
        <v>25969260</v>
      </c>
      <c r="BN856" s="11" t="s">
        <v>800</v>
      </c>
      <c r="BO856" s="13" t="n">
        <f aca="false">IFERROR(1-L856/M856,"")</f>
        <v>0.11542787515231</v>
      </c>
      <c r="BP856" s="11" t="s">
        <v>142</v>
      </c>
      <c r="BQ856" s="12" t="n">
        <v>1308230</v>
      </c>
      <c r="BR856" s="11" t="s">
        <v>88</v>
      </c>
      <c r="BS856" s="11" t="s">
        <v>89</v>
      </c>
      <c r="BT856" s="19" t="str">
        <f aca="false">IF(OR(Z856&lt;6,AH856&lt;0.9,S856&lt;0.02,AK856&lt;1),"REVIEW",IF(AND(S856&gt;0.25,AH856&gt;1.2),"ACCELERATING","STABLE"))</f>
        <v>STABLE</v>
      </c>
    </row>
    <row r="857" customFormat="false" ht="15" hidden="false" customHeight="false" outlineLevel="0" collapsed="false">
      <c r="A857" s="11" t="s">
        <v>798</v>
      </c>
      <c r="B857" s="11" t="s">
        <v>93</v>
      </c>
      <c r="C857" s="11" t="s">
        <v>74</v>
      </c>
      <c r="D857" s="11" t="s">
        <v>132</v>
      </c>
      <c r="E857" s="11" t="s">
        <v>289</v>
      </c>
      <c r="F857" s="11" t="s">
        <v>799</v>
      </c>
      <c r="G857" s="11" t="s">
        <v>78</v>
      </c>
      <c r="H857" s="11" t="s">
        <v>644</v>
      </c>
      <c r="I857" s="11" t="s">
        <v>78</v>
      </c>
      <c r="J857" s="12" t="n">
        <v>2463000</v>
      </c>
      <c r="K857" s="13" t="n">
        <f aca="false">IFERROR(J857/M857,"")</f>
        <v>0.11542787515231</v>
      </c>
      <c r="L857" s="12" t="n">
        <v>18875000</v>
      </c>
      <c r="M857" s="14" t="n">
        <f aca="false">L857+J857</f>
        <v>21338000</v>
      </c>
      <c r="N857" s="12" t="n">
        <v>2808000</v>
      </c>
      <c r="O857" s="12" t="n">
        <v>25969260</v>
      </c>
      <c r="P857" s="12" t="n">
        <v>1404078</v>
      </c>
      <c r="Q857" s="13" t="n">
        <f aca="false">IFERROR(P857/P856-1,"")</f>
        <v>0.264653721198976</v>
      </c>
      <c r="R857" s="12" t="n">
        <v>1560129</v>
      </c>
      <c r="S857" s="13" t="n">
        <f aca="false">IFERROR(R857/R856-1,"")</f>
        <v>0.25796057909781</v>
      </c>
      <c r="T857" s="12" t="n">
        <v>899389</v>
      </c>
      <c r="U857" s="13" t="n">
        <f aca="false">IFERROR(T857/P857,"")</f>
        <v>0.640554869458819</v>
      </c>
      <c r="V857" s="14" t="n">
        <f aca="false">T857-AV857</f>
        <v>-847281</v>
      </c>
      <c r="W857" s="14" t="n">
        <f aca="false">V857-AA857*0.1</f>
        <v>-952381</v>
      </c>
      <c r="X857" s="12" t="n">
        <v>1874000</v>
      </c>
      <c r="Y857" s="12" t="n">
        <v>85000</v>
      </c>
      <c r="Z857" s="15" t="n">
        <f aca="false">IFERROR(X857/Y857,"")</f>
        <v>22.0470588235294</v>
      </c>
      <c r="AA857" s="12" t="n">
        <v>1051000</v>
      </c>
      <c r="AB857" s="14" t="n">
        <f aca="false">W857-0.02*P857</f>
        <v>-980462.56</v>
      </c>
      <c r="AC857" s="16" t="n">
        <v>46</v>
      </c>
      <c r="AD857" s="13" t="n">
        <f aca="false">IFERROR(AC857/AC856-1,"")</f>
        <v>0.0454545454545454</v>
      </c>
      <c r="AE857" s="17" t="n">
        <v>0.096</v>
      </c>
      <c r="AF857" s="17" t="n">
        <v>0.083</v>
      </c>
      <c r="AG857" s="13" t="n">
        <f aca="false">1-AF857</f>
        <v>0.917</v>
      </c>
      <c r="AH857" s="17" t="n">
        <v>1.04</v>
      </c>
      <c r="AI857" s="12" t="n">
        <v>56300</v>
      </c>
      <c r="AJ857" s="14" t="n">
        <f aca="false">IFERROR(AM857*U857*MIN(1/AE857,5),"")</f>
        <v>196906.566871641</v>
      </c>
      <c r="AK857" s="18" t="n">
        <f aca="false">IFERROR(AJ857/AI857,"")</f>
        <v>3.49745234230268</v>
      </c>
      <c r="AL857" s="15" t="n">
        <f aca="false">IFERROR(AI857/(AM857*U857/12),"")</f>
        <v>17.155344555888</v>
      </c>
      <c r="AM857" s="12" t="n">
        <v>61480</v>
      </c>
      <c r="AN857" s="12" t="n">
        <v>2004852</v>
      </c>
      <c r="AO857" s="12" t="n">
        <v>5317760</v>
      </c>
      <c r="AP857" s="17" t="n">
        <v>0.373</v>
      </c>
      <c r="AQ857" s="16" t="n">
        <v>53</v>
      </c>
      <c r="AR857" s="16" t="n">
        <v>6</v>
      </c>
      <c r="AS857" s="13" t="n">
        <f aca="false">IFERROR(AR857/AR856-1,"")</f>
        <v>0.2</v>
      </c>
      <c r="AT857" s="11" t="s">
        <v>201</v>
      </c>
      <c r="AU857" s="14" t="n">
        <f aca="false">IFERROR(P857/AR857,"")</f>
        <v>234013</v>
      </c>
      <c r="AV857" s="12" t="n">
        <v>1746670</v>
      </c>
      <c r="AW857" s="12" t="n">
        <v>688944</v>
      </c>
      <c r="AX857" s="12" t="n">
        <v>502323</v>
      </c>
      <c r="AY857" s="16" t="n">
        <v>24396</v>
      </c>
      <c r="AZ857" s="13" t="n">
        <f aca="false">IFERROR(AY857/AY856-1,"")</f>
        <v>0.161714285714286</v>
      </c>
      <c r="BA857" s="17" t="n">
        <v>0.901</v>
      </c>
      <c r="BB857" s="11" t="s">
        <v>107</v>
      </c>
      <c r="BC857" s="11" t="s">
        <v>126</v>
      </c>
      <c r="BD857" s="11" t="s">
        <v>101</v>
      </c>
      <c r="BE857" s="12" t="n">
        <v>1492138</v>
      </c>
      <c r="BF857" s="13" t="n">
        <f aca="false">IFERROR(P857/BE857-1,"")</f>
        <v>-0.0590159891377339</v>
      </c>
      <c r="BG857" s="17" t="n">
        <v>0.009</v>
      </c>
      <c r="BH857" s="17" t="n">
        <v>0.047</v>
      </c>
      <c r="BI857" s="14" t="n">
        <f aca="false">P857*(1+IFERROR(Q857,0))^4</f>
        <v>3591515.45489771</v>
      </c>
      <c r="BJ857" s="12" t="n">
        <v>-829560</v>
      </c>
      <c r="BK857" s="11" t="s">
        <v>110</v>
      </c>
      <c r="BL857" s="11" t="s">
        <v>111</v>
      </c>
      <c r="BM857" s="14" t="n">
        <f aca="false">O857</f>
        <v>25969260</v>
      </c>
      <c r="BN857" s="11" t="s">
        <v>800</v>
      </c>
      <c r="BO857" s="13" t="n">
        <f aca="false">IFERROR(1-L857/M857,"")</f>
        <v>0.11542787515231</v>
      </c>
      <c r="BP857" s="11" t="s">
        <v>142</v>
      </c>
      <c r="BQ857" s="12" t="n">
        <v>1409585</v>
      </c>
      <c r="BR857" s="11" t="s">
        <v>88</v>
      </c>
      <c r="BS857" s="11" t="s">
        <v>89</v>
      </c>
      <c r="BT857" s="19" t="str">
        <f aca="false">IF(OR(Z857&lt;6,AH857&lt;0.9,S857&lt;0.02,AK857&lt;1),"REVIEW",IF(AND(S857&gt;0.25,AH857&gt;1.2),"ACCELERATING","STABLE"))</f>
        <v>STABLE</v>
      </c>
    </row>
    <row r="858" customFormat="false" ht="15" hidden="false" customHeight="false" outlineLevel="0" collapsed="false">
      <c r="A858" s="3" t="s">
        <v>801</v>
      </c>
      <c r="B858" s="3" t="s">
        <v>73</v>
      </c>
      <c r="C858" s="3" t="s">
        <v>74</v>
      </c>
      <c r="D858" s="3" t="s">
        <v>210</v>
      </c>
      <c r="E858" s="3" t="s">
        <v>105</v>
      </c>
      <c r="F858" s="3" t="s">
        <v>802</v>
      </c>
      <c r="G858" s="3" t="s">
        <v>78</v>
      </c>
      <c r="H858" s="3" t="s">
        <v>644</v>
      </c>
      <c r="I858" s="3" t="s">
        <v>78</v>
      </c>
      <c r="J858" s="4" t="n">
        <v>2591000</v>
      </c>
      <c r="K858" s="5" t="n">
        <f aca="false">IFERROR(J858/M858,"")</f>
        <v>0.118035624800692</v>
      </c>
      <c r="L858" s="4" t="n">
        <v>19360000</v>
      </c>
      <c r="M858" s="6" t="n">
        <f aca="false">L858+J858</f>
        <v>21951000</v>
      </c>
      <c r="N858" s="4" t="n">
        <v>2591000</v>
      </c>
      <c r="O858" s="4" t="n">
        <v>19519487</v>
      </c>
      <c r="P858" s="4" t="n">
        <v>675923</v>
      </c>
      <c r="Q858" s="7"/>
      <c r="R858" s="4" t="n">
        <v>740978</v>
      </c>
      <c r="S858" s="7"/>
      <c r="T858" s="4" t="n">
        <v>402798</v>
      </c>
      <c r="U858" s="5" t="n">
        <f aca="false">IFERROR(T858/P858,"")</f>
        <v>0.595922908378617</v>
      </c>
      <c r="V858" s="6" t="n">
        <f aca="false">T858-AV858</f>
        <v>-1869459</v>
      </c>
      <c r="W858" s="6" t="n">
        <f aca="false">V858-AA858*0.1</f>
        <v>-1927159</v>
      </c>
      <c r="X858" s="4" t="n">
        <v>3782635</v>
      </c>
      <c r="Y858" s="4" t="n">
        <v>168350</v>
      </c>
      <c r="Z858" s="8" t="n">
        <f aca="false">IFERROR(X858/Y858,"")</f>
        <v>22.4688743688744</v>
      </c>
      <c r="AA858" s="4" t="n">
        <v>577000</v>
      </c>
      <c r="AB858" s="6" t="n">
        <f aca="false">W858-0.02*P858</f>
        <v>-1940677.46</v>
      </c>
      <c r="AC858" s="9" t="n">
        <v>13</v>
      </c>
      <c r="AD858" s="7"/>
      <c r="AE858" s="7" t="n">
        <v>0.074</v>
      </c>
      <c r="AF858" s="7" t="n">
        <v>0.049</v>
      </c>
      <c r="AG858" s="5" t="n">
        <f aca="false">1-AF858</f>
        <v>0.951</v>
      </c>
      <c r="AH858" s="7" t="n">
        <v>1.17</v>
      </c>
      <c r="AI858" s="4" t="n">
        <v>29150</v>
      </c>
      <c r="AJ858" s="6" t="n">
        <f aca="false">IFERROR(AM858*U858*MIN(1/AE858,5),"")</f>
        <v>68531.134463541</v>
      </c>
      <c r="AK858" s="10" t="n">
        <f aca="false">IFERROR(AJ858/AI858,"")</f>
        <v>2.35098231435818</v>
      </c>
      <c r="AL858" s="8" t="n">
        <f aca="false">IFERROR(AI858/(AM858*U858/12),"")</f>
        <v>25.5212468564997</v>
      </c>
      <c r="AM858" s="4" t="n">
        <v>23000</v>
      </c>
      <c r="AN858" s="4" t="n">
        <v>852641</v>
      </c>
      <c r="AO858" s="4" t="n">
        <v>1187734</v>
      </c>
      <c r="AP858" s="7" t="n">
        <v>0.375</v>
      </c>
      <c r="AQ858" s="9" t="n">
        <v>78</v>
      </c>
      <c r="AR858" s="9" t="n">
        <v>3</v>
      </c>
      <c r="AS858" s="7"/>
      <c r="AT858" s="3" t="s">
        <v>201</v>
      </c>
      <c r="AU858" s="6" t="n">
        <f aca="false">IFERROR(P858/AR858,"")</f>
        <v>225307.666666667</v>
      </c>
      <c r="AV858" s="4" t="n">
        <v>2272257</v>
      </c>
      <c r="AW858" s="4" t="n">
        <v>914525</v>
      </c>
      <c r="AX858" s="4" t="n">
        <v>769942</v>
      </c>
      <c r="AY858" s="9" t="n">
        <v>18276</v>
      </c>
      <c r="AZ858" s="7"/>
      <c r="BA858" s="7" t="n">
        <v>0.946</v>
      </c>
      <c r="BB858" s="3" t="s">
        <v>107</v>
      </c>
      <c r="BC858" s="3" t="s">
        <v>82</v>
      </c>
      <c r="BD858" s="3" t="s">
        <v>101</v>
      </c>
      <c r="BE858" s="4" t="n">
        <v>675767</v>
      </c>
      <c r="BF858" s="5" t="n">
        <f aca="false">IFERROR(P858/BE858-1,"")</f>
        <v>0.000230848798476346</v>
      </c>
      <c r="BG858" s="7" t="n">
        <v>0.01</v>
      </c>
      <c r="BH858" s="7" t="n">
        <v>-0.067</v>
      </c>
      <c r="BI858" s="6" t="n">
        <f aca="false">P858</f>
        <v>675923</v>
      </c>
      <c r="BJ858" s="4" t="n">
        <v>-1710837</v>
      </c>
      <c r="BK858" s="3" t="s">
        <v>110</v>
      </c>
      <c r="BL858" s="3" t="s">
        <v>128</v>
      </c>
      <c r="BM858" s="6" t="n">
        <f aca="false">O858</f>
        <v>19519487</v>
      </c>
      <c r="BN858" s="3" t="s">
        <v>803</v>
      </c>
      <c r="BO858" s="5" t="n">
        <f aca="false">IFERROR(1-L858/M858,"")</f>
        <v>0.118035624800692</v>
      </c>
      <c r="BP858" s="3" t="s">
        <v>142</v>
      </c>
      <c r="BQ858" s="4" t="n">
        <v>3280476</v>
      </c>
      <c r="BR858" s="3" t="s">
        <v>88</v>
      </c>
      <c r="BS858" s="3" t="s">
        <v>89</v>
      </c>
      <c r="BT858" s="3" t="s">
        <v>90</v>
      </c>
    </row>
    <row r="859" customFormat="false" ht="15" hidden="false" customHeight="false" outlineLevel="0" collapsed="false">
      <c r="A859" s="11" t="s">
        <v>801</v>
      </c>
      <c r="B859" s="11" t="s">
        <v>91</v>
      </c>
      <c r="C859" s="11" t="s">
        <v>74</v>
      </c>
      <c r="D859" s="11" t="s">
        <v>210</v>
      </c>
      <c r="E859" s="11" t="s">
        <v>105</v>
      </c>
      <c r="F859" s="11" t="s">
        <v>802</v>
      </c>
      <c r="G859" s="11" t="s">
        <v>78</v>
      </c>
      <c r="H859" s="11" t="s">
        <v>644</v>
      </c>
      <c r="I859" s="11" t="s">
        <v>78</v>
      </c>
      <c r="J859" s="12" t="n">
        <v>2591000</v>
      </c>
      <c r="K859" s="13" t="n">
        <f aca="false">IFERROR(J859/M859,"")</f>
        <v>0.118035624800692</v>
      </c>
      <c r="L859" s="12" t="n">
        <v>19360000</v>
      </c>
      <c r="M859" s="14" t="n">
        <f aca="false">L859+J859</f>
        <v>21951000</v>
      </c>
      <c r="N859" s="12" t="n">
        <v>2591000</v>
      </c>
      <c r="O859" s="12" t="n">
        <v>19519487</v>
      </c>
      <c r="P859" s="12" t="n">
        <v>857762</v>
      </c>
      <c r="Q859" s="13" t="n">
        <f aca="false">IFERROR(P859/P858-1,"")</f>
        <v>0.269023246730767</v>
      </c>
      <c r="R859" s="12" t="n">
        <v>916631</v>
      </c>
      <c r="S859" s="13" t="n">
        <f aca="false">IFERROR(R859/R858-1,"")</f>
        <v>0.237055621084567</v>
      </c>
      <c r="T859" s="12" t="n">
        <v>513230</v>
      </c>
      <c r="U859" s="13" t="n">
        <f aca="false">IFERROR(T859/P859,"")</f>
        <v>0.598336135198342</v>
      </c>
      <c r="V859" s="14" t="n">
        <f aca="false">T859-AV859</f>
        <v>-2093113</v>
      </c>
      <c r="W859" s="14" t="n">
        <f aca="false">V859-AA859*0.1</f>
        <v>-2150813</v>
      </c>
      <c r="X859" s="12" t="n">
        <v>3358060</v>
      </c>
      <c r="Y859" s="12" t="n">
        <v>173900</v>
      </c>
      <c r="Z859" s="15" t="n">
        <f aca="false">IFERROR(X859/Y859,"")</f>
        <v>19.3102932719954</v>
      </c>
      <c r="AA859" s="12" t="n">
        <v>577000</v>
      </c>
      <c r="AB859" s="14" t="n">
        <f aca="false">W859-0.02*P859</f>
        <v>-2167968.24</v>
      </c>
      <c r="AC859" s="16" t="n">
        <v>14</v>
      </c>
      <c r="AD859" s="13" t="n">
        <f aca="false">IFERROR(AC859/AC858-1,"")</f>
        <v>0.0769230769230769</v>
      </c>
      <c r="AE859" s="17" t="n">
        <v>0.072</v>
      </c>
      <c r="AF859" s="17" t="n">
        <v>0.072</v>
      </c>
      <c r="AG859" s="13" t="n">
        <f aca="false">1-AF859</f>
        <v>0.928</v>
      </c>
      <c r="AH859" s="17" t="n">
        <v>1.165</v>
      </c>
      <c r="AI859" s="12" t="n">
        <v>28600</v>
      </c>
      <c r="AJ859" s="14" t="n">
        <f aca="false">IFERROR(AM859*U859*MIN(1/AE859,5),"")</f>
        <v>70184.8286587655</v>
      </c>
      <c r="AK859" s="18" t="n">
        <f aca="false">IFERROR(AJ859/AI859,"")</f>
        <v>2.45401498806872</v>
      </c>
      <c r="AL859" s="15" t="n">
        <f aca="false">IFERROR(AI859/(AM859*U859/12),"")</f>
        <v>24.4497284212674</v>
      </c>
      <c r="AM859" s="12" t="n">
        <v>23460</v>
      </c>
      <c r="AN859" s="12" t="n">
        <v>1246129</v>
      </c>
      <c r="AO859" s="12" t="n">
        <v>3350981</v>
      </c>
      <c r="AP859" s="17" t="n">
        <v>0.375</v>
      </c>
      <c r="AQ859" s="16" t="n">
        <v>78</v>
      </c>
      <c r="AR859" s="16" t="n">
        <v>3</v>
      </c>
      <c r="AS859" s="13" t="n">
        <f aca="false">IFERROR(AR859/AR858-1,"")</f>
        <v>0</v>
      </c>
      <c r="AT859" s="11" t="s">
        <v>201</v>
      </c>
      <c r="AU859" s="14" t="n">
        <f aca="false">IFERROR(P859/AR859,"")</f>
        <v>285920.666666667</v>
      </c>
      <c r="AV859" s="12" t="n">
        <v>2606343</v>
      </c>
      <c r="AW859" s="12" t="n">
        <v>804490</v>
      </c>
      <c r="AX859" s="12" t="n">
        <v>556281</v>
      </c>
      <c r="AY859" s="16" t="n">
        <v>20665</v>
      </c>
      <c r="AZ859" s="13" t="n">
        <f aca="false">IFERROR(AY859/AY858-1,"")</f>
        <v>0.13071788137448</v>
      </c>
      <c r="BA859" s="17" t="n">
        <v>0.945</v>
      </c>
      <c r="BB859" s="11" t="s">
        <v>107</v>
      </c>
      <c r="BC859" s="11" t="s">
        <v>82</v>
      </c>
      <c r="BD859" s="11" t="s">
        <v>101</v>
      </c>
      <c r="BE859" s="12" t="n">
        <v>838838</v>
      </c>
      <c r="BF859" s="13" t="n">
        <f aca="false">IFERROR(P859/BE859-1,"")</f>
        <v>0.022559779123025</v>
      </c>
      <c r="BG859" s="17" t="n">
        <v>0.07</v>
      </c>
      <c r="BH859" s="17" t="n">
        <v>0.094</v>
      </c>
      <c r="BI859" s="14" t="n">
        <f aca="false">P859*(1+IFERROR(Q859,0))^4</f>
        <v>2224565.07089098</v>
      </c>
      <c r="BJ859" s="12" t="n">
        <v>-1558597</v>
      </c>
      <c r="BK859" s="11" t="s">
        <v>110</v>
      </c>
      <c r="BL859" s="11" t="s">
        <v>128</v>
      </c>
      <c r="BM859" s="14" t="n">
        <f aca="false">O859</f>
        <v>19519487</v>
      </c>
      <c r="BN859" s="11" t="s">
        <v>803</v>
      </c>
      <c r="BO859" s="13" t="n">
        <f aca="false">IFERROR(1-L859/M859,"")</f>
        <v>0.118035624800692</v>
      </c>
      <c r="BP859" s="11" t="s">
        <v>142</v>
      </c>
      <c r="BQ859" s="12" t="n">
        <v>2119754</v>
      </c>
      <c r="BR859" s="11" t="s">
        <v>88</v>
      </c>
      <c r="BS859" s="11" t="s">
        <v>89</v>
      </c>
      <c r="BT859" s="19" t="str">
        <f aca="false">IF(OR(Z859&lt;6,AH859&lt;0.9,S859&lt;0.02,AK859&lt;1),"REVIEW",IF(AND(S859&gt;0.25,AH859&gt;1.2),"ACCELERATING","STABLE"))</f>
        <v>STABLE</v>
      </c>
    </row>
    <row r="860" customFormat="false" ht="15" hidden="false" customHeight="false" outlineLevel="0" collapsed="false">
      <c r="A860" s="11" t="s">
        <v>801</v>
      </c>
      <c r="B860" s="11" t="s">
        <v>92</v>
      </c>
      <c r="C860" s="11" t="s">
        <v>74</v>
      </c>
      <c r="D860" s="11" t="s">
        <v>210</v>
      </c>
      <c r="E860" s="11" t="s">
        <v>105</v>
      </c>
      <c r="F860" s="11" t="s">
        <v>802</v>
      </c>
      <c r="G860" s="11" t="s">
        <v>78</v>
      </c>
      <c r="H860" s="11" t="s">
        <v>644</v>
      </c>
      <c r="I860" s="11" t="s">
        <v>78</v>
      </c>
      <c r="J860" s="12" t="n">
        <v>2591000</v>
      </c>
      <c r="K860" s="13" t="n">
        <f aca="false">IFERROR(J860/M860,"")</f>
        <v>0.118035624800692</v>
      </c>
      <c r="L860" s="12" t="n">
        <v>19360000</v>
      </c>
      <c r="M860" s="14" t="n">
        <f aca="false">L860+J860</f>
        <v>21951000</v>
      </c>
      <c r="N860" s="12" t="n">
        <v>2591000</v>
      </c>
      <c r="O860" s="12" t="n">
        <v>19519487</v>
      </c>
      <c r="P860" s="12" t="n">
        <v>991755</v>
      </c>
      <c r="Q860" s="13" t="n">
        <f aca="false">IFERROR(P860/P859-1,"")</f>
        <v>0.15621232929414</v>
      </c>
      <c r="R860" s="12" t="n">
        <v>1049077</v>
      </c>
      <c r="S860" s="13" t="n">
        <f aca="false">IFERROR(R860/R859-1,"")</f>
        <v>0.144492167513427</v>
      </c>
      <c r="T860" s="12" t="n">
        <v>595795</v>
      </c>
      <c r="U860" s="13" t="n">
        <f aca="false">IFERROR(T860/P860,"")</f>
        <v>0.600748168650524</v>
      </c>
      <c r="V860" s="14" t="n">
        <f aca="false">T860-AV860</f>
        <v>-1937689</v>
      </c>
      <c r="W860" s="14" t="n">
        <f aca="false">V860-AA860*0.1</f>
        <v>-1995389</v>
      </c>
      <c r="X860" s="12" t="n">
        <v>2903515</v>
      </c>
      <c r="Y860" s="12" t="n">
        <v>179450</v>
      </c>
      <c r="Z860" s="15" t="n">
        <f aca="false">IFERROR(X860/Y860,"")</f>
        <v>16.1800780161605</v>
      </c>
      <c r="AA860" s="12" t="n">
        <v>577000</v>
      </c>
      <c r="AB860" s="14" t="n">
        <f aca="false">W860-0.02*P860</f>
        <v>-2015224.1</v>
      </c>
      <c r="AC860" s="16" t="n">
        <v>18</v>
      </c>
      <c r="AD860" s="13" t="n">
        <f aca="false">IFERROR(AC860/AC859-1,"")</f>
        <v>0.285714285714286</v>
      </c>
      <c r="AE860" s="17" t="n">
        <v>0.07</v>
      </c>
      <c r="AF860" s="17" t="n">
        <v>0.074</v>
      </c>
      <c r="AG860" s="13" t="n">
        <f aca="false">1-AF860</f>
        <v>0.926</v>
      </c>
      <c r="AH860" s="17" t="n">
        <v>1.16</v>
      </c>
      <c r="AI860" s="12" t="n">
        <v>28050</v>
      </c>
      <c r="AJ860" s="14" t="n">
        <f aca="false">IFERROR(AM860*U860*MIN(1/AE860,5),"")</f>
        <v>71849.4809706026</v>
      </c>
      <c r="AK860" s="18" t="n">
        <f aca="false">IFERROR(AJ860/AI860,"")</f>
        <v>2.56147882248138</v>
      </c>
      <c r="AL860" s="15" t="n">
        <f aca="false">IFERROR(AI860/(AM860*U860/12),"")</f>
        <v>23.423968792323</v>
      </c>
      <c r="AM860" s="12" t="n">
        <v>23920</v>
      </c>
      <c r="AN860" s="12" t="n">
        <v>1351598</v>
      </c>
      <c r="AO860" s="12" t="n">
        <v>2137759</v>
      </c>
      <c r="AP860" s="17" t="n">
        <v>0.375</v>
      </c>
      <c r="AQ860" s="16" t="n">
        <v>78</v>
      </c>
      <c r="AR860" s="16" t="n">
        <v>3</v>
      </c>
      <c r="AS860" s="13" t="n">
        <f aca="false">IFERROR(AR860/AR859-1,"")</f>
        <v>0</v>
      </c>
      <c r="AT860" s="11" t="s">
        <v>201</v>
      </c>
      <c r="AU860" s="14" t="n">
        <f aca="false">IFERROR(P860/AR860,"")</f>
        <v>330585</v>
      </c>
      <c r="AV860" s="12" t="n">
        <v>2533484</v>
      </c>
      <c r="AW860" s="12" t="n">
        <v>907566</v>
      </c>
      <c r="AX860" s="12" t="n">
        <v>504170</v>
      </c>
      <c r="AY860" s="16" t="n">
        <v>24472</v>
      </c>
      <c r="AZ860" s="13" t="n">
        <f aca="false">IFERROR(AY860/AY859-1,"")</f>
        <v>0.184224534236632</v>
      </c>
      <c r="BA860" s="17" t="n">
        <v>0.93</v>
      </c>
      <c r="BB860" s="11" t="s">
        <v>107</v>
      </c>
      <c r="BC860" s="11" t="s">
        <v>82</v>
      </c>
      <c r="BD860" s="11" t="s">
        <v>101</v>
      </c>
      <c r="BE860" s="12" t="n">
        <v>1022280</v>
      </c>
      <c r="BF860" s="13" t="n">
        <f aca="false">IFERROR(P860/BE860-1,"")</f>
        <v>-0.0298597253198732</v>
      </c>
      <c r="BG860" s="17" t="n">
        <v>0.032</v>
      </c>
      <c r="BH860" s="17" t="n">
        <v>0.071</v>
      </c>
      <c r="BI860" s="14" t="n">
        <f aca="false">P860*(1+IFERROR(Q860,0))^4</f>
        <v>1772371.60394212</v>
      </c>
      <c r="BJ860" s="12" t="n">
        <v>-1745605</v>
      </c>
      <c r="BK860" s="11" t="s">
        <v>110</v>
      </c>
      <c r="BL860" s="11" t="s">
        <v>128</v>
      </c>
      <c r="BM860" s="14" t="n">
        <f aca="false">O860</f>
        <v>19519487</v>
      </c>
      <c r="BN860" s="11" t="s">
        <v>803</v>
      </c>
      <c r="BO860" s="13" t="n">
        <f aca="false">IFERROR(1-L860/M860,"")</f>
        <v>0.118035624800692</v>
      </c>
      <c r="BP860" s="11" t="s">
        <v>142</v>
      </c>
      <c r="BQ860" s="12" t="n">
        <v>2882782</v>
      </c>
      <c r="BR860" s="11" t="s">
        <v>88</v>
      </c>
      <c r="BS860" s="11" t="s">
        <v>89</v>
      </c>
      <c r="BT860" s="19" t="str">
        <f aca="false">IF(OR(Z860&lt;6,AH860&lt;0.9,S860&lt;0.02,AK860&lt;1),"REVIEW",IF(AND(S860&gt;0.25,AH860&gt;1.2),"ACCELERATING","STABLE"))</f>
        <v>STABLE</v>
      </c>
    </row>
    <row r="861" customFormat="false" ht="15" hidden="false" customHeight="false" outlineLevel="0" collapsed="false">
      <c r="A861" s="11" t="s">
        <v>801</v>
      </c>
      <c r="B861" s="11" t="s">
        <v>93</v>
      </c>
      <c r="C861" s="11" t="s">
        <v>74</v>
      </c>
      <c r="D861" s="11" t="s">
        <v>210</v>
      </c>
      <c r="E861" s="11" t="s">
        <v>105</v>
      </c>
      <c r="F861" s="11" t="s">
        <v>802</v>
      </c>
      <c r="G861" s="11" t="s">
        <v>78</v>
      </c>
      <c r="H861" s="11" t="s">
        <v>644</v>
      </c>
      <c r="I861" s="11" t="s">
        <v>78</v>
      </c>
      <c r="J861" s="12" t="n">
        <v>2591000</v>
      </c>
      <c r="K861" s="13" t="n">
        <f aca="false">IFERROR(J861/M861,"")</f>
        <v>0.118035624800692</v>
      </c>
      <c r="L861" s="12" t="n">
        <v>19360000</v>
      </c>
      <c r="M861" s="14" t="n">
        <f aca="false">L861+J861</f>
        <v>21951000</v>
      </c>
      <c r="N861" s="12" t="n">
        <v>2591000</v>
      </c>
      <c r="O861" s="12" t="n">
        <v>19519487</v>
      </c>
      <c r="P861" s="12" t="n">
        <v>1220177</v>
      </c>
      <c r="Q861" s="13" t="n">
        <f aca="false">IFERROR(P861/P860-1,"")</f>
        <v>0.230320996617108</v>
      </c>
      <c r="R861" s="12" t="n">
        <v>1323442</v>
      </c>
      <c r="S861" s="13" t="n">
        <f aca="false">IFERROR(R861/R860-1,"")</f>
        <v>0.261529897233473</v>
      </c>
      <c r="T861" s="12" t="n">
        <v>735964</v>
      </c>
      <c r="U861" s="13" t="n">
        <f aca="false">IFERROR(T861/P861,"")</f>
        <v>0.603161672445883</v>
      </c>
      <c r="V861" s="14" t="n">
        <f aca="false">T861-AV861</f>
        <v>-2170923</v>
      </c>
      <c r="W861" s="14" t="n">
        <f aca="false">V861-AA861*0.1</f>
        <v>-2228623</v>
      </c>
      <c r="X861" s="12" t="n">
        <v>2419000</v>
      </c>
      <c r="Y861" s="12" t="n">
        <v>185000</v>
      </c>
      <c r="Z861" s="15" t="n">
        <f aca="false">IFERROR(X861/Y861,"")</f>
        <v>13.0756756756757</v>
      </c>
      <c r="AA861" s="12" t="n">
        <v>577000</v>
      </c>
      <c r="AB861" s="14" t="n">
        <f aca="false">W861-0.02*P861</f>
        <v>-2253026.54</v>
      </c>
      <c r="AC861" s="16" t="n">
        <v>20</v>
      </c>
      <c r="AD861" s="13" t="n">
        <f aca="false">IFERROR(AC861/AC860-1,"")</f>
        <v>0.111111111111111</v>
      </c>
      <c r="AE861" s="17" t="n">
        <v>0.068</v>
      </c>
      <c r="AF861" s="17" t="n">
        <v>0.06</v>
      </c>
      <c r="AG861" s="13" t="n">
        <f aca="false">1-AF861</f>
        <v>0.94</v>
      </c>
      <c r="AH861" s="17" t="n">
        <v>1.155</v>
      </c>
      <c r="AI861" s="12" t="n">
        <v>27500</v>
      </c>
      <c r="AJ861" s="14" t="n">
        <f aca="false">IFERROR(AM861*U861*MIN(1/AE861,5),"")</f>
        <v>73525.4078711531</v>
      </c>
      <c r="AK861" s="18" t="n">
        <f aca="false">IFERROR(AJ861/AI861,"")</f>
        <v>2.67365119531466</v>
      </c>
      <c r="AL861" s="15" t="n">
        <f aca="false">IFERROR(AI861/(AM861*U861/12),"")</f>
        <v>22.441221990791</v>
      </c>
      <c r="AM861" s="12" t="n">
        <v>24380</v>
      </c>
      <c r="AN861" s="12" t="n">
        <v>1558863</v>
      </c>
      <c r="AO861" s="12" t="n">
        <v>2620460</v>
      </c>
      <c r="AP861" s="17" t="n">
        <v>0.375</v>
      </c>
      <c r="AQ861" s="16" t="n">
        <v>78</v>
      </c>
      <c r="AR861" s="16" t="n">
        <v>3</v>
      </c>
      <c r="AS861" s="13" t="n">
        <f aca="false">IFERROR(AR861/AR860-1,"")</f>
        <v>0</v>
      </c>
      <c r="AT861" s="11" t="s">
        <v>201</v>
      </c>
      <c r="AU861" s="14" t="n">
        <f aca="false">IFERROR(P861/AR861,"")</f>
        <v>406725.666666667</v>
      </c>
      <c r="AV861" s="12" t="n">
        <v>2906887</v>
      </c>
      <c r="AW861" s="12" t="n">
        <v>990201</v>
      </c>
      <c r="AX861" s="12" t="n">
        <v>968015</v>
      </c>
      <c r="AY861" s="16" t="n">
        <v>29110</v>
      </c>
      <c r="AZ861" s="13" t="n">
        <f aca="false">IFERROR(AY861/AY860-1,"")</f>
        <v>0.189522719843086</v>
      </c>
      <c r="BA861" s="17" t="n">
        <v>0.938</v>
      </c>
      <c r="BB861" s="11" t="s">
        <v>107</v>
      </c>
      <c r="BC861" s="11" t="s">
        <v>82</v>
      </c>
      <c r="BD861" s="11" t="s">
        <v>101</v>
      </c>
      <c r="BE861" s="12" t="n">
        <v>1286961</v>
      </c>
      <c r="BF861" s="13" t="n">
        <f aca="false">IFERROR(P861/BE861-1,"")</f>
        <v>-0.0518927924000805</v>
      </c>
      <c r="BG861" s="17" t="n">
        <v>0.087</v>
      </c>
      <c r="BH861" s="17" t="n">
        <v>-0.032</v>
      </c>
      <c r="BI861" s="14" t="n">
        <f aca="false">P861*(1+IFERROR(Q861,0))^4</f>
        <v>2795738.69414386</v>
      </c>
      <c r="BJ861" s="12" t="n">
        <v>-1637613</v>
      </c>
      <c r="BK861" s="11" t="s">
        <v>110</v>
      </c>
      <c r="BL861" s="11" t="s">
        <v>128</v>
      </c>
      <c r="BM861" s="14" t="n">
        <f aca="false">O861</f>
        <v>19519487</v>
      </c>
      <c r="BN861" s="11" t="s">
        <v>803</v>
      </c>
      <c r="BO861" s="13" t="n">
        <f aca="false">IFERROR(1-L861/M861,"")</f>
        <v>0.118035624800692</v>
      </c>
      <c r="BP861" s="11" t="s">
        <v>142</v>
      </c>
      <c r="BQ861" s="12" t="n">
        <v>2781570</v>
      </c>
      <c r="BR861" s="11" t="s">
        <v>88</v>
      </c>
      <c r="BS861" s="11" t="s">
        <v>89</v>
      </c>
      <c r="BT861" s="19" t="str">
        <f aca="false">IF(OR(Z861&lt;6,AH861&lt;0.9,S861&lt;0.02,AK861&lt;1),"REVIEW",IF(AND(S861&gt;0.25,AH861&gt;1.2),"ACCELERATING","STABLE"))</f>
        <v>STABLE</v>
      </c>
    </row>
    <row r="862" customFormat="false" ht="15" hidden="false" customHeight="false" outlineLevel="0" collapsed="false">
      <c r="A862" s="3" t="s">
        <v>804</v>
      </c>
      <c r="B862" s="3" t="s">
        <v>73</v>
      </c>
      <c r="C862" s="3" t="s">
        <v>74</v>
      </c>
      <c r="D862" s="3" t="s">
        <v>115</v>
      </c>
      <c r="E862" s="3" t="s">
        <v>187</v>
      </c>
      <c r="F862" s="3" t="s">
        <v>805</v>
      </c>
      <c r="G862" s="3" t="s">
        <v>78</v>
      </c>
      <c r="H862" s="3" t="s">
        <v>644</v>
      </c>
      <c r="I862" s="3" t="s">
        <v>78</v>
      </c>
      <c r="J862" s="4" t="n">
        <v>4642000</v>
      </c>
      <c r="K862" s="5" t="n">
        <f aca="false">IFERROR(J862/M862,"")</f>
        <v>0.14745401988501</v>
      </c>
      <c r="L862" s="4" t="n">
        <v>26839000</v>
      </c>
      <c r="M862" s="6" t="n">
        <f aca="false">L862+J862</f>
        <v>31481000</v>
      </c>
      <c r="N862" s="4" t="n">
        <v>4642000</v>
      </c>
      <c r="O862" s="4" t="n">
        <v>45216251</v>
      </c>
      <c r="P862" s="4" t="n">
        <v>757465</v>
      </c>
      <c r="Q862" s="7"/>
      <c r="R862" s="4" t="n">
        <v>744808</v>
      </c>
      <c r="S862" s="7"/>
      <c r="T862" s="4" t="n">
        <v>481746</v>
      </c>
      <c r="U862" s="5" t="n">
        <f aca="false">IFERROR(T862/P862,"")</f>
        <v>0.635997702864159</v>
      </c>
      <c r="V862" s="6" t="n">
        <f aca="false">T862-AV862</f>
        <v>-1472224</v>
      </c>
      <c r="W862" s="6" t="n">
        <f aca="false">V862-AA862*0.1</f>
        <v>-1472224</v>
      </c>
      <c r="X862" s="4" t="n">
        <v>2860992</v>
      </c>
      <c r="Y862" s="4" t="n">
        <v>133770</v>
      </c>
      <c r="Z862" s="8" t="n">
        <f aca="false">IFERROR(X862/Y862,"")</f>
        <v>21.3873962771922</v>
      </c>
      <c r="AA862" s="4" t="n">
        <v>0</v>
      </c>
      <c r="AB862" s="6" t="n">
        <f aca="false">W862-0.02*P862</f>
        <v>-1487373.3</v>
      </c>
      <c r="AC862" s="9" t="n">
        <v>34</v>
      </c>
      <c r="AD862" s="7"/>
      <c r="AE862" s="7" t="n">
        <v>0.104</v>
      </c>
      <c r="AF862" s="7" t="n">
        <v>0.106</v>
      </c>
      <c r="AG862" s="5" t="n">
        <f aca="false">1-AF862</f>
        <v>0.894</v>
      </c>
      <c r="AH862" s="7" t="n">
        <v>1.191</v>
      </c>
      <c r="AI862" s="4" t="n">
        <v>44096</v>
      </c>
      <c r="AJ862" s="6" t="n">
        <f aca="false">IFERROR(AM862*U862*MIN(1/AE862,5),"")</f>
        <v>114479.586515549</v>
      </c>
      <c r="AK862" s="10" t="n">
        <f aca="false">IFERROR(AJ862/AI862,"")</f>
        <v>2.59614446923867</v>
      </c>
      <c r="AL862" s="8" t="n">
        <f aca="false">IFERROR(AI862/(AM862*U862/12),"")</f>
        <v>23.1111945852517</v>
      </c>
      <c r="AM862" s="4" t="n">
        <v>36000</v>
      </c>
      <c r="AN862" s="4" t="n">
        <v>844717</v>
      </c>
      <c r="AO862" s="4" t="n">
        <v>2697920</v>
      </c>
      <c r="AP862" s="7" t="n">
        <v>0.202</v>
      </c>
      <c r="AQ862" s="9" t="n">
        <v>73</v>
      </c>
      <c r="AR862" s="9" t="n">
        <v>2</v>
      </c>
      <c r="AS862" s="7"/>
      <c r="AT862" s="3" t="s">
        <v>201</v>
      </c>
      <c r="AU862" s="6" t="n">
        <f aca="false">IFERROR(P862/AR862,"")</f>
        <v>378732.5</v>
      </c>
      <c r="AV862" s="4" t="n">
        <v>1953970</v>
      </c>
      <c r="AW862" s="4" t="n">
        <v>809409</v>
      </c>
      <c r="AX862" s="4" t="n">
        <v>366692</v>
      </c>
      <c r="AY862" s="9" t="n">
        <v>21652</v>
      </c>
      <c r="AZ862" s="7"/>
      <c r="BA862" s="7" t="n">
        <v>0.909</v>
      </c>
      <c r="BB862" s="3" t="s">
        <v>99</v>
      </c>
      <c r="BC862" s="3" t="s">
        <v>100</v>
      </c>
      <c r="BD862" s="3" t="s">
        <v>83</v>
      </c>
      <c r="BE862" s="4" t="n">
        <v>730887</v>
      </c>
      <c r="BF862" s="5" t="n">
        <f aca="false">IFERROR(P862/BE862-1,"")</f>
        <v>0.0363640343856164</v>
      </c>
      <c r="BG862" s="7" t="n">
        <v>0.088</v>
      </c>
      <c r="BH862" s="7" t="n">
        <v>0.045</v>
      </c>
      <c r="BI862" s="6" t="n">
        <f aca="false">P862</f>
        <v>757465</v>
      </c>
      <c r="BJ862" s="4" t="n">
        <v>-1506648</v>
      </c>
      <c r="BK862" s="3" t="s">
        <v>102</v>
      </c>
      <c r="BL862" s="3" t="s">
        <v>128</v>
      </c>
      <c r="BM862" s="6" t="n">
        <f aca="false">O862</f>
        <v>45216251</v>
      </c>
      <c r="BN862" s="3" t="s">
        <v>806</v>
      </c>
      <c r="BO862" s="5" t="n">
        <f aca="false">IFERROR(1-L862/M862,"")</f>
        <v>0.14745401988501</v>
      </c>
      <c r="BP862" s="3" t="s">
        <v>130</v>
      </c>
      <c r="BQ862" s="4" t="n">
        <v>2228133</v>
      </c>
      <c r="BR862" s="3" t="s">
        <v>88</v>
      </c>
      <c r="BS862" s="3" t="s">
        <v>89</v>
      </c>
      <c r="BT862" s="3" t="s">
        <v>90</v>
      </c>
    </row>
    <row r="863" customFormat="false" ht="15" hidden="false" customHeight="false" outlineLevel="0" collapsed="false">
      <c r="A863" s="11" t="s">
        <v>804</v>
      </c>
      <c r="B863" s="11" t="s">
        <v>91</v>
      </c>
      <c r="C863" s="11" t="s">
        <v>74</v>
      </c>
      <c r="D863" s="11" t="s">
        <v>115</v>
      </c>
      <c r="E863" s="11" t="s">
        <v>187</v>
      </c>
      <c r="F863" s="11" t="s">
        <v>805</v>
      </c>
      <c r="G863" s="11" t="s">
        <v>78</v>
      </c>
      <c r="H863" s="11" t="s">
        <v>644</v>
      </c>
      <c r="I863" s="11" t="s">
        <v>78</v>
      </c>
      <c r="J863" s="12" t="n">
        <v>4642000</v>
      </c>
      <c r="K863" s="13" t="n">
        <f aca="false">IFERROR(J863/M863,"")</f>
        <v>0.14745401988501</v>
      </c>
      <c r="L863" s="12" t="n">
        <v>26839000</v>
      </c>
      <c r="M863" s="14" t="n">
        <f aca="false">L863+J863</f>
        <v>31481000</v>
      </c>
      <c r="N863" s="12" t="n">
        <v>4642000</v>
      </c>
      <c r="O863" s="12" t="n">
        <v>45216251</v>
      </c>
      <c r="P863" s="12" t="n">
        <v>842007</v>
      </c>
      <c r="Q863" s="13" t="n">
        <f aca="false">IFERROR(P863/P862-1,"")</f>
        <v>0.111611757638967</v>
      </c>
      <c r="R863" s="12" t="n">
        <v>912610</v>
      </c>
      <c r="S863" s="13" t="n">
        <f aca="false">IFERROR(R863/R862-1,"")</f>
        <v>0.225295646663301</v>
      </c>
      <c r="T863" s="12" t="n">
        <v>537683</v>
      </c>
      <c r="U863" s="13" t="n">
        <f aca="false">IFERROR(T863/P863,"")</f>
        <v>0.638573075995805</v>
      </c>
      <c r="V863" s="14" t="n">
        <f aca="false">T863-AV863</f>
        <v>-1255685</v>
      </c>
      <c r="W863" s="14" t="n">
        <f aca="false">V863-AA863*0.1</f>
        <v>-1255685</v>
      </c>
      <c r="X863" s="12" t="n">
        <v>2523627</v>
      </c>
      <c r="Y863" s="12" t="n">
        <v>138180</v>
      </c>
      <c r="Z863" s="15" t="n">
        <f aca="false">IFERROR(X863/Y863,"")</f>
        <v>18.2633304385584</v>
      </c>
      <c r="AA863" s="12" t="n">
        <v>0</v>
      </c>
      <c r="AB863" s="14" t="n">
        <f aca="false">W863-0.02*P863</f>
        <v>-1272525.14</v>
      </c>
      <c r="AC863" s="16" t="n">
        <v>35</v>
      </c>
      <c r="AD863" s="13" t="n">
        <f aca="false">IFERROR(AC863/AC862-1,"")</f>
        <v>0.0294117647058823</v>
      </c>
      <c r="AE863" s="17" t="n">
        <v>0.101</v>
      </c>
      <c r="AF863" s="17" t="n">
        <v>0.094</v>
      </c>
      <c r="AG863" s="13" t="n">
        <f aca="false">1-AF863</f>
        <v>0.906</v>
      </c>
      <c r="AH863" s="17" t="n">
        <v>1.186</v>
      </c>
      <c r="AI863" s="12" t="n">
        <v>43264</v>
      </c>
      <c r="AJ863" s="14" t="n">
        <f aca="false">IFERROR(AM863*U863*MIN(1/AE863,5),"")</f>
        <v>117242.01675283</v>
      </c>
      <c r="AK863" s="18" t="n">
        <f aca="false">IFERROR(AJ863/AI863,"")</f>
        <v>2.709920875389</v>
      </c>
      <c r="AL863" s="15" t="n">
        <f aca="false">IFERROR(AI863/(AM863*U863/12),"")</f>
        <v>22.1408678551868</v>
      </c>
      <c r="AM863" s="12" t="n">
        <v>36720</v>
      </c>
      <c r="AN863" s="12" t="n">
        <v>1172014</v>
      </c>
      <c r="AO863" s="12" t="n">
        <v>2589618</v>
      </c>
      <c r="AP863" s="17" t="n">
        <v>0.202</v>
      </c>
      <c r="AQ863" s="16" t="n">
        <v>73</v>
      </c>
      <c r="AR863" s="16" t="n">
        <v>3</v>
      </c>
      <c r="AS863" s="13" t="n">
        <f aca="false">IFERROR(AR863/AR862-1,"")</f>
        <v>0.5</v>
      </c>
      <c r="AT863" s="11" t="s">
        <v>201</v>
      </c>
      <c r="AU863" s="14" t="n">
        <f aca="false">IFERROR(P863/AR863,"")</f>
        <v>280669</v>
      </c>
      <c r="AV863" s="12" t="n">
        <v>1793368</v>
      </c>
      <c r="AW863" s="12" t="n">
        <v>562005</v>
      </c>
      <c r="AX863" s="12" t="n">
        <v>436765</v>
      </c>
      <c r="AY863" s="16" t="n">
        <v>24725</v>
      </c>
      <c r="AZ863" s="13" t="n">
        <f aca="false">IFERROR(AY863/AY862-1,"")</f>
        <v>0.141926842785886</v>
      </c>
      <c r="BA863" s="17" t="n">
        <v>0.9</v>
      </c>
      <c r="BB863" s="11" t="s">
        <v>99</v>
      </c>
      <c r="BC863" s="11" t="s">
        <v>100</v>
      </c>
      <c r="BD863" s="11" t="s">
        <v>83</v>
      </c>
      <c r="BE863" s="12" t="n">
        <v>1012004</v>
      </c>
      <c r="BF863" s="13" t="n">
        <f aca="false">IFERROR(P863/BE863-1,"")</f>
        <v>-0.167980561341655</v>
      </c>
      <c r="BG863" s="17" t="n">
        <v>-0.024</v>
      </c>
      <c r="BH863" s="17" t="n">
        <v>0.046</v>
      </c>
      <c r="BI863" s="14" t="n">
        <f aca="false">P863*(1+IFERROR(Q863,0))^4</f>
        <v>1285666.20692817</v>
      </c>
      <c r="BJ863" s="12" t="n">
        <v>-1189431</v>
      </c>
      <c r="BK863" s="11" t="s">
        <v>102</v>
      </c>
      <c r="BL863" s="11" t="s">
        <v>128</v>
      </c>
      <c r="BM863" s="14" t="n">
        <f aca="false">O863</f>
        <v>45216251</v>
      </c>
      <c r="BN863" s="11" t="s">
        <v>806</v>
      </c>
      <c r="BO863" s="13" t="n">
        <f aca="false">IFERROR(1-L863/M863,"")</f>
        <v>0.14745401988501</v>
      </c>
      <c r="BP863" s="11" t="s">
        <v>130</v>
      </c>
      <c r="BQ863" s="12" t="n">
        <v>2489203</v>
      </c>
      <c r="BR863" s="11" t="s">
        <v>88</v>
      </c>
      <c r="BS863" s="11" t="s">
        <v>89</v>
      </c>
      <c r="BT863" s="19" t="str">
        <f aca="false">IF(OR(Z863&lt;6,AH863&lt;0.9,S863&lt;0.02,AK863&lt;1),"REVIEW",IF(AND(S863&gt;0.25,AH863&gt;1.2),"ACCELERATING","STABLE"))</f>
        <v>STABLE</v>
      </c>
    </row>
    <row r="864" customFormat="false" ht="15" hidden="false" customHeight="false" outlineLevel="0" collapsed="false">
      <c r="A864" s="11" t="s">
        <v>804</v>
      </c>
      <c r="B864" s="11" t="s">
        <v>92</v>
      </c>
      <c r="C864" s="11" t="s">
        <v>74</v>
      </c>
      <c r="D864" s="11" t="s">
        <v>115</v>
      </c>
      <c r="E864" s="11" t="s">
        <v>187</v>
      </c>
      <c r="F864" s="11" t="s">
        <v>805</v>
      </c>
      <c r="G864" s="11" t="s">
        <v>78</v>
      </c>
      <c r="H864" s="11" t="s">
        <v>644</v>
      </c>
      <c r="I864" s="11" t="s">
        <v>78</v>
      </c>
      <c r="J864" s="12" t="n">
        <v>4642000</v>
      </c>
      <c r="K864" s="13" t="n">
        <f aca="false">IFERROR(J864/M864,"")</f>
        <v>0.14745401988501</v>
      </c>
      <c r="L864" s="12" t="n">
        <v>26839000</v>
      </c>
      <c r="M864" s="14" t="n">
        <f aca="false">L864+J864</f>
        <v>31481000</v>
      </c>
      <c r="N864" s="12" t="n">
        <v>4642000</v>
      </c>
      <c r="O864" s="12" t="n">
        <v>45216251</v>
      </c>
      <c r="P864" s="12" t="n">
        <v>978347</v>
      </c>
      <c r="Q864" s="13" t="n">
        <f aca="false">IFERROR(P864/P863-1,"")</f>
        <v>0.161922644348562</v>
      </c>
      <c r="R864" s="12" t="n">
        <v>1035117</v>
      </c>
      <c r="S864" s="13" t="n">
        <f aca="false">IFERROR(R864/R863-1,"")</f>
        <v>0.134238064452504</v>
      </c>
      <c r="T864" s="12" t="n">
        <v>627265</v>
      </c>
      <c r="U864" s="13" t="n">
        <f aca="false">IFERROR(T864/P864,"")</f>
        <v>0.641147772722766</v>
      </c>
      <c r="V864" s="14" t="n">
        <f aca="false">T864-AV864</f>
        <v>-1702124</v>
      </c>
      <c r="W864" s="14" t="n">
        <f aca="false">V864-AA864*0.1</f>
        <v>-1702124</v>
      </c>
      <c r="X864" s="12" t="n">
        <v>2162448</v>
      </c>
      <c r="Y864" s="12" t="n">
        <v>142590</v>
      </c>
      <c r="Z864" s="15" t="n">
        <f aca="false">IFERROR(X864/Y864,"")</f>
        <v>15.1654954765411</v>
      </c>
      <c r="AA864" s="12" t="n">
        <v>0</v>
      </c>
      <c r="AB864" s="14" t="n">
        <f aca="false">W864-0.02*P864</f>
        <v>-1721690.94</v>
      </c>
      <c r="AC864" s="16" t="n">
        <v>40</v>
      </c>
      <c r="AD864" s="13" t="n">
        <f aca="false">IFERROR(AC864/AC863-1,"")</f>
        <v>0.142857142857143</v>
      </c>
      <c r="AE864" s="17" t="n">
        <v>0.098</v>
      </c>
      <c r="AF864" s="17" t="n">
        <v>0.093</v>
      </c>
      <c r="AG864" s="13" t="n">
        <f aca="false">1-AF864</f>
        <v>0.907</v>
      </c>
      <c r="AH864" s="17" t="n">
        <v>1.181</v>
      </c>
      <c r="AI864" s="12" t="n">
        <v>42432</v>
      </c>
      <c r="AJ864" s="14" t="n">
        <f aca="false">IFERROR(AM864*U864*MIN(1/AE864,5),"")</f>
        <v>120022.863053702</v>
      </c>
      <c r="AK864" s="18" t="n">
        <f aca="false">IFERROR(AJ864/AI864,"")</f>
        <v>2.82859311495338</v>
      </c>
      <c r="AL864" s="15" t="n">
        <f aca="false">IFERROR(AI864/(AM864*U864/12),"")</f>
        <v>21.2119585820985</v>
      </c>
      <c r="AM864" s="12" t="n">
        <v>37440</v>
      </c>
      <c r="AN864" s="12" t="n">
        <v>957621</v>
      </c>
      <c r="AO864" s="12" t="n">
        <v>1672572</v>
      </c>
      <c r="AP864" s="17" t="n">
        <v>0.202</v>
      </c>
      <c r="AQ864" s="16" t="n">
        <v>73</v>
      </c>
      <c r="AR864" s="16" t="n">
        <v>3</v>
      </c>
      <c r="AS864" s="13" t="n">
        <f aca="false">IFERROR(AR864/AR863-1,"")</f>
        <v>0</v>
      </c>
      <c r="AT864" s="11" t="s">
        <v>201</v>
      </c>
      <c r="AU864" s="14" t="n">
        <f aca="false">IFERROR(P864/AR864,"")</f>
        <v>326115.666666667</v>
      </c>
      <c r="AV864" s="12" t="n">
        <v>2329389</v>
      </c>
      <c r="AW864" s="12" t="n">
        <v>1014451</v>
      </c>
      <c r="AX864" s="12" t="n">
        <v>708256</v>
      </c>
      <c r="AY864" s="16" t="n">
        <v>29541</v>
      </c>
      <c r="AZ864" s="13" t="n">
        <f aca="false">IFERROR(AY864/AY863-1,"")</f>
        <v>0.194782608695652</v>
      </c>
      <c r="BA864" s="17" t="n">
        <v>0.902</v>
      </c>
      <c r="BB864" s="11" t="s">
        <v>99</v>
      </c>
      <c r="BC864" s="11" t="s">
        <v>100</v>
      </c>
      <c r="BD864" s="11" t="s">
        <v>83</v>
      </c>
      <c r="BE864" s="12" t="n">
        <v>1044942</v>
      </c>
      <c r="BF864" s="13" t="n">
        <f aca="false">IFERROR(P864/BE864-1,"")</f>
        <v>-0.0637308099396904</v>
      </c>
      <c r="BG864" s="17" t="n">
        <v>0.011</v>
      </c>
      <c r="BH864" s="17" t="n">
        <v>-0.023</v>
      </c>
      <c r="BI864" s="14" t="n">
        <f aca="false">P864*(1+IFERROR(Q864,0))^4</f>
        <v>1783207.08128154</v>
      </c>
      <c r="BJ864" s="12" t="n">
        <v>-1433505</v>
      </c>
      <c r="BK864" s="11" t="s">
        <v>102</v>
      </c>
      <c r="BL864" s="11" t="s">
        <v>128</v>
      </c>
      <c r="BM864" s="14" t="n">
        <f aca="false">O864</f>
        <v>45216251</v>
      </c>
      <c r="BN864" s="11" t="s">
        <v>806</v>
      </c>
      <c r="BO864" s="13" t="n">
        <f aca="false">IFERROR(1-L864/M864,"")</f>
        <v>0.14745401988501</v>
      </c>
      <c r="BP864" s="11" t="s">
        <v>130</v>
      </c>
      <c r="BQ864" s="12" t="n">
        <v>1728354</v>
      </c>
      <c r="BR864" s="11" t="s">
        <v>88</v>
      </c>
      <c r="BS864" s="11" t="s">
        <v>89</v>
      </c>
      <c r="BT864" s="19" t="str">
        <f aca="false">IF(OR(Z864&lt;6,AH864&lt;0.9,S864&lt;0.02,AK864&lt;1),"REVIEW",IF(AND(S864&gt;0.25,AH864&gt;1.2),"ACCELERATING","STABLE"))</f>
        <v>STABLE</v>
      </c>
    </row>
    <row r="865" customFormat="false" ht="15" hidden="false" customHeight="false" outlineLevel="0" collapsed="false">
      <c r="A865" s="11" t="s">
        <v>804</v>
      </c>
      <c r="B865" s="11" t="s">
        <v>93</v>
      </c>
      <c r="C865" s="11" t="s">
        <v>74</v>
      </c>
      <c r="D865" s="11" t="s">
        <v>115</v>
      </c>
      <c r="E865" s="11" t="s">
        <v>187</v>
      </c>
      <c r="F865" s="11" t="s">
        <v>805</v>
      </c>
      <c r="G865" s="11" t="s">
        <v>78</v>
      </c>
      <c r="H865" s="11" t="s">
        <v>644</v>
      </c>
      <c r="I865" s="11" t="s">
        <v>78</v>
      </c>
      <c r="J865" s="12" t="n">
        <v>4642000</v>
      </c>
      <c r="K865" s="13" t="n">
        <f aca="false">IFERROR(J865/M865,"")</f>
        <v>0.14745401988501</v>
      </c>
      <c r="L865" s="12" t="n">
        <v>26839000</v>
      </c>
      <c r="M865" s="14" t="n">
        <f aca="false">L865+J865</f>
        <v>31481000</v>
      </c>
      <c r="N865" s="12" t="n">
        <v>4642000</v>
      </c>
      <c r="O865" s="12" t="n">
        <v>45216251</v>
      </c>
      <c r="P865" s="12" t="n">
        <v>1245787</v>
      </c>
      <c r="Q865" s="13" t="n">
        <f aca="false">IFERROR(P865/P864-1,"")</f>
        <v>0.273359043366004</v>
      </c>
      <c r="R865" s="12" t="n">
        <v>1199271</v>
      </c>
      <c r="S865" s="13" t="n">
        <f aca="false">IFERROR(R865/R864-1,"")</f>
        <v>0.15858497155394</v>
      </c>
      <c r="T865" s="12" t="n">
        <v>801940</v>
      </c>
      <c r="U865" s="13" t="n">
        <f aca="false">IFERROR(T865/P865,"")</f>
        <v>0.643721599278207</v>
      </c>
      <c r="V865" s="14" t="n">
        <f aca="false">T865-AV865</f>
        <v>-1779514</v>
      </c>
      <c r="W865" s="14" t="n">
        <f aca="false">V865-AA865*0.1</f>
        <v>-1779514</v>
      </c>
      <c r="X865" s="12" t="n">
        <v>1777455</v>
      </c>
      <c r="Y865" s="12" t="n">
        <v>147000</v>
      </c>
      <c r="Z865" s="15" t="n">
        <f aca="false">IFERROR(X865/Y865,"")</f>
        <v>12.0915306122449</v>
      </c>
      <c r="AA865" s="12" t="n">
        <v>0</v>
      </c>
      <c r="AB865" s="14" t="n">
        <f aca="false">W865-0.02*P865</f>
        <v>-1804429.74</v>
      </c>
      <c r="AC865" s="16" t="n">
        <v>46</v>
      </c>
      <c r="AD865" s="13" t="n">
        <f aca="false">IFERROR(AC865/AC864-1,"")</f>
        <v>0.15</v>
      </c>
      <c r="AE865" s="17" t="n">
        <v>0.095</v>
      </c>
      <c r="AF865" s="17" t="n">
        <v>0.068</v>
      </c>
      <c r="AG865" s="13" t="n">
        <f aca="false">1-AF865</f>
        <v>0.932</v>
      </c>
      <c r="AH865" s="17" t="n">
        <v>1.176</v>
      </c>
      <c r="AI865" s="12" t="n">
        <v>41600</v>
      </c>
      <c r="AJ865" s="14" t="n">
        <f aca="false">IFERROR(AM865*U865*MIN(1/AE865,5),"")</f>
        <v>122822.081142282</v>
      </c>
      <c r="AK865" s="18" t="n">
        <f aca="false">IFERROR(AJ865/AI865,"")</f>
        <v>2.95245387361255</v>
      </c>
      <c r="AL865" s="15" t="n">
        <f aca="false">IFERROR(AI865/(AM865*U865/12),"")</f>
        <v>20.3220787075618</v>
      </c>
      <c r="AM865" s="12" t="n">
        <v>38160</v>
      </c>
      <c r="AN865" s="12" t="n">
        <v>1353276</v>
      </c>
      <c r="AO865" s="12" t="n">
        <v>2844286</v>
      </c>
      <c r="AP865" s="17" t="n">
        <v>0.202</v>
      </c>
      <c r="AQ865" s="16" t="n">
        <v>73</v>
      </c>
      <c r="AR865" s="16" t="n">
        <v>3</v>
      </c>
      <c r="AS865" s="13" t="n">
        <f aca="false">IFERROR(AR865/AR864-1,"")</f>
        <v>0</v>
      </c>
      <c r="AT865" s="11" t="s">
        <v>201</v>
      </c>
      <c r="AU865" s="14" t="n">
        <f aca="false">IFERROR(P865/AR865,"")</f>
        <v>415262.333333333</v>
      </c>
      <c r="AV865" s="12" t="n">
        <v>2581454</v>
      </c>
      <c r="AW865" s="12" t="n">
        <v>797453</v>
      </c>
      <c r="AX865" s="12" t="n">
        <v>826060</v>
      </c>
      <c r="AY865" s="16" t="n">
        <v>35464</v>
      </c>
      <c r="AZ865" s="13" t="n">
        <f aca="false">IFERROR(AY865/AY864-1,"")</f>
        <v>0.200500998612098</v>
      </c>
      <c r="BA865" s="17" t="n">
        <v>0.929</v>
      </c>
      <c r="BB865" s="11" t="s">
        <v>99</v>
      </c>
      <c r="BC865" s="11" t="s">
        <v>100</v>
      </c>
      <c r="BD865" s="11" t="s">
        <v>83</v>
      </c>
      <c r="BE865" s="12" t="n">
        <v>1286913</v>
      </c>
      <c r="BF865" s="13" t="n">
        <f aca="false">IFERROR(P865/BE865-1,"")</f>
        <v>-0.0319570942247067</v>
      </c>
      <c r="BG865" s="17" t="n">
        <v>0.07</v>
      </c>
      <c r="BH865" s="17" t="n">
        <v>0.03</v>
      </c>
      <c r="BI865" s="14" t="n">
        <f aca="false">P865*(1+IFERROR(Q865,0))^4</f>
        <v>3275271.4731226</v>
      </c>
      <c r="BJ865" s="12" t="n">
        <v>-1032822</v>
      </c>
      <c r="BK865" s="11" t="s">
        <v>102</v>
      </c>
      <c r="BL865" s="11" t="s">
        <v>128</v>
      </c>
      <c r="BM865" s="14" t="n">
        <f aca="false">O865</f>
        <v>45216251</v>
      </c>
      <c r="BN865" s="11" t="s">
        <v>806</v>
      </c>
      <c r="BO865" s="13" t="n">
        <f aca="false">IFERROR(1-L865/M865,"")</f>
        <v>0.14745401988501</v>
      </c>
      <c r="BP865" s="11" t="s">
        <v>130</v>
      </c>
      <c r="BQ865" s="12" t="n">
        <v>2564700</v>
      </c>
      <c r="BR865" s="11" t="s">
        <v>88</v>
      </c>
      <c r="BS865" s="11" t="s">
        <v>89</v>
      </c>
      <c r="BT865" s="19" t="str">
        <f aca="false">IF(OR(Z865&lt;6,AH865&lt;0.9,S865&lt;0.02,AK865&lt;1),"REVIEW",IF(AND(S865&gt;0.25,AH865&gt;1.2),"ACCELERATING","STABLE"))</f>
        <v>STABLE</v>
      </c>
    </row>
    <row r="866" customFormat="false" ht="15" hidden="false" customHeight="false" outlineLevel="0" collapsed="false">
      <c r="A866" s="3" t="s">
        <v>807</v>
      </c>
      <c r="B866" s="3" t="s">
        <v>73</v>
      </c>
      <c r="C866" s="3" t="s">
        <v>74</v>
      </c>
      <c r="D866" s="3" t="s">
        <v>132</v>
      </c>
      <c r="E866" s="3" t="s">
        <v>105</v>
      </c>
      <c r="F866" s="3" t="s">
        <v>808</v>
      </c>
      <c r="G866" s="3" t="s">
        <v>78</v>
      </c>
      <c r="H866" s="3" t="s">
        <v>644</v>
      </c>
      <c r="I866" s="3" t="s">
        <v>78</v>
      </c>
      <c r="J866" s="4" t="n">
        <v>2157000</v>
      </c>
      <c r="K866" s="5" t="n">
        <f aca="false">IFERROR(J866/M866,"")</f>
        <v>0.13230693737349</v>
      </c>
      <c r="L866" s="4" t="n">
        <v>14146000</v>
      </c>
      <c r="M866" s="6" t="n">
        <f aca="false">L866+J866</f>
        <v>16303000</v>
      </c>
      <c r="N866" s="4" t="n">
        <v>2723000</v>
      </c>
      <c r="O866" s="4" t="n">
        <v>32672210</v>
      </c>
      <c r="P866" s="4" t="n">
        <v>448735</v>
      </c>
      <c r="Q866" s="7"/>
      <c r="R866" s="4" t="n">
        <v>502405</v>
      </c>
      <c r="S866" s="7"/>
      <c r="T866" s="4" t="n">
        <v>286165</v>
      </c>
      <c r="U866" s="5" t="n">
        <f aca="false">IFERROR(T866/P866,"")</f>
        <v>0.637714909690575</v>
      </c>
      <c r="V866" s="6" t="n">
        <f aca="false">T866-AV866</f>
        <v>-1246237</v>
      </c>
      <c r="W866" s="6" t="n">
        <f aca="false">V866-AA866*0.1</f>
        <v>-1246237</v>
      </c>
      <c r="X866" s="4" t="n">
        <v>4329198</v>
      </c>
      <c r="Y866" s="4" t="n">
        <v>125580</v>
      </c>
      <c r="Z866" s="8" t="n">
        <f aca="false">IFERROR(X866/Y866,"")</f>
        <v>34.4736263736264</v>
      </c>
      <c r="AA866" s="4" t="n">
        <v>0</v>
      </c>
      <c r="AB866" s="6" t="n">
        <f aca="false">W866-0.02*P866</f>
        <v>-1255211.7</v>
      </c>
      <c r="AC866" s="9" t="n">
        <v>15</v>
      </c>
      <c r="AD866" s="7"/>
      <c r="AE866" s="7" t="n">
        <v>0.106</v>
      </c>
      <c r="AF866" s="7" t="n">
        <v>0.098</v>
      </c>
      <c r="AG866" s="5" t="n">
        <f aca="false">1-AF866</f>
        <v>0.902</v>
      </c>
      <c r="AH866" s="7" t="n">
        <v>1.144</v>
      </c>
      <c r="AI866" s="4" t="n">
        <v>24486</v>
      </c>
      <c r="AJ866" s="6" t="n">
        <f aca="false">IFERROR(AM866*U866*MIN(1/AE866,5),"")</f>
        <v>41451.4691298874</v>
      </c>
      <c r="AK866" s="10" t="n">
        <f aca="false">IFERROR(AJ866/AI866,"")</f>
        <v>1.69286405006483</v>
      </c>
      <c r="AL866" s="8" t="n">
        <f aca="false">IFERROR(AI866/(AM866*U866/12),"")</f>
        <v>35.4428933603395</v>
      </c>
      <c r="AM866" s="4" t="n">
        <v>13000</v>
      </c>
      <c r="AN866" s="4" t="n">
        <v>461914</v>
      </c>
      <c r="AO866" s="4" t="n">
        <v>1754456</v>
      </c>
      <c r="AP866" s="7" t="n">
        <v>0.255</v>
      </c>
      <c r="AQ866" s="9" t="n">
        <v>65</v>
      </c>
      <c r="AR866" s="9" t="n">
        <v>5</v>
      </c>
      <c r="AS866" s="7"/>
      <c r="AT866" s="3" t="s">
        <v>80</v>
      </c>
      <c r="AU866" s="6" t="n">
        <f aca="false">IFERROR(P866/AR866,"")</f>
        <v>89747</v>
      </c>
      <c r="AV866" s="4" t="n">
        <v>1532402</v>
      </c>
      <c r="AW866" s="4" t="n">
        <v>758048</v>
      </c>
      <c r="AX866" s="4" t="n">
        <v>489951</v>
      </c>
      <c r="AY866" s="9" t="n">
        <v>21250</v>
      </c>
      <c r="AZ866" s="7"/>
      <c r="BA866" s="7" t="n">
        <v>0.91</v>
      </c>
      <c r="BB866" s="3" t="s">
        <v>107</v>
      </c>
      <c r="BC866" s="3" t="s">
        <v>100</v>
      </c>
      <c r="BD866" s="3" t="s">
        <v>101</v>
      </c>
      <c r="BE866" s="4" t="n">
        <v>456079</v>
      </c>
      <c r="BF866" s="5" t="n">
        <f aca="false">IFERROR(P866/BE866-1,"")</f>
        <v>-0.0161024734749901</v>
      </c>
      <c r="BG866" s="7" t="n">
        <v>-0.026</v>
      </c>
      <c r="BH866" s="7" t="n">
        <v>0.043</v>
      </c>
      <c r="BI866" s="6" t="n">
        <f aca="false">P866</f>
        <v>448735</v>
      </c>
      <c r="BJ866" s="4" t="n">
        <v>-970109</v>
      </c>
      <c r="BK866" s="3" t="s">
        <v>110</v>
      </c>
      <c r="BL866" s="3" t="s">
        <v>85</v>
      </c>
      <c r="BM866" s="6" t="n">
        <f aca="false">O866</f>
        <v>32672210</v>
      </c>
      <c r="BN866" s="3" t="s">
        <v>809</v>
      </c>
      <c r="BO866" s="5" t="n">
        <f aca="false">IFERROR(1-L866/M866,"")</f>
        <v>0.13230693737349</v>
      </c>
      <c r="BP866" s="3" t="s">
        <v>87</v>
      </c>
      <c r="BQ866" s="4" t="n">
        <v>2143091</v>
      </c>
      <c r="BR866" s="3" t="s">
        <v>88</v>
      </c>
      <c r="BS866" s="3" t="s">
        <v>89</v>
      </c>
      <c r="BT866" s="3" t="s">
        <v>90</v>
      </c>
    </row>
    <row r="867" customFormat="false" ht="15" hidden="false" customHeight="false" outlineLevel="0" collapsed="false">
      <c r="A867" s="11" t="s">
        <v>807</v>
      </c>
      <c r="B867" s="11" t="s">
        <v>91</v>
      </c>
      <c r="C867" s="11" t="s">
        <v>74</v>
      </c>
      <c r="D867" s="11" t="s">
        <v>132</v>
      </c>
      <c r="E867" s="11" t="s">
        <v>105</v>
      </c>
      <c r="F867" s="11" t="s">
        <v>808</v>
      </c>
      <c r="G867" s="11" t="s">
        <v>78</v>
      </c>
      <c r="H867" s="11" t="s">
        <v>644</v>
      </c>
      <c r="I867" s="11" t="s">
        <v>78</v>
      </c>
      <c r="J867" s="12" t="n">
        <v>2157000</v>
      </c>
      <c r="K867" s="13" t="n">
        <f aca="false">IFERROR(J867/M867,"")</f>
        <v>0.13230693737349</v>
      </c>
      <c r="L867" s="12" t="n">
        <v>14146000</v>
      </c>
      <c r="M867" s="14" t="n">
        <f aca="false">L867+J867</f>
        <v>16303000</v>
      </c>
      <c r="N867" s="12" t="n">
        <v>2723000</v>
      </c>
      <c r="O867" s="12" t="n">
        <v>32672210</v>
      </c>
      <c r="P867" s="12" t="n">
        <v>464382</v>
      </c>
      <c r="Q867" s="13" t="n">
        <f aca="false">IFERROR(P867/P866-1,"")</f>
        <v>0.0348691321158368</v>
      </c>
      <c r="R867" s="12" t="n">
        <v>530416</v>
      </c>
      <c r="S867" s="13" t="n">
        <f aca="false">IFERROR(R867/R866-1,"")</f>
        <v>0.05575382410605</v>
      </c>
      <c r="T867" s="12" t="n">
        <v>297342</v>
      </c>
      <c r="U867" s="13" t="n">
        <f aca="false">IFERROR(T867/P867,"")</f>
        <v>0.640296135509128</v>
      </c>
      <c r="V867" s="14" t="n">
        <f aca="false">T867-AV867</f>
        <v>-1181391</v>
      </c>
      <c r="W867" s="14" t="n">
        <f aca="false">V867-AA867*0.1</f>
        <v>-1181391</v>
      </c>
      <c r="X867" s="12" t="n">
        <v>4012488</v>
      </c>
      <c r="Y867" s="12" t="n">
        <v>129719</v>
      </c>
      <c r="Z867" s="15" t="n">
        <f aca="false">IFERROR(X867/Y867,"")</f>
        <v>30.9321533468497</v>
      </c>
      <c r="AA867" s="12" t="n">
        <v>0</v>
      </c>
      <c r="AB867" s="14" t="n">
        <f aca="false">W867-0.02*P867</f>
        <v>-1190678.64</v>
      </c>
      <c r="AC867" s="16" t="n">
        <v>17</v>
      </c>
      <c r="AD867" s="13" t="n">
        <f aca="false">IFERROR(AC867/AC866-1,"")</f>
        <v>0.133333333333333</v>
      </c>
      <c r="AE867" s="17" t="n">
        <v>0.103</v>
      </c>
      <c r="AF867" s="17" t="n">
        <v>0.074</v>
      </c>
      <c r="AG867" s="13" t="n">
        <f aca="false">1-AF867</f>
        <v>0.926</v>
      </c>
      <c r="AH867" s="17" t="n">
        <v>1.139</v>
      </c>
      <c r="AI867" s="12" t="n">
        <v>24024</v>
      </c>
      <c r="AJ867" s="14" t="n">
        <f aca="false">IFERROR(AM867*U867*MIN(1/AE867,5),"")</f>
        <v>42451.6337842552</v>
      </c>
      <c r="AK867" s="18" t="n">
        <f aca="false">IFERROR(AJ867/AI867,"")</f>
        <v>1.76705102332065</v>
      </c>
      <c r="AL867" s="15" t="n">
        <f aca="false">IFERROR(AI867/(AM867*U867/12),"")</f>
        <v>33.9548769153524</v>
      </c>
      <c r="AM867" s="12" t="n">
        <v>13260</v>
      </c>
      <c r="AN867" s="12" t="n">
        <v>663226</v>
      </c>
      <c r="AO867" s="12" t="n">
        <v>1884281</v>
      </c>
      <c r="AP867" s="17" t="n">
        <v>0.255</v>
      </c>
      <c r="AQ867" s="16" t="n">
        <v>65</v>
      </c>
      <c r="AR867" s="16" t="n">
        <v>5</v>
      </c>
      <c r="AS867" s="13" t="n">
        <f aca="false">IFERROR(AR867/AR866-1,"")</f>
        <v>0</v>
      </c>
      <c r="AT867" s="11" t="s">
        <v>80</v>
      </c>
      <c r="AU867" s="14" t="n">
        <f aca="false">IFERROR(P867/AR867,"")</f>
        <v>92876.4</v>
      </c>
      <c r="AV867" s="12" t="n">
        <v>1478733</v>
      </c>
      <c r="AW867" s="12" t="n">
        <v>530638</v>
      </c>
      <c r="AX867" s="12" t="n">
        <v>339903</v>
      </c>
      <c r="AY867" s="16" t="n">
        <v>24165</v>
      </c>
      <c r="AZ867" s="13" t="n">
        <f aca="false">IFERROR(AY867/AY866-1,"")</f>
        <v>0.137176470588235</v>
      </c>
      <c r="BA867" s="17" t="n">
        <v>0.907</v>
      </c>
      <c r="BB867" s="11" t="s">
        <v>107</v>
      </c>
      <c r="BC867" s="11" t="s">
        <v>100</v>
      </c>
      <c r="BD867" s="11" t="s">
        <v>101</v>
      </c>
      <c r="BE867" s="12" t="n">
        <v>449212</v>
      </c>
      <c r="BF867" s="13" t="n">
        <f aca="false">IFERROR(P867/BE867-1,"")</f>
        <v>0.0337702465650962</v>
      </c>
      <c r="BG867" s="17" t="n">
        <v>0.047</v>
      </c>
      <c r="BH867" s="17" t="n">
        <v>-0.058</v>
      </c>
      <c r="BI867" s="14" t="n">
        <f aca="false">P867*(1+IFERROR(Q867,0))^4</f>
        <v>532619.558119988</v>
      </c>
      <c r="BJ867" s="12" t="n">
        <v>-991416</v>
      </c>
      <c r="BK867" s="11" t="s">
        <v>110</v>
      </c>
      <c r="BL867" s="11" t="s">
        <v>85</v>
      </c>
      <c r="BM867" s="14" t="n">
        <f aca="false">O867</f>
        <v>32672210</v>
      </c>
      <c r="BN867" s="11" t="s">
        <v>809</v>
      </c>
      <c r="BO867" s="13" t="n">
        <f aca="false">IFERROR(1-L867/M867,"")</f>
        <v>0.13230693737349</v>
      </c>
      <c r="BP867" s="11" t="s">
        <v>87</v>
      </c>
      <c r="BQ867" s="12" t="n">
        <v>1597824</v>
      </c>
      <c r="BR867" s="11" t="s">
        <v>88</v>
      </c>
      <c r="BS867" s="11" t="s">
        <v>89</v>
      </c>
      <c r="BT867" s="19" t="str">
        <f aca="false">IF(OR(Z867&lt;6,AH867&lt;0.9,S867&lt;0.02,AK867&lt;1),"REVIEW",IF(AND(S867&gt;0.25,AH867&gt;1.2),"ACCELERATING","STABLE"))</f>
        <v>STABLE</v>
      </c>
    </row>
    <row r="868" customFormat="false" ht="15" hidden="false" customHeight="false" outlineLevel="0" collapsed="false">
      <c r="A868" s="11" t="s">
        <v>807</v>
      </c>
      <c r="B868" s="11" t="s">
        <v>92</v>
      </c>
      <c r="C868" s="11" t="s">
        <v>74</v>
      </c>
      <c r="D868" s="11" t="s">
        <v>132</v>
      </c>
      <c r="E868" s="11" t="s">
        <v>105</v>
      </c>
      <c r="F868" s="11" t="s">
        <v>808</v>
      </c>
      <c r="G868" s="11" t="s">
        <v>78</v>
      </c>
      <c r="H868" s="11" t="s">
        <v>644</v>
      </c>
      <c r="I868" s="11" t="s">
        <v>78</v>
      </c>
      <c r="J868" s="12" t="n">
        <v>2157000</v>
      </c>
      <c r="K868" s="13" t="n">
        <f aca="false">IFERROR(J868/M868,"")</f>
        <v>0.13230693737349</v>
      </c>
      <c r="L868" s="12" t="n">
        <v>14146000</v>
      </c>
      <c r="M868" s="14" t="n">
        <f aca="false">L868+J868</f>
        <v>16303000</v>
      </c>
      <c r="N868" s="12" t="n">
        <v>2723000</v>
      </c>
      <c r="O868" s="12" t="n">
        <v>32672210</v>
      </c>
      <c r="P868" s="12" t="n">
        <v>491288</v>
      </c>
      <c r="Q868" s="13" t="n">
        <f aca="false">IFERROR(P868/P867-1,"")</f>
        <v>0.0579393688816534</v>
      </c>
      <c r="R868" s="12" t="n">
        <v>598510</v>
      </c>
      <c r="S868" s="13" t="n">
        <f aca="false">IFERROR(R868/R867-1,"")</f>
        <v>0.128378480287171</v>
      </c>
      <c r="T868" s="12" t="n">
        <v>315839</v>
      </c>
      <c r="U868" s="13" t="n">
        <f aca="false">IFERROR(T868/P868,"")</f>
        <v>0.64287953298269</v>
      </c>
      <c r="V868" s="14" t="n">
        <f aca="false">T868-AV868</f>
        <v>-1405779</v>
      </c>
      <c r="W868" s="14" t="n">
        <f aca="false">V868-AA868*0.1</f>
        <v>-1405779</v>
      </c>
      <c r="X868" s="12" t="n">
        <v>3673422</v>
      </c>
      <c r="Y868" s="12" t="n">
        <v>133860</v>
      </c>
      <c r="Z868" s="15" t="n">
        <f aca="false">IFERROR(X868/Y868,"")</f>
        <v>27.4422680412371</v>
      </c>
      <c r="AA868" s="12" t="n">
        <v>0</v>
      </c>
      <c r="AB868" s="14" t="n">
        <f aca="false">W868-0.02*P868</f>
        <v>-1415604.76</v>
      </c>
      <c r="AC868" s="16" t="n">
        <v>19</v>
      </c>
      <c r="AD868" s="13" t="n">
        <f aca="false">IFERROR(AC868/AC867-1,"")</f>
        <v>0.117647058823529</v>
      </c>
      <c r="AE868" s="17" t="n">
        <v>0.1</v>
      </c>
      <c r="AF868" s="17" t="n">
        <v>0.065</v>
      </c>
      <c r="AG868" s="13" t="n">
        <f aca="false">1-AF868</f>
        <v>0.935</v>
      </c>
      <c r="AH868" s="17" t="n">
        <v>1.134</v>
      </c>
      <c r="AI868" s="12" t="n">
        <v>23562</v>
      </c>
      <c r="AJ868" s="14" t="n">
        <f aca="false">IFERROR(AM868*U868*MIN(1/AE868,5),"")</f>
        <v>43458.6564296299</v>
      </c>
      <c r="AK868" s="18" t="n">
        <f aca="false">IFERROR(AJ868/AI868,"")</f>
        <v>1.84443835114294</v>
      </c>
      <c r="AL868" s="15" t="n">
        <f aca="false">IFERROR(AI868/(AM868*U868/12),"")</f>
        <v>32.5302279486978</v>
      </c>
      <c r="AM868" s="12" t="n">
        <v>13520</v>
      </c>
      <c r="AN868" s="12" t="n">
        <v>791036</v>
      </c>
      <c r="AO868" s="12" t="n">
        <v>1001021</v>
      </c>
      <c r="AP868" s="17" t="n">
        <v>0.255</v>
      </c>
      <c r="AQ868" s="16" t="n">
        <v>65</v>
      </c>
      <c r="AR868" s="16" t="n">
        <v>5</v>
      </c>
      <c r="AS868" s="13" t="n">
        <f aca="false">IFERROR(AR868/AR867-1,"")</f>
        <v>0</v>
      </c>
      <c r="AT868" s="11" t="s">
        <v>80</v>
      </c>
      <c r="AU868" s="14" t="n">
        <f aca="false">IFERROR(P868/AR868,"")</f>
        <v>98257.6</v>
      </c>
      <c r="AV868" s="12" t="n">
        <v>1721618</v>
      </c>
      <c r="AW868" s="12" t="n">
        <v>847552</v>
      </c>
      <c r="AX868" s="12" t="n">
        <v>452742</v>
      </c>
      <c r="AY868" s="16" t="n">
        <v>25369</v>
      </c>
      <c r="AZ868" s="13" t="n">
        <f aca="false">IFERROR(AY868/AY867-1,"")</f>
        <v>0.0498241258017795</v>
      </c>
      <c r="BA868" s="17" t="n">
        <v>0.915</v>
      </c>
      <c r="BB868" s="11" t="s">
        <v>107</v>
      </c>
      <c r="BC868" s="11" t="s">
        <v>100</v>
      </c>
      <c r="BD868" s="11" t="s">
        <v>101</v>
      </c>
      <c r="BE868" s="12" t="n">
        <v>530863</v>
      </c>
      <c r="BF868" s="13" t="n">
        <f aca="false">IFERROR(P868/BE868-1,"")</f>
        <v>-0.0745484239813286</v>
      </c>
      <c r="BG868" s="17" t="n">
        <v>0.065</v>
      </c>
      <c r="BH868" s="17" t="n">
        <v>0.019</v>
      </c>
      <c r="BI868" s="14" t="n">
        <f aca="false">P868*(1+IFERROR(Q868,0))^4</f>
        <v>615430.862461369</v>
      </c>
      <c r="BJ868" s="12" t="n">
        <v>-1086606</v>
      </c>
      <c r="BK868" s="11" t="s">
        <v>110</v>
      </c>
      <c r="BL868" s="11" t="s">
        <v>85</v>
      </c>
      <c r="BM868" s="14" t="n">
        <f aca="false">O868</f>
        <v>32672210</v>
      </c>
      <c r="BN868" s="11" t="s">
        <v>809</v>
      </c>
      <c r="BO868" s="13" t="n">
        <f aca="false">IFERROR(1-L868/M868,"")</f>
        <v>0.13230693737349</v>
      </c>
      <c r="BP868" s="11" t="s">
        <v>87</v>
      </c>
      <c r="BQ868" s="12" t="n">
        <v>1955500</v>
      </c>
      <c r="BR868" s="11" t="s">
        <v>88</v>
      </c>
      <c r="BS868" s="11" t="s">
        <v>89</v>
      </c>
      <c r="BT868" s="19" t="str">
        <f aca="false">IF(OR(Z868&lt;6,AH868&lt;0.9,S868&lt;0.02,AK868&lt;1),"REVIEW",IF(AND(S868&gt;0.25,AH868&gt;1.2),"ACCELERATING","STABLE"))</f>
        <v>STABLE</v>
      </c>
    </row>
    <row r="869" customFormat="false" ht="15" hidden="false" customHeight="false" outlineLevel="0" collapsed="false">
      <c r="A869" s="11" t="s">
        <v>807</v>
      </c>
      <c r="B869" s="11" t="s">
        <v>93</v>
      </c>
      <c r="C869" s="11" t="s">
        <v>74</v>
      </c>
      <c r="D869" s="11" t="s">
        <v>132</v>
      </c>
      <c r="E869" s="11" t="s">
        <v>105</v>
      </c>
      <c r="F869" s="11" t="s">
        <v>808</v>
      </c>
      <c r="G869" s="11" t="s">
        <v>78</v>
      </c>
      <c r="H869" s="11" t="s">
        <v>644</v>
      </c>
      <c r="I869" s="11" t="s">
        <v>78</v>
      </c>
      <c r="J869" s="12" t="n">
        <v>2157000</v>
      </c>
      <c r="K869" s="13" t="n">
        <f aca="false">IFERROR(J869/M869,"")</f>
        <v>0.13230693737349</v>
      </c>
      <c r="L869" s="12" t="n">
        <v>14146000</v>
      </c>
      <c r="M869" s="14" t="n">
        <f aca="false">L869+J869</f>
        <v>16303000</v>
      </c>
      <c r="N869" s="12" t="n">
        <v>2723000</v>
      </c>
      <c r="O869" s="12" t="n">
        <v>32672210</v>
      </c>
      <c r="P869" s="12" t="n">
        <v>558487</v>
      </c>
      <c r="Q869" s="13" t="n">
        <f aca="false">IFERROR(P869/P868-1,"")</f>
        <v>0.136781276969924</v>
      </c>
      <c r="R869" s="12" t="n">
        <v>647318</v>
      </c>
      <c r="S869" s="13" t="n">
        <f aca="false">IFERROR(R869/R868-1,"")</f>
        <v>0.081549180464821</v>
      </c>
      <c r="T869" s="12" t="n">
        <v>360481</v>
      </c>
      <c r="U869" s="13" t="n">
        <f aca="false">IFERROR(T869/P869,"")</f>
        <v>0.645459965943702</v>
      </c>
      <c r="V869" s="14" t="n">
        <f aca="false">T869-AV869</f>
        <v>-1610983</v>
      </c>
      <c r="W869" s="14" t="n">
        <f aca="false">V869-AA869*0.1</f>
        <v>-1610983</v>
      </c>
      <c r="X869" s="12" t="n">
        <v>3312000</v>
      </c>
      <c r="Y869" s="12" t="n">
        <v>138000</v>
      </c>
      <c r="Z869" s="15" t="n">
        <f aca="false">IFERROR(X869/Y869,"")</f>
        <v>24</v>
      </c>
      <c r="AA869" s="12" t="n">
        <v>0</v>
      </c>
      <c r="AB869" s="14" t="n">
        <f aca="false">W869-0.02*P869</f>
        <v>-1622152.74</v>
      </c>
      <c r="AC869" s="16" t="n">
        <v>20</v>
      </c>
      <c r="AD869" s="13" t="n">
        <f aca="false">IFERROR(AC869/AC868-1,"")</f>
        <v>0.0526315789473684</v>
      </c>
      <c r="AE869" s="17" t="n">
        <v>0.097</v>
      </c>
      <c r="AF869" s="17" t="n">
        <v>0.087</v>
      </c>
      <c r="AG869" s="13" t="n">
        <f aca="false">1-AF869</f>
        <v>0.913</v>
      </c>
      <c r="AH869" s="17" t="n">
        <v>1.129</v>
      </c>
      <c r="AI869" s="12" t="n">
        <v>23100</v>
      </c>
      <c r="AJ869" s="14" t="n">
        <f aca="false">IFERROR(AM869*U869*MIN(1/AE869,5),"")</f>
        <v>44472.191653521</v>
      </c>
      <c r="AK869" s="18" t="n">
        <f aca="false">IFERROR(AJ869/AI869,"")</f>
        <v>1.92520310188403</v>
      </c>
      <c r="AL869" s="15" t="n">
        <f aca="false">IFERROR(AI869/(AM869*U869/12),"")</f>
        <v>31.1655429711719</v>
      </c>
      <c r="AM869" s="12" t="n">
        <v>13780</v>
      </c>
      <c r="AN869" s="12" t="n">
        <v>665788</v>
      </c>
      <c r="AO869" s="12" t="n">
        <v>1471075</v>
      </c>
      <c r="AP869" s="17" t="n">
        <v>0.255</v>
      </c>
      <c r="AQ869" s="16" t="n">
        <v>65</v>
      </c>
      <c r="AR869" s="16" t="n">
        <v>6</v>
      </c>
      <c r="AS869" s="13" t="n">
        <f aca="false">IFERROR(AR869/AR868-1,"")</f>
        <v>0.2</v>
      </c>
      <c r="AT869" s="11" t="s">
        <v>80</v>
      </c>
      <c r="AU869" s="14" t="n">
        <f aca="false">IFERROR(P869/AR869,"")</f>
        <v>93081.1666666667</v>
      </c>
      <c r="AV869" s="12" t="n">
        <v>1971464</v>
      </c>
      <c r="AW869" s="12" t="n">
        <v>931332</v>
      </c>
      <c r="AX869" s="12" t="n">
        <v>528651</v>
      </c>
      <c r="AY869" s="16" t="n">
        <v>27324</v>
      </c>
      <c r="AZ869" s="13" t="n">
        <f aca="false">IFERROR(AY869/AY868-1,"")</f>
        <v>0.0770625566636447</v>
      </c>
      <c r="BA869" s="17" t="n">
        <v>0.9</v>
      </c>
      <c r="BB869" s="11" t="s">
        <v>107</v>
      </c>
      <c r="BC869" s="11" t="s">
        <v>100</v>
      </c>
      <c r="BD869" s="11" t="s">
        <v>101</v>
      </c>
      <c r="BE869" s="12" t="n">
        <v>563594</v>
      </c>
      <c r="BF869" s="13" t="n">
        <f aca="false">IFERROR(P869/BE869-1,"")</f>
        <v>-0.00906148752470748</v>
      </c>
      <c r="BG869" s="17" t="n">
        <v>0.007</v>
      </c>
      <c r="BH869" s="17" t="n">
        <v>0.091</v>
      </c>
      <c r="BI869" s="14" t="n">
        <f aca="false">P869*(1+IFERROR(Q869,0))^4</f>
        <v>932654.342434471</v>
      </c>
      <c r="BJ869" s="12" t="n">
        <v>-1071584</v>
      </c>
      <c r="BK869" s="11" t="s">
        <v>110</v>
      </c>
      <c r="BL869" s="11" t="s">
        <v>85</v>
      </c>
      <c r="BM869" s="14" t="n">
        <f aca="false">O869</f>
        <v>32672210</v>
      </c>
      <c r="BN869" s="11" t="s">
        <v>809</v>
      </c>
      <c r="BO869" s="13" t="n">
        <f aca="false">IFERROR(1-L869/M869,"")</f>
        <v>0.13230693737349</v>
      </c>
      <c r="BP869" s="11" t="s">
        <v>87</v>
      </c>
      <c r="BQ869" s="12" t="n">
        <v>1935709</v>
      </c>
      <c r="BR869" s="11" t="s">
        <v>88</v>
      </c>
      <c r="BS869" s="11" t="s">
        <v>89</v>
      </c>
      <c r="BT869" s="19" t="str">
        <f aca="false">IF(OR(Z869&lt;6,AH869&lt;0.9,S869&lt;0.02,AK869&lt;1),"REVIEW",IF(AND(S869&gt;0.25,AH869&gt;1.2),"ACCELERATING","STABLE"))</f>
        <v>STABLE</v>
      </c>
    </row>
    <row r="870" customFormat="false" ht="15" hidden="false" customHeight="false" outlineLevel="0" collapsed="false">
      <c r="A870" s="3" t="s">
        <v>810</v>
      </c>
      <c r="B870" s="3" t="s">
        <v>73</v>
      </c>
      <c r="C870" s="3" t="s">
        <v>74</v>
      </c>
      <c r="D870" s="3" t="s">
        <v>115</v>
      </c>
      <c r="E870" s="3" t="s">
        <v>105</v>
      </c>
      <c r="F870" s="3" t="s">
        <v>811</v>
      </c>
      <c r="G870" s="3" t="s">
        <v>78</v>
      </c>
      <c r="H870" s="3" t="s">
        <v>644</v>
      </c>
      <c r="I870" s="3" t="s">
        <v>78</v>
      </c>
      <c r="J870" s="4" t="n">
        <v>2049000</v>
      </c>
      <c r="K870" s="5" t="n">
        <f aca="false">IFERROR(J870/M870,"")</f>
        <v>0.166355443695705</v>
      </c>
      <c r="L870" s="4" t="n">
        <v>10268000</v>
      </c>
      <c r="M870" s="6" t="n">
        <f aca="false">L870+J870</f>
        <v>12317000</v>
      </c>
      <c r="N870" s="4" t="n">
        <v>5930000</v>
      </c>
      <c r="O870" s="4" t="n">
        <v>18611032</v>
      </c>
      <c r="P870" s="4" t="n">
        <v>743552</v>
      </c>
      <c r="Q870" s="7"/>
      <c r="R870" s="4" t="n">
        <v>757253</v>
      </c>
      <c r="S870" s="7"/>
      <c r="T870" s="4" t="n">
        <v>502215</v>
      </c>
      <c r="U870" s="5" t="n">
        <f aca="false">IFERROR(T870/P870,"")</f>
        <v>0.675426869943192</v>
      </c>
      <c r="V870" s="6" t="n">
        <f aca="false">T870-AV870</f>
        <v>-1071733</v>
      </c>
      <c r="W870" s="6" t="n">
        <f aca="false">V870-AA870*0.1</f>
        <v>-1108633</v>
      </c>
      <c r="X870" s="4" t="n">
        <v>3827262</v>
      </c>
      <c r="Y870" s="4" t="n">
        <v>111020</v>
      </c>
      <c r="Z870" s="8" t="n">
        <f aca="false">IFERROR(X870/Y870,"")</f>
        <v>34.4736263736264</v>
      </c>
      <c r="AA870" s="4" t="n">
        <v>369000</v>
      </c>
      <c r="AB870" s="6" t="n">
        <f aca="false">W870-0.02*P870</f>
        <v>-1123504.04</v>
      </c>
      <c r="AC870" s="9" t="n">
        <v>16</v>
      </c>
      <c r="AD870" s="7"/>
      <c r="AE870" s="7" t="n">
        <v>0.069</v>
      </c>
      <c r="AF870" s="7" t="n">
        <v>0.055</v>
      </c>
      <c r="AG870" s="5" t="n">
        <f aca="false">1-AF870</f>
        <v>0.945</v>
      </c>
      <c r="AH870" s="7" t="n">
        <v>1.058</v>
      </c>
      <c r="AI870" s="4" t="n">
        <v>16960</v>
      </c>
      <c r="AJ870" s="6" t="n">
        <f aca="false">IFERROR(AM870*U870*MIN(1/AE870,5),"")</f>
        <v>30394.2091474436</v>
      </c>
      <c r="AK870" s="10" t="n">
        <f aca="false">IFERROR(AJ870/AI870,"")</f>
        <v>1.79211138841059</v>
      </c>
      <c r="AL870" s="8" t="n">
        <f aca="false">IFERROR(AI870/(AM870*U870/12),"")</f>
        <v>33.4800617796495</v>
      </c>
      <c r="AM870" s="4" t="n">
        <v>9000</v>
      </c>
      <c r="AN870" s="4" t="n">
        <v>964022</v>
      </c>
      <c r="AO870" s="4" t="n">
        <v>1763914</v>
      </c>
      <c r="AP870" s="7" t="n">
        <v>0.245</v>
      </c>
      <c r="AQ870" s="9" t="n">
        <v>50</v>
      </c>
      <c r="AR870" s="9" t="n">
        <v>1</v>
      </c>
      <c r="AS870" s="7"/>
      <c r="AT870" s="3" t="s">
        <v>218</v>
      </c>
      <c r="AU870" s="6" t="n">
        <f aca="false">IFERROR(P870/AR870,"")</f>
        <v>743552</v>
      </c>
      <c r="AV870" s="4" t="n">
        <v>1573948</v>
      </c>
      <c r="AW870" s="4" t="n">
        <v>553092</v>
      </c>
      <c r="AX870" s="4" t="n">
        <v>335339</v>
      </c>
      <c r="AY870" s="9" t="n">
        <v>13883</v>
      </c>
      <c r="AZ870" s="7"/>
      <c r="BA870" s="7" t="n">
        <v>0.952</v>
      </c>
      <c r="BB870" s="3" t="s">
        <v>107</v>
      </c>
      <c r="BC870" s="3" t="s">
        <v>100</v>
      </c>
      <c r="BD870" s="3" t="s">
        <v>83</v>
      </c>
      <c r="BE870" s="4" t="n">
        <v>912513</v>
      </c>
      <c r="BF870" s="5" t="n">
        <f aca="false">IFERROR(P870/BE870-1,"")</f>
        <v>-0.185160101828686</v>
      </c>
      <c r="BG870" s="7" t="n">
        <v>-0.039</v>
      </c>
      <c r="BH870" s="7" t="n">
        <v>0.029</v>
      </c>
      <c r="BI870" s="6" t="n">
        <f aca="false">P870</f>
        <v>743552</v>
      </c>
      <c r="BJ870" s="4" t="n">
        <v>-1137949</v>
      </c>
      <c r="BK870" s="3" t="s">
        <v>127</v>
      </c>
      <c r="BL870" s="3" t="s">
        <v>128</v>
      </c>
      <c r="BM870" s="6" t="n">
        <f aca="false">O870</f>
        <v>18611032</v>
      </c>
      <c r="BN870" s="3" t="s">
        <v>812</v>
      </c>
      <c r="BO870" s="5" t="n">
        <f aca="false">IFERROR(1-L870/M870,"")</f>
        <v>0.166355443695705</v>
      </c>
      <c r="BP870" s="3" t="s">
        <v>142</v>
      </c>
      <c r="BQ870" s="4" t="n">
        <v>1599508</v>
      </c>
      <c r="BR870" s="3" t="s">
        <v>735</v>
      </c>
      <c r="BS870" s="3" t="s">
        <v>89</v>
      </c>
      <c r="BT870" s="3" t="s">
        <v>90</v>
      </c>
    </row>
    <row r="871" customFormat="false" ht="15" hidden="false" customHeight="false" outlineLevel="0" collapsed="false">
      <c r="A871" s="11" t="s">
        <v>810</v>
      </c>
      <c r="B871" s="11" t="s">
        <v>91</v>
      </c>
      <c r="C871" s="11" t="s">
        <v>74</v>
      </c>
      <c r="D871" s="11" t="s">
        <v>115</v>
      </c>
      <c r="E871" s="11" t="s">
        <v>105</v>
      </c>
      <c r="F871" s="11" t="s">
        <v>811</v>
      </c>
      <c r="G871" s="11" t="s">
        <v>78</v>
      </c>
      <c r="H871" s="11" t="s">
        <v>644</v>
      </c>
      <c r="I871" s="11" t="s">
        <v>78</v>
      </c>
      <c r="J871" s="12" t="n">
        <v>2049000</v>
      </c>
      <c r="K871" s="13" t="n">
        <f aca="false">IFERROR(J871/M871,"")</f>
        <v>0.166355443695705</v>
      </c>
      <c r="L871" s="12" t="n">
        <v>10268000</v>
      </c>
      <c r="M871" s="14" t="n">
        <f aca="false">L871+J871</f>
        <v>12317000</v>
      </c>
      <c r="N871" s="12" t="n">
        <v>5930000</v>
      </c>
      <c r="O871" s="12" t="n">
        <v>18611032</v>
      </c>
      <c r="P871" s="12" t="n">
        <v>837681</v>
      </c>
      <c r="Q871" s="13" t="n">
        <f aca="false">IFERROR(P871/P870-1,"")</f>
        <v>0.126593701583749</v>
      </c>
      <c r="R871" s="12" t="n">
        <v>900632</v>
      </c>
      <c r="S871" s="13" t="n">
        <f aca="false">IFERROR(R871/R870-1,"")</f>
        <v>0.189340946816982</v>
      </c>
      <c r="T871" s="12" t="n">
        <v>568083</v>
      </c>
      <c r="U871" s="13" t="n">
        <f aca="false">IFERROR(T871/P871,"")</f>
        <v>0.678161495843883</v>
      </c>
      <c r="V871" s="14" t="n">
        <f aca="false">T871-AV871</f>
        <v>-1344869</v>
      </c>
      <c r="W871" s="14" t="n">
        <f aca="false">V871-AA871*0.1</f>
        <v>-1381769</v>
      </c>
      <c r="X871" s="12" t="n">
        <v>3547272</v>
      </c>
      <c r="Y871" s="12" t="n">
        <v>114680</v>
      </c>
      <c r="Z871" s="15" t="n">
        <f aca="false">IFERROR(X871/Y871,"")</f>
        <v>30.931914893617</v>
      </c>
      <c r="AA871" s="12" t="n">
        <v>369000</v>
      </c>
      <c r="AB871" s="14" t="n">
        <f aca="false">W871-0.02*P871</f>
        <v>-1398522.62</v>
      </c>
      <c r="AC871" s="16" t="n">
        <v>18</v>
      </c>
      <c r="AD871" s="13" t="n">
        <f aca="false">IFERROR(AC871/AC870-1,"")</f>
        <v>0.125</v>
      </c>
      <c r="AE871" s="17" t="n">
        <v>0.067</v>
      </c>
      <c r="AF871" s="17" t="n">
        <v>0.051</v>
      </c>
      <c r="AG871" s="13" t="n">
        <f aca="false">1-AF871</f>
        <v>0.949</v>
      </c>
      <c r="AH871" s="17" t="n">
        <v>1.053</v>
      </c>
      <c r="AI871" s="12" t="n">
        <v>16640</v>
      </c>
      <c r="AJ871" s="14" t="n">
        <f aca="false">IFERROR(AM871*U871*MIN(1/AE871,5),"")</f>
        <v>31127.6126592342</v>
      </c>
      <c r="AK871" s="18" t="n">
        <f aca="false">IFERROR(AJ871/AI871,"")</f>
        <v>1.87064979923283</v>
      </c>
      <c r="AL871" s="15" t="n">
        <f aca="false">IFERROR(AI871/(AM871*U871/12),"")</f>
        <v>32.0744160796995</v>
      </c>
      <c r="AM871" s="12" t="n">
        <v>9180</v>
      </c>
      <c r="AN871" s="12" t="n">
        <v>1166660</v>
      </c>
      <c r="AO871" s="12" t="n">
        <v>2327461</v>
      </c>
      <c r="AP871" s="17" t="n">
        <v>0.245</v>
      </c>
      <c r="AQ871" s="16" t="n">
        <v>50</v>
      </c>
      <c r="AR871" s="16" t="n">
        <v>2</v>
      </c>
      <c r="AS871" s="13" t="n">
        <f aca="false">IFERROR(AR871/AR870-1,"")</f>
        <v>1</v>
      </c>
      <c r="AT871" s="11" t="s">
        <v>218</v>
      </c>
      <c r="AU871" s="14" t="n">
        <f aca="false">IFERROR(P871/AR871,"")</f>
        <v>418840.5</v>
      </c>
      <c r="AV871" s="12" t="n">
        <v>1912952</v>
      </c>
      <c r="AW871" s="12" t="n">
        <v>630999</v>
      </c>
      <c r="AX871" s="12" t="n">
        <v>387536</v>
      </c>
      <c r="AY871" s="16" t="n">
        <v>15776</v>
      </c>
      <c r="AZ871" s="13" t="n">
        <f aca="false">IFERROR(AY871/AY870-1,"")</f>
        <v>0.136353814017143</v>
      </c>
      <c r="BA871" s="17" t="n">
        <v>0.935</v>
      </c>
      <c r="BB871" s="11" t="s">
        <v>107</v>
      </c>
      <c r="BC871" s="11" t="s">
        <v>100</v>
      </c>
      <c r="BD871" s="11" t="s">
        <v>83</v>
      </c>
      <c r="BE871" s="12" t="n">
        <v>1024330</v>
      </c>
      <c r="BF871" s="13" t="n">
        <f aca="false">IFERROR(P871/BE871-1,"")</f>
        <v>-0.182215692208566</v>
      </c>
      <c r="BG871" s="17" t="n">
        <v>-0.024</v>
      </c>
      <c r="BH871" s="17" t="n">
        <v>-0.032</v>
      </c>
      <c r="BI871" s="14" t="n">
        <f aca="false">P871*(1+IFERROR(Q871,0))^4</f>
        <v>1349422.47963334</v>
      </c>
      <c r="BJ871" s="12" t="n">
        <v>-798116</v>
      </c>
      <c r="BK871" s="11" t="s">
        <v>127</v>
      </c>
      <c r="BL871" s="11" t="s">
        <v>128</v>
      </c>
      <c r="BM871" s="14" t="n">
        <f aca="false">O871</f>
        <v>18611032</v>
      </c>
      <c r="BN871" s="11" t="s">
        <v>812</v>
      </c>
      <c r="BO871" s="13" t="n">
        <f aca="false">IFERROR(1-L871/M871,"")</f>
        <v>0.166355443695705</v>
      </c>
      <c r="BP871" s="11" t="s">
        <v>142</v>
      </c>
      <c r="BQ871" s="12" t="n">
        <v>1548434</v>
      </c>
      <c r="BR871" s="11" t="s">
        <v>735</v>
      </c>
      <c r="BS871" s="11" t="s">
        <v>89</v>
      </c>
      <c r="BT871" s="19" t="str">
        <f aca="false">IF(OR(Z871&lt;6,AH871&lt;0.9,S871&lt;0.02,AK871&lt;1),"REVIEW",IF(AND(S871&gt;0.25,AH871&gt;1.2),"ACCELERATING","STABLE"))</f>
        <v>STABLE</v>
      </c>
    </row>
    <row r="872" customFormat="false" ht="15" hidden="false" customHeight="false" outlineLevel="0" collapsed="false">
      <c r="A872" s="11" t="s">
        <v>810</v>
      </c>
      <c r="B872" s="11" t="s">
        <v>92</v>
      </c>
      <c r="C872" s="11" t="s">
        <v>74</v>
      </c>
      <c r="D872" s="11" t="s">
        <v>115</v>
      </c>
      <c r="E872" s="11" t="s">
        <v>105</v>
      </c>
      <c r="F872" s="11" t="s">
        <v>811</v>
      </c>
      <c r="G872" s="11" t="s">
        <v>78</v>
      </c>
      <c r="H872" s="11" t="s">
        <v>644</v>
      </c>
      <c r="I872" s="11" t="s">
        <v>78</v>
      </c>
      <c r="J872" s="12" t="n">
        <v>2049000</v>
      </c>
      <c r="K872" s="13" t="n">
        <f aca="false">IFERROR(J872/M872,"")</f>
        <v>0.166355443695705</v>
      </c>
      <c r="L872" s="12" t="n">
        <v>10268000</v>
      </c>
      <c r="M872" s="14" t="n">
        <f aca="false">L872+J872</f>
        <v>12317000</v>
      </c>
      <c r="N872" s="12" t="n">
        <v>5930000</v>
      </c>
      <c r="O872" s="12" t="n">
        <v>18611032</v>
      </c>
      <c r="P872" s="12" t="n">
        <v>1040826</v>
      </c>
      <c r="Q872" s="13" t="n">
        <f aca="false">IFERROR(P872/P871-1,"")</f>
        <v>0.242508783176412</v>
      </c>
      <c r="R872" s="12" t="n">
        <v>1055090</v>
      </c>
      <c r="S872" s="13" t="n">
        <f aca="false">IFERROR(R872/R871-1,"")</f>
        <v>0.171499569191412</v>
      </c>
      <c r="T872" s="12" t="n">
        <v>708694</v>
      </c>
      <c r="U872" s="13" t="n">
        <f aca="false">IFERROR(T872/P872,"")</f>
        <v>0.680895750106166</v>
      </c>
      <c r="V872" s="14" t="n">
        <f aca="false">T872-AV872</f>
        <v>-1330596</v>
      </c>
      <c r="W872" s="14" t="n">
        <f aca="false">V872-AA872*0.1</f>
        <v>-1367496</v>
      </c>
      <c r="X872" s="12" t="n">
        <v>3247518</v>
      </c>
      <c r="Y872" s="12" t="n">
        <v>118340</v>
      </c>
      <c r="Z872" s="15" t="n">
        <f aca="false">IFERROR(X872/Y872,"")</f>
        <v>27.4422680412371</v>
      </c>
      <c r="AA872" s="12" t="n">
        <v>369000</v>
      </c>
      <c r="AB872" s="14" t="n">
        <f aca="false">W872-0.02*P872</f>
        <v>-1388312.52</v>
      </c>
      <c r="AC872" s="16" t="n">
        <v>21</v>
      </c>
      <c r="AD872" s="13" t="n">
        <f aca="false">IFERROR(AC872/AC871-1,"")</f>
        <v>0.166666666666667</v>
      </c>
      <c r="AE872" s="17" t="n">
        <v>0.065</v>
      </c>
      <c r="AF872" s="17" t="n">
        <v>0.056</v>
      </c>
      <c r="AG872" s="13" t="n">
        <f aca="false">1-AF872</f>
        <v>0.944</v>
      </c>
      <c r="AH872" s="17" t="n">
        <v>1.048</v>
      </c>
      <c r="AI872" s="12" t="n">
        <v>16320</v>
      </c>
      <c r="AJ872" s="14" t="n">
        <f aca="false">IFERROR(AM872*U872*MIN(1/AE872,5),"")</f>
        <v>31865.9211049686</v>
      </c>
      <c r="AK872" s="18" t="n">
        <f aca="false">IFERROR(AJ872/AI872,"")</f>
        <v>1.95256869515739</v>
      </c>
      <c r="AL872" s="15" t="n">
        <f aca="false">IFERROR(AI872/(AM872*U872/12),"")</f>
        <v>30.7287524115323</v>
      </c>
      <c r="AM872" s="12" t="n">
        <v>9360</v>
      </c>
      <c r="AN872" s="12" t="n">
        <v>1252871</v>
      </c>
      <c r="AO872" s="12" t="n">
        <v>3203893</v>
      </c>
      <c r="AP872" s="17" t="n">
        <v>0.245</v>
      </c>
      <c r="AQ872" s="16" t="n">
        <v>50</v>
      </c>
      <c r="AR872" s="16" t="n">
        <v>2</v>
      </c>
      <c r="AS872" s="13" t="n">
        <f aca="false">IFERROR(AR872/AR871-1,"")</f>
        <v>0</v>
      </c>
      <c r="AT872" s="11" t="s">
        <v>218</v>
      </c>
      <c r="AU872" s="14" t="n">
        <f aca="false">IFERROR(P872/AR872,"")</f>
        <v>520413</v>
      </c>
      <c r="AV872" s="12" t="n">
        <v>2039290</v>
      </c>
      <c r="AW872" s="12" t="n">
        <v>733326</v>
      </c>
      <c r="AX872" s="12" t="n">
        <v>446523</v>
      </c>
      <c r="AY872" s="16" t="n">
        <v>17809</v>
      </c>
      <c r="AZ872" s="13" t="n">
        <f aca="false">IFERROR(AY872/AY871-1,"")</f>
        <v>0.128866632860041</v>
      </c>
      <c r="BA872" s="17" t="n">
        <v>0.939</v>
      </c>
      <c r="BB872" s="11" t="s">
        <v>107</v>
      </c>
      <c r="BC872" s="11" t="s">
        <v>100</v>
      </c>
      <c r="BD872" s="11" t="s">
        <v>83</v>
      </c>
      <c r="BE872" s="12" t="n">
        <v>1161823</v>
      </c>
      <c r="BF872" s="13" t="n">
        <f aca="false">IFERROR(P872/BE872-1,"")</f>
        <v>-0.104144090795242</v>
      </c>
      <c r="BG872" s="17" t="n">
        <v>-0.026</v>
      </c>
      <c r="BH872" s="17" t="n">
        <v>0.039</v>
      </c>
      <c r="BI872" s="14" t="n">
        <f aca="false">P872*(1+IFERROR(Q872,0))^4</f>
        <v>2480710.02688103</v>
      </c>
      <c r="BJ872" s="12" t="n">
        <v>-1387119</v>
      </c>
      <c r="BK872" s="11" t="s">
        <v>127</v>
      </c>
      <c r="BL872" s="11" t="s">
        <v>128</v>
      </c>
      <c r="BM872" s="14" t="n">
        <f aca="false">O872</f>
        <v>18611032</v>
      </c>
      <c r="BN872" s="11" t="s">
        <v>812</v>
      </c>
      <c r="BO872" s="13" t="n">
        <f aca="false">IFERROR(1-L872/M872,"")</f>
        <v>0.166355443695705</v>
      </c>
      <c r="BP872" s="11" t="s">
        <v>142</v>
      </c>
      <c r="BQ872" s="12" t="n">
        <v>1521744</v>
      </c>
      <c r="BR872" s="11" t="s">
        <v>735</v>
      </c>
      <c r="BS872" s="11" t="s">
        <v>89</v>
      </c>
      <c r="BT872" s="19" t="str">
        <f aca="false">IF(OR(Z872&lt;6,AH872&lt;0.9,S872&lt;0.02,AK872&lt;1),"REVIEW",IF(AND(S872&gt;0.25,AH872&gt;1.2),"ACCELERATING","STABLE"))</f>
        <v>STABLE</v>
      </c>
    </row>
    <row r="873" customFormat="false" ht="15" hidden="false" customHeight="false" outlineLevel="0" collapsed="false">
      <c r="A873" s="11" t="s">
        <v>810</v>
      </c>
      <c r="B873" s="11" t="s">
        <v>93</v>
      </c>
      <c r="C873" s="11" t="s">
        <v>74</v>
      </c>
      <c r="D873" s="11" t="s">
        <v>115</v>
      </c>
      <c r="E873" s="11" t="s">
        <v>105</v>
      </c>
      <c r="F873" s="11" t="s">
        <v>811</v>
      </c>
      <c r="G873" s="11" t="s">
        <v>78</v>
      </c>
      <c r="H873" s="11" t="s">
        <v>644</v>
      </c>
      <c r="I873" s="11" t="s">
        <v>78</v>
      </c>
      <c r="J873" s="12" t="n">
        <v>2049000</v>
      </c>
      <c r="K873" s="13" t="n">
        <f aca="false">IFERROR(J873/M873,"")</f>
        <v>0.166355443695705</v>
      </c>
      <c r="L873" s="12" t="n">
        <v>10268000</v>
      </c>
      <c r="M873" s="14" t="n">
        <f aca="false">L873+J873</f>
        <v>12317000</v>
      </c>
      <c r="N873" s="12" t="n">
        <v>5930000</v>
      </c>
      <c r="O873" s="12" t="n">
        <v>18611032</v>
      </c>
      <c r="P873" s="12" t="n">
        <v>1166381</v>
      </c>
      <c r="Q873" s="13" t="n">
        <f aca="false">IFERROR(P873/P872-1,"")</f>
        <v>0.120630153358967</v>
      </c>
      <c r="R873" s="12" t="n">
        <v>1257644</v>
      </c>
      <c r="S873" s="13" t="n">
        <f aca="false">IFERROR(R873/R872-1,"")</f>
        <v>0.191977935531566</v>
      </c>
      <c r="T873" s="12" t="n">
        <v>797374</v>
      </c>
      <c r="U873" s="13" t="n">
        <f aca="false">IFERROR(T873/P873,"")</f>
        <v>0.683630820460896</v>
      </c>
      <c r="V873" s="14" t="n">
        <f aca="false">T873-AV873</f>
        <v>-1424900</v>
      </c>
      <c r="W873" s="14" t="n">
        <f aca="false">V873-AA873*0.1</f>
        <v>-1461800</v>
      </c>
      <c r="X873" s="12" t="n">
        <v>2928000</v>
      </c>
      <c r="Y873" s="12" t="n">
        <v>122000</v>
      </c>
      <c r="Z873" s="15" t="n">
        <f aca="false">IFERROR(X873/Y873,"")</f>
        <v>24</v>
      </c>
      <c r="AA873" s="12" t="n">
        <v>369000</v>
      </c>
      <c r="AB873" s="14" t="n">
        <f aca="false">W873-0.02*P873</f>
        <v>-1485127.62</v>
      </c>
      <c r="AC873" s="16" t="n">
        <v>23</v>
      </c>
      <c r="AD873" s="13" t="n">
        <f aca="false">IFERROR(AC873/AC872-1,"")</f>
        <v>0.0952380952380953</v>
      </c>
      <c r="AE873" s="17" t="n">
        <v>0.063</v>
      </c>
      <c r="AF873" s="17" t="n">
        <v>0.049</v>
      </c>
      <c r="AG873" s="13" t="n">
        <f aca="false">1-AF873</f>
        <v>0.951</v>
      </c>
      <c r="AH873" s="17" t="n">
        <v>1.043</v>
      </c>
      <c r="AI873" s="12" t="n">
        <v>16000</v>
      </c>
      <c r="AJ873" s="14" t="n">
        <f aca="false">IFERROR(AM873*U873*MIN(1/AE873,5),"")</f>
        <v>32609.1901359847</v>
      </c>
      <c r="AK873" s="18" t="n">
        <f aca="false">IFERROR(AJ873/AI873,"")</f>
        <v>2.03807438349905</v>
      </c>
      <c r="AL873" s="15" t="n">
        <f aca="false">IFERROR(AI873/(AM873*U873/12),"")</f>
        <v>29.4395535735991</v>
      </c>
      <c r="AM873" s="12" t="n">
        <v>9540</v>
      </c>
      <c r="AN873" s="12" t="n">
        <v>1749779</v>
      </c>
      <c r="AO873" s="12" t="n">
        <v>2742144</v>
      </c>
      <c r="AP873" s="17" t="n">
        <v>0.245</v>
      </c>
      <c r="AQ873" s="16" t="n">
        <v>50</v>
      </c>
      <c r="AR873" s="16" t="n">
        <v>2</v>
      </c>
      <c r="AS873" s="13" t="n">
        <f aca="false">IFERROR(AR873/AR872-1,"")</f>
        <v>0</v>
      </c>
      <c r="AT873" s="11" t="s">
        <v>218</v>
      </c>
      <c r="AU873" s="14" t="n">
        <f aca="false">IFERROR(P873/AR873,"")</f>
        <v>583190.5</v>
      </c>
      <c r="AV873" s="12" t="n">
        <v>2222274</v>
      </c>
      <c r="AW873" s="12" t="n">
        <v>897766</v>
      </c>
      <c r="AX873" s="12" t="n">
        <v>650480</v>
      </c>
      <c r="AY873" s="16" t="n">
        <v>21837</v>
      </c>
      <c r="AZ873" s="13" t="n">
        <f aca="false">IFERROR(AY873/AY872-1,"")</f>
        <v>0.226177775282161</v>
      </c>
      <c r="BA873" s="17" t="n">
        <v>0.945</v>
      </c>
      <c r="BB873" s="11" t="s">
        <v>107</v>
      </c>
      <c r="BC873" s="11" t="s">
        <v>100</v>
      </c>
      <c r="BD873" s="11" t="s">
        <v>83</v>
      </c>
      <c r="BE873" s="12" t="n">
        <v>1286041</v>
      </c>
      <c r="BF873" s="13" t="n">
        <f aca="false">IFERROR(P873/BE873-1,"")</f>
        <v>-0.0930452450582835</v>
      </c>
      <c r="BG873" s="17" t="n">
        <v>-0.02</v>
      </c>
      <c r="BH873" s="17" t="n">
        <v>0.092</v>
      </c>
      <c r="BI873" s="14" t="n">
        <f aca="false">P873*(1+IFERROR(Q873,0))^4</f>
        <v>1839457.05405292</v>
      </c>
      <c r="BJ873" s="12" t="n">
        <v>-1309838</v>
      </c>
      <c r="BK873" s="11" t="s">
        <v>127</v>
      </c>
      <c r="BL873" s="11" t="s">
        <v>128</v>
      </c>
      <c r="BM873" s="14" t="n">
        <f aca="false">O873</f>
        <v>18611032</v>
      </c>
      <c r="BN873" s="11" t="s">
        <v>812</v>
      </c>
      <c r="BO873" s="13" t="n">
        <f aca="false">IFERROR(1-L873/M873,"")</f>
        <v>0.166355443695705</v>
      </c>
      <c r="BP873" s="11" t="s">
        <v>142</v>
      </c>
      <c r="BQ873" s="12" t="n">
        <v>1564316</v>
      </c>
      <c r="BR873" s="11" t="s">
        <v>735</v>
      </c>
      <c r="BS873" s="11" t="s">
        <v>89</v>
      </c>
      <c r="BT873" s="19" t="str">
        <f aca="false">IF(OR(Z873&lt;6,AH873&lt;0.9,S873&lt;0.02,AK873&lt;1),"REVIEW",IF(AND(S873&gt;0.25,AH873&gt;1.2),"ACCELERATING","STABLE"))</f>
        <v>STABLE</v>
      </c>
    </row>
    <row r="874" customFormat="false" ht="15" hidden="false" customHeight="false" outlineLevel="0" collapsed="false">
      <c r="A874" s="3" t="s">
        <v>813</v>
      </c>
      <c r="B874" s="3" t="s">
        <v>73</v>
      </c>
      <c r="C874" s="3" t="s">
        <v>74</v>
      </c>
      <c r="D874" s="3" t="s">
        <v>210</v>
      </c>
      <c r="E874" s="3" t="s">
        <v>105</v>
      </c>
      <c r="F874" s="3" t="s">
        <v>814</v>
      </c>
      <c r="G874" s="3" t="s">
        <v>78</v>
      </c>
      <c r="H874" s="3" t="s">
        <v>644</v>
      </c>
      <c r="I874" s="3" t="s">
        <v>78</v>
      </c>
      <c r="J874" s="4" t="n">
        <v>2228000</v>
      </c>
      <c r="K874" s="5" t="n">
        <f aca="false">IFERROR(J874/M874,"")</f>
        <v>0.184238815843877</v>
      </c>
      <c r="L874" s="4" t="n">
        <v>9865000</v>
      </c>
      <c r="M874" s="6" t="n">
        <f aca="false">L874+J874</f>
        <v>12093000</v>
      </c>
      <c r="N874" s="4" t="n">
        <v>4510000</v>
      </c>
      <c r="O874" s="4" t="n">
        <v>21990347</v>
      </c>
      <c r="P874" s="4" t="n">
        <v>806734</v>
      </c>
      <c r="Q874" s="7"/>
      <c r="R874" s="4" t="n">
        <v>887340</v>
      </c>
      <c r="S874" s="7"/>
      <c r="T874" s="4" t="n">
        <v>574953</v>
      </c>
      <c r="U874" s="5" t="n">
        <f aca="false">IFERROR(T874/P874,"")</f>
        <v>0.712692163711955</v>
      </c>
      <c r="V874" s="6" t="n">
        <f aca="false">T874-AV874</f>
        <v>-2388818</v>
      </c>
      <c r="W874" s="6" t="n">
        <f aca="false">V874-AA874*0.1</f>
        <v>-2388818</v>
      </c>
      <c r="X874" s="4" t="n">
        <v>5247475</v>
      </c>
      <c r="Y874" s="4" t="n">
        <v>204750</v>
      </c>
      <c r="Z874" s="8" t="n">
        <f aca="false">IFERROR(X874/Y874,"")</f>
        <v>25.6286935286935</v>
      </c>
      <c r="AA874" s="4" t="n">
        <v>0</v>
      </c>
      <c r="AB874" s="6" t="n">
        <f aca="false">W874-0.02*P874</f>
        <v>-2404952.68</v>
      </c>
      <c r="AC874" s="9" t="n">
        <v>37</v>
      </c>
      <c r="AD874" s="7"/>
      <c r="AE874" s="7" t="n">
        <v>0.061</v>
      </c>
      <c r="AF874" s="7" t="n">
        <v>0.041</v>
      </c>
      <c r="AG874" s="5" t="n">
        <f aca="false">1-AF874</f>
        <v>0.959</v>
      </c>
      <c r="AH874" s="7" t="n">
        <v>1.112</v>
      </c>
      <c r="AI874" s="4" t="n">
        <v>112148</v>
      </c>
      <c r="AJ874" s="6" t="n">
        <f aca="false">IFERROR(AM874*U874*MIN(1/AE874,5),"")</f>
        <v>203117.266657907</v>
      </c>
      <c r="AK874" s="10" t="n">
        <f aca="false">IFERROR(AJ874/AI874,"")</f>
        <v>1.81115371346709</v>
      </c>
      <c r="AL874" s="8" t="n">
        <f aca="false">IFERROR(AI874/(AM874*U874/12),"")</f>
        <v>33.1280550921004</v>
      </c>
      <c r="AM874" s="4" t="n">
        <v>57000</v>
      </c>
      <c r="AN874" s="4" t="n">
        <v>1194806</v>
      </c>
      <c r="AO874" s="4" t="n">
        <v>1497998</v>
      </c>
      <c r="AP874" s="7" t="n">
        <v>0.272</v>
      </c>
      <c r="AQ874" s="9" t="n">
        <v>80</v>
      </c>
      <c r="AR874" s="9" t="n">
        <v>1</v>
      </c>
      <c r="AS874" s="7"/>
      <c r="AT874" s="3" t="s">
        <v>201</v>
      </c>
      <c r="AU874" s="6" t="n">
        <f aca="false">IFERROR(P874/AR874,"")</f>
        <v>806734</v>
      </c>
      <c r="AV874" s="4" t="n">
        <v>2963771</v>
      </c>
      <c r="AW874" s="4" t="n">
        <v>1470049</v>
      </c>
      <c r="AX874" s="4" t="n">
        <v>872921</v>
      </c>
      <c r="AY874" s="9" t="n">
        <v>22928</v>
      </c>
      <c r="AZ874" s="7"/>
      <c r="BA874" s="7" t="n">
        <v>0.95</v>
      </c>
      <c r="BB874" s="3" t="s">
        <v>161</v>
      </c>
      <c r="BC874" s="3" t="s">
        <v>126</v>
      </c>
      <c r="BD874" s="3" t="s">
        <v>157</v>
      </c>
      <c r="BE874" s="4" t="n">
        <v>839077</v>
      </c>
      <c r="BF874" s="5" t="n">
        <f aca="false">IFERROR(P874/BE874-1,"")</f>
        <v>-0.0385459260592294</v>
      </c>
      <c r="BG874" s="7" t="n">
        <v>-0.051</v>
      </c>
      <c r="BH874" s="7" t="n">
        <v>0.097</v>
      </c>
      <c r="BI874" s="6" t="n">
        <f aca="false">P874</f>
        <v>806734</v>
      </c>
      <c r="BJ874" s="4" t="n">
        <v>-1603293</v>
      </c>
      <c r="BK874" s="3" t="s">
        <v>127</v>
      </c>
      <c r="BL874" s="3" t="s">
        <v>111</v>
      </c>
      <c r="BM874" s="6" t="n">
        <f aca="false">O874</f>
        <v>21990347</v>
      </c>
      <c r="BN874" s="3" t="s">
        <v>815</v>
      </c>
      <c r="BO874" s="5" t="n">
        <f aca="false">IFERROR(1-L874/M874,"")</f>
        <v>0.184238815843877</v>
      </c>
      <c r="BP874" s="3" t="s">
        <v>142</v>
      </c>
      <c r="BQ874" s="4" t="n">
        <v>3638743</v>
      </c>
      <c r="BR874" s="3" t="s">
        <v>88</v>
      </c>
      <c r="BS874" s="3" t="s">
        <v>89</v>
      </c>
      <c r="BT874" s="3" t="s">
        <v>90</v>
      </c>
    </row>
    <row r="875" customFormat="false" ht="15" hidden="false" customHeight="false" outlineLevel="0" collapsed="false">
      <c r="A875" s="11" t="s">
        <v>813</v>
      </c>
      <c r="B875" s="11" t="s">
        <v>91</v>
      </c>
      <c r="C875" s="11" t="s">
        <v>74</v>
      </c>
      <c r="D875" s="11" t="s">
        <v>210</v>
      </c>
      <c r="E875" s="11" t="s">
        <v>105</v>
      </c>
      <c r="F875" s="11" t="s">
        <v>814</v>
      </c>
      <c r="G875" s="11" t="s">
        <v>78</v>
      </c>
      <c r="H875" s="11" t="s">
        <v>644</v>
      </c>
      <c r="I875" s="11" t="s">
        <v>78</v>
      </c>
      <c r="J875" s="12" t="n">
        <v>2228000</v>
      </c>
      <c r="K875" s="13" t="n">
        <f aca="false">IFERROR(J875/M875,"")</f>
        <v>0.184238815843877</v>
      </c>
      <c r="L875" s="12" t="n">
        <v>9865000</v>
      </c>
      <c r="M875" s="14" t="n">
        <f aca="false">L875+J875</f>
        <v>12093000</v>
      </c>
      <c r="N875" s="12" t="n">
        <v>4510000</v>
      </c>
      <c r="O875" s="12" t="n">
        <v>21990347</v>
      </c>
      <c r="P875" s="12" t="n">
        <v>905293</v>
      </c>
      <c r="Q875" s="13" t="n">
        <f aca="false">IFERROR(P875/P874-1,"")</f>
        <v>0.122170380819452</v>
      </c>
      <c r="R875" s="12" t="n">
        <v>1146920</v>
      </c>
      <c r="S875" s="13" t="n">
        <f aca="false">IFERROR(R875/R874-1,"")</f>
        <v>0.292537246151419</v>
      </c>
      <c r="T875" s="12" t="n">
        <v>647807</v>
      </c>
      <c r="U875" s="13" t="n">
        <f aca="false">IFERROR(T875/P875,"")</f>
        <v>0.715577166729446</v>
      </c>
      <c r="V875" s="14" t="n">
        <f aca="false">T875-AV875</f>
        <v>-1982817</v>
      </c>
      <c r="W875" s="14" t="n">
        <f aca="false">V875-AA875*0.1</f>
        <v>-1982817</v>
      </c>
      <c r="X875" s="12" t="n">
        <v>4731100</v>
      </c>
      <c r="Y875" s="12" t="n">
        <v>211500</v>
      </c>
      <c r="Z875" s="15" t="n">
        <f aca="false">IFERROR(X875/Y875,"")</f>
        <v>22.3692671394799</v>
      </c>
      <c r="AA875" s="12" t="n">
        <v>0</v>
      </c>
      <c r="AB875" s="14" t="n">
        <f aca="false">W875-0.02*P875</f>
        <v>-2000922.86</v>
      </c>
      <c r="AC875" s="16" t="n">
        <v>44</v>
      </c>
      <c r="AD875" s="13" t="n">
        <f aca="false">IFERROR(AC875/AC874-1,"")</f>
        <v>0.189189189189189</v>
      </c>
      <c r="AE875" s="17" t="n">
        <v>0.059</v>
      </c>
      <c r="AF875" s="17" t="n">
        <v>0.056</v>
      </c>
      <c r="AG875" s="13" t="n">
        <f aca="false">1-AF875</f>
        <v>0.944</v>
      </c>
      <c r="AH875" s="17" t="n">
        <v>1.107</v>
      </c>
      <c r="AI875" s="12" t="n">
        <v>110032</v>
      </c>
      <c r="AJ875" s="14" t="n">
        <f aca="false">IFERROR(AM875*U875*MIN(1/AE875,5),"")</f>
        <v>208018.28236825</v>
      </c>
      <c r="AK875" s="18" t="n">
        <f aca="false">IFERROR(AJ875/AI875,"")</f>
        <v>1.89052532325369</v>
      </c>
      <c r="AL875" s="15" t="n">
        <f aca="false">IFERROR(AI875/(AM875*U875/12),"")</f>
        <v>31.7372104261143</v>
      </c>
      <c r="AM875" s="12" t="n">
        <v>58140</v>
      </c>
      <c r="AN875" s="12" t="n">
        <v>1402337</v>
      </c>
      <c r="AO875" s="12" t="n">
        <v>3947507</v>
      </c>
      <c r="AP875" s="17" t="n">
        <v>0.272</v>
      </c>
      <c r="AQ875" s="16" t="n">
        <v>80</v>
      </c>
      <c r="AR875" s="16" t="n">
        <v>2</v>
      </c>
      <c r="AS875" s="13" t="n">
        <f aca="false">IFERROR(AR875/AR874-1,"")</f>
        <v>1</v>
      </c>
      <c r="AT875" s="11" t="s">
        <v>201</v>
      </c>
      <c r="AU875" s="14" t="n">
        <f aca="false">IFERROR(P875/AR875,"")</f>
        <v>452646.5</v>
      </c>
      <c r="AV875" s="12" t="n">
        <v>2630624</v>
      </c>
      <c r="AW875" s="12" t="n">
        <v>1129805</v>
      </c>
      <c r="AX875" s="12" t="n">
        <v>508148</v>
      </c>
      <c r="AY875" s="16" t="n">
        <v>26660</v>
      </c>
      <c r="AZ875" s="13" t="n">
        <f aca="false">IFERROR(AY875/AY874-1,"")</f>
        <v>0.162770411723657</v>
      </c>
      <c r="BA875" s="17" t="n">
        <v>0.957</v>
      </c>
      <c r="BB875" s="11" t="s">
        <v>161</v>
      </c>
      <c r="BC875" s="11" t="s">
        <v>126</v>
      </c>
      <c r="BD875" s="11" t="s">
        <v>157</v>
      </c>
      <c r="BE875" s="12" t="n">
        <v>907358</v>
      </c>
      <c r="BF875" s="13" t="n">
        <f aca="false">IFERROR(P875/BE875-1,"")</f>
        <v>-0.0022758382027821</v>
      </c>
      <c r="BG875" s="17" t="n">
        <v>0.016</v>
      </c>
      <c r="BH875" s="17" t="n">
        <v>0.004</v>
      </c>
      <c r="BI875" s="14" t="n">
        <f aca="false">P875*(1+IFERROR(Q875,0))^4</f>
        <v>1435569.98116105</v>
      </c>
      <c r="BJ875" s="12" t="n">
        <v>-1532768</v>
      </c>
      <c r="BK875" s="11" t="s">
        <v>127</v>
      </c>
      <c r="BL875" s="11" t="s">
        <v>111</v>
      </c>
      <c r="BM875" s="14" t="n">
        <f aca="false">O875</f>
        <v>21990347</v>
      </c>
      <c r="BN875" s="11" t="s">
        <v>815</v>
      </c>
      <c r="BO875" s="13" t="n">
        <f aca="false">IFERROR(1-L875/M875,"")</f>
        <v>0.184238815843877</v>
      </c>
      <c r="BP875" s="11" t="s">
        <v>142</v>
      </c>
      <c r="BQ875" s="12" t="n">
        <v>3527122</v>
      </c>
      <c r="BR875" s="11" t="s">
        <v>88</v>
      </c>
      <c r="BS875" s="11" t="s">
        <v>89</v>
      </c>
      <c r="BT875" s="19" t="str">
        <f aca="false">IF(OR(Z875&lt;6,AH875&lt;0.9,S875&lt;0.02,AK875&lt;1),"REVIEW",IF(AND(S875&gt;0.25,AH875&gt;1.2),"ACCELERATING","STABLE"))</f>
        <v>STABLE</v>
      </c>
    </row>
    <row r="876" customFormat="false" ht="15" hidden="false" customHeight="false" outlineLevel="0" collapsed="false">
      <c r="A876" s="11" t="s">
        <v>813</v>
      </c>
      <c r="B876" s="11" t="s">
        <v>92</v>
      </c>
      <c r="C876" s="11" t="s">
        <v>74</v>
      </c>
      <c r="D876" s="11" t="s">
        <v>210</v>
      </c>
      <c r="E876" s="11" t="s">
        <v>105</v>
      </c>
      <c r="F876" s="11" t="s">
        <v>814</v>
      </c>
      <c r="G876" s="11" t="s">
        <v>78</v>
      </c>
      <c r="H876" s="11" t="s">
        <v>644</v>
      </c>
      <c r="I876" s="11" t="s">
        <v>78</v>
      </c>
      <c r="J876" s="12" t="n">
        <v>2228000</v>
      </c>
      <c r="K876" s="13" t="n">
        <f aca="false">IFERROR(J876/M876,"")</f>
        <v>0.184238815843877</v>
      </c>
      <c r="L876" s="12" t="n">
        <v>9865000</v>
      </c>
      <c r="M876" s="14" t="n">
        <f aca="false">L876+J876</f>
        <v>12093000</v>
      </c>
      <c r="N876" s="12" t="n">
        <v>4510000</v>
      </c>
      <c r="O876" s="12" t="n">
        <v>21990347</v>
      </c>
      <c r="P876" s="12" t="n">
        <v>1127000</v>
      </c>
      <c r="Q876" s="13" t="n">
        <f aca="false">IFERROR(P876/P875-1,"")</f>
        <v>0.244900822164758</v>
      </c>
      <c r="R876" s="12" t="n">
        <v>1266788</v>
      </c>
      <c r="S876" s="13" t="n">
        <f aca="false">IFERROR(R876/R875-1,"")</f>
        <v>0.104512956439856</v>
      </c>
      <c r="T876" s="12" t="n">
        <v>809707</v>
      </c>
      <c r="U876" s="13" t="n">
        <f aca="false">IFERROR(T876/P876,"")</f>
        <v>0.718462289263532</v>
      </c>
      <c r="V876" s="14" t="n">
        <f aca="false">T876-AV876</f>
        <v>-2547729</v>
      </c>
      <c r="W876" s="14" t="n">
        <f aca="false">V876-AA876*0.1</f>
        <v>-2547729</v>
      </c>
      <c r="X876" s="12" t="n">
        <v>4178275</v>
      </c>
      <c r="Y876" s="12" t="n">
        <v>218250</v>
      </c>
      <c r="Z876" s="15" t="n">
        <f aca="false">IFERROR(X876/Y876,"")</f>
        <v>19.1444444444444</v>
      </c>
      <c r="AA876" s="12" t="n">
        <v>0</v>
      </c>
      <c r="AB876" s="14" t="n">
        <f aca="false">W876-0.02*P876</f>
        <v>-2570269</v>
      </c>
      <c r="AC876" s="16" t="n">
        <v>47</v>
      </c>
      <c r="AD876" s="13" t="n">
        <f aca="false">IFERROR(AC876/AC875-1,"")</f>
        <v>0.0681818181818181</v>
      </c>
      <c r="AE876" s="17" t="n">
        <v>0.058</v>
      </c>
      <c r="AF876" s="17" t="n">
        <v>0.042</v>
      </c>
      <c r="AG876" s="13" t="n">
        <f aca="false">1-AF876</f>
        <v>0.958</v>
      </c>
      <c r="AH876" s="17" t="n">
        <v>1.102</v>
      </c>
      <c r="AI876" s="12" t="n">
        <v>107916</v>
      </c>
      <c r="AJ876" s="14" t="n">
        <f aca="false">IFERROR(AM876*U876*MIN(1/AE876,5),"")</f>
        <v>212952.222537711</v>
      </c>
      <c r="AK876" s="18" t="n">
        <f aca="false">IFERROR(AJ876/AI876,"")</f>
        <v>1.97331463858659</v>
      </c>
      <c r="AL876" s="15" t="n">
        <f aca="false">IFERROR(AI876/(AM876*U876/12),"")</f>
        <v>30.405693459496</v>
      </c>
      <c r="AM876" s="12" t="n">
        <v>59280</v>
      </c>
      <c r="AN876" s="12" t="n">
        <v>1229714</v>
      </c>
      <c r="AO876" s="12" t="n">
        <v>4754290</v>
      </c>
      <c r="AP876" s="17" t="n">
        <v>0.272</v>
      </c>
      <c r="AQ876" s="16" t="n">
        <v>80</v>
      </c>
      <c r="AR876" s="16" t="n">
        <v>2</v>
      </c>
      <c r="AS876" s="13" t="n">
        <f aca="false">IFERROR(AR876/AR875-1,"")</f>
        <v>0</v>
      </c>
      <c r="AT876" s="11" t="s">
        <v>201</v>
      </c>
      <c r="AU876" s="14" t="n">
        <f aca="false">IFERROR(P876/AR876,"")</f>
        <v>563500</v>
      </c>
      <c r="AV876" s="12" t="n">
        <v>3357436</v>
      </c>
      <c r="AW876" s="12" t="n">
        <v>1041545</v>
      </c>
      <c r="AX876" s="12" t="n">
        <v>791638</v>
      </c>
      <c r="AY876" s="16" t="n">
        <v>31058</v>
      </c>
      <c r="AZ876" s="13" t="n">
        <f aca="false">IFERROR(AY876/AY875-1,"")</f>
        <v>0.16496624156039</v>
      </c>
      <c r="BA876" s="17" t="n">
        <v>0.949</v>
      </c>
      <c r="BB876" s="11" t="s">
        <v>161</v>
      </c>
      <c r="BC876" s="11" t="s">
        <v>126</v>
      </c>
      <c r="BD876" s="11" t="s">
        <v>157</v>
      </c>
      <c r="BE876" s="12" t="n">
        <v>1219969</v>
      </c>
      <c r="BF876" s="13" t="n">
        <f aca="false">IFERROR(P876/BE876-1,"")</f>
        <v>-0.0762060347435057</v>
      </c>
      <c r="BG876" s="17" t="n">
        <v>-0.033</v>
      </c>
      <c r="BH876" s="17" t="n">
        <v>0.044</v>
      </c>
      <c r="BI876" s="14" t="n">
        <f aca="false">P876*(1+IFERROR(Q876,0))^4</f>
        <v>2706842.15334798</v>
      </c>
      <c r="BJ876" s="12" t="n">
        <v>-2602494</v>
      </c>
      <c r="BK876" s="11" t="s">
        <v>127</v>
      </c>
      <c r="BL876" s="11" t="s">
        <v>111</v>
      </c>
      <c r="BM876" s="14" t="n">
        <f aca="false">O876</f>
        <v>21990347</v>
      </c>
      <c r="BN876" s="11" t="s">
        <v>815</v>
      </c>
      <c r="BO876" s="13" t="n">
        <f aca="false">IFERROR(1-L876/M876,"")</f>
        <v>0.184238815843877</v>
      </c>
      <c r="BP876" s="11" t="s">
        <v>142</v>
      </c>
      <c r="BQ876" s="12" t="n">
        <v>3689044</v>
      </c>
      <c r="BR876" s="11" t="s">
        <v>88</v>
      </c>
      <c r="BS876" s="11" t="s">
        <v>89</v>
      </c>
      <c r="BT876" s="19" t="str">
        <f aca="false">IF(OR(Z876&lt;6,AH876&lt;0.9,S876&lt;0.02,AK876&lt;1),"REVIEW",IF(AND(S876&gt;0.25,AH876&gt;1.2),"ACCELERATING","STABLE"))</f>
        <v>STABLE</v>
      </c>
    </row>
    <row r="877" customFormat="false" ht="15" hidden="false" customHeight="false" outlineLevel="0" collapsed="false">
      <c r="A877" s="11" t="s">
        <v>813</v>
      </c>
      <c r="B877" s="11" t="s">
        <v>93</v>
      </c>
      <c r="C877" s="11" t="s">
        <v>74</v>
      </c>
      <c r="D877" s="11" t="s">
        <v>210</v>
      </c>
      <c r="E877" s="11" t="s">
        <v>105</v>
      </c>
      <c r="F877" s="11" t="s">
        <v>814</v>
      </c>
      <c r="G877" s="11" t="s">
        <v>78</v>
      </c>
      <c r="H877" s="11" t="s">
        <v>644</v>
      </c>
      <c r="I877" s="11" t="s">
        <v>78</v>
      </c>
      <c r="J877" s="12" t="n">
        <v>2228000</v>
      </c>
      <c r="K877" s="13" t="n">
        <f aca="false">IFERROR(J877/M877,"")</f>
        <v>0.184238815843877</v>
      </c>
      <c r="L877" s="12" t="n">
        <v>9865000</v>
      </c>
      <c r="M877" s="14" t="n">
        <f aca="false">L877+J877</f>
        <v>12093000</v>
      </c>
      <c r="N877" s="12" t="n">
        <v>4510000</v>
      </c>
      <c r="O877" s="12" t="n">
        <v>21990347</v>
      </c>
      <c r="P877" s="12" t="n">
        <v>1238330</v>
      </c>
      <c r="Q877" s="13" t="n">
        <f aca="false">IFERROR(P877/P876-1,"")</f>
        <v>0.0987843833185449</v>
      </c>
      <c r="R877" s="12" t="n">
        <v>1583679</v>
      </c>
      <c r="S877" s="13" t="n">
        <f aca="false">IFERROR(R877/R876-1,"")</f>
        <v>0.250153143225228</v>
      </c>
      <c r="T877" s="12" t="n">
        <v>893267</v>
      </c>
      <c r="U877" s="13" t="n">
        <f aca="false">IFERROR(T877/P877,"")</f>
        <v>0.72134810591684</v>
      </c>
      <c r="V877" s="14" t="n">
        <f aca="false">T877-AV877</f>
        <v>-2644191</v>
      </c>
      <c r="W877" s="14" t="n">
        <f aca="false">V877-AA877*0.1</f>
        <v>-2644191</v>
      </c>
      <c r="X877" s="12" t="n">
        <v>3589000</v>
      </c>
      <c r="Y877" s="12" t="n">
        <v>225000</v>
      </c>
      <c r="Z877" s="15" t="n">
        <f aca="false">IFERROR(X877/Y877,"")</f>
        <v>15.9511111111111</v>
      </c>
      <c r="AA877" s="12" t="n">
        <v>0</v>
      </c>
      <c r="AB877" s="14" t="n">
        <f aca="false">W877-0.02*P877</f>
        <v>-2668957.6</v>
      </c>
      <c r="AC877" s="16" t="n">
        <v>55</v>
      </c>
      <c r="AD877" s="13" t="n">
        <f aca="false">IFERROR(AC877/AC876-1,"")</f>
        <v>0.170212765957447</v>
      </c>
      <c r="AE877" s="17" t="n">
        <v>0.056</v>
      </c>
      <c r="AF877" s="17" t="n">
        <v>0.034</v>
      </c>
      <c r="AG877" s="13" t="n">
        <f aca="false">1-AF877</f>
        <v>0.966</v>
      </c>
      <c r="AH877" s="17" t="n">
        <v>1.097</v>
      </c>
      <c r="AI877" s="12" t="n">
        <v>105800</v>
      </c>
      <c r="AJ877" s="14" t="n">
        <f aca="false">IFERROR(AM877*U877*MIN(1/AE877,5),"")</f>
        <v>217919.262797477</v>
      </c>
      <c r="AK877" s="18" t="n">
        <f aca="false">IFERROR(AJ877/AI877,"")</f>
        <v>2.05972838182871</v>
      </c>
      <c r="AL877" s="15" t="n">
        <f aca="false">IFERROR(AI877/(AM877*U877/12),"")</f>
        <v>29.1300544913255</v>
      </c>
      <c r="AM877" s="12" t="n">
        <v>60420</v>
      </c>
      <c r="AN877" s="12" t="n">
        <v>2198047</v>
      </c>
      <c r="AO877" s="12" t="n">
        <v>5010186</v>
      </c>
      <c r="AP877" s="17" t="n">
        <v>0.272</v>
      </c>
      <c r="AQ877" s="16" t="n">
        <v>80</v>
      </c>
      <c r="AR877" s="16" t="n">
        <v>2</v>
      </c>
      <c r="AS877" s="13" t="n">
        <f aca="false">IFERROR(AR877/AR876-1,"")</f>
        <v>0</v>
      </c>
      <c r="AT877" s="11" t="s">
        <v>201</v>
      </c>
      <c r="AU877" s="14" t="n">
        <f aca="false">IFERROR(P877/AR877,"")</f>
        <v>619165</v>
      </c>
      <c r="AV877" s="12" t="n">
        <v>3537458</v>
      </c>
      <c r="AW877" s="12" t="n">
        <v>1338549</v>
      </c>
      <c r="AX877" s="12" t="n">
        <v>1039455</v>
      </c>
      <c r="AY877" s="16" t="n">
        <v>33571</v>
      </c>
      <c r="AZ877" s="13" t="n">
        <f aca="false">IFERROR(AY877/AY876-1,"")</f>
        <v>0.0809131302723936</v>
      </c>
      <c r="BA877" s="17" t="n">
        <v>0.945</v>
      </c>
      <c r="BB877" s="11" t="s">
        <v>161</v>
      </c>
      <c r="BC877" s="11" t="s">
        <v>126</v>
      </c>
      <c r="BD877" s="11" t="s">
        <v>157</v>
      </c>
      <c r="BE877" s="12" t="n">
        <v>1183283</v>
      </c>
      <c r="BF877" s="13" t="n">
        <f aca="false">IFERROR(P877/BE877-1,"")</f>
        <v>0.0465205703115823</v>
      </c>
      <c r="BG877" s="17" t="n">
        <v>-0.001</v>
      </c>
      <c r="BH877" s="17" t="n">
        <v>-0.05</v>
      </c>
      <c r="BI877" s="14" t="n">
        <f aca="false">P877*(1+IFERROR(Q877,0))^4</f>
        <v>1805037.82692281</v>
      </c>
      <c r="BJ877" s="12" t="n">
        <v>-2341667</v>
      </c>
      <c r="BK877" s="11" t="s">
        <v>127</v>
      </c>
      <c r="BL877" s="11" t="s">
        <v>111</v>
      </c>
      <c r="BM877" s="14" t="n">
        <f aca="false">O877</f>
        <v>21990347</v>
      </c>
      <c r="BN877" s="11" t="s">
        <v>815</v>
      </c>
      <c r="BO877" s="13" t="n">
        <f aca="false">IFERROR(1-L877/M877,"")</f>
        <v>0.184238815843877</v>
      </c>
      <c r="BP877" s="11" t="s">
        <v>142</v>
      </c>
      <c r="BQ877" s="12" t="n">
        <v>4074854</v>
      </c>
      <c r="BR877" s="11" t="s">
        <v>88</v>
      </c>
      <c r="BS877" s="11" t="s">
        <v>89</v>
      </c>
      <c r="BT877" s="19" t="str">
        <f aca="false">IF(OR(Z877&lt;6,AH877&lt;0.9,S877&lt;0.02,AK877&lt;1),"REVIEW",IF(AND(S877&gt;0.25,AH877&gt;1.2),"ACCELERATING","STABLE"))</f>
        <v>STABLE</v>
      </c>
    </row>
    <row r="878" customFormat="false" ht="15" hidden="false" customHeight="false" outlineLevel="0" collapsed="false">
      <c r="A878" s="3" t="s">
        <v>816</v>
      </c>
      <c r="B878" s="3" t="s">
        <v>73</v>
      </c>
      <c r="C878" s="3" t="s">
        <v>74</v>
      </c>
      <c r="D878" s="3" t="s">
        <v>75</v>
      </c>
      <c r="E878" s="3" t="s">
        <v>187</v>
      </c>
      <c r="F878" s="3" t="s">
        <v>817</v>
      </c>
      <c r="G878" s="3" t="s">
        <v>78</v>
      </c>
      <c r="H878" s="3" t="s">
        <v>644</v>
      </c>
      <c r="I878" s="3" t="s">
        <v>78</v>
      </c>
      <c r="J878" s="4" t="n">
        <v>5083000</v>
      </c>
      <c r="K878" s="5" t="n">
        <f aca="false">IFERROR(J878/M878,"")</f>
        <v>0.157715101306277</v>
      </c>
      <c r="L878" s="4" t="n">
        <v>27146000</v>
      </c>
      <c r="M878" s="6" t="n">
        <f aca="false">L878+J878</f>
        <v>32229000</v>
      </c>
      <c r="N878" s="4" t="n">
        <v>5373000</v>
      </c>
      <c r="O878" s="4" t="n">
        <v>40005826</v>
      </c>
      <c r="P878" s="4" t="n">
        <v>790157</v>
      </c>
      <c r="Q878" s="7"/>
      <c r="R878" s="4" t="n">
        <v>978977</v>
      </c>
      <c r="S878" s="7"/>
      <c r="T878" s="4" t="n">
        <v>592445</v>
      </c>
      <c r="U878" s="5" t="n">
        <f aca="false">IFERROR(T878/P878,"")</f>
        <v>0.749781372562668</v>
      </c>
      <c r="V878" s="6" t="n">
        <f aca="false">T878-AV878</f>
        <v>-2605467</v>
      </c>
      <c r="W878" s="6" t="n">
        <f aca="false">V878-AA878*0.1</f>
        <v>-2605467</v>
      </c>
      <c r="X878" s="4" t="n">
        <v>4863846</v>
      </c>
      <c r="Y878" s="4" t="n">
        <v>205660</v>
      </c>
      <c r="Z878" s="8" t="n">
        <f aca="false">IFERROR(X878/Y878,"")</f>
        <v>23.6499367888748</v>
      </c>
      <c r="AA878" s="4" t="n">
        <v>0</v>
      </c>
      <c r="AB878" s="6" t="n">
        <f aca="false">W878-0.02*P878</f>
        <v>-2621270.14</v>
      </c>
      <c r="AC878" s="9" t="n">
        <v>22</v>
      </c>
      <c r="AD878" s="7"/>
      <c r="AE878" s="7" t="n">
        <v>0.12</v>
      </c>
      <c r="AF878" s="7" t="n">
        <v>0.086</v>
      </c>
      <c r="AG878" s="5" t="n">
        <f aca="false">1-AF878</f>
        <v>0.914</v>
      </c>
      <c r="AH878" s="7" t="n">
        <v>1.055</v>
      </c>
      <c r="AI878" s="4" t="n">
        <v>34874</v>
      </c>
      <c r="AJ878" s="6" t="n">
        <f aca="false">IFERROR(AM878*U878*MIN(1/AE878,5),"")</f>
        <v>97471.5784331469</v>
      </c>
      <c r="AK878" s="10" t="n">
        <f aca="false">IFERROR(AJ878/AI878,"")</f>
        <v>2.79496411174935</v>
      </c>
      <c r="AL878" s="8" t="n">
        <f aca="false">IFERROR(AI878/(AM878*U878/12),"")</f>
        <v>21.4671808298985</v>
      </c>
      <c r="AM878" s="4" t="n">
        <v>26000</v>
      </c>
      <c r="AN878" s="4" t="n">
        <v>1324318</v>
      </c>
      <c r="AO878" s="4" t="n">
        <v>3272183</v>
      </c>
      <c r="AP878" s="7" t="n">
        <v>0.319</v>
      </c>
      <c r="AQ878" s="9" t="n">
        <v>79</v>
      </c>
      <c r="AR878" s="9" t="n">
        <v>1</v>
      </c>
      <c r="AS878" s="7"/>
      <c r="AT878" s="3" t="s">
        <v>218</v>
      </c>
      <c r="AU878" s="6" t="n">
        <f aca="false">IFERROR(P878/AR878,"")</f>
        <v>790157</v>
      </c>
      <c r="AV878" s="4" t="n">
        <v>3197912</v>
      </c>
      <c r="AW878" s="4" t="n">
        <v>1187492</v>
      </c>
      <c r="AX878" s="4" t="n">
        <v>749322</v>
      </c>
      <c r="AY878" s="9" t="n">
        <v>24016</v>
      </c>
      <c r="AZ878" s="7"/>
      <c r="BA878" s="7" t="n">
        <v>0.909</v>
      </c>
      <c r="BB878" s="3" t="s">
        <v>107</v>
      </c>
      <c r="BC878" s="3" t="s">
        <v>82</v>
      </c>
      <c r="BD878" s="3" t="s">
        <v>157</v>
      </c>
      <c r="BE878" s="4" t="n">
        <v>755247</v>
      </c>
      <c r="BF878" s="5" t="n">
        <f aca="false">IFERROR(P878/BE878-1,"")</f>
        <v>0.0462232885400407</v>
      </c>
      <c r="BG878" s="7" t="n">
        <v>-0.048</v>
      </c>
      <c r="BH878" s="7" t="n">
        <v>0.02</v>
      </c>
      <c r="BI878" s="6" t="n">
        <f aca="false">P878</f>
        <v>790157</v>
      </c>
      <c r="BJ878" s="4" t="n">
        <v>-2177621</v>
      </c>
      <c r="BK878" s="3" t="s">
        <v>102</v>
      </c>
      <c r="BL878" s="3" t="s">
        <v>162</v>
      </c>
      <c r="BM878" s="6" t="n">
        <f aca="false">O878</f>
        <v>40005826</v>
      </c>
      <c r="BN878" s="3" t="s">
        <v>818</v>
      </c>
      <c r="BO878" s="5" t="n">
        <f aca="false">IFERROR(1-L878/M878,"")</f>
        <v>0.157715101306277</v>
      </c>
      <c r="BP878" s="3" t="s">
        <v>142</v>
      </c>
      <c r="BQ878" s="4" t="n">
        <v>2824812</v>
      </c>
      <c r="BR878" s="3" t="s">
        <v>88</v>
      </c>
      <c r="BS878" s="3" t="s">
        <v>89</v>
      </c>
      <c r="BT878" s="3" t="s">
        <v>90</v>
      </c>
    </row>
    <row r="879" customFormat="false" ht="15" hidden="false" customHeight="false" outlineLevel="0" collapsed="false">
      <c r="A879" s="11" t="s">
        <v>816</v>
      </c>
      <c r="B879" s="11" t="s">
        <v>91</v>
      </c>
      <c r="C879" s="11" t="s">
        <v>74</v>
      </c>
      <c r="D879" s="11" t="s">
        <v>75</v>
      </c>
      <c r="E879" s="11" t="s">
        <v>187</v>
      </c>
      <c r="F879" s="11" t="s">
        <v>817</v>
      </c>
      <c r="G879" s="11" t="s">
        <v>78</v>
      </c>
      <c r="H879" s="11" t="s">
        <v>644</v>
      </c>
      <c r="I879" s="11" t="s">
        <v>78</v>
      </c>
      <c r="J879" s="12" t="n">
        <v>5083000</v>
      </c>
      <c r="K879" s="13" t="n">
        <f aca="false">IFERROR(J879/M879,"")</f>
        <v>0.157715101306277</v>
      </c>
      <c r="L879" s="12" t="n">
        <v>27146000</v>
      </c>
      <c r="M879" s="14" t="n">
        <f aca="false">L879+J879</f>
        <v>32229000</v>
      </c>
      <c r="N879" s="12" t="n">
        <v>5373000</v>
      </c>
      <c r="O879" s="12" t="n">
        <v>40005826</v>
      </c>
      <c r="P879" s="12" t="n">
        <v>875730</v>
      </c>
      <c r="Q879" s="13" t="n">
        <f aca="false">IFERROR(P879/P878-1,"")</f>
        <v>0.108298730505457</v>
      </c>
      <c r="R879" s="12" t="n">
        <v>1062329</v>
      </c>
      <c r="S879" s="13" t="n">
        <f aca="false">IFERROR(R879/R878-1,"")</f>
        <v>0.0851419389832449</v>
      </c>
      <c r="T879" s="12" t="n">
        <v>659264</v>
      </c>
      <c r="U879" s="13" t="n">
        <f aca="false">IFERROR(T879/P879,"")</f>
        <v>0.752816507370993</v>
      </c>
      <c r="V879" s="14" t="n">
        <f aca="false">T879-AV879</f>
        <v>-2078830</v>
      </c>
      <c r="W879" s="14" t="n">
        <f aca="false">V879-AA879*0.1</f>
        <v>-2078830</v>
      </c>
      <c r="X879" s="12" t="n">
        <v>4345176</v>
      </c>
      <c r="Y879" s="12" t="n">
        <v>212440</v>
      </c>
      <c r="Z879" s="15" t="n">
        <f aca="false">IFERROR(X879/Y879,"")</f>
        <v>20.4536622105065</v>
      </c>
      <c r="AA879" s="12" t="n">
        <v>0</v>
      </c>
      <c r="AB879" s="14" t="n">
        <f aca="false">W879-0.02*P879</f>
        <v>-2096344.6</v>
      </c>
      <c r="AC879" s="16" t="n">
        <v>24</v>
      </c>
      <c r="AD879" s="13" t="n">
        <f aca="false">IFERROR(AC879/AC878-1,"")</f>
        <v>0.0909090909090908</v>
      </c>
      <c r="AE879" s="17" t="n">
        <v>0.117</v>
      </c>
      <c r="AF879" s="17" t="n">
        <v>0.124</v>
      </c>
      <c r="AG879" s="13" t="n">
        <f aca="false">1-AF879</f>
        <v>0.876</v>
      </c>
      <c r="AH879" s="17" t="n">
        <v>1.05</v>
      </c>
      <c r="AI879" s="12" t="n">
        <v>34216</v>
      </c>
      <c r="AJ879" s="14" t="n">
        <f aca="false">IFERROR(AM879*U879*MIN(1/AE879,5),"")</f>
        <v>99823.4688773937</v>
      </c>
      <c r="AK879" s="18" t="n">
        <f aca="false">IFERROR(AJ879/AI879,"")</f>
        <v>2.91744999057148</v>
      </c>
      <c r="AL879" s="15" t="n">
        <f aca="false">IFERROR(AI879/(AM879*U879/12),"")</f>
        <v>20.565905223365</v>
      </c>
      <c r="AM879" s="12" t="n">
        <v>26520</v>
      </c>
      <c r="AN879" s="12" t="n">
        <v>1095416</v>
      </c>
      <c r="AO879" s="12" t="n">
        <v>1955906</v>
      </c>
      <c r="AP879" s="17" t="n">
        <v>0.319</v>
      </c>
      <c r="AQ879" s="16" t="n">
        <v>79</v>
      </c>
      <c r="AR879" s="16" t="n">
        <v>2</v>
      </c>
      <c r="AS879" s="13" t="n">
        <f aca="false">IFERROR(AR879/AR878-1,"")</f>
        <v>1</v>
      </c>
      <c r="AT879" s="11" t="s">
        <v>218</v>
      </c>
      <c r="AU879" s="14" t="n">
        <f aca="false">IFERROR(P879/AR879,"")</f>
        <v>437865</v>
      </c>
      <c r="AV879" s="12" t="n">
        <v>2738094</v>
      </c>
      <c r="AW879" s="12" t="n">
        <v>845605</v>
      </c>
      <c r="AX879" s="12" t="n">
        <v>585135</v>
      </c>
      <c r="AY879" s="16" t="n">
        <v>24301</v>
      </c>
      <c r="AZ879" s="13" t="n">
        <f aca="false">IFERROR(AY879/AY878-1,"")</f>
        <v>0.0118670886075949</v>
      </c>
      <c r="BA879" s="17" t="n">
        <v>0.886</v>
      </c>
      <c r="BB879" s="11" t="s">
        <v>107</v>
      </c>
      <c r="BC879" s="11" t="s">
        <v>82</v>
      </c>
      <c r="BD879" s="11" t="s">
        <v>157</v>
      </c>
      <c r="BE879" s="12" t="n">
        <v>906406</v>
      </c>
      <c r="BF879" s="13" t="n">
        <f aca="false">IFERROR(P879/BE879-1,"")</f>
        <v>-0.0338435535510577</v>
      </c>
      <c r="BG879" s="17" t="n">
        <v>0.077</v>
      </c>
      <c r="BH879" s="17" t="n">
        <v>-0.009</v>
      </c>
      <c r="BI879" s="14" t="n">
        <f aca="false">P879*(1+IFERROR(Q879,0))^4</f>
        <v>1321288.24345769</v>
      </c>
      <c r="BJ879" s="12" t="n">
        <v>-1533358</v>
      </c>
      <c r="BK879" s="11" t="s">
        <v>102</v>
      </c>
      <c r="BL879" s="11" t="s">
        <v>162</v>
      </c>
      <c r="BM879" s="14" t="n">
        <f aca="false">O879</f>
        <v>40005826</v>
      </c>
      <c r="BN879" s="11" t="s">
        <v>818</v>
      </c>
      <c r="BO879" s="13" t="n">
        <f aca="false">IFERROR(1-L879/M879,"")</f>
        <v>0.157715101306277</v>
      </c>
      <c r="BP879" s="11" t="s">
        <v>142</v>
      </c>
      <c r="BQ879" s="12" t="n">
        <v>3035721</v>
      </c>
      <c r="BR879" s="11" t="s">
        <v>88</v>
      </c>
      <c r="BS879" s="11" t="s">
        <v>89</v>
      </c>
      <c r="BT879" s="19" t="str">
        <f aca="false">IF(OR(Z879&lt;6,AH879&lt;0.9,S879&lt;0.02,AK879&lt;1),"REVIEW",IF(AND(S879&gt;0.25,AH879&gt;1.2),"ACCELERATING","STABLE"))</f>
        <v>STABLE</v>
      </c>
    </row>
    <row r="880" customFormat="false" ht="15" hidden="false" customHeight="false" outlineLevel="0" collapsed="false">
      <c r="A880" s="11" t="s">
        <v>816</v>
      </c>
      <c r="B880" s="11" t="s">
        <v>92</v>
      </c>
      <c r="C880" s="11" t="s">
        <v>74</v>
      </c>
      <c r="D880" s="11" t="s">
        <v>75</v>
      </c>
      <c r="E880" s="11" t="s">
        <v>187</v>
      </c>
      <c r="F880" s="11" t="s">
        <v>817</v>
      </c>
      <c r="G880" s="11" t="s">
        <v>78</v>
      </c>
      <c r="H880" s="11" t="s">
        <v>644</v>
      </c>
      <c r="I880" s="11" t="s">
        <v>78</v>
      </c>
      <c r="J880" s="12" t="n">
        <v>5083000</v>
      </c>
      <c r="K880" s="13" t="n">
        <f aca="false">IFERROR(J880/M880,"")</f>
        <v>0.157715101306277</v>
      </c>
      <c r="L880" s="12" t="n">
        <v>27146000</v>
      </c>
      <c r="M880" s="14" t="n">
        <f aca="false">L880+J880</f>
        <v>32229000</v>
      </c>
      <c r="N880" s="12" t="n">
        <v>5373000</v>
      </c>
      <c r="O880" s="12" t="n">
        <v>40005826</v>
      </c>
      <c r="P880" s="12" t="n">
        <v>973086</v>
      </c>
      <c r="Q880" s="13" t="n">
        <f aca="false">IFERROR(P880/P879-1,"")</f>
        <v>0.111171251413107</v>
      </c>
      <c r="R880" s="12" t="n">
        <v>1190285</v>
      </c>
      <c r="S880" s="13" t="n">
        <f aca="false">IFERROR(R880/R879-1,"")</f>
        <v>0.120448561603797</v>
      </c>
      <c r="T880" s="12" t="n">
        <v>735510</v>
      </c>
      <c r="U880" s="13" t="n">
        <f aca="false">IFERROR(T880/P880,"")</f>
        <v>0.755853028406534</v>
      </c>
      <c r="V880" s="14" t="n">
        <f aca="false">T880-AV880</f>
        <v>-2808962</v>
      </c>
      <c r="W880" s="14" t="n">
        <f aca="false">V880-AA880*0.1</f>
        <v>-2808962</v>
      </c>
      <c r="X880" s="12" t="n">
        <v>3789894</v>
      </c>
      <c r="Y880" s="12" t="n">
        <v>219220</v>
      </c>
      <c r="Z880" s="15" t="n">
        <f aca="false">IFERROR(X880/Y880,"")</f>
        <v>17.2880850287383</v>
      </c>
      <c r="AA880" s="12" t="n">
        <v>0</v>
      </c>
      <c r="AB880" s="14" t="n">
        <f aca="false">W880-0.02*P880</f>
        <v>-2828423.72</v>
      </c>
      <c r="AC880" s="16" t="n">
        <v>25</v>
      </c>
      <c r="AD880" s="13" t="n">
        <f aca="false">IFERROR(AC880/AC879-1,"")</f>
        <v>0.0416666666666667</v>
      </c>
      <c r="AE880" s="17" t="n">
        <v>0.113</v>
      </c>
      <c r="AF880" s="17" t="n">
        <v>0.092</v>
      </c>
      <c r="AG880" s="13" t="n">
        <f aca="false">1-AF880</f>
        <v>0.908</v>
      </c>
      <c r="AH880" s="17" t="n">
        <v>1.045</v>
      </c>
      <c r="AI880" s="12" t="n">
        <v>33558</v>
      </c>
      <c r="AJ880" s="14" t="n">
        <f aca="false">IFERROR(AM880*U880*MIN(1/AE880,5),"")</f>
        <v>102191.329440563</v>
      </c>
      <c r="AK880" s="18" t="n">
        <f aca="false">IFERROR(AJ880/AI880,"")</f>
        <v>3.045215133219</v>
      </c>
      <c r="AL880" s="15" t="n">
        <f aca="false">IFERROR(AI880/(AM880*U880/12),"")</f>
        <v>19.7030414519764</v>
      </c>
      <c r="AM880" s="12" t="n">
        <v>27040</v>
      </c>
      <c r="AN880" s="12" t="n">
        <v>1690328</v>
      </c>
      <c r="AO880" s="12" t="n">
        <v>3706269</v>
      </c>
      <c r="AP880" s="17" t="n">
        <v>0.319</v>
      </c>
      <c r="AQ880" s="16" t="n">
        <v>79</v>
      </c>
      <c r="AR880" s="16" t="n">
        <v>2</v>
      </c>
      <c r="AS880" s="13" t="n">
        <f aca="false">IFERROR(AR880/AR879-1,"")</f>
        <v>0</v>
      </c>
      <c r="AT880" s="11" t="s">
        <v>218</v>
      </c>
      <c r="AU880" s="14" t="n">
        <f aca="false">IFERROR(P880/AR880,"")</f>
        <v>486543</v>
      </c>
      <c r="AV880" s="12" t="n">
        <v>3544472</v>
      </c>
      <c r="AW880" s="12" t="n">
        <v>1632668</v>
      </c>
      <c r="AX880" s="12" t="n">
        <v>790433</v>
      </c>
      <c r="AY880" s="16" t="n">
        <v>27737</v>
      </c>
      <c r="AZ880" s="13" t="n">
        <f aca="false">IFERROR(AY880/AY879-1,"")</f>
        <v>0.141393358298012</v>
      </c>
      <c r="BA880" s="17" t="n">
        <v>0.886</v>
      </c>
      <c r="BB880" s="11" t="s">
        <v>107</v>
      </c>
      <c r="BC880" s="11" t="s">
        <v>82</v>
      </c>
      <c r="BD880" s="11" t="s">
        <v>157</v>
      </c>
      <c r="BE880" s="12" t="n">
        <v>1120676</v>
      </c>
      <c r="BF880" s="13" t="n">
        <f aca="false">IFERROR(P880/BE880-1,"")</f>
        <v>-0.131697296988603</v>
      </c>
      <c r="BG880" s="17" t="n">
        <v>0.033</v>
      </c>
      <c r="BH880" s="17" t="n">
        <v>-0.018</v>
      </c>
      <c r="BI880" s="14" t="n">
        <f aca="false">P880*(1+IFERROR(Q880,0))^4</f>
        <v>1483457.84967949</v>
      </c>
      <c r="BJ880" s="12" t="n">
        <v>-1558600</v>
      </c>
      <c r="BK880" s="11" t="s">
        <v>102</v>
      </c>
      <c r="BL880" s="11" t="s">
        <v>162</v>
      </c>
      <c r="BM880" s="14" t="n">
        <f aca="false">O880</f>
        <v>40005826</v>
      </c>
      <c r="BN880" s="11" t="s">
        <v>818</v>
      </c>
      <c r="BO880" s="13" t="n">
        <f aca="false">IFERROR(1-L880/M880,"")</f>
        <v>0.157715101306277</v>
      </c>
      <c r="BP880" s="11" t="s">
        <v>142</v>
      </c>
      <c r="BQ880" s="12" t="n">
        <v>4309875</v>
      </c>
      <c r="BR880" s="11" t="s">
        <v>88</v>
      </c>
      <c r="BS880" s="11" t="s">
        <v>89</v>
      </c>
      <c r="BT880" s="19" t="str">
        <f aca="false">IF(OR(Z880&lt;6,AH880&lt;0.9,S880&lt;0.02,AK880&lt;1),"REVIEW",IF(AND(S880&gt;0.25,AH880&gt;1.2),"ACCELERATING","STABLE"))</f>
        <v>STABLE</v>
      </c>
    </row>
    <row r="881" customFormat="false" ht="15" hidden="false" customHeight="false" outlineLevel="0" collapsed="false">
      <c r="A881" s="11" t="s">
        <v>816</v>
      </c>
      <c r="B881" s="11" t="s">
        <v>93</v>
      </c>
      <c r="C881" s="11" t="s">
        <v>74</v>
      </c>
      <c r="D881" s="11" t="s">
        <v>75</v>
      </c>
      <c r="E881" s="11" t="s">
        <v>187</v>
      </c>
      <c r="F881" s="11" t="s">
        <v>817</v>
      </c>
      <c r="G881" s="11" t="s">
        <v>78</v>
      </c>
      <c r="H881" s="11" t="s">
        <v>644</v>
      </c>
      <c r="I881" s="11" t="s">
        <v>78</v>
      </c>
      <c r="J881" s="12" t="n">
        <v>5083000</v>
      </c>
      <c r="K881" s="13" t="n">
        <f aca="false">IFERROR(J881/M881,"")</f>
        <v>0.157715101306277</v>
      </c>
      <c r="L881" s="12" t="n">
        <v>27146000</v>
      </c>
      <c r="M881" s="14" t="n">
        <f aca="false">L881+J881</f>
        <v>32229000</v>
      </c>
      <c r="N881" s="12" t="n">
        <v>5373000</v>
      </c>
      <c r="O881" s="12" t="n">
        <v>40005826</v>
      </c>
      <c r="P881" s="12" t="n">
        <v>1017384</v>
      </c>
      <c r="Q881" s="13" t="n">
        <f aca="false">IFERROR(P881/P880-1,"")</f>
        <v>0.0455232117202384</v>
      </c>
      <c r="R881" s="12" t="n">
        <v>1259737</v>
      </c>
      <c r="S881" s="13" t="n">
        <f aca="false">IFERROR(R881/R880-1,"")</f>
        <v>0.0583490508575677</v>
      </c>
      <c r="T881" s="12" t="n">
        <v>772081</v>
      </c>
      <c r="U881" s="13" t="n">
        <f aca="false">IFERROR(T881/P881,"")</f>
        <v>0.758888482618166</v>
      </c>
      <c r="V881" s="14" t="n">
        <f aca="false">T881-AV881</f>
        <v>-2832377</v>
      </c>
      <c r="W881" s="14" t="n">
        <f aca="false">V881-AA881*0.1</f>
        <v>-2832377</v>
      </c>
      <c r="X881" s="12" t="n">
        <v>3198000</v>
      </c>
      <c r="Y881" s="12" t="n">
        <v>226000</v>
      </c>
      <c r="Z881" s="15" t="n">
        <f aca="false">IFERROR(X881/Y881,"")</f>
        <v>14.1504424778761</v>
      </c>
      <c r="AA881" s="12" t="n">
        <v>0</v>
      </c>
      <c r="AB881" s="14" t="n">
        <f aca="false">W881-0.02*P881</f>
        <v>-2852724.68</v>
      </c>
      <c r="AC881" s="16" t="n">
        <v>27</v>
      </c>
      <c r="AD881" s="13" t="n">
        <f aca="false">IFERROR(AC881/AC880-1,"")</f>
        <v>0.0800000000000001</v>
      </c>
      <c r="AE881" s="17" t="n">
        <v>0.11</v>
      </c>
      <c r="AF881" s="17" t="n">
        <v>0.07</v>
      </c>
      <c r="AG881" s="13" t="n">
        <f aca="false">1-AF881</f>
        <v>0.93</v>
      </c>
      <c r="AH881" s="17" t="n">
        <v>1.04</v>
      </c>
      <c r="AI881" s="12" t="n">
        <v>32900</v>
      </c>
      <c r="AJ881" s="14" t="n">
        <f aca="false">IFERROR(AM881*U881*MIN(1/AE881,5),"")</f>
        <v>104574.832904783</v>
      </c>
      <c r="AK881" s="18" t="n">
        <f aca="false">IFERROR(AJ881/AI881,"")</f>
        <v>3.17856634968946</v>
      </c>
      <c r="AL881" s="15" t="n">
        <f aca="false">IFERROR(AI881/(AM881*U881/12),"")</f>
        <v>18.8764346561027</v>
      </c>
      <c r="AM881" s="12" t="n">
        <v>27560</v>
      </c>
      <c r="AN881" s="12" t="n">
        <v>1419984</v>
      </c>
      <c r="AO881" s="12" t="n">
        <v>4303954</v>
      </c>
      <c r="AP881" s="17" t="n">
        <v>0.319</v>
      </c>
      <c r="AQ881" s="16" t="n">
        <v>79</v>
      </c>
      <c r="AR881" s="16" t="n">
        <v>2</v>
      </c>
      <c r="AS881" s="13" t="n">
        <f aca="false">IFERROR(AR881/AR880-1,"")</f>
        <v>0</v>
      </c>
      <c r="AT881" s="11" t="s">
        <v>218</v>
      </c>
      <c r="AU881" s="14" t="n">
        <f aca="false">IFERROR(P881/AR881,"")</f>
        <v>508692</v>
      </c>
      <c r="AV881" s="12" t="n">
        <v>3604458</v>
      </c>
      <c r="AW881" s="12" t="n">
        <v>1628463</v>
      </c>
      <c r="AX881" s="12" t="n">
        <v>1159853</v>
      </c>
      <c r="AY881" s="16" t="n">
        <v>31901</v>
      </c>
      <c r="AZ881" s="13" t="n">
        <f aca="false">IFERROR(AY881/AY880-1,"")</f>
        <v>0.150124382593648</v>
      </c>
      <c r="BA881" s="17" t="n">
        <v>0.919</v>
      </c>
      <c r="BB881" s="11" t="s">
        <v>107</v>
      </c>
      <c r="BC881" s="11" t="s">
        <v>82</v>
      </c>
      <c r="BD881" s="11" t="s">
        <v>157</v>
      </c>
      <c r="BE881" s="12" t="n">
        <v>1197584</v>
      </c>
      <c r="BF881" s="13" t="n">
        <f aca="false">IFERROR(P881/BE881-1,"")</f>
        <v>-0.150469612152467</v>
      </c>
      <c r="BG881" s="17" t="n">
        <v>-0.047</v>
      </c>
      <c r="BH881" s="17" t="n">
        <v>0.077</v>
      </c>
      <c r="BI881" s="14" t="n">
        <f aca="false">P881*(1+IFERROR(Q881,0))^4</f>
        <v>1215680.97335128</v>
      </c>
      <c r="BJ881" s="12" t="n">
        <v>-1802517</v>
      </c>
      <c r="BK881" s="11" t="s">
        <v>102</v>
      </c>
      <c r="BL881" s="11" t="s">
        <v>162</v>
      </c>
      <c r="BM881" s="14" t="n">
        <f aca="false">O881</f>
        <v>40005826</v>
      </c>
      <c r="BN881" s="11" t="s">
        <v>818</v>
      </c>
      <c r="BO881" s="13" t="n">
        <f aca="false">IFERROR(1-L881/M881,"")</f>
        <v>0.157715101306277</v>
      </c>
      <c r="BP881" s="11" t="s">
        <v>142</v>
      </c>
      <c r="BQ881" s="12" t="n">
        <v>3057610</v>
      </c>
      <c r="BR881" s="11" t="s">
        <v>88</v>
      </c>
      <c r="BS881" s="11" t="s">
        <v>89</v>
      </c>
      <c r="BT881" s="19" t="str">
        <f aca="false">IF(OR(Z881&lt;6,AH881&lt;0.9,S881&lt;0.02,AK881&lt;1),"REVIEW",IF(AND(S881&gt;0.25,AH881&gt;1.2),"ACCELERATING","STABLE"))</f>
        <v>STABLE</v>
      </c>
    </row>
    <row r="882" customFormat="false" ht="15" hidden="false" customHeight="false" outlineLevel="0" collapsed="false">
      <c r="A882" s="3" t="s">
        <v>819</v>
      </c>
      <c r="B882" s="3" t="s">
        <v>73</v>
      </c>
      <c r="C882" s="3" t="s">
        <v>74</v>
      </c>
      <c r="D882" s="3" t="s">
        <v>132</v>
      </c>
      <c r="E882" s="3" t="s">
        <v>105</v>
      </c>
      <c r="F882" s="3" t="s">
        <v>820</v>
      </c>
      <c r="G882" s="3" t="s">
        <v>78</v>
      </c>
      <c r="H882" s="3" t="s">
        <v>644</v>
      </c>
      <c r="I882" s="3" t="s">
        <v>78</v>
      </c>
      <c r="J882" s="4" t="n">
        <v>3375000</v>
      </c>
      <c r="K882" s="5" t="n">
        <f aca="false">IFERROR(J882/M882,"")</f>
        <v>0.175698891144776</v>
      </c>
      <c r="L882" s="4" t="n">
        <v>15834000</v>
      </c>
      <c r="M882" s="6" t="n">
        <f aca="false">L882+J882</f>
        <v>19209000</v>
      </c>
      <c r="N882" s="4" t="n">
        <v>7124000</v>
      </c>
      <c r="O882" s="4" t="n">
        <v>13198804</v>
      </c>
      <c r="P882" s="4" t="n">
        <v>717985</v>
      </c>
      <c r="Q882" s="7"/>
      <c r="R882" s="4" t="n">
        <v>861245</v>
      </c>
      <c r="S882" s="7"/>
      <c r="T882" s="4" t="n">
        <v>390759</v>
      </c>
      <c r="U882" s="5" t="n">
        <f aca="false">IFERROR(T882/P882,"")</f>
        <v>0.544243960528423</v>
      </c>
      <c r="V882" s="6" t="n">
        <f aca="false">T882-AV882</f>
        <v>-1709379</v>
      </c>
      <c r="W882" s="6" t="n">
        <f aca="false">V882-AA882*0.1</f>
        <v>-1709379</v>
      </c>
      <c r="X882" s="4" t="n">
        <v>2139052</v>
      </c>
      <c r="Y882" s="4" t="n">
        <v>150880</v>
      </c>
      <c r="Z882" s="8" t="n">
        <f aca="false">IFERROR(X882/Y882,"")</f>
        <v>14.1771739130435</v>
      </c>
      <c r="AA882" s="4" t="n">
        <v>0</v>
      </c>
      <c r="AB882" s="6" t="n">
        <f aca="false">W882-0.02*P882</f>
        <v>-1723738.7</v>
      </c>
      <c r="AC882" s="9" t="n">
        <v>60</v>
      </c>
      <c r="AD882" s="7"/>
      <c r="AE882" s="7" t="n">
        <v>0.23</v>
      </c>
      <c r="AF882" s="7" t="n">
        <v>0.239</v>
      </c>
      <c r="AG882" s="5" t="n">
        <f aca="false">1-AF882</f>
        <v>0.761</v>
      </c>
      <c r="AH882" s="7" t="n">
        <v>0.974</v>
      </c>
      <c r="AI882" s="4" t="n">
        <v>38456</v>
      </c>
      <c r="AJ882" s="6" t="n">
        <f aca="false">IFERROR(AM882*U882*MIN(1/AE882,5),"")</f>
        <v>47325.5617850803</v>
      </c>
      <c r="AK882" s="10" t="n">
        <f aca="false">IFERROR(AJ882/AI882,"")</f>
        <v>1.230641818834</v>
      </c>
      <c r="AL882" s="8" t="n">
        <f aca="false">IFERROR(AI882/(AM882*U882/12),"")</f>
        <v>42.3956932431499</v>
      </c>
      <c r="AM882" s="4" t="n">
        <v>20000</v>
      </c>
      <c r="AN882" s="4" t="n">
        <v>1112762</v>
      </c>
      <c r="AO882" s="4" t="n">
        <v>1731080</v>
      </c>
      <c r="AP882" s="7" t="n">
        <v>0.159</v>
      </c>
      <c r="AQ882" s="9" t="n">
        <v>77</v>
      </c>
      <c r="AR882" s="9" t="n">
        <v>2</v>
      </c>
      <c r="AS882" s="7"/>
      <c r="AT882" s="3" t="s">
        <v>170</v>
      </c>
      <c r="AU882" s="6" t="n">
        <f aca="false">IFERROR(P882/AR882,"")</f>
        <v>358992.5</v>
      </c>
      <c r="AV882" s="4" t="n">
        <v>2100138</v>
      </c>
      <c r="AW882" s="4" t="n">
        <v>936968</v>
      </c>
      <c r="AX882" s="4" t="n">
        <v>579534</v>
      </c>
      <c r="AY882" s="9" t="n">
        <v>2491</v>
      </c>
      <c r="AZ882" s="7"/>
      <c r="BA882" s="7" t="n">
        <v>0.749</v>
      </c>
      <c r="BB882" s="3" t="s">
        <v>138</v>
      </c>
      <c r="BC882" s="3" t="s">
        <v>120</v>
      </c>
      <c r="BD882" s="3" t="s">
        <v>83</v>
      </c>
      <c r="BE882" s="4" t="n">
        <v>904678</v>
      </c>
      <c r="BF882" s="5" t="n">
        <f aca="false">IFERROR(P882/BE882-1,"")</f>
        <v>-0.20636403228552</v>
      </c>
      <c r="BG882" s="7" t="n">
        <v>0.245</v>
      </c>
      <c r="BH882" s="7" t="n">
        <v>0.366</v>
      </c>
      <c r="BI882" s="6" t="n">
        <f aca="false">P882</f>
        <v>717985</v>
      </c>
      <c r="BJ882" s="4" t="n">
        <v>-1671516</v>
      </c>
      <c r="BK882" s="3" t="s">
        <v>147</v>
      </c>
      <c r="BL882" s="3" t="s">
        <v>140</v>
      </c>
      <c r="BM882" s="6" t="n">
        <f aca="false">O882</f>
        <v>13198804</v>
      </c>
      <c r="BN882" s="3" t="s">
        <v>821</v>
      </c>
      <c r="BO882" s="5" t="n">
        <f aca="false">IFERROR(1-L882/M882,"")</f>
        <v>0.175698891144776</v>
      </c>
      <c r="BP882" s="3" t="s">
        <v>130</v>
      </c>
      <c r="BQ882" s="4" t="n">
        <v>2916057</v>
      </c>
      <c r="BR882" s="3" t="s">
        <v>88</v>
      </c>
      <c r="BS882" s="3" t="s">
        <v>89</v>
      </c>
      <c r="BT882" s="3" t="s">
        <v>90</v>
      </c>
    </row>
    <row r="883" customFormat="false" ht="15" hidden="false" customHeight="false" outlineLevel="0" collapsed="false">
      <c r="A883" s="11" t="s">
        <v>819</v>
      </c>
      <c r="B883" s="11" t="s">
        <v>91</v>
      </c>
      <c r="C883" s="11" t="s">
        <v>74</v>
      </c>
      <c r="D883" s="11" t="s">
        <v>132</v>
      </c>
      <c r="E883" s="11" t="s">
        <v>105</v>
      </c>
      <c r="F883" s="11" t="s">
        <v>820</v>
      </c>
      <c r="G883" s="11" t="s">
        <v>78</v>
      </c>
      <c r="H883" s="11" t="s">
        <v>644</v>
      </c>
      <c r="I883" s="11" t="s">
        <v>78</v>
      </c>
      <c r="J883" s="12" t="n">
        <v>3375000</v>
      </c>
      <c r="K883" s="13" t="n">
        <f aca="false">IFERROR(J883/M883,"")</f>
        <v>0.175698891144776</v>
      </c>
      <c r="L883" s="12" t="n">
        <v>15834000</v>
      </c>
      <c r="M883" s="14" t="n">
        <f aca="false">L883+J883</f>
        <v>19209000</v>
      </c>
      <c r="N883" s="12" t="n">
        <v>7124000</v>
      </c>
      <c r="O883" s="12" t="n">
        <v>13198804</v>
      </c>
      <c r="P883" s="12" t="n">
        <v>622146</v>
      </c>
      <c r="Q883" s="13" t="n">
        <f aca="false">IFERROR(P883/P882-1,"")</f>
        <v>-0.133483290040878</v>
      </c>
      <c r="R883" s="12" t="n">
        <v>741050</v>
      </c>
      <c r="S883" s="13" t="n">
        <f aca="false">IFERROR(R883/R882-1,"")</f>
        <v>-0.139559591057132</v>
      </c>
      <c r="T883" s="12" t="n">
        <v>332210</v>
      </c>
      <c r="U883" s="13" t="n">
        <f aca="false">IFERROR(T883/P883,"")</f>
        <v>0.533974340428131</v>
      </c>
      <c r="V883" s="14" t="n">
        <f aca="false">T883-AV883</f>
        <v>-1719085</v>
      </c>
      <c r="W883" s="14" t="n">
        <f aca="false">V883-AA883*0.1</f>
        <v>-1719085</v>
      </c>
      <c r="X883" s="12" t="n">
        <v>1714012</v>
      </c>
      <c r="Y883" s="12" t="n">
        <v>161920</v>
      </c>
      <c r="Z883" s="15" t="n">
        <f aca="false">IFERROR(X883/Y883,"")</f>
        <v>10.5855484189723</v>
      </c>
      <c r="AA883" s="12" t="n">
        <v>0</v>
      </c>
      <c r="AB883" s="14" t="n">
        <f aca="false">W883-0.02*P883</f>
        <v>-1731527.92</v>
      </c>
      <c r="AC883" s="16" t="n">
        <v>54</v>
      </c>
      <c r="AD883" s="13" t="n">
        <f aca="false">IFERROR(AC883/AC882-1,"")</f>
        <v>-0.1</v>
      </c>
      <c r="AE883" s="17" t="n">
        <v>0.273</v>
      </c>
      <c r="AF883" s="17" t="n">
        <v>0.225</v>
      </c>
      <c r="AG883" s="13" t="n">
        <f aca="false">1-AF883</f>
        <v>0.775</v>
      </c>
      <c r="AH883" s="17" t="n">
        <v>0.934</v>
      </c>
      <c r="AI883" s="12" t="n">
        <v>42504</v>
      </c>
      <c r="AJ883" s="14" t="n">
        <f aca="false">IFERROR(AM883*U883*MIN(1/AE883,5),"")</f>
        <v>39901.3792847395</v>
      </c>
      <c r="AK883" s="18" t="n">
        <f aca="false">IFERROR(AJ883/AI883,"")</f>
        <v>0.938767628570004</v>
      </c>
      <c r="AL883" s="15" t="n">
        <f aca="false">IFERROR(AI883/(AM883*U883/12),"")</f>
        <v>46.8231355857475</v>
      </c>
      <c r="AM883" s="12" t="n">
        <v>20400</v>
      </c>
      <c r="AN883" s="12" t="n">
        <v>718884</v>
      </c>
      <c r="AO883" s="12" t="n">
        <v>2445850</v>
      </c>
      <c r="AP883" s="17" t="n">
        <v>0.159</v>
      </c>
      <c r="AQ883" s="16" t="n">
        <v>77</v>
      </c>
      <c r="AR883" s="16" t="n">
        <v>2</v>
      </c>
      <c r="AS883" s="13" t="n">
        <f aca="false">IFERROR(AR883/AR882-1,"")</f>
        <v>0</v>
      </c>
      <c r="AT883" s="11" t="s">
        <v>170</v>
      </c>
      <c r="AU883" s="14" t="n">
        <f aca="false">IFERROR(P883/AR883,"")</f>
        <v>311073</v>
      </c>
      <c r="AV883" s="12" t="n">
        <v>2051295</v>
      </c>
      <c r="AW883" s="12" t="n">
        <v>717967</v>
      </c>
      <c r="AX883" s="12" t="n">
        <v>638040</v>
      </c>
      <c r="AY883" s="16" t="n">
        <v>2139</v>
      </c>
      <c r="AZ883" s="13" t="n">
        <f aca="false">IFERROR(AY883/AY882-1,"")</f>
        <v>-0.141308711360899</v>
      </c>
      <c r="BA883" s="17" t="n">
        <v>0.797</v>
      </c>
      <c r="BB883" s="11" t="s">
        <v>138</v>
      </c>
      <c r="BC883" s="11" t="s">
        <v>120</v>
      </c>
      <c r="BD883" s="11" t="s">
        <v>83</v>
      </c>
      <c r="BE883" s="12" t="n">
        <v>851074</v>
      </c>
      <c r="BF883" s="13" t="n">
        <f aca="false">IFERROR(P883/BE883-1,"")</f>
        <v>-0.268987185603132</v>
      </c>
      <c r="BG883" s="17" t="n">
        <v>0.14</v>
      </c>
      <c r="BH883" s="17" t="n">
        <v>0.168</v>
      </c>
      <c r="BI883" s="14" t="n">
        <f aca="false">P883*(1+IFERROR(Q883,0))^4</f>
        <v>350751.939854009</v>
      </c>
      <c r="BJ883" s="12" t="n">
        <v>-1058934</v>
      </c>
      <c r="BK883" s="11" t="s">
        <v>147</v>
      </c>
      <c r="BL883" s="11" t="s">
        <v>140</v>
      </c>
      <c r="BM883" s="14" t="n">
        <f aca="false">O883</f>
        <v>13198804</v>
      </c>
      <c r="BN883" s="11" t="s">
        <v>821</v>
      </c>
      <c r="BO883" s="13" t="n">
        <f aca="false">IFERROR(1-L883/M883,"")</f>
        <v>0.175698891144776</v>
      </c>
      <c r="BP883" s="11" t="s">
        <v>130</v>
      </c>
      <c r="BQ883" s="12" t="n">
        <v>2032940</v>
      </c>
      <c r="BR883" s="11" t="s">
        <v>88</v>
      </c>
      <c r="BS883" s="11" t="s">
        <v>89</v>
      </c>
      <c r="BT883" s="19" t="str">
        <f aca="false">IF(OR(Z883&lt;6,AH883&lt;0.9,S883&lt;0.02,AK883&lt;1),"REVIEW",IF(AND(S883&gt;0.25,AH883&gt;1.2),"ACCELERATING","STABLE"))</f>
        <v>REVIEW</v>
      </c>
    </row>
    <row r="884" customFormat="false" ht="15" hidden="false" customHeight="false" outlineLevel="0" collapsed="false">
      <c r="A884" s="11" t="s">
        <v>819</v>
      </c>
      <c r="B884" s="11" t="s">
        <v>92</v>
      </c>
      <c r="C884" s="11" t="s">
        <v>74</v>
      </c>
      <c r="D884" s="11" t="s">
        <v>132</v>
      </c>
      <c r="E884" s="11" t="s">
        <v>105</v>
      </c>
      <c r="F884" s="11" t="s">
        <v>820</v>
      </c>
      <c r="G884" s="11" t="s">
        <v>78</v>
      </c>
      <c r="H884" s="11" t="s">
        <v>644</v>
      </c>
      <c r="I884" s="11" t="s">
        <v>78</v>
      </c>
      <c r="J884" s="12" t="n">
        <v>3375000</v>
      </c>
      <c r="K884" s="13" t="n">
        <f aca="false">IFERROR(J884/M884,"")</f>
        <v>0.175698891144776</v>
      </c>
      <c r="L884" s="12" t="n">
        <v>15834000</v>
      </c>
      <c r="M884" s="14" t="n">
        <f aca="false">L884+J884</f>
        <v>19209000</v>
      </c>
      <c r="N884" s="12" t="n">
        <v>7124000</v>
      </c>
      <c r="O884" s="12" t="n">
        <v>13198804</v>
      </c>
      <c r="P884" s="12" t="n">
        <v>534754</v>
      </c>
      <c r="Q884" s="13" t="n">
        <f aca="false">IFERROR(P884/P883-1,"")</f>
        <v>-0.140468635979336</v>
      </c>
      <c r="R884" s="12" t="n">
        <v>654230</v>
      </c>
      <c r="S884" s="13" t="n">
        <f aca="false">IFERROR(R884/R883-1,"")</f>
        <v>-0.117158086498887</v>
      </c>
      <c r="T884" s="12" t="n">
        <v>280054</v>
      </c>
      <c r="U884" s="13" t="n">
        <f aca="false">IFERROR(T884/P884,"")</f>
        <v>0.5237062275364</v>
      </c>
      <c r="V884" s="14" t="n">
        <f aca="false">T884-AV884</f>
        <v>-1662029</v>
      </c>
      <c r="W884" s="14" t="n">
        <f aca="false">V884-AA884*0.1</f>
        <v>-1662029</v>
      </c>
      <c r="X884" s="12" t="n">
        <v>1216108</v>
      </c>
      <c r="Y884" s="12" t="n">
        <v>172960</v>
      </c>
      <c r="Z884" s="15" t="n">
        <f aca="false">IFERROR(X884/Y884,"")</f>
        <v>7.03115171137835</v>
      </c>
      <c r="AA884" s="12" t="n">
        <v>0</v>
      </c>
      <c r="AB884" s="14" t="n">
        <f aca="false">W884-0.02*P884</f>
        <v>-1672724.08</v>
      </c>
      <c r="AC884" s="16" t="n">
        <v>48</v>
      </c>
      <c r="AD884" s="13" t="n">
        <f aca="false">IFERROR(AC884/AC883-1,"")</f>
        <v>-0.111111111111111</v>
      </c>
      <c r="AE884" s="17" t="n">
        <v>0.316</v>
      </c>
      <c r="AF884" s="17" t="n">
        <v>0.194</v>
      </c>
      <c r="AG884" s="13" t="n">
        <f aca="false">1-AF884</f>
        <v>0.806</v>
      </c>
      <c r="AH884" s="17" t="n">
        <v>0.894</v>
      </c>
      <c r="AI884" s="12" t="n">
        <v>46552</v>
      </c>
      <c r="AJ884" s="14" t="n">
        <f aca="false">IFERROR(AM884*U884*MIN(1/AE884,5),"")</f>
        <v>34471.8023188516</v>
      </c>
      <c r="AK884" s="18" t="n">
        <f aca="false">IFERROR(AJ884/AI884,"")</f>
        <v>0.740500994991658</v>
      </c>
      <c r="AL884" s="15" t="n">
        <f aca="false">IFERROR(AI884/(AM884*U884/12),"")</f>
        <v>51.2824206869994</v>
      </c>
      <c r="AM884" s="12" t="n">
        <v>20800</v>
      </c>
      <c r="AN884" s="12" t="n">
        <v>599832</v>
      </c>
      <c r="AO884" s="12" t="n">
        <v>1484227</v>
      </c>
      <c r="AP884" s="17" t="n">
        <v>0.159</v>
      </c>
      <c r="AQ884" s="16" t="n">
        <v>77</v>
      </c>
      <c r="AR884" s="16" t="n">
        <v>2</v>
      </c>
      <c r="AS884" s="13" t="n">
        <f aca="false">IFERROR(AR884/AR883-1,"")</f>
        <v>0</v>
      </c>
      <c r="AT884" s="11" t="s">
        <v>170</v>
      </c>
      <c r="AU884" s="14" t="n">
        <f aca="false">IFERROR(P884/AR884,"")</f>
        <v>267377</v>
      </c>
      <c r="AV884" s="12" t="n">
        <v>1942083</v>
      </c>
      <c r="AW884" s="12" t="n">
        <v>805459</v>
      </c>
      <c r="AX884" s="12" t="n">
        <v>620738</v>
      </c>
      <c r="AY884" s="16" t="n">
        <v>1905</v>
      </c>
      <c r="AZ884" s="13" t="n">
        <f aca="false">IFERROR(AY884/AY883-1,"")</f>
        <v>-0.109396914446003</v>
      </c>
      <c r="BA884" s="17" t="n">
        <v>0.728</v>
      </c>
      <c r="BB884" s="11" t="s">
        <v>138</v>
      </c>
      <c r="BC884" s="11" t="s">
        <v>120</v>
      </c>
      <c r="BD884" s="11" t="s">
        <v>83</v>
      </c>
      <c r="BE884" s="12" t="n">
        <v>895507</v>
      </c>
      <c r="BF884" s="13" t="n">
        <f aca="false">IFERROR(P884/BE884-1,"")</f>
        <v>-0.402847772267553</v>
      </c>
      <c r="BG884" s="17" t="n">
        <v>0.219</v>
      </c>
      <c r="BH884" s="17" t="n">
        <v>0.226</v>
      </c>
      <c r="BI884" s="14" t="n">
        <f aca="false">P884*(1+IFERROR(Q884,0))^4</f>
        <v>291877.727401003</v>
      </c>
      <c r="BJ884" s="12" t="n">
        <v>-1126897</v>
      </c>
      <c r="BK884" s="11" t="s">
        <v>147</v>
      </c>
      <c r="BL884" s="11" t="s">
        <v>140</v>
      </c>
      <c r="BM884" s="14" t="n">
        <f aca="false">O884</f>
        <v>13198804</v>
      </c>
      <c r="BN884" s="11" t="s">
        <v>821</v>
      </c>
      <c r="BO884" s="13" t="n">
        <f aca="false">IFERROR(1-L884/M884,"")</f>
        <v>0.175698891144776</v>
      </c>
      <c r="BP884" s="11" t="s">
        <v>130</v>
      </c>
      <c r="BQ884" s="12" t="n">
        <v>2661698</v>
      </c>
      <c r="BR884" s="11" t="s">
        <v>88</v>
      </c>
      <c r="BS884" s="11" t="s">
        <v>89</v>
      </c>
      <c r="BT884" s="19" t="str">
        <f aca="false">IF(OR(Z884&lt;6,AH884&lt;0.9,S884&lt;0.02,AK884&lt;1),"REVIEW",IF(AND(S884&gt;0.25,AH884&gt;1.2),"ACCELERATING","STABLE"))</f>
        <v>REVIEW</v>
      </c>
    </row>
    <row r="885" customFormat="false" ht="15" hidden="false" customHeight="false" outlineLevel="0" collapsed="false">
      <c r="A885" s="11" t="s">
        <v>819</v>
      </c>
      <c r="B885" s="11" t="s">
        <v>93</v>
      </c>
      <c r="C885" s="11" t="s">
        <v>74</v>
      </c>
      <c r="D885" s="11" t="s">
        <v>132</v>
      </c>
      <c r="E885" s="11" t="s">
        <v>105</v>
      </c>
      <c r="F885" s="11" t="s">
        <v>820</v>
      </c>
      <c r="G885" s="11" t="s">
        <v>78</v>
      </c>
      <c r="H885" s="11" t="s">
        <v>644</v>
      </c>
      <c r="I885" s="11" t="s">
        <v>78</v>
      </c>
      <c r="J885" s="12" t="n">
        <v>3375000</v>
      </c>
      <c r="K885" s="13" t="n">
        <f aca="false">IFERROR(J885/M885,"")</f>
        <v>0.175698891144776</v>
      </c>
      <c r="L885" s="12" t="n">
        <v>15834000</v>
      </c>
      <c r="M885" s="14" t="n">
        <f aca="false">L885+J885</f>
        <v>19209000</v>
      </c>
      <c r="N885" s="12" t="n">
        <v>7124000</v>
      </c>
      <c r="O885" s="12" t="n">
        <v>13198804</v>
      </c>
      <c r="P885" s="12" t="n">
        <v>468425</v>
      </c>
      <c r="Q885" s="13" t="n">
        <f aca="false">IFERROR(P885/P884-1,"")</f>
        <v>-0.124036472845458</v>
      </c>
      <c r="R885" s="12" t="n">
        <v>557939</v>
      </c>
      <c r="S885" s="13" t="n">
        <f aca="false">IFERROR(R885/R884-1,"")</f>
        <v>-0.147182183635724</v>
      </c>
      <c r="T885" s="12" t="n">
        <v>240507</v>
      </c>
      <c r="U885" s="13" t="n">
        <f aca="false">IFERROR(T885/P885,"")</f>
        <v>0.513437583391151</v>
      </c>
      <c r="V885" s="14" t="n">
        <f aca="false">T885-AV885</f>
        <v>-2129167</v>
      </c>
      <c r="W885" s="14" t="n">
        <f aca="false">V885-AA885*0.1</f>
        <v>-2129167</v>
      </c>
      <c r="X885" s="12" t="n">
        <v>645340</v>
      </c>
      <c r="Y885" s="12" t="n">
        <v>184000</v>
      </c>
      <c r="Z885" s="15" t="n">
        <f aca="false">IFERROR(X885/Y885,"")</f>
        <v>3.50728260869565</v>
      </c>
      <c r="AA885" s="12" t="n">
        <v>0</v>
      </c>
      <c r="AB885" s="14" t="n">
        <f aca="false">W885-0.02*P885</f>
        <v>-2138535.5</v>
      </c>
      <c r="AC885" s="16" t="n">
        <v>43</v>
      </c>
      <c r="AD885" s="13" t="n">
        <f aca="false">IFERROR(AC885/AC884-1,"")</f>
        <v>-0.104166666666667</v>
      </c>
      <c r="AE885" s="17" t="n">
        <v>0.359</v>
      </c>
      <c r="AF885" s="17" t="n">
        <v>0.381</v>
      </c>
      <c r="AG885" s="13" t="n">
        <f aca="false">1-AF885</f>
        <v>0.619</v>
      </c>
      <c r="AH885" s="17" t="n">
        <v>0.854</v>
      </c>
      <c r="AI885" s="12" t="n">
        <v>50600</v>
      </c>
      <c r="AJ885" s="14" t="n">
        <f aca="false">IFERROR(AM885*U885*MIN(1/AE885,5),"")</f>
        <v>30319.9909969148</v>
      </c>
      <c r="AK885" s="18" t="n">
        <f aca="false">IFERROR(AJ885/AI885,"")</f>
        <v>0.599209308239423</v>
      </c>
      <c r="AL885" s="15" t="n">
        <f aca="false">IFERROR(AI885/(AM885*U885/12),"")</f>
        <v>55.7838194173299</v>
      </c>
      <c r="AM885" s="12" t="n">
        <v>21200</v>
      </c>
      <c r="AN885" s="12" t="n">
        <v>639998</v>
      </c>
      <c r="AO885" s="12" t="n">
        <v>1107973</v>
      </c>
      <c r="AP885" s="17" t="n">
        <v>0.159</v>
      </c>
      <c r="AQ885" s="16" t="n">
        <v>77</v>
      </c>
      <c r="AR885" s="16" t="n">
        <v>2</v>
      </c>
      <c r="AS885" s="13" t="n">
        <f aca="false">IFERROR(AR885/AR884-1,"")</f>
        <v>0</v>
      </c>
      <c r="AT885" s="11" t="s">
        <v>170</v>
      </c>
      <c r="AU885" s="14" t="n">
        <f aca="false">IFERROR(P885/AR885,"")</f>
        <v>234212.5</v>
      </c>
      <c r="AV885" s="12" t="n">
        <v>2369674</v>
      </c>
      <c r="AW885" s="12" t="n">
        <v>1079658</v>
      </c>
      <c r="AX885" s="12" t="n">
        <v>717623</v>
      </c>
      <c r="AY885" s="16" t="n">
        <v>1651</v>
      </c>
      <c r="AZ885" s="13" t="n">
        <f aca="false">IFERROR(AY885/AY884-1,"")</f>
        <v>-0.133333333333333</v>
      </c>
      <c r="BA885" s="17" t="n">
        <v>0.738</v>
      </c>
      <c r="BB885" s="11" t="s">
        <v>138</v>
      </c>
      <c r="BC885" s="11" t="s">
        <v>120</v>
      </c>
      <c r="BD885" s="11" t="s">
        <v>83</v>
      </c>
      <c r="BE885" s="12" t="n">
        <v>723433</v>
      </c>
      <c r="BF885" s="13" t="n">
        <f aca="false">IFERROR(P885/BE885-1,"")</f>
        <v>-0.352497052249483</v>
      </c>
      <c r="BG885" s="17" t="n">
        <v>0.195</v>
      </c>
      <c r="BH885" s="17" t="n">
        <v>0.188</v>
      </c>
      <c r="BI885" s="14" t="n">
        <f aca="false">P885*(1+IFERROR(Q885,0))^4</f>
        <v>275793.584911976</v>
      </c>
      <c r="BJ885" s="12" t="n">
        <v>-1758088</v>
      </c>
      <c r="BK885" s="11" t="s">
        <v>147</v>
      </c>
      <c r="BL885" s="11" t="s">
        <v>140</v>
      </c>
      <c r="BM885" s="14" t="n">
        <f aca="false">O885</f>
        <v>13198804</v>
      </c>
      <c r="BN885" s="11" t="s">
        <v>821</v>
      </c>
      <c r="BO885" s="13" t="n">
        <f aca="false">IFERROR(1-L885/M885,"")</f>
        <v>0.175698891144776</v>
      </c>
      <c r="BP885" s="11" t="s">
        <v>130</v>
      </c>
      <c r="BQ885" s="12" t="n">
        <v>3492485</v>
      </c>
      <c r="BR885" s="11" t="s">
        <v>88</v>
      </c>
      <c r="BS885" s="11" t="s">
        <v>89</v>
      </c>
      <c r="BT885" s="19" t="str">
        <f aca="false">IF(OR(Z885&lt;6,AH885&lt;0.9,S885&lt;0.02,AK885&lt;1),"REVIEW",IF(AND(S885&gt;0.25,AH885&gt;1.2),"ACCELERATING","STABLE"))</f>
        <v>REVIEW</v>
      </c>
    </row>
    <row r="886" customFormat="false" ht="15" hidden="false" customHeight="false" outlineLevel="0" collapsed="false">
      <c r="A886" s="3" t="s">
        <v>822</v>
      </c>
      <c r="B886" s="3" t="s">
        <v>73</v>
      </c>
      <c r="C886" s="3" t="s">
        <v>74</v>
      </c>
      <c r="D886" s="3" t="s">
        <v>115</v>
      </c>
      <c r="E886" s="3" t="s">
        <v>289</v>
      </c>
      <c r="F886" s="3" t="s">
        <v>823</v>
      </c>
      <c r="G886" s="3" t="s">
        <v>78</v>
      </c>
      <c r="H886" s="3" t="s">
        <v>644</v>
      </c>
      <c r="I886" s="3" t="s">
        <v>78</v>
      </c>
      <c r="J886" s="4" t="n">
        <v>3520000</v>
      </c>
      <c r="K886" s="5" t="n">
        <f aca="false">IFERROR(J886/M886,"")</f>
        <v>0.150891632373114</v>
      </c>
      <c r="L886" s="4" t="n">
        <v>19808000</v>
      </c>
      <c r="M886" s="6" t="n">
        <f aca="false">L886+J886</f>
        <v>23328000</v>
      </c>
      <c r="N886" s="4" t="n">
        <v>5843000</v>
      </c>
      <c r="O886" s="4" t="n">
        <v>15207645</v>
      </c>
      <c r="P886" s="4" t="n">
        <v>104985</v>
      </c>
      <c r="Q886" s="7"/>
      <c r="R886" s="4" t="n">
        <v>109732</v>
      </c>
      <c r="S886" s="7"/>
      <c r="T886" s="4" t="n">
        <v>73565</v>
      </c>
      <c r="U886" s="5" t="n">
        <f aca="false">IFERROR(T886/P886,"")</f>
        <v>0.700719150354813</v>
      </c>
      <c r="V886" s="6" t="n">
        <f aca="false">T886-AV886</f>
        <v>-1559377</v>
      </c>
      <c r="W886" s="6" t="n">
        <f aca="false">V886-AA886*0.1</f>
        <v>-1685177</v>
      </c>
      <c r="X886" s="4" t="n">
        <v>2511681</v>
      </c>
      <c r="Y886" s="4" t="n">
        <v>167280</v>
      </c>
      <c r="Z886" s="8" t="n">
        <f aca="false">IFERROR(X886/Y886,"")</f>
        <v>15.014831420373</v>
      </c>
      <c r="AA886" s="4" t="n">
        <v>1258000</v>
      </c>
      <c r="AB886" s="6" t="n">
        <f aca="false">W886-0.02*P886</f>
        <v>-1687276.7</v>
      </c>
      <c r="AC886" s="9" t="n">
        <v>78</v>
      </c>
      <c r="AD886" s="7"/>
      <c r="AE886" s="7" t="n">
        <v>0.233</v>
      </c>
      <c r="AF886" s="7" t="n">
        <v>0.175</v>
      </c>
      <c r="AG886" s="5" t="n">
        <f aca="false">1-AF886</f>
        <v>0.825</v>
      </c>
      <c r="AH886" s="7" t="n">
        <v>0.898</v>
      </c>
      <c r="AI886" s="4" t="n">
        <v>93404</v>
      </c>
      <c r="AJ886" s="6" t="n">
        <f aca="false">IFERROR(AM886*U886*MIN(1/AE886,5),"")</f>
        <v>135332.024746638</v>
      </c>
      <c r="AK886" s="10" t="n">
        <f aca="false">IFERROR(AJ886/AI886,"")</f>
        <v>1.44888896349875</v>
      </c>
      <c r="AL886" s="8" t="n">
        <f aca="false">IFERROR(AI886/(AM886*U886/12),"")</f>
        <v>35.545957778835</v>
      </c>
      <c r="AM886" s="4" t="n">
        <v>45000</v>
      </c>
      <c r="AN886" s="4" t="n">
        <v>123907</v>
      </c>
      <c r="AO886" s="4" t="n">
        <v>386230</v>
      </c>
      <c r="AP886" s="7" t="n">
        <v>0.185</v>
      </c>
      <c r="AQ886" s="9" t="n">
        <v>69</v>
      </c>
      <c r="AR886" s="9" t="n">
        <v>4</v>
      </c>
      <c r="AS886" s="7"/>
      <c r="AT886" s="3" t="s">
        <v>145</v>
      </c>
      <c r="AU886" s="6" t="n">
        <f aca="false">IFERROR(P886/AR886,"")</f>
        <v>26246.25</v>
      </c>
      <c r="AV886" s="4" t="n">
        <v>1632942</v>
      </c>
      <c r="AW886" s="4" t="n">
        <v>723045</v>
      </c>
      <c r="AX886" s="4" t="n">
        <v>438176</v>
      </c>
      <c r="AY886" s="9" t="n">
        <v>13157</v>
      </c>
      <c r="AZ886" s="7"/>
      <c r="BA886" s="7" t="n">
        <v>0.797</v>
      </c>
      <c r="BB886" s="3" t="s">
        <v>171</v>
      </c>
      <c r="BC886" s="3" t="s">
        <v>120</v>
      </c>
      <c r="BD886" s="3" t="s">
        <v>175</v>
      </c>
      <c r="BE886" s="4" t="n">
        <v>168537</v>
      </c>
      <c r="BF886" s="5" t="n">
        <f aca="false">IFERROR(P886/BE886-1,"")</f>
        <v>-0.377080403709571</v>
      </c>
      <c r="BG886" s="7" t="n">
        <v>0.23</v>
      </c>
      <c r="BH886" s="7" t="n">
        <v>0.318</v>
      </c>
      <c r="BI886" s="6" t="n">
        <f aca="false">P886</f>
        <v>104985</v>
      </c>
      <c r="BJ886" s="4" t="n">
        <v>-1676940</v>
      </c>
      <c r="BK886" s="3" t="s">
        <v>121</v>
      </c>
      <c r="BL886" s="3" t="s">
        <v>122</v>
      </c>
      <c r="BM886" s="6" t="n">
        <f aca="false">O886</f>
        <v>15207645</v>
      </c>
      <c r="BN886" s="3" t="s">
        <v>824</v>
      </c>
      <c r="BO886" s="5" t="n">
        <f aca="false">IFERROR(1-L886/M886,"")</f>
        <v>0.150891632373114</v>
      </c>
      <c r="BP886" s="3" t="s">
        <v>130</v>
      </c>
      <c r="BQ886" s="4" t="n">
        <v>2916709</v>
      </c>
      <c r="BR886" s="3" t="s">
        <v>88</v>
      </c>
      <c r="BS886" s="3" t="s">
        <v>89</v>
      </c>
      <c r="BT886" s="3" t="s">
        <v>90</v>
      </c>
    </row>
    <row r="887" customFormat="false" ht="15" hidden="false" customHeight="false" outlineLevel="0" collapsed="false">
      <c r="A887" s="11" t="s">
        <v>822</v>
      </c>
      <c r="B887" s="11" t="s">
        <v>91</v>
      </c>
      <c r="C887" s="11" t="s">
        <v>74</v>
      </c>
      <c r="D887" s="11" t="s">
        <v>115</v>
      </c>
      <c r="E887" s="11" t="s">
        <v>289</v>
      </c>
      <c r="F887" s="11" t="s">
        <v>823</v>
      </c>
      <c r="G887" s="11" t="s">
        <v>78</v>
      </c>
      <c r="H887" s="11" t="s">
        <v>644</v>
      </c>
      <c r="I887" s="11" t="s">
        <v>78</v>
      </c>
      <c r="J887" s="12" t="n">
        <v>3520000</v>
      </c>
      <c r="K887" s="13" t="n">
        <f aca="false">IFERROR(J887/M887,"")</f>
        <v>0.150891632373114</v>
      </c>
      <c r="L887" s="12" t="n">
        <v>19808000</v>
      </c>
      <c r="M887" s="14" t="n">
        <f aca="false">L887+J887</f>
        <v>23328000</v>
      </c>
      <c r="N887" s="12" t="n">
        <v>5843000</v>
      </c>
      <c r="O887" s="12" t="n">
        <v>15207645</v>
      </c>
      <c r="P887" s="12" t="n">
        <v>98534</v>
      </c>
      <c r="Q887" s="13" t="n">
        <f aca="false">IFERROR(P887/P886-1,"")</f>
        <v>-0.0614468733628614</v>
      </c>
      <c r="R887" s="12" t="n">
        <v>105763</v>
      </c>
      <c r="S887" s="13" t="n">
        <f aca="false">IFERROR(R887/R886-1,"")</f>
        <v>-0.036169941311559</v>
      </c>
      <c r="T887" s="12" t="n">
        <v>67742</v>
      </c>
      <c r="U887" s="13" t="n">
        <f aca="false">IFERROR(T887/P887,"")</f>
        <v>0.687498731402359</v>
      </c>
      <c r="V887" s="14" t="n">
        <f aca="false">T887-AV887</f>
        <v>-1820624</v>
      </c>
      <c r="W887" s="14" t="n">
        <f aca="false">V887-AA887*0.1</f>
        <v>-1946424</v>
      </c>
      <c r="X887" s="12" t="n">
        <v>2040441</v>
      </c>
      <c r="Y887" s="12" t="n">
        <v>179520</v>
      </c>
      <c r="Z887" s="15" t="n">
        <f aca="false">IFERROR(X887/Y887,"")</f>
        <v>11.3660929144385</v>
      </c>
      <c r="AA887" s="12" t="n">
        <v>1258000</v>
      </c>
      <c r="AB887" s="14" t="n">
        <f aca="false">W887-0.02*P887</f>
        <v>-1948394.68</v>
      </c>
      <c r="AC887" s="16" t="n">
        <v>77</v>
      </c>
      <c r="AD887" s="13" t="n">
        <f aca="false">IFERROR(AC887/AC886-1,"")</f>
        <v>-0.0128205128205128</v>
      </c>
      <c r="AE887" s="17" t="n">
        <v>0.277</v>
      </c>
      <c r="AF887" s="17" t="n">
        <v>0.215</v>
      </c>
      <c r="AG887" s="13" t="n">
        <f aca="false">1-AF887</f>
        <v>0.785</v>
      </c>
      <c r="AH887" s="17" t="n">
        <v>0.858</v>
      </c>
      <c r="AI887" s="12" t="n">
        <v>103236</v>
      </c>
      <c r="AJ887" s="14" t="n">
        <f aca="false">IFERROR(AM887*U887*MIN(1/AE887,5),"")</f>
        <v>113921.269932737</v>
      </c>
      <c r="AK887" s="18" t="n">
        <f aca="false">IFERROR(AJ887/AI887,"")</f>
        <v>1.10350333151941</v>
      </c>
      <c r="AL887" s="15" t="n">
        <f aca="false">IFERROR(AI887/(AM887*U887/12),"")</f>
        <v>39.2579690532881</v>
      </c>
      <c r="AM887" s="12" t="n">
        <v>45900</v>
      </c>
      <c r="AN887" s="12" t="n">
        <v>137373</v>
      </c>
      <c r="AO887" s="12" t="n">
        <v>215215</v>
      </c>
      <c r="AP887" s="17" t="n">
        <v>0.185</v>
      </c>
      <c r="AQ887" s="16" t="n">
        <v>69</v>
      </c>
      <c r="AR887" s="16" t="n">
        <v>3</v>
      </c>
      <c r="AS887" s="13" t="n">
        <f aca="false">IFERROR(AR887/AR886-1,"")</f>
        <v>-0.25</v>
      </c>
      <c r="AT887" s="11" t="s">
        <v>145</v>
      </c>
      <c r="AU887" s="14" t="n">
        <f aca="false">IFERROR(P887/AR887,"")</f>
        <v>32844.6666666667</v>
      </c>
      <c r="AV887" s="12" t="n">
        <v>1888366</v>
      </c>
      <c r="AW887" s="12" t="n">
        <v>935741</v>
      </c>
      <c r="AX887" s="12" t="n">
        <v>606923</v>
      </c>
      <c r="AY887" s="16" t="n">
        <v>12600</v>
      </c>
      <c r="AZ887" s="13" t="n">
        <f aca="false">IFERROR(AY887/AY886-1,"")</f>
        <v>-0.0423348787717565</v>
      </c>
      <c r="BA887" s="17" t="n">
        <v>0.787</v>
      </c>
      <c r="BB887" s="11" t="s">
        <v>171</v>
      </c>
      <c r="BC887" s="11" t="s">
        <v>120</v>
      </c>
      <c r="BD887" s="11" t="s">
        <v>175</v>
      </c>
      <c r="BE887" s="12" t="n">
        <v>135961</v>
      </c>
      <c r="BF887" s="13" t="n">
        <f aca="false">IFERROR(P887/BE887-1,"")</f>
        <v>-0.275277469274277</v>
      </c>
      <c r="BG887" s="17" t="n">
        <v>0.186</v>
      </c>
      <c r="BH887" s="17" t="n">
        <v>0.353</v>
      </c>
      <c r="BI887" s="14" t="n">
        <f aca="false">P887*(1+IFERROR(Q887,0))^4</f>
        <v>76457.7576069568</v>
      </c>
      <c r="BJ887" s="12" t="n">
        <v>-1116060</v>
      </c>
      <c r="BK887" s="11" t="s">
        <v>121</v>
      </c>
      <c r="BL887" s="11" t="s">
        <v>122</v>
      </c>
      <c r="BM887" s="14" t="n">
        <f aca="false">O887</f>
        <v>15207645</v>
      </c>
      <c r="BN887" s="11" t="s">
        <v>824</v>
      </c>
      <c r="BO887" s="13" t="n">
        <f aca="false">IFERROR(1-L887/M887,"")</f>
        <v>0.150891632373114</v>
      </c>
      <c r="BP887" s="11" t="s">
        <v>130</v>
      </c>
      <c r="BQ887" s="12" t="n">
        <v>3367348</v>
      </c>
      <c r="BR887" s="11" t="s">
        <v>88</v>
      </c>
      <c r="BS887" s="11" t="s">
        <v>89</v>
      </c>
      <c r="BT887" s="19" t="str">
        <f aca="false">IF(OR(Z887&lt;6,AH887&lt;0.9,S887&lt;0.02,AK887&lt;1),"REVIEW",IF(AND(S887&gt;0.25,AH887&gt;1.2),"ACCELERATING","STABLE"))</f>
        <v>REVIEW</v>
      </c>
    </row>
    <row r="888" customFormat="false" ht="15" hidden="false" customHeight="false" outlineLevel="0" collapsed="false">
      <c r="A888" s="11" t="s">
        <v>822</v>
      </c>
      <c r="B888" s="11" t="s">
        <v>92</v>
      </c>
      <c r="C888" s="11" t="s">
        <v>74</v>
      </c>
      <c r="D888" s="11" t="s">
        <v>115</v>
      </c>
      <c r="E888" s="11" t="s">
        <v>289</v>
      </c>
      <c r="F888" s="11" t="s">
        <v>823</v>
      </c>
      <c r="G888" s="11" t="s">
        <v>78</v>
      </c>
      <c r="H888" s="11" t="s">
        <v>644</v>
      </c>
      <c r="I888" s="11" t="s">
        <v>78</v>
      </c>
      <c r="J888" s="12" t="n">
        <v>3520000</v>
      </c>
      <c r="K888" s="13" t="n">
        <f aca="false">IFERROR(J888/M888,"")</f>
        <v>0.150891632373114</v>
      </c>
      <c r="L888" s="12" t="n">
        <v>19808000</v>
      </c>
      <c r="M888" s="14" t="n">
        <f aca="false">L888+J888</f>
        <v>23328000</v>
      </c>
      <c r="N888" s="12" t="n">
        <v>5843000</v>
      </c>
      <c r="O888" s="12" t="n">
        <v>15207645</v>
      </c>
      <c r="P888" s="12" t="n">
        <v>93091</v>
      </c>
      <c r="Q888" s="13" t="n">
        <f aca="false">IFERROR(P888/P887-1,"")</f>
        <v>-0.0552398156981346</v>
      </c>
      <c r="R888" s="12" t="n">
        <v>99907</v>
      </c>
      <c r="S888" s="13" t="n">
        <f aca="false">IFERROR(R888/R887-1,"")</f>
        <v>-0.055369079923981</v>
      </c>
      <c r="T888" s="12" t="n">
        <v>62769</v>
      </c>
      <c r="U888" s="13" t="n">
        <f aca="false">IFERROR(T888/P888,"")</f>
        <v>0.674275708715128</v>
      </c>
      <c r="V888" s="14" t="n">
        <f aca="false">T888-AV888</f>
        <v>-2053980</v>
      </c>
      <c r="W888" s="14" t="n">
        <f aca="false">V888-AA888*0.1</f>
        <v>-2179780</v>
      </c>
      <c r="X888" s="12" t="n">
        <v>1488417</v>
      </c>
      <c r="Y888" s="12" t="n">
        <v>191760</v>
      </c>
      <c r="Z888" s="15" t="n">
        <f aca="false">IFERROR(X888/Y888,"")</f>
        <v>7.76187421777222</v>
      </c>
      <c r="AA888" s="12" t="n">
        <v>1258000</v>
      </c>
      <c r="AB888" s="14" t="n">
        <f aca="false">W888-0.02*P888</f>
        <v>-2181641.82</v>
      </c>
      <c r="AC888" s="16" t="n">
        <v>73</v>
      </c>
      <c r="AD888" s="13" t="n">
        <f aca="false">IFERROR(AC888/AC887-1,"")</f>
        <v>-0.051948051948052</v>
      </c>
      <c r="AE888" s="17" t="n">
        <v>0.32</v>
      </c>
      <c r="AF888" s="17" t="n">
        <v>0.247</v>
      </c>
      <c r="AG888" s="13" t="n">
        <f aca="false">1-AF888</f>
        <v>0.753</v>
      </c>
      <c r="AH888" s="17" t="n">
        <v>0.818</v>
      </c>
      <c r="AI888" s="12" t="n">
        <v>113068</v>
      </c>
      <c r="AJ888" s="14" t="n">
        <f aca="false">IFERROR(AM888*U888*MIN(1/AE888,5),"")</f>
        <v>98612.8223995875</v>
      </c>
      <c r="AK888" s="18" t="n">
        <f aca="false">IFERROR(AJ888/AI888,"")</f>
        <v>0.872155007602394</v>
      </c>
      <c r="AL888" s="15" t="n">
        <f aca="false">IFERROR(AI888/(AM888*U888/12),"")</f>
        <v>42.9969439756927</v>
      </c>
      <c r="AM888" s="12" t="n">
        <v>46800</v>
      </c>
      <c r="AN888" s="12" t="n">
        <v>98839</v>
      </c>
      <c r="AO888" s="12" t="n">
        <v>155640</v>
      </c>
      <c r="AP888" s="17" t="n">
        <v>0.185</v>
      </c>
      <c r="AQ888" s="16" t="n">
        <v>69</v>
      </c>
      <c r="AR888" s="16" t="n">
        <v>3</v>
      </c>
      <c r="AS888" s="13" t="n">
        <f aca="false">IFERROR(AR888/AR887-1,"")</f>
        <v>0</v>
      </c>
      <c r="AT888" s="11" t="s">
        <v>145</v>
      </c>
      <c r="AU888" s="14" t="n">
        <f aca="false">IFERROR(P888/AR888,"")</f>
        <v>31030.3333333333</v>
      </c>
      <c r="AV888" s="12" t="n">
        <v>2116749</v>
      </c>
      <c r="AW888" s="12" t="n">
        <v>924092</v>
      </c>
      <c r="AX888" s="12" t="n">
        <v>471414</v>
      </c>
      <c r="AY888" s="16" t="n">
        <v>12003</v>
      </c>
      <c r="AZ888" s="13" t="n">
        <f aca="false">IFERROR(AY888/AY887-1,"")</f>
        <v>-0.0473809523809524</v>
      </c>
      <c r="BA888" s="17" t="n">
        <v>0.658</v>
      </c>
      <c r="BB888" s="11" t="s">
        <v>171</v>
      </c>
      <c r="BC888" s="11" t="s">
        <v>120</v>
      </c>
      <c r="BD888" s="11" t="s">
        <v>175</v>
      </c>
      <c r="BE888" s="12" t="n">
        <v>118671</v>
      </c>
      <c r="BF888" s="13" t="n">
        <f aca="false">IFERROR(P888/BE888-1,"")</f>
        <v>-0.215553926401564</v>
      </c>
      <c r="BG888" s="17" t="n">
        <v>0.163</v>
      </c>
      <c r="BH888" s="17" t="n">
        <v>0.174</v>
      </c>
      <c r="BI888" s="14" t="n">
        <f aca="false">P888*(1+IFERROR(Q888,0))^4</f>
        <v>74164.1501413334</v>
      </c>
      <c r="BJ888" s="12" t="n">
        <v>-2260817</v>
      </c>
      <c r="BK888" s="11" t="s">
        <v>121</v>
      </c>
      <c r="BL888" s="11" t="s">
        <v>122</v>
      </c>
      <c r="BM888" s="14" t="n">
        <f aca="false">O888</f>
        <v>15207645</v>
      </c>
      <c r="BN888" s="11" t="s">
        <v>824</v>
      </c>
      <c r="BO888" s="13" t="n">
        <f aca="false">IFERROR(1-L888/M888,"")</f>
        <v>0.150891632373114</v>
      </c>
      <c r="BP888" s="11" t="s">
        <v>130</v>
      </c>
      <c r="BQ888" s="12" t="n">
        <v>3267605</v>
      </c>
      <c r="BR888" s="11" t="s">
        <v>88</v>
      </c>
      <c r="BS888" s="11" t="s">
        <v>89</v>
      </c>
      <c r="BT888" s="19" t="str">
        <f aca="false">IF(OR(Z888&lt;6,AH888&lt;0.9,S888&lt;0.02,AK888&lt;1),"REVIEW",IF(AND(S888&gt;0.25,AH888&gt;1.2),"ACCELERATING","STABLE"))</f>
        <v>REVIEW</v>
      </c>
    </row>
    <row r="889" customFormat="false" ht="15" hidden="false" customHeight="false" outlineLevel="0" collapsed="false">
      <c r="A889" s="11" t="s">
        <v>822</v>
      </c>
      <c r="B889" s="11" t="s">
        <v>93</v>
      </c>
      <c r="C889" s="11" t="s">
        <v>74</v>
      </c>
      <c r="D889" s="11" t="s">
        <v>115</v>
      </c>
      <c r="E889" s="11" t="s">
        <v>289</v>
      </c>
      <c r="F889" s="11" t="s">
        <v>823</v>
      </c>
      <c r="G889" s="11" t="s">
        <v>78</v>
      </c>
      <c r="H889" s="11" t="s">
        <v>644</v>
      </c>
      <c r="I889" s="11" t="s">
        <v>78</v>
      </c>
      <c r="J889" s="12" t="n">
        <v>3520000</v>
      </c>
      <c r="K889" s="13" t="n">
        <f aca="false">IFERROR(J889/M889,"")</f>
        <v>0.150891632373114</v>
      </c>
      <c r="L889" s="12" t="n">
        <v>19808000</v>
      </c>
      <c r="M889" s="14" t="n">
        <f aca="false">L889+J889</f>
        <v>23328000</v>
      </c>
      <c r="N889" s="12" t="n">
        <v>5843000</v>
      </c>
      <c r="O889" s="12" t="n">
        <v>15207645</v>
      </c>
      <c r="P889" s="12" t="n">
        <v>89086</v>
      </c>
      <c r="Q889" s="13" t="n">
        <f aca="false">IFERROR(P889/P888-1,"")</f>
        <v>-0.0430224189234191</v>
      </c>
      <c r="R889" s="12" t="n">
        <v>95228</v>
      </c>
      <c r="S889" s="13" t="n">
        <f aca="false">IFERROR(R889/R888-1,"")</f>
        <v>-0.0468335552063419</v>
      </c>
      <c r="T889" s="12" t="n">
        <v>58891</v>
      </c>
      <c r="U889" s="13" t="n">
        <f aca="false">IFERROR(T889/P889,"")</f>
        <v>0.661057854208293</v>
      </c>
      <c r="V889" s="14" t="n">
        <f aca="false">T889-AV889</f>
        <v>-1912605</v>
      </c>
      <c r="W889" s="14" t="n">
        <f aca="false">V889-AA889*0.1</f>
        <v>-2038405</v>
      </c>
      <c r="X889" s="12" t="n">
        <v>855609</v>
      </c>
      <c r="Y889" s="12" t="n">
        <v>204000</v>
      </c>
      <c r="Z889" s="15" t="n">
        <f aca="false">IFERROR(X889/Y889,"")</f>
        <v>4.19416176470588</v>
      </c>
      <c r="AA889" s="12" t="n">
        <v>1258000</v>
      </c>
      <c r="AB889" s="14" t="n">
        <f aca="false">W889-0.02*P889</f>
        <v>-2040186.72</v>
      </c>
      <c r="AC889" s="16" t="n">
        <v>71</v>
      </c>
      <c r="AD889" s="13" t="n">
        <f aca="false">IFERROR(AC889/AC888-1,"")</f>
        <v>-0.0273972602739726</v>
      </c>
      <c r="AE889" s="17" t="n">
        <v>0.364</v>
      </c>
      <c r="AF889" s="17" t="n">
        <v>0.317</v>
      </c>
      <c r="AG889" s="13" t="n">
        <f aca="false">1-AF889</f>
        <v>0.683</v>
      </c>
      <c r="AH889" s="17" t="n">
        <v>0.778</v>
      </c>
      <c r="AI889" s="12" t="n">
        <v>122900</v>
      </c>
      <c r="AJ889" s="14" t="n">
        <f aca="false">IFERROR(AM889*U889*MIN(1/AE889,5),"")</f>
        <v>86627.6363893835</v>
      </c>
      <c r="AK889" s="18" t="n">
        <f aca="false">IFERROR(AJ889/AI889,"")</f>
        <v>0.704862785918499</v>
      </c>
      <c r="AL889" s="15" t="n">
        <f aca="false">IFERROR(AI889/(AM889*U889/12),"")</f>
        <v>46.7708518957686</v>
      </c>
      <c r="AM889" s="12" t="n">
        <v>47700</v>
      </c>
      <c r="AN889" s="12" t="n">
        <v>110957</v>
      </c>
      <c r="AO889" s="12" t="n">
        <v>180128</v>
      </c>
      <c r="AP889" s="17" t="n">
        <v>0.185</v>
      </c>
      <c r="AQ889" s="16" t="n">
        <v>69</v>
      </c>
      <c r="AR889" s="16" t="n">
        <v>3</v>
      </c>
      <c r="AS889" s="13" t="n">
        <f aca="false">IFERROR(AR889/AR888-1,"")</f>
        <v>0</v>
      </c>
      <c r="AT889" s="11" t="s">
        <v>145</v>
      </c>
      <c r="AU889" s="14" t="n">
        <f aca="false">IFERROR(P889/AR889,"")</f>
        <v>29695.3333333333</v>
      </c>
      <c r="AV889" s="12" t="n">
        <v>1971496</v>
      </c>
      <c r="AW889" s="12" t="n">
        <v>618854</v>
      </c>
      <c r="AX889" s="12" t="n">
        <v>415075</v>
      </c>
      <c r="AY889" s="16" t="n">
        <v>11621</v>
      </c>
      <c r="AZ889" s="13" t="n">
        <f aca="false">IFERROR(AY889/AY888-1,"")</f>
        <v>-0.0318253769890861</v>
      </c>
      <c r="BA889" s="17" t="n">
        <v>0.728</v>
      </c>
      <c r="BB889" s="11" t="s">
        <v>171</v>
      </c>
      <c r="BC889" s="11" t="s">
        <v>120</v>
      </c>
      <c r="BD889" s="11" t="s">
        <v>175</v>
      </c>
      <c r="BE889" s="12" t="n">
        <v>134248</v>
      </c>
      <c r="BF889" s="13" t="n">
        <f aca="false">IFERROR(P889/BE889-1,"")</f>
        <v>-0.336407246290448</v>
      </c>
      <c r="BG889" s="17" t="n">
        <v>0.178</v>
      </c>
      <c r="BH889" s="17" t="n">
        <v>0.243</v>
      </c>
      <c r="BI889" s="14" t="n">
        <f aca="false">P889*(1+IFERROR(Q889,0))^4</f>
        <v>74716.499088618</v>
      </c>
      <c r="BJ889" s="12" t="n">
        <v>-2312376</v>
      </c>
      <c r="BK889" s="11" t="s">
        <v>121</v>
      </c>
      <c r="BL889" s="11" t="s">
        <v>122</v>
      </c>
      <c r="BM889" s="14" t="n">
        <f aca="false">O889</f>
        <v>15207645</v>
      </c>
      <c r="BN889" s="11" t="s">
        <v>824</v>
      </c>
      <c r="BO889" s="13" t="n">
        <f aca="false">IFERROR(1-L889/M889,"")</f>
        <v>0.150891632373114</v>
      </c>
      <c r="BP889" s="11" t="s">
        <v>130</v>
      </c>
      <c r="BQ889" s="12" t="n">
        <v>3405485</v>
      </c>
      <c r="BR889" s="11" t="s">
        <v>88</v>
      </c>
      <c r="BS889" s="11" t="s">
        <v>89</v>
      </c>
      <c r="BT889" s="19" t="str">
        <f aca="false">IF(OR(Z889&lt;6,AH889&lt;0.9,S889&lt;0.02,AK889&lt;1),"REVIEW",IF(AND(S889&gt;0.25,AH889&gt;1.2),"ACCELERATING","STABLE"))</f>
        <v>REVIEW</v>
      </c>
    </row>
    <row r="890" customFormat="false" ht="15" hidden="false" customHeight="false" outlineLevel="0" collapsed="false">
      <c r="A890" s="3" t="s">
        <v>825</v>
      </c>
      <c r="B890" s="3" t="s">
        <v>73</v>
      </c>
      <c r="C890" s="3" t="s">
        <v>74</v>
      </c>
      <c r="D890" s="3" t="s">
        <v>210</v>
      </c>
      <c r="E890" s="3" t="s">
        <v>777</v>
      </c>
      <c r="F890" s="3" t="s">
        <v>826</v>
      </c>
      <c r="G890" s="3" t="s">
        <v>78</v>
      </c>
      <c r="H890" s="3" t="s">
        <v>644</v>
      </c>
      <c r="I890" s="3" t="s">
        <v>78</v>
      </c>
      <c r="J890" s="4" t="n">
        <v>5096000</v>
      </c>
      <c r="K890" s="5" t="n">
        <f aca="false">IFERROR(J890/M890,"")</f>
        <v>0.178844669053134</v>
      </c>
      <c r="L890" s="4" t="n">
        <v>23398000</v>
      </c>
      <c r="M890" s="6" t="n">
        <f aca="false">L890+J890</f>
        <v>28494000</v>
      </c>
      <c r="N890" s="4" t="n">
        <v>6029000</v>
      </c>
      <c r="O890" s="4" t="n">
        <v>58397717</v>
      </c>
      <c r="P890" s="4" t="n">
        <v>580994</v>
      </c>
      <c r="Q890" s="7"/>
      <c r="R890" s="4" t="n">
        <v>658902</v>
      </c>
      <c r="S890" s="7"/>
      <c r="T890" s="4" t="n">
        <v>433624</v>
      </c>
      <c r="U890" s="5" t="n">
        <f aca="false">IFERROR(T890/P890,"")</f>
        <v>0.746348499296034</v>
      </c>
      <c r="V890" s="6" t="n">
        <f aca="false">T890-AV890</f>
        <v>-2462223</v>
      </c>
      <c r="W890" s="6" t="n">
        <f aca="false">V890-AA890*0.1</f>
        <v>-2581723</v>
      </c>
      <c r="X890" s="4" t="n">
        <v>1586900</v>
      </c>
      <c r="Y890" s="4" t="n">
        <v>214760</v>
      </c>
      <c r="Z890" s="8" t="n">
        <f aca="false">IFERROR(X890/Y890,"")</f>
        <v>7.38917861799218</v>
      </c>
      <c r="AA890" s="4" t="n">
        <v>1195000</v>
      </c>
      <c r="AB890" s="6" t="n">
        <f aca="false">W890-0.02*P890</f>
        <v>-2593342.88</v>
      </c>
      <c r="AC890" s="9" t="n">
        <v>21</v>
      </c>
      <c r="AD890" s="7"/>
      <c r="AE890" s="7" t="n">
        <v>0.073</v>
      </c>
      <c r="AF890" s="7" t="n">
        <v>0.047</v>
      </c>
      <c r="AG890" s="5" t="n">
        <f aca="false">1-AF890</f>
        <v>0.953</v>
      </c>
      <c r="AH890" s="7" t="n">
        <v>1.249</v>
      </c>
      <c r="AI890" s="4" t="n">
        <v>26712</v>
      </c>
      <c r="AJ890" s="6" t="n">
        <f aca="false">IFERROR(AM890*U890*MIN(1/AE890,5),"")</f>
        <v>126879.244880326</v>
      </c>
      <c r="AK890" s="10" t="n">
        <f aca="false">IFERROR(AJ890/AI890,"")</f>
        <v>4.74989685835302</v>
      </c>
      <c r="AL890" s="8" t="n">
        <f aca="false">IFERROR(AI890/(AM890*U890/12),"")</f>
        <v>12.6318532358205</v>
      </c>
      <c r="AM890" s="4" t="n">
        <v>34000</v>
      </c>
      <c r="AN890" s="4" t="n">
        <v>835802</v>
      </c>
      <c r="AO890" s="4" t="n">
        <v>2464878</v>
      </c>
      <c r="AP890" s="7" t="n">
        <v>0.415</v>
      </c>
      <c r="AQ890" s="9" t="n">
        <v>89</v>
      </c>
      <c r="AR890" s="9" t="n">
        <v>10</v>
      </c>
      <c r="AS890" s="7"/>
      <c r="AT890" s="3" t="s">
        <v>80</v>
      </c>
      <c r="AU890" s="6" t="n">
        <f aca="false">IFERROR(P890/AR890,"")</f>
        <v>58099.4</v>
      </c>
      <c r="AV890" s="4" t="n">
        <v>2895847</v>
      </c>
      <c r="AW890" s="4" t="n">
        <v>1074621</v>
      </c>
      <c r="AX890" s="4" t="n">
        <v>528353</v>
      </c>
      <c r="AY890" s="9" t="n">
        <v>10867</v>
      </c>
      <c r="AZ890" s="7"/>
      <c r="BA890" s="7" t="n">
        <v>0.942</v>
      </c>
      <c r="BB890" s="3" t="s">
        <v>107</v>
      </c>
      <c r="BC890" s="3" t="s">
        <v>126</v>
      </c>
      <c r="BD890" s="3" t="s">
        <v>175</v>
      </c>
      <c r="BE890" s="4" t="n">
        <v>568140</v>
      </c>
      <c r="BF890" s="5" t="n">
        <f aca="false">IFERROR(P890/BE890-1,"")</f>
        <v>0.0226247051783011</v>
      </c>
      <c r="BG890" s="7" t="n">
        <v>0.059</v>
      </c>
      <c r="BH890" s="7" t="n">
        <v>0.089</v>
      </c>
      <c r="BI890" s="6" t="n">
        <f aca="false">P890</f>
        <v>580994</v>
      </c>
      <c r="BJ890" s="4" t="n">
        <v>-1750216</v>
      </c>
      <c r="BK890" s="3" t="s">
        <v>110</v>
      </c>
      <c r="BL890" s="3" t="s">
        <v>162</v>
      </c>
      <c r="BM890" s="6" t="n">
        <f aca="false">O890</f>
        <v>58397717</v>
      </c>
      <c r="BN890" s="3" t="s">
        <v>827</v>
      </c>
      <c r="BO890" s="5" t="n">
        <f aca="false">IFERROR(1-L890/M890,"")</f>
        <v>0.178844669053134</v>
      </c>
      <c r="BP890" s="3" t="s">
        <v>142</v>
      </c>
      <c r="BQ890" s="4" t="n">
        <v>3250141</v>
      </c>
      <c r="BR890" s="3" t="s">
        <v>88</v>
      </c>
      <c r="BS890" s="3" t="s">
        <v>89</v>
      </c>
      <c r="BT890" s="3" t="s">
        <v>90</v>
      </c>
    </row>
    <row r="891" customFormat="false" ht="15" hidden="false" customHeight="false" outlineLevel="0" collapsed="false">
      <c r="A891" s="11" t="s">
        <v>825</v>
      </c>
      <c r="B891" s="11" t="s">
        <v>91</v>
      </c>
      <c r="C891" s="11" t="s">
        <v>74</v>
      </c>
      <c r="D891" s="11" t="s">
        <v>210</v>
      </c>
      <c r="E891" s="11" t="s">
        <v>777</v>
      </c>
      <c r="F891" s="11" t="s">
        <v>826</v>
      </c>
      <c r="G891" s="11" t="s">
        <v>78</v>
      </c>
      <c r="H891" s="11" t="s">
        <v>644</v>
      </c>
      <c r="I891" s="11" t="s">
        <v>78</v>
      </c>
      <c r="J891" s="12" t="n">
        <v>5096000</v>
      </c>
      <c r="K891" s="13" t="n">
        <f aca="false">IFERROR(J891/M891,"")</f>
        <v>0.178844669053134</v>
      </c>
      <c r="L891" s="12" t="n">
        <v>23398000</v>
      </c>
      <c r="M891" s="14" t="n">
        <f aca="false">L891+J891</f>
        <v>28494000</v>
      </c>
      <c r="N891" s="12" t="n">
        <v>6029000</v>
      </c>
      <c r="O891" s="12" t="n">
        <v>58397717</v>
      </c>
      <c r="P891" s="12" t="n">
        <v>810460</v>
      </c>
      <c r="Q891" s="13" t="n">
        <f aca="false">IFERROR(P891/P890-1,"")</f>
        <v>0.394954164759016</v>
      </c>
      <c r="R891" s="12" t="n">
        <v>958673</v>
      </c>
      <c r="S891" s="13" t="n">
        <f aca="false">IFERROR(R891/R890-1,"")</f>
        <v>0.45495536513776</v>
      </c>
      <c r="T891" s="12" t="n">
        <v>607334</v>
      </c>
      <c r="U891" s="13" t="n">
        <f aca="false">IFERROR(T891/P891,"")</f>
        <v>0.74936949386768</v>
      </c>
      <c r="V891" s="14" t="n">
        <f aca="false">T891-AV891</f>
        <v>-2154229</v>
      </c>
      <c r="W891" s="14" t="n">
        <f aca="false">V891-AA891*0.1</f>
        <v>-2273729</v>
      </c>
      <c r="X891" s="12" t="n">
        <v>2040300</v>
      </c>
      <c r="Y891" s="12" t="n">
        <v>221840</v>
      </c>
      <c r="Z891" s="15" t="n">
        <f aca="false">IFERROR(X891/Y891,"")</f>
        <v>9.19716913090516</v>
      </c>
      <c r="AA891" s="12" t="n">
        <v>1195000</v>
      </c>
      <c r="AB891" s="14" t="n">
        <f aca="false">W891-0.02*P891</f>
        <v>-2289938.2</v>
      </c>
      <c r="AC891" s="16" t="n">
        <v>27</v>
      </c>
      <c r="AD891" s="13" t="n">
        <f aca="false">IFERROR(AC891/AC890-1,"")</f>
        <v>0.285714285714286</v>
      </c>
      <c r="AE891" s="17" t="n">
        <v>0.071</v>
      </c>
      <c r="AF891" s="17" t="n">
        <v>0.065</v>
      </c>
      <c r="AG891" s="13" t="n">
        <f aca="false">1-AF891</f>
        <v>0.935</v>
      </c>
      <c r="AH891" s="17" t="n">
        <v>1.279</v>
      </c>
      <c r="AI891" s="12" t="n">
        <v>26208</v>
      </c>
      <c r="AJ891" s="14" t="n">
        <f aca="false">IFERROR(AM891*U891*MIN(1/AE891,5),"")</f>
        <v>129940.670236656</v>
      </c>
      <c r="AK891" s="18" t="n">
        <f aca="false">IFERROR(AJ891/AI891,"")</f>
        <v>4.95805365677105</v>
      </c>
      <c r="AL891" s="15" t="n">
        <f aca="false">IFERROR(AI891/(AM891*U891/12),"")</f>
        <v>12.1015229268566</v>
      </c>
      <c r="AM891" s="12" t="n">
        <v>34680</v>
      </c>
      <c r="AN891" s="12" t="n">
        <v>1228728</v>
      </c>
      <c r="AO891" s="12" t="n">
        <v>2506001</v>
      </c>
      <c r="AP891" s="17" t="n">
        <v>0.415</v>
      </c>
      <c r="AQ891" s="16" t="n">
        <v>89</v>
      </c>
      <c r="AR891" s="16" t="n">
        <v>12</v>
      </c>
      <c r="AS891" s="13" t="n">
        <f aca="false">IFERROR(AR891/AR890-1,"")</f>
        <v>0.2</v>
      </c>
      <c r="AT891" s="11" t="s">
        <v>80</v>
      </c>
      <c r="AU891" s="14" t="n">
        <f aca="false">IFERROR(P891/AR891,"")</f>
        <v>67538.3333333333</v>
      </c>
      <c r="AV891" s="12" t="n">
        <v>2761563</v>
      </c>
      <c r="AW891" s="12" t="n">
        <v>1176000</v>
      </c>
      <c r="AX891" s="12" t="n">
        <v>637102</v>
      </c>
      <c r="AY891" s="16" t="n">
        <v>15785</v>
      </c>
      <c r="AZ891" s="13" t="n">
        <f aca="false">IFERROR(AY891/AY890-1,"")</f>
        <v>0.452562804821938</v>
      </c>
      <c r="BA891" s="17" t="n">
        <v>0.923</v>
      </c>
      <c r="BB891" s="11" t="s">
        <v>107</v>
      </c>
      <c r="BC891" s="11" t="s">
        <v>126</v>
      </c>
      <c r="BD891" s="11" t="s">
        <v>175</v>
      </c>
      <c r="BE891" s="12" t="n">
        <v>974477</v>
      </c>
      <c r="BF891" s="13" t="n">
        <f aca="false">IFERROR(P891/BE891-1,"")</f>
        <v>-0.168312848840968</v>
      </c>
      <c r="BG891" s="17" t="n">
        <v>0.058</v>
      </c>
      <c r="BH891" s="17" t="n">
        <v>0.044</v>
      </c>
      <c r="BI891" s="14" t="n">
        <f aca="false">P891*(1+IFERROR(Q891,0))^4</f>
        <v>3068819.44010215</v>
      </c>
      <c r="BJ891" s="12" t="n">
        <v>-1585892</v>
      </c>
      <c r="BK891" s="11" t="s">
        <v>110</v>
      </c>
      <c r="BL891" s="11" t="s">
        <v>162</v>
      </c>
      <c r="BM891" s="14" t="n">
        <f aca="false">O891</f>
        <v>58397717</v>
      </c>
      <c r="BN891" s="11" t="s">
        <v>827</v>
      </c>
      <c r="BO891" s="13" t="n">
        <f aca="false">IFERROR(1-L891/M891,"")</f>
        <v>0.178844669053134</v>
      </c>
      <c r="BP891" s="11" t="s">
        <v>142</v>
      </c>
      <c r="BQ891" s="12" t="n">
        <v>4018328</v>
      </c>
      <c r="BR891" s="11" t="s">
        <v>88</v>
      </c>
      <c r="BS891" s="11" t="s">
        <v>89</v>
      </c>
      <c r="BT891" s="19" t="str">
        <f aca="false">IF(OR(Z891&lt;6,AH891&lt;0.9,S891&lt;0.02,AK891&lt;1),"REVIEW",IF(AND(S891&gt;0.25,AH891&gt;1.2),"ACCELERATING","STABLE"))</f>
        <v>ACCELERATING</v>
      </c>
    </row>
    <row r="892" customFormat="false" ht="15" hidden="false" customHeight="false" outlineLevel="0" collapsed="false">
      <c r="A892" s="11" t="s">
        <v>825</v>
      </c>
      <c r="B892" s="11" t="s">
        <v>92</v>
      </c>
      <c r="C892" s="11" t="s">
        <v>74</v>
      </c>
      <c r="D892" s="11" t="s">
        <v>210</v>
      </c>
      <c r="E892" s="11" t="s">
        <v>777</v>
      </c>
      <c r="F892" s="11" t="s">
        <v>826</v>
      </c>
      <c r="G892" s="11" t="s">
        <v>78</v>
      </c>
      <c r="H892" s="11" t="s">
        <v>644</v>
      </c>
      <c r="I892" s="11" t="s">
        <v>78</v>
      </c>
      <c r="J892" s="12" t="n">
        <v>5096000</v>
      </c>
      <c r="K892" s="13" t="n">
        <f aca="false">IFERROR(J892/M892,"")</f>
        <v>0.178844669053134</v>
      </c>
      <c r="L892" s="12" t="n">
        <v>23398000</v>
      </c>
      <c r="M892" s="14" t="n">
        <f aca="false">L892+J892</f>
        <v>28494000</v>
      </c>
      <c r="N892" s="12" t="n">
        <v>6029000</v>
      </c>
      <c r="O892" s="12" t="n">
        <v>58397717</v>
      </c>
      <c r="P892" s="12" t="n">
        <v>1099251</v>
      </c>
      <c r="Q892" s="13" t="n">
        <f aca="false">IFERROR(P892/P891-1,"")</f>
        <v>0.35632973866693</v>
      </c>
      <c r="R892" s="12" t="n">
        <v>1329072</v>
      </c>
      <c r="S892" s="13" t="n">
        <f aca="false">IFERROR(R892/R891-1,"")</f>
        <v>0.386366362670066</v>
      </c>
      <c r="T892" s="12" t="n">
        <v>827067</v>
      </c>
      <c r="U892" s="13" t="n">
        <f aca="false">IFERROR(T892/P892,"")</f>
        <v>0.75239140105399</v>
      </c>
      <c r="V892" s="14" t="n">
        <f aca="false">T892-AV892</f>
        <v>-2777431</v>
      </c>
      <c r="W892" s="14" t="n">
        <f aca="false">V892-AA892*0.1</f>
        <v>-2896931</v>
      </c>
      <c r="X892" s="12" t="n">
        <v>2493700</v>
      </c>
      <c r="Y892" s="12" t="n">
        <v>228920</v>
      </c>
      <c r="Z892" s="15" t="n">
        <f aca="false">IFERROR(X892/Y892,"")</f>
        <v>10.8933251791019</v>
      </c>
      <c r="AA892" s="12" t="n">
        <v>1195000</v>
      </c>
      <c r="AB892" s="14" t="n">
        <f aca="false">W892-0.02*P892</f>
        <v>-2918916.02</v>
      </c>
      <c r="AC892" s="16" t="n">
        <v>37</v>
      </c>
      <c r="AD892" s="13" t="n">
        <f aca="false">IFERROR(AC892/AC891-1,"")</f>
        <v>0.37037037037037</v>
      </c>
      <c r="AE892" s="17" t="n">
        <v>0.069</v>
      </c>
      <c r="AF892" s="17" t="n">
        <v>0.05</v>
      </c>
      <c r="AG892" s="13" t="n">
        <f aca="false">1-AF892</f>
        <v>0.95</v>
      </c>
      <c r="AH892" s="17" t="n">
        <v>1.309</v>
      </c>
      <c r="AI892" s="12" t="n">
        <v>25704</v>
      </c>
      <c r="AJ892" s="14" t="n">
        <f aca="false">IFERROR(AM892*U892*MIN(1/AE892,5),"")</f>
        <v>133022.799706346</v>
      </c>
      <c r="AK892" s="18" t="n">
        <f aca="false">IFERROR(AJ892/AI892,"")</f>
        <v>5.17517894904861</v>
      </c>
      <c r="AL892" s="15" t="n">
        <f aca="false">IFERROR(AI892/(AM892*U892/12),"")</f>
        <v>11.5938019903699</v>
      </c>
      <c r="AM892" s="12" t="n">
        <v>35360</v>
      </c>
      <c r="AN892" s="12" t="n">
        <v>1828470</v>
      </c>
      <c r="AO892" s="12" t="n">
        <v>4336097</v>
      </c>
      <c r="AP892" s="17" t="n">
        <v>0.415</v>
      </c>
      <c r="AQ892" s="16" t="n">
        <v>89</v>
      </c>
      <c r="AR892" s="16" t="n">
        <v>14</v>
      </c>
      <c r="AS892" s="13" t="n">
        <f aca="false">IFERROR(AR892/AR891-1,"")</f>
        <v>0.166666666666667</v>
      </c>
      <c r="AT892" s="11" t="s">
        <v>80</v>
      </c>
      <c r="AU892" s="14" t="n">
        <f aca="false">IFERROR(P892/AR892,"")</f>
        <v>78517.9285714286</v>
      </c>
      <c r="AV892" s="12" t="n">
        <v>3604498</v>
      </c>
      <c r="AW892" s="12" t="n">
        <v>1212991</v>
      </c>
      <c r="AX892" s="12" t="n">
        <v>807779</v>
      </c>
      <c r="AY892" s="16" t="n">
        <v>21002</v>
      </c>
      <c r="AZ892" s="13" t="n">
        <f aca="false">IFERROR(AY892/AY891-1,"")</f>
        <v>0.330503642698765</v>
      </c>
      <c r="BA892" s="17" t="n">
        <v>0.95</v>
      </c>
      <c r="BB892" s="11" t="s">
        <v>107</v>
      </c>
      <c r="BC892" s="11" t="s">
        <v>126</v>
      </c>
      <c r="BD892" s="11" t="s">
        <v>175</v>
      </c>
      <c r="BE892" s="12" t="n">
        <v>1198839</v>
      </c>
      <c r="BF892" s="13" t="n">
        <f aca="false">IFERROR(P892/BE892-1,"")</f>
        <v>-0.0830703705835396</v>
      </c>
      <c r="BG892" s="17" t="n">
        <v>-0.035</v>
      </c>
      <c r="BH892" s="17" t="n">
        <v>0.005</v>
      </c>
      <c r="BI892" s="14" t="n">
        <f aca="false">P892*(1+IFERROR(Q892,0))^4</f>
        <v>3720129.05188976</v>
      </c>
      <c r="BJ892" s="12" t="n">
        <v>-1773303</v>
      </c>
      <c r="BK892" s="11" t="s">
        <v>110</v>
      </c>
      <c r="BL892" s="11" t="s">
        <v>162</v>
      </c>
      <c r="BM892" s="14" t="n">
        <f aca="false">O892</f>
        <v>58397717</v>
      </c>
      <c r="BN892" s="11" t="s">
        <v>827</v>
      </c>
      <c r="BO892" s="13" t="n">
        <f aca="false">IFERROR(1-L892/M892,"")</f>
        <v>0.178844669053134</v>
      </c>
      <c r="BP892" s="11" t="s">
        <v>142</v>
      </c>
      <c r="BQ892" s="12" t="n">
        <v>3973658</v>
      </c>
      <c r="BR892" s="11" t="s">
        <v>88</v>
      </c>
      <c r="BS892" s="11" t="s">
        <v>89</v>
      </c>
      <c r="BT892" s="19" t="str">
        <f aca="false">IF(OR(Z892&lt;6,AH892&lt;0.9,S892&lt;0.02,AK892&lt;1),"REVIEW",IF(AND(S892&gt;0.25,AH892&gt;1.2),"ACCELERATING","STABLE"))</f>
        <v>ACCELERATING</v>
      </c>
    </row>
    <row r="893" customFormat="false" ht="15" hidden="false" customHeight="false" outlineLevel="0" collapsed="false">
      <c r="A893" s="11" t="s">
        <v>825</v>
      </c>
      <c r="B893" s="11" t="s">
        <v>93</v>
      </c>
      <c r="C893" s="11" t="s">
        <v>74</v>
      </c>
      <c r="D893" s="11" t="s">
        <v>210</v>
      </c>
      <c r="E893" s="11" t="s">
        <v>777</v>
      </c>
      <c r="F893" s="11" t="s">
        <v>826</v>
      </c>
      <c r="G893" s="11" t="s">
        <v>78</v>
      </c>
      <c r="H893" s="11" t="s">
        <v>644</v>
      </c>
      <c r="I893" s="11" t="s">
        <v>78</v>
      </c>
      <c r="J893" s="12" t="n">
        <v>5096000</v>
      </c>
      <c r="K893" s="13" t="n">
        <f aca="false">IFERROR(J893/M893,"")</f>
        <v>0.178844669053134</v>
      </c>
      <c r="L893" s="12" t="n">
        <v>23398000</v>
      </c>
      <c r="M893" s="14" t="n">
        <f aca="false">L893+J893</f>
        <v>28494000</v>
      </c>
      <c r="N893" s="12" t="n">
        <v>6029000</v>
      </c>
      <c r="O893" s="12" t="n">
        <v>58397717</v>
      </c>
      <c r="P893" s="12" t="n">
        <v>1529571</v>
      </c>
      <c r="Q893" s="13" t="n">
        <f aca="false">IFERROR(P893/P892-1,"")</f>
        <v>0.391466553134816</v>
      </c>
      <c r="R893" s="12" t="n">
        <v>1757233</v>
      </c>
      <c r="S893" s="13" t="n">
        <f aca="false">IFERROR(R893/R892-1,"")</f>
        <v>0.322150342494613</v>
      </c>
      <c r="T893" s="12" t="n">
        <v>1155458</v>
      </c>
      <c r="U893" s="13" t="n">
        <f aca="false">IFERROR(T893/P893,"")</f>
        <v>0.75541311910333</v>
      </c>
      <c r="V893" s="14" t="n">
        <f aca="false">T893-AV893</f>
        <v>-2748643</v>
      </c>
      <c r="W893" s="14" t="n">
        <f aca="false">V893-AA893*0.1</f>
        <v>-2868143</v>
      </c>
      <c r="X893" s="12" t="n">
        <v>4534000</v>
      </c>
      <c r="Y893" s="12" t="n">
        <v>236000</v>
      </c>
      <c r="Z893" s="15" t="n">
        <f aca="false">IFERROR(X893/Y893,"")</f>
        <v>19.2118644067797</v>
      </c>
      <c r="AA893" s="12" t="n">
        <v>1195000</v>
      </c>
      <c r="AB893" s="14" t="n">
        <f aca="false">W893-0.02*P893</f>
        <v>-2898734.42</v>
      </c>
      <c r="AC893" s="16" t="n">
        <v>45</v>
      </c>
      <c r="AD893" s="13" t="n">
        <f aca="false">IFERROR(AC893/AC892-1,"")</f>
        <v>0.216216216216216</v>
      </c>
      <c r="AE893" s="17" t="n">
        <v>0.067</v>
      </c>
      <c r="AF893" s="17" t="n">
        <v>0.064</v>
      </c>
      <c r="AG893" s="13" t="n">
        <f aca="false">1-AF893</f>
        <v>0.936</v>
      </c>
      <c r="AH893" s="17" t="n">
        <v>1.339</v>
      </c>
      <c r="AI893" s="12" t="n">
        <v>25200</v>
      </c>
      <c r="AJ893" s="14" t="n">
        <f aca="false">IFERROR(AM893*U893*MIN(1/AE893,5),"")</f>
        <v>136125.44406242</v>
      </c>
      <c r="AK893" s="18" t="n">
        <f aca="false">IFERROR(AJ893/AI893,"")</f>
        <v>5.40180333581032</v>
      </c>
      <c r="AL893" s="15" t="n">
        <f aca="false">IFERROR(AI893/(AM893*U893/12),"")</f>
        <v>11.1074017823345</v>
      </c>
      <c r="AM893" s="12" t="n">
        <v>36040</v>
      </c>
      <c r="AN893" s="12" t="n">
        <v>2077620</v>
      </c>
      <c r="AO893" s="12" t="n">
        <v>4600789</v>
      </c>
      <c r="AP893" s="17" t="n">
        <v>0.415</v>
      </c>
      <c r="AQ893" s="16" t="n">
        <v>89</v>
      </c>
      <c r="AR893" s="16" t="n">
        <v>17</v>
      </c>
      <c r="AS893" s="13" t="n">
        <f aca="false">IFERROR(AR893/AR892-1,"")</f>
        <v>0.214285714285714</v>
      </c>
      <c r="AT893" s="11" t="s">
        <v>80</v>
      </c>
      <c r="AU893" s="14" t="n">
        <f aca="false">IFERROR(P893/AR893,"")</f>
        <v>89974.7647058824</v>
      </c>
      <c r="AV893" s="12" t="n">
        <v>3904101</v>
      </c>
      <c r="AW893" s="12" t="n">
        <v>1377289</v>
      </c>
      <c r="AX893" s="12" t="n">
        <v>1234176</v>
      </c>
      <c r="AY893" s="16" t="n">
        <v>26250</v>
      </c>
      <c r="AZ893" s="13" t="n">
        <f aca="false">IFERROR(AY893/AY892-1,"")</f>
        <v>0.249880963717741</v>
      </c>
      <c r="BA893" s="17" t="n">
        <v>0.927</v>
      </c>
      <c r="BB893" s="11" t="s">
        <v>107</v>
      </c>
      <c r="BC893" s="11" t="s">
        <v>126</v>
      </c>
      <c r="BD893" s="11" t="s">
        <v>175</v>
      </c>
      <c r="BE893" s="12" t="n">
        <v>1727592</v>
      </c>
      <c r="BF893" s="13" t="n">
        <f aca="false">IFERROR(P893/BE893-1,"")</f>
        <v>-0.114622549768695</v>
      </c>
      <c r="BG893" s="17" t="n">
        <v>0.013</v>
      </c>
      <c r="BH893" s="17" t="n">
        <v>0.006</v>
      </c>
      <c r="BI893" s="14" t="n">
        <f aca="false">P893*(1+IFERROR(Q893,0))^4</f>
        <v>5734040.12112148</v>
      </c>
      <c r="BJ893" s="12" t="n">
        <v>-2385285</v>
      </c>
      <c r="BK893" s="11" t="s">
        <v>110</v>
      </c>
      <c r="BL893" s="11" t="s">
        <v>162</v>
      </c>
      <c r="BM893" s="14" t="n">
        <f aca="false">O893</f>
        <v>58397717</v>
      </c>
      <c r="BN893" s="11" t="s">
        <v>827</v>
      </c>
      <c r="BO893" s="13" t="n">
        <f aca="false">IFERROR(1-L893/M893,"")</f>
        <v>0.178844669053134</v>
      </c>
      <c r="BP893" s="11" t="s">
        <v>142</v>
      </c>
      <c r="BQ893" s="12" t="n">
        <v>3095231</v>
      </c>
      <c r="BR893" s="11" t="s">
        <v>88</v>
      </c>
      <c r="BS893" s="11" t="s">
        <v>89</v>
      </c>
      <c r="BT893" s="19" t="str">
        <f aca="false">IF(OR(Z893&lt;6,AH893&lt;0.9,S893&lt;0.02,AK893&lt;1),"REVIEW",IF(AND(S893&gt;0.25,AH893&gt;1.2),"ACCELERATING","STABLE"))</f>
        <v>ACCELERATING</v>
      </c>
    </row>
    <row r="894" customFormat="false" ht="15" hidden="false" customHeight="false" outlineLevel="0" collapsed="false">
      <c r="A894" s="3" t="s">
        <v>828</v>
      </c>
      <c r="B894" s="3" t="s">
        <v>73</v>
      </c>
      <c r="C894" s="3" t="s">
        <v>74</v>
      </c>
      <c r="D894" s="3" t="s">
        <v>210</v>
      </c>
      <c r="E894" s="3" t="s">
        <v>187</v>
      </c>
      <c r="F894" s="3" t="s">
        <v>829</v>
      </c>
      <c r="G894" s="3" t="s">
        <v>78</v>
      </c>
      <c r="H894" s="3" t="s">
        <v>644</v>
      </c>
      <c r="I894" s="3" t="s">
        <v>78</v>
      </c>
      <c r="J894" s="4" t="n">
        <v>2098000</v>
      </c>
      <c r="K894" s="5" t="n">
        <f aca="false">IFERROR(J894/M894,"")</f>
        <v>0.181252699784017</v>
      </c>
      <c r="L894" s="4" t="n">
        <v>9477000</v>
      </c>
      <c r="M894" s="6" t="n">
        <f aca="false">L894+J894</f>
        <v>11575000</v>
      </c>
      <c r="N894" s="4" t="n">
        <v>4035000</v>
      </c>
      <c r="O894" s="4" t="n">
        <v>8879935</v>
      </c>
      <c r="P894" s="4" t="n">
        <v>1115813</v>
      </c>
      <c r="Q894" s="7"/>
      <c r="R894" s="4" t="n">
        <v>1154551</v>
      </c>
      <c r="S894" s="7"/>
      <c r="T894" s="4" t="n">
        <v>578953</v>
      </c>
      <c r="U894" s="5" t="n">
        <f aca="false">IFERROR(T894/P894,"")</f>
        <v>0.518862031541127</v>
      </c>
      <c r="V894" s="6" t="n">
        <f aca="false">T894-AV894</f>
        <v>-1990326</v>
      </c>
      <c r="W894" s="6" t="n">
        <f aca="false">V894-AA894*0.1</f>
        <v>-1990326</v>
      </c>
      <c r="X894" s="4" t="n">
        <v>2279435</v>
      </c>
      <c r="Y894" s="4" t="n">
        <v>165640</v>
      </c>
      <c r="Z894" s="8" t="n">
        <f aca="false">IFERROR(X894/Y894,"")</f>
        <v>13.7613801014248</v>
      </c>
      <c r="AA894" s="4" t="n">
        <v>0</v>
      </c>
      <c r="AB894" s="6" t="n">
        <f aca="false">W894-0.02*P894</f>
        <v>-2012642.26</v>
      </c>
      <c r="AC894" s="9" t="n">
        <v>82</v>
      </c>
      <c r="AD894" s="7"/>
      <c r="AE894" s="7" t="n">
        <v>0.163</v>
      </c>
      <c r="AF894" s="7" t="n">
        <v>0.152</v>
      </c>
      <c r="AG894" s="5" t="n">
        <f aca="false">1-AF894</f>
        <v>0.848</v>
      </c>
      <c r="AH894" s="7" t="n">
        <v>0.979</v>
      </c>
      <c r="AI894" s="4" t="n">
        <v>83828</v>
      </c>
      <c r="AJ894" s="6" t="n">
        <f aca="false">IFERROR(AM894*U894*MIN(1/AE894,5),"")</f>
        <v>70046.3742580522</v>
      </c>
      <c r="AK894" s="10" t="n">
        <f aca="false">IFERROR(AJ894/AI894,"")</f>
        <v>0.835596390920125</v>
      </c>
      <c r="AL894" s="8" t="n">
        <f aca="false">IFERROR(AI894/(AM894*U894/12),"")</f>
        <v>71.8050013762392</v>
      </c>
      <c r="AM894" s="4" t="n">
        <v>27000</v>
      </c>
      <c r="AN894" s="4" t="n">
        <v>1422617</v>
      </c>
      <c r="AO894" s="4" t="n">
        <v>3108641</v>
      </c>
      <c r="AP894" s="7" t="n">
        <v>0.416</v>
      </c>
      <c r="AQ894" s="9" t="n">
        <v>65</v>
      </c>
      <c r="AR894" s="9" t="n">
        <v>8</v>
      </c>
      <c r="AS894" s="7"/>
      <c r="AT894" s="3" t="s">
        <v>118</v>
      </c>
      <c r="AU894" s="6" t="n">
        <f aca="false">IFERROR(P894/AR894,"")</f>
        <v>139476.625</v>
      </c>
      <c r="AV894" s="4" t="n">
        <v>2569279</v>
      </c>
      <c r="AW894" s="4" t="n">
        <v>1270654</v>
      </c>
      <c r="AX894" s="4" t="n">
        <v>653872</v>
      </c>
      <c r="AY894" s="9" t="n">
        <v>39241</v>
      </c>
      <c r="AZ894" s="7"/>
      <c r="BA894" s="7" t="n">
        <v>0.885</v>
      </c>
      <c r="BB894" s="3" t="s">
        <v>138</v>
      </c>
      <c r="BC894" s="3" t="s">
        <v>120</v>
      </c>
      <c r="BD894" s="3" t="s">
        <v>175</v>
      </c>
      <c r="BE894" s="4" t="n">
        <v>1686267</v>
      </c>
      <c r="BF894" s="5" t="n">
        <f aca="false">IFERROR(P894/BE894-1,"")</f>
        <v>-0.338293994960466</v>
      </c>
      <c r="BG894" s="7" t="n">
        <v>0.253</v>
      </c>
      <c r="BH894" s="7" t="n">
        <v>0.376</v>
      </c>
      <c r="BI894" s="6" t="n">
        <f aca="false">P894</f>
        <v>1115813</v>
      </c>
      <c r="BJ894" s="4" t="n">
        <v>-1393008</v>
      </c>
      <c r="BK894" s="3" t="s">
        <v>139</v>
      </c>
      <c r="BL894" s="3" t="s">
        <v>122</v>
      </c>
      <c r="BM894" s="6" t="n">
        <f aca="false">O894</f>
        <v>8879935</v>
      </c>
      <c r="BN894" s="3" t="s">
        <v>830</v>
      </c>
      <c r="BO894" s="5" t="n">
        <f aca="false">IFERROR(1-L894/M894,"")</f>
        <v>0.181252699784017</v>
      </c>
      <c r="BP894" s="3" t="s">
        <v>142</v>
      </c>
      <c r="BQ894" s="4" t="n">
        <v>2125563</v>
      </c>
      <c r="BR894" s="3" t="s">
        <v>88</v>
      </c>
      <c r="BS894" s="3" t="s">
        <v>89</v>
      </c>
      <c r="BT894" s="3" t="s">
        <v>90</v>
      </c>
    </row>
    <row r="895" customFormat="false" ht="15" hidden="false" customHeight="false" outlineLevel="0" collapsed="false">
      <c r="A895" s="11" t="s">
        <v>828</v>
      </c>
      <c r="B895" s="11" t="s">
        <v>91</v>
      </c>
      <c r="C895" s="11" t="s">
        <v>74</v>
      </c>
      <c r="D895" s="11" t="s">
        <v>210</v>
      </c>
      <c r="E895" s="11" t="s">
        <v>187</v>
      </c>
      <c r="F895" s="11" t="s">
        <v>829</v>
      </c>
      <c r="G895" s="11" t="s">
        <v>78</v>
      </c>
      <c r="H895" s="11" t="s">
        <v>644</v>
      </c>
      <c r="I895" s="11" t="s">
        <v>78</v>
      </c>
      <c r="J895" s="12" t="n">
        <v>2098000</v>
      </c>
      <c r="K895" s="13" t="n">
        <f aca="false">IFERROR(J895/M895,"")</f>
        <v>0.181252699784017</v>
      </c>
      <c r="L895" s="12" t="n">
        <v>9477000</v>
      </c>
      <c r="M895" s="14" t="n">
        <f aca="false">L895+J895</f>
        <v>11575000</v>
      </c>
      <c r="N895" s="12" t="n">
        <v>4035000</v>
      </c>
      <c r="O895" s="12" t="n">
        <v>8879935</v>
      </c>
      <c r="P895" s="12" t="n">
        <v>966016</v>
      </c>
      <c r="Q895" s="13" t="n">
        <f aca="false">IFERROR(P895/P894-1,"")</f>
        <v>-0.134249197670219</v>
      </c>
      <c r="R895" s="12" t="n">
        <v>1026890</v>
      </c>
      <c r="S895" s="13" t="n">
        <f aca="false">IFERROR(R895/R894-1,"")</f>
        <v>-0.110571988591236</v>
      </c>
      <c r="T895" s="12" t="n">
        <v>491772</v>
      </c>
      <c r="U895" s="13" t="n">
        <f aca="false">IFERROR(T895/P895,"")</f>
        <v>0.509072313502054</v>
      </c>
      <c r="V895" s="14" t="n">
        <f aca="false">T895-AV895</f>
        <v>-1966766</v>
      </c>
      <c r="W895" s="14" t="n">
        <f aca="false">V895-AA895*0.1</f>
        <v>-1966766</v>
      </c>
      <c r="X895" s="12" t="n">
        <v>1812815</v>
      </c>
      <c r="Y895" s="12" t="n">
        <v>177760</v>
      </c>
      <c r="Z895" s="15" t="n">
        <f aca="false">IFERROR(X895/Y895,"")</f>
        <v>10.1981041854185</v>
      </c>
      <c r="AA895" s="12" t="n">
        <v>0</v>
      </c>
      <c r="AB895" s="14" t="n">
        <f aca="false">W895-0.02*P895</f>
        <v>-1986086.32</v>
      </c>
      <c r="AC895" s="16" t="n">
        <v>74</v>
      </c>
      <c r="AD895" s="13" t="n">
        <f aca="false">IFERROR(AC895/AC894-1,"")</f>
        <v>-0.0975609756097561</v>
      </c>
      <c r="AE895" s="17" t="n">
        <v>0.193</v>
      </c>
      <c r="AF895" s="17" t="n">
        <v>0.174</v>
      </c>
      <c r="AG895" s="13" t="n">
        <f aca="false">1-AF895</f>
        <v>0.826</v>
      </c>
      <c r="AH895" s="17" t="n">
        <v>0.939</v>
      </c>
      <c r="AI895" s="12" t="n">
        <v>92652</v>
      </c>
      <c r="AJ895" s="14" t="n">
        <f aca="false">IFERROR(AM895*U895*MIN(1/AE895,5),"")</f>
        <v>70099.2575692328</v>
      </c>
      <c r="AK895" s="18" t="n">
        <f aca="false">IFERROR(AJ895/AI895,"")</f>
        <v>0.756586555813504</v>
      </c>
      <c r="AL895" s="15" t="n">
        <f aca="false">IFERROR(AI895/(AM895*U895/12),"")</f>
        <v>79.3035503194822</v>
      </c>
      <c r="AM895" s="12" t="n">
        <v>27540</v>
      </c>
      <c r="AN895" s="12" t="n">
        <v>1009195</v>
      </c>
      <c r="AO895" s="12" t="n">
        <v>2148119</v>
      </c>
      <c r="AP895" s="17" t="n">
        <v>0.416</v>
      </c>
      <c r="AQ895" s="16" t="n">
        <v>65</v>
      </c>
      <c r="AR895" s="16" t="n">
        <v>7</v>
      </c>
      <c r="AS895" s="13" t="n">
        <f aca="false">IFERROR(AR895/AR894-1,"")</f>
        <v>-0.125</v>
      </c>
      <c r="AT895" s="11" t="s">
        <v>118</v>
      </c>
      <c r="AU895" s="14" t="n">
        <f aca="false">IFERROR(P895/AR895,"")</f>
        <v>138002.285714286</v>
      </c>
      <c r="AV895" s="12" t="n">
        <v>2458538</v>
      </c>
      <c r="AW895" s="12" t="n">
        <v>851628</v>
      </c>
      <c r="AX895" s="12" t="n">
        <v>745932</v>
      </c>
      <c r="AY895" s="16" t="n">
        <v>36115</v>
      </c>
      <c r="AZ895" s="13" t="n">
        <f aca="false">IFERROR(AY895/AY894-1,"")</f>
        <v>-0.0796615784511098</v>
      </c>
      <c r="BA895" s="17" t="n">
        <v>0.855</v>
      </c>
      <c r="BB895" s="11" t="s">
        <v>138</v>
      </c>
      <c r="BC895" s="11" t="s">
        <v>120</v>
      </c>
      <c r="BD895" s="11" t="s">
        <v>175</v>
      </c>
      <c r="BE895" s="12" t="n">
        <v>1296118</v>
      </c>
      <c r="BF895" s="13" t="n">
        <f aca="false">IFERROR(P895/BE895-1,"")</f>
        <v>-0.254685144408148</v>
      </c>
      <c r="BG895" s="17" t="n">
        <v>0.201</v>
      </c>
      <c r="BH895" s="17" t="n">
        <v>0.333</v>
      </c>
      <c r="BI895" s="14" t="n">
        <f aca="false">P895*(1+IFERROR(Q895,0))^4</f>
        <v>542695.137611165</v>
      </c>
      <c r="BJ895" s="12" t="n">
        <v>-1274975</v>
      </c>
      <c r="BK895" s="11" t="s">
        <v>139</v>
      </c>
      <c r="BL895" s="11" t="s">
        <v>122</v>
      </c>
      <c r="BM895" s="14" t="n">
        <f aca="false">O895</f>
        <v>8879935</v>
      </c>
      <c r="BN895" s="11" t="s">
        <v>830</v>
      </c>
      <c r="BO895" s="13" t="n">
        <f aca="false">IFERROR(1-L895/M895,"")</f>
        <v>0.181252699784017</v>
      </c>
      <c r="BP895" s="11" t="s">
        <v>142</v>
      </c>
      <c r="BQ895" s="12" t="n">
        <v>3308528</v>
      </c>
      <c r="BR895" s="11" t="s">
        <v>88</v>
      </c>
      <c r="BS895" s="11" t="s">
        <v>89</v>
      </c>
      <c r="BT895" s="19" t="str">
        <f aca="false">IF(OR(Z895&lt;6,AH895&lt;0.9,S895&lt;0.02,AK895&lt;1),"REVIEW",IF(AND(S895&gt;0.25,AH895&gt;1.2),"ACCELERATING","STABLE"))</f>
        <v>REVIEW</v>
      </c>
    </row>
    <row r="896" customFormat="false" ht="15" hidden="false" customHeight="false" outlineLevel="0" collapsed="false">
      <c r="A896" s="11" t="s">
        <v>828</v>
      </c>
      <c r="B896" s="11" t="s">
        <v>92</v>
      </c>
      <c r="C896" s="11" t="s">
        <v>74</v>
      </c>
      <c r="D896" s="11" t="s">
        <v>210</v>
      </c>
      <c r="E896" s="11" t="s">
        <v>187</v>
      </c>
      <c r="F896" s="11" t="s">
        <v>829</v>
      </c>
      <c r="G896" s="11" t="s">
        <v>78</v>
      </c>
      <c r="H896" s="11" t="s">
        <v>644</v>
      </c>
      <c r="I896" s="11" t="s">
        <v>78</v>
      </c>
      <c r="J896" s="12" t="n">
        <v>2098000</v>
      </c>
      <c r="K896" s="13" t="n">
        <f aca="false">IFERROR(J896/M896,"")</f>
        <v>0.181252699784017</v>
      </c>
      <c r="L896" s="12" t="n">
        <v>9477000</v>
      </c>
      <c r="M896" s="14" t="n">
        <f aca="false">L896+J896</f>
        <v>11575000</v>
      </c>
      <c r="N896" s="12" t="n">
        <v>4035000</v>
      </c>
      <c r="O896" s="12" t="n">
        <v>8879935</v>
      </c>
      <c r="P896" s="12" t="n">
        <v>870093</v>
      </c>
      <c r="Q896" s="13" t="n">
        <f aca="false">IFERROR(P896/P895-1,"")</f>
        <v>-0.0992975271631111</v>
      </c>
      <c r="R896" s="12" t="n">
        <v>917235</v>
      </c>
      <c r="S896" s="13" t="n">
        <f aca="false">IFERROR(R896/R895-1,"")</f>
        <v>-0.106783589284149</v>
      </c>
      <c r="T896" s="12" t="n">
        <v>434422</v>
      </c>
      <c r="U896" s="13" t="n">
        <f aca="false">IFERROR(T896/P896,"")</f>
        <v>0.499282260631909</v>
      </c>
      <c r="V896" s="14" t="n">
        <f aca="false">T896-AV896</f>
        <v>-2032517</v>
      </c>
      <c r="W896" s="14" t="n">
        <f aca="false">V896-AA896*0.1</f>
        <v>-2032517</v>
      </c>
      <c r="X896" s="12" t="n">
        <v>1266203</v>
      </c>
      <c r="Y896" s="12" t="n">
        <v>189880</v>
      </c>
      <c r="Z896" s="15" t="n">
        <f aca="false">IFERROR(X896/Y896,"")</f>
        <v>6.66843796081736</v>
      </c>
      <c r="AA896" s="12" t="n">
        <v>0</v>
      </c>
      <c r="AB896" s="14" t="n">
        <f aca="false">W896-0.02*P896</f>
        <v>-2049918.86</v>
      </c>
      <c r="AC896" s="16" t="n">
        <v>67</v>
      </c>
      <c r="AD896" s="13" t="n">
        <f aca="false">IFERROR(AC896/AC895-1,"")</f>
        <v>-0.0945945945945946</v>
      </c>
      <c r="AE896" s="17" t="n">
        <v>0.224</v>
      </c>
      <c r="AF896" s="17" t="n">
        <v>0.142</v>
      </c>
      <c r="AG896" s="13" t="n">
        <f aca="false">1-AF896</f>
        <v>0.858</v>
      </c>
      <c r="AH896" s="17" t="n">
        <v>0.899</v>
      </c>
      <c r="AI896" s="12" t="n">
        <v>101476</v>
      </c>
      <c r="AJ896" s="14" t="n">
        <f aca="false">IFERROR(AM896*U896*MIN(1/AE896,5),"")</f>
        <v>62588.5976720715</v>
      </c>
      <c r="AK896" s="18" t="n">
        <f aca="false">IFERROR(AJ896/AI896,"")</f>
        <v>0.616782270409471</v>
      </c>
      <c r="AL896" s="15" t="n">
        <f aca="false">IFERROR(AI896/(AM896*U896/12),"")</f>
        <v>86.8563043095636</v>
      </c>
      <c r="AM896" s="12" t="n">
        <v>28080</v>
      </c>
      <c r="AN896" s="12" t="n">
        <v>1287670</v>
      </c>
      <c r="AO896" s="12" t="n">
        <v>2507600</v>
      </c>
      <c r="AP896" s="17" t="n">
        <v>0.416</v>
      </c>
      <c r="AQ896" s="16" t="n">
        <v>65</v>
      </c>
      <c r="AR896" s="16" t="n">
        <v>7</v>
      </c>
      <c r="AS896" s="13" t="n">
        <f aca="false">IFERROR(AR896/AR895-1,"")</f>
        <v>0</v>
      </c>
      <c r="AT896" s="11" t="s">
        <v>118</v>
      </c>
      <c r="AU896" s="14" t="n">
        <f aca="false">IFERROR(P896/AR896,"")</f>
        <v>124299</v>
      </c>
      <c r="AV896" s="12" t="n">
        <v>2466939</v>
      </c>
      <c r="AW896" s="12" t="n">
        <v>872611</v>
      </c>
      <c r="AX896" s="12" t="n">
        <v>822822</v>
      </c>
      <c r="AY896" s="16" t="n">
        <v>32092</v>
      </c>
      <c r="AZ896" s="13" t="n">
        <f aca="false">IFERROR(AY896/AY895-1,"")</f>
        <v>-0.111394157552264</v>
      </c>
      <c r="BA896" s="17" t="n">
        <v>0.816</v>
      </c>
      <c r="BB896" s="11" t="s">
        <v>138</v>
      </c>
      <c r="BC896" s="11" t="s">
        <v>120</v>
      </c>
      <c r="BD896" s="11" t="s">
        <v>175</v>
      </c>
      <c r="BE896" s="12" t="n">
        <v>1456116</v>
      </c>
      <c r="BF896" s="13" t="n">
        <f aca="false">IFERROR(P896/BE896-1,"")</f>
        <v>-0.402456260352884</v>
      </c>
      <c r="BG896" s="17" t="n">
        <v>0.183</v>
      </c>
      <c r="BH896" s="17" t="n">
        <v>0.353</v>
      </c>
      <c r="BI896" s="14" t="n">
        <f aca="false">P896*(1+IFERROR(Q896,0))^4</f>
        <v>572652.412982394</v>
      </c>
      <c r="BJ896" s="12" t="n">
        <v>-1269248</v>
      </c>
      <c r="BK896" s="11" t="s">
        <v>139</v>
      </c>
      <c r="BL896" s="11" t="s">
        <v>122</v>
      </c>
      <c r="BM896" s="14" t="n">
        <f aca="false">O896</f>
        <v>8879935</v>
      </c>
      <c r="BN896" s="11" t="s">
        <v>830</v>
      </c>
      <c r="BO896" s="13" t="n">
        <f aca="false">IFERROR(1-L896/M896,"")</f>
        <v>0.181252699784017</v>
      </c>
      <c r="BP896" s="11" t="s">
        <v>142</v>
      </c>
      <c r="BQ896" s="12" t="n">
        <v>3637218</v>
      </c>
      <c r="BR896" s="11" t="s">
        <v>88</v>
      </c>
      <c r="BS896" s="11" t="s">
        <v>89</v>
      </c>
      <c r="BT896" s="19" t="str">
        <f aca="false">IF(OR(Z896&lt;6,AH896&lt;0.9,S896&lt;0.02,AK896&lt;1),"REVIEW",IF(AND(S896&gt;0.25,AH896&gt;1.2),"ACCELERATING","STABLE"))</f>
        <v>REVIEW</v>
      </c>
    </row>
    <row r="897" customFormat="false" ht="15" hidden="false" customHeight="false" outlineLevel="0" collapsed="false">
      <c r="A897" s="11" t="s">
        <v>828</v>
      </c>
      <c r="B897" s="11" t="s">
        <v>93</v>
      </c>
      <c r="C897" s="11" t="s">
        <v>74</v>
      </c>
      <c r="D897" s="11" t="s">
        <v>210</v>
      </c>
      <c r="E897" s="11" t="s">
        <v>187</v>
      </c>
      <c r="F897" s="11" t="s">
        <v>829</v>
      </c>
      <c r="G897" s="11" t="s">
        <v>78</v>
      </c>
      <c r="H897" s="11" t="s">
        <v>644</v>
      </c>
      <c r="I897" s="11" t="s">
        <v>78</v>
      </c>
      <c r="J897" s="12" t="n">
        <v>2098000</v>
      </c>
      <c r="K897" s="13" t="n">
        <f aca="false">IFERROR(J897/M897,"")</f>
        <v>0.181252699784017</v>
      </c>
      <c r="L897" s="12" t="n">
        <v>9477000</v>
      </c>
      <c r="M897" s="14" t="n">
        <f aca="false">L897+J897</f>
        <v>11575000</v>
      </c>
      <c r="N897" s="12" t="n">
        <v>4035000</v>
      </c>
      <c r="O897" s="12" t="n">
        <v>8879935</v>
      </c>
      <c r="P897" s="12" t="n">
        <v>774773</v>
      </c>
      <c r="Q897" s="13" t="n">
        <f aca="false">IFERROR(P897/P896-1,"")</f>
        <v>-0.109551507712394</v>
      </c>
      <c r="R897" s="12" t="n">
        <v>814709</v>
      </c>
      <c r="S897" s="13" t="n">
        <f aca="false">IFERROR(R897/R896-1,"")</f>
        <v>-0.111777243563536</v>
      </c>
      <c r="T897" s="12" t="n">
        <v>379246</v>
      </c>
      <c r="U897" s="13" t="n">
        <f aca="false">IFERROR(T897/P897,"")</f>
        <v>0.489493051513153</v>
      </c>
      <c r="V897" s="14" t="n">
        <f aca="false">T897-AV897</f>
        <v>-2469976</v>
      </c>
      <c r="W897" s="14" t="n">
        <f aca="false">V897-AA897*0.1</f>
        <v>-2469976</v>
      </c>
      <c r="X897" s="12" t="n">
        <v>639599</v>
      </c>
      <c r="Y897" s="12" t="n">
        <v>202000</v>
      </c>
      <c r="Z897" s="15" t="n">
        <f aca="false">IFERROR(X897/Y897,"")</f>
        <v>3.16633168316832</v>
      </c>
      <c r="AA897" s="12" t="n">
        <v>0</v>
      </c>
      <c r="AB897" s="14" t="n">
        <f aca="false">W897-0.02*P897</f>
        <v>-2485471.46</v>
      </c>
      <c r="AC897" s="16" t="n">
        <v>60</v>
      </c>
      <c r="AD897" s="13" t="n">
        <f aca="false">IFERROR(AC897/AC896-1,"")</f>
        <v>-0.104477611940298</v>
      </c>
      <c r="AE897" s="17" t="n">
        <v>0.254</v>
      </c>
      <c r="AF897" s="17" t="n">
        <v>0.266</v>
      </c>
      <c r="AG897" s="13" t="n">
        <f aca="false">1-AF897</f>
        <v>0.734</v>
      </c>
      <c r="AH897" s="17" t="n">
        <v>0.859</v>
      </c>
      <c r="AI897" s="12" t="n">
        <v>110300</v>
      </c>
      <c r="AJ897" s="14" t="n">
        <f aca="false">IFERROR(AM897*U897*MIN(1/AE897,5),"")</f>
        <v>55154.6895051435</v>
      </c>
      <c r="AK897" s="18" t="n">
        <f aca="false">IFERROR(AJ897/AI897,"")</f>
        <v>0.500042515912452</v>
      </c>
      <c r="AL897" s="15" t="n">
        <f aca="false">IFERROR(AI897/(AM897*U897/12),"")</f>
        <v>94.4801551563678</v>
      </c>
      <c r="AM897" s="12" t="n">
        <v>28620</v>
      </c>
      <c r="AN897" s="12" t="n">
        <v>1077535</v>
      </c>
      <c r="AO897" s="12" t="n">
        <v>3111162</v>
      </c>
      <c r="AP897" s="17" t="n">
        <v>0.416</v>
      </c>
      <c r="AQ897" s="16" t="n">
        <v>65</v>
      </c>
      <c r="AR897" s="16" t="n">
        <v>6</v>
      </c>
      <c r="AS897" s="13" t="n">
        <f aca="false">IFERROR(AR897/AR896-1,"")</f>
        <v>-0.142857142857143</v>
      </c>
      <c r="AT897" s="11" t="s">
        <v>118</v>
      </c>
      <c r="AU897" s="14" t="n">
        <f aca="false">IFERROR(P897/AR897,"")</f>
        <v>129128.833333333</v>
      </c>
      <c r="AV897" s="12" t="n">
        <v>2849222</v>
      </c>
      <c r="AW897" s="12" t="n">
        <v>996865</v>
      </c>
      <c r="AX897" s="12" t="n">
        <v>592222</v>
      </c>
      <c r="AY897" s="16" t="n">
        <v>28954</v>
      </c>
      <c r="AZ897" s="13" t="n">
        <f aca="false">IFERROR(AY897/AY896-1,"")</f>
        <v>-0.097781378536707</v>
      </c>
      <c r="BA897" s="17" t="n">
        <v>0.749</v>
      </c>
      <c r="BB897" s="11" t="s">
        <v>138</v>
      </c>
      <c r="BC897" s="11" t="s">
        <v>120</v>
      </c>
      <c r="BD897" s="11" t="s">
        <v>175</v>
      </c>
      <c r="BE897" s="12" t="n">
        <v>1137496</v>
      </c>
      <c r="BF897" s="13" t="n">
        <f aca="false">IFERROR(P897/BE897-1,"")</f>
        <v>-0.318878483968295</v>
      </c>
      <c r="BG897" s="17" t="n">
        <v>0.265</v>
      </c>
      <c r="BH897" s="17" t="n">
        <v>0.154</v>
      </c>
      <c r="BI897" s="14" t="n">
        <f aca="false">P897*(1+IFERROR(Q897,0))^4</f>
        <v>487090.533475567</v>
      </c>
      <c r="BJ897" s="12" t="n">
        <v>-1407588</v>
      </c>
      <c r="BK897" s="11" t="s">
        <v>139</v>
      </c>
      <c r="BL897" s="11" t="s">
        <v>122</v>
      </c>
      <c r="BM897" s="14" t="n">
        <f aca="false">O897</f>
        <v>8879935</v>
      </c>
      <c r="BN897" s="11" t="s">
        <v>830</v>
      </c>
      <c r="BO897" s="13" t="n">
        <f aca="false">IFERROR(1-L897/M897,"")</f>
        <v>0.181252699784017</v>
      </c>
      <c r="BP897" s="11" t="s">
        <v>142</v>
      </c>
      <c r="BQ897" s="12" t="n">
        <v>3857397</v>
      </c>
      <c r="BR897" s="11" t="s">
        <v>88</v>
      </c>
      <c r="BS897" s="11" t="s">
        <v>89</v>
      </c>
      <c r="BT897" s="19" t="str">
        <f aca="false">IF(OR(Z897&lt;6,AH897&lt;0.9,S897&lt;0.02,AK897&lt;1),"REVIEW",IF(AND(S897&gt;0.25,AH897&gt;1.2),"ACCELERATING","STABLE"))</f>
        <v>REVIEW</v>
      </c>
    </row>
    <row r="898" customFormat="false" ht="15" hidden="false" customHeight="false" outlineLevel="0" collapsed="false">
      <c r="A898" s="3" t="s">
        <v>831</v>
      </c>
      <c r="B898" s="3" t="s">
        <v>73</v>
      </c>
      <c r="C898" s="3" t="s">
        <v>74</v>
      </c>
      <c r="D898" s="3" t="s">
        <v>132</v>
      </c>
      <c r="E898" s="3" t="s">
        <v>116</v>
      </c>
      <c r="F898" s="3" t="s">
        <v>832</v>
      </c>
      <c r="G898" s="3" t="s">
        <v>78</v>
      </c>
      <c r="H898" s="3" t="s">
        <v>644</v>
      </c>
      <c r="I898" s="3" t="s">
        <v>78</v>
      </c>
      <c r="J898" s="4" t="n">
        <v>3561000</v>
      </c>
      <c r="K898" s="5" t="n">
        <f aca="false">IFERROR(J898/M898,"")</f>
        <v>0.14798653534472</v>
      </c>
      <c r="L898" s="4" t="n">
        <v>20502000</v>
      </c>
      <c r="M898" s="6" t="n">
        <f aca="false">L898+J898</f>
        <v>24063000</v>
      </c>
      <c r="N898" s="4" t="n">
        <v>7441000</v>
      </c>
      <c r="O898" s="4" t="n">
        <v>37246496</v>
      </c>
      <c r="P898" s="4" t="n">
        <v>683885</v>
      </c>
      <c r="Q898" s="7"/>
      <c r="R898" s="4" t="n">
        <v>692110</v>
      </c>
      <c r="S898" s="7"/>
      <c r="T898" s="4" t="n">
        <v>413712</v>
      </c>
      <c r="U898" s="5" t="n">
        <f aca="false">IFERROR(T898/P898,"")</f>
        <v>0.60494381365288</v>
      </c>
      <c r="V898" s="6" t="n">
        <f aca="false">T898-AV898</f>
        <v>-1278112</v>
      </c>
      <c r="W898" s="6" t="n">
        <f aca="false">V898-AA898*0.1</f>
        <v>-1278112</v>
      </c>
      <c r="X898" s="4" t="n">
        <v>4580166</v>
      </c>
      <c r="Y898" s="4" t="n">
        <v>132860</v>
      </c>
      <c r="Z898" s="8" t="n">
        <f aca="false">IFERROR(X898/Y898,"")</f>
        <v>34.4736263736264</v>
      </c>
      <c r="AA898" s="4" t="n">
        <v>0</v>
      </c>
      <c r="AB898" s="6" t="n">
        <f aca="false">W898-0.02*P898</f>
        <v>-1291789.7</v>
      </c>
      <c r="AC898" s="9" t="n">
        <v>37</v>
      </c>
      <c r="AD898" s="7"/>
      <c r="AE898" s="7" t="n">
        <v>0.114</v>
      </c>
      <c r="AF898" s="7" t="n">
        <v>0.099</v>
      </c>
      <c r="AG898" s="5" t="n">
        <f aca="false">1-AF898</f>
        <v>0.901</v>
      </c>
      <c r="AH898" s="7" t="n">
        <v>1.127</v>
      </c>
      <c r="AI898" s="4" t="n">
        <v>14098</v>
      </c>
      <c r="AJ898" s="6" t="n">
        <f aca="false">IFERROR(AM898*U898*MIN(1/AE898,5),"")</f>
        <v>36296.6288191728</v>
      </c>
      <c r="AK898" s="10" t="n">
        <f aca="false">IFERROR(AJ898/AI898,"")</f>
        <v>2.5745941849321</v>
      </c>
      <c r="AL898" s="8" t="n">
        <f aca="false">IFERROR(AI898/(AM898*U898/12),"")</f>
        <v>23.304643640987</v>
      </c>
      <c r="AM898" s="4" t="n">
        <v>12000</v>
      </c>
      <c r="AN898" s="4" t="n">
        <v>906609</v>
      </c>
      <c r="AO898" s="4" t="n">
        <v>2544550</v>
      </c>
      <c r="AP898" s="7" t="n">
        <v>0.295</v>
      </c>
      <c r="AQ898" s="9" t="n">
        <v>29</v>
      </c>
      <c r="AR898" s="9" t="n">
        <v>4</v>
      </c>
      <c r="AS898" s="7"/>
      <c r="AT898" s="3" t="s">
        <v>218</v>
      </c>
      <c r="AU898" s="6" t="n">
        <f aca="false">IFERROR(P898/AR898,"")</f>
        <v>170971.25</v>
      </c>
      <c r="AV898" s="4" t="n">
        <v>1691824</v>
      </c>
      <c r="AW898" s="4" t="n">
        <v>546638</v>
      </c>
      <c r="AX898" s="4" t="n">
        <v>358625</v>
      </c>
      <c r="AY898" s="9" t="n">
        <v>21125</v>
      </c>
      <c r="AZ898" s="7"/>
      <c r="BA898" s="7" t="n">
        <v>0.89</v>
      </c>
      <c r="BB898" s="3" t="s">
        <v>99</v>
      </c>
      <c r="BC898" s="3" t="s">
        <v>126</v>
      </c>
      <c r="BD898" s="3" t="s">
        <v>83</v>
      </c>
      <c r="BE898" s="4" t="n">
        <v>638650</v>
      </c>
      <c r="BF898" s="5" t="n">
        <f aca="false">IFERROR(P898/BE898-1,"")</f>
        <v>0.0708290926172395</v>
      </c>
      <c r="BG898" s="7" t="n">
        <v>0.031</v>
      </c>
      <c r="BH898" s="7" t="n">
        <v>0.033</v>
      </c>
      <c r="BI898" s="6" t="n">
        <f aca="false">P898</f>
        <v>683885</v>
      </c>
      <c r="BJ898" s="4" t="n">
        <v>-836215</v>
      </c>
      <c r="BK898" s="3" t="s">
        <v>127</v>
      </c>
      <c r="BL898" s="3" t="s">
        <v>162</v>
      </c>
      <c r="BM898" s="6" t="n">
        <f aca="false">O898</f>
        <v>37246496</v>
      </c>
      <c r="BN898" s="3" t="s">
        <v>833</v>
      </c>
      <c r="BO898" s="5" t="n">
        <f aca="false">IFERROR(1-L898/M898,"")</f>
        <v>0.14798653534472</v>
      </c>
      <c r="BP898" s="3" t="s">
        <v>142</v>
      </c>
      <c r="BQ898" s="4" t="n">
        <v>2178250</v>
      </c>
      <c r="BR898" s="3" t="s">
        <v>88</v>
      </c>
      <c r="BS898" s="3" t="s">
        <v>89</v>
      </c>
      <c r="BT898" s="3" t="s">
        <v>90</v>
      </c>
    </row>
    <row r="899" customFormat="false" ht="15" hidden="false" customHeight="false" outlineLevel="0" collapsed="false">
      <c r="A899" s="11" t="s">
        <v>831</v>
      </c>
      <c r="B899" s="11" t="s">
        <v>91</v>
      </c>
      <c r="C899" s="11" t="s">
        <v>74</v>
      </c>
      <c r="D899" s="11" t="s">
        <v>132</v>
      </c>
      <c r="E899" s="11" t="s">
        <v>116</v>
      </c>
      <c r="F899" s="11" t="s">
        <v>832</v>
      </c>
      <c r="G899" s="11" t="s">
        <v>78</v>
      </c>
      <c r="H899" s="11" t="s">
        <v>644</v>
      </c>
      <c r="I899" s="11" t="s">
        <v>78</v>
      </c>
      <c r="J899" s="12" t="n">
        <v>3561000</v>
      </c>
      <c r="K899" s="13" t="n">
        <f aca="false">IFERROR(J899/M899,"")</f>
        <v>0.14798653534472</v>
      </c>
      <c r="L899" s="12" t="n">
        <v>20502000</v>
      </c>
      <c r="M899" s="14" t="n">
        <f aca="false">L899+J899</f>
        <v>24063000</v>
      </c>
      <c r="N899" s="12" t="n">
        <v>7441000</v>
      </c>
      <c r="O899" s="12" t="n">
        <v>37246496</v>
      </c>
      <c r="P899" s="12" t="n">
        <v>777011</v>
      </c>
      <c r="Q899" s="13" t="n">
        <f aca="false">IFERROR(P899/P898-1,"")</f>
        <v>0.136172017225118</v>
      </c>
      <c r="R899" s="12" t="n">
        <v>835239</v>
      </c>
      <c r="S899" s="13" t="n">
        <f aca="false">IFERROR(R899/R898-1,"")</f>
        <v>0.206800942046784</v>
      </c>
      <c r="T899" s="12" t="n">
        <v>471952</v>
      </c>
      <c r="U899" s="13" t="n">
        <f aca="false">IFERROR(T899/P899,"")</f>
        <v>0.607394232514083</v>
      </c>
      <c r="V899" s="14" t="n">
        <f aca="false">T899-AV899</f>
        <v>-1697580</v>
      </c>
      <c r="W899" s="14" t="n">
        <f aca="false">V899-AA899*0.1</f>
        <v>-1697580</v>
      </c>
      <c r="X899" s="12" t="n">
        <v>4245096</v>
      </c>
      <c r="Y899" s="12" t="n">
        <v>137240</v>
      </c>
      <c r="Z899" s="15" t="n">
        <f aca="false">IFERROR(X899/Y899,"")</f>
        <v>30.931914893617</v>
      </c>
      <c r="AA899" s="12" t="n">
        <v>0</v>
      </c>
      <c r="AB899" s="14" t="n">
        <f aca="false">W899-0.02*P899</f>
        <v>-1713120.22</v>
      </c>
      <c r="AC899" s="16" t="n">
        <v>44</v>
      </c>
      <c r="AD899" s="13" t="n">
        <f aca="false">IFERROR(AC899/AC898-1,"")</f>
        <v>0.189189189189189</v>
      </c>
      <c r="AE899" s="17" t="n">
        <v>0.111</v>
      </c>
      <c r="AF899" s="17" t="n">
        <v>0.091</v>
      </c>
      <c r="AG899" s="13" t="n">
        <f aca="false">1-AF899</f>
        <v>0.909</v>
      </c>
      <c r="AH899" s="17" t="n">
        <v>1.122</v>
      </c>
      <c r="AI899" s="12" t="n">
        <v>13832</v>
      </c>
      <c r="AJ899" s="14" t="n">
        <f aca="false">IFERROR(AM899*U899*MIN(1/AE899,5),"")</f>
        <v>37172.5270298619</v>
      </c>
      <c r="AK899" s="18" t="n">
        <f aca="false">IFERROR(AJ899/AI899,"")</f>
        <v>2.68742965802934</v>
      </c>
      <c r="AL899" s="15" t="n">
        <f aca="false">IFERROR(AI899/(AM899*U899/12),"")</f>
        <v>22.3261657549754</v>
      </c>
      <c r="AM899" s="12" t="n">
        <v>12240</v>
      </c>
      <c r="AN899" s="12" t="n">
        <v>1196868</v>
      </c>
      <c r="AO899" s="12" t="n">
        <v>1370821</v>
      </c>
      <c r="AP899" s="17" t="n">
        <v>0.295</v>
      </c>
      <c r="AQ899" s="16" t="n">
        <v>29</v>
      </c>
      <c r="AR899" s="16" t="n">
        <v>4</v>
      </c>
      <c r="AS899" s="13" t="n">
        <f aca="false">IFERROR(AR899/AR898-1,"")</f>
        <v>0</v>
      </c>
      <c r="AT899" s="11" t="s">
        <v>218</v>
      </c>
      <c r="AU899" s="14" t="n">
        <f aca="false">IFERROR(P899/AR899,"")</f>
        <v>194252.75</v>
      </c>
      <c r="AV899" s="12" t="n">
        <v>2169532</v>
      </c>
      <c r="AW899" s="12" t="n">
        <v>876257</v>
      </c>
      <c r="AX899" s="12" t="n">
        <v>604729</v>
      </c>
      <c r="AY899" s="16" t="n">
        <v>26264</v>
      </c>
      <c r="AZ899" s="13" t="n">
        <f aca="false">IFERROR(AY899/AY898-1,"")</f>
        <v>0.243266272189349</v>
      </c>
      <c r="BA899" s="17" t="n">
        <v>0.92</v>
      </c>
      <c r="BB899" s="11" t="s">
        <v>99</v>
      </c>
      <c r="BC899" s="11" t="s">
        <v>126</v>
      </c>
      <c r="BD899" s="11" t="s">
        <v>83</v>
      </c>
      <c r="BE899" s="12" t="n">
        <v>800679</v>
      </c>
      <c r="BF899" s="13" t="n">
        <f aca="false">IFERROR(P899/BE899-1,"")</f>
        <v>-0.0295599110255171</v>
      </c>
      <c r="BG899" s="17" t="n">
        <v>-0.043</v>
      </c>
      <c r="BH899" s="17" t="n">
        <v>0.09</v>
      </c>
      <c r="BI899" s="14" t="n">
        <f aca="false">P899*(1+IFERROR(Q899,0))^4</f>
        <v>1294802.47957855</v>
      </c>
      <c r="BJ899" s="12" t="n">
        <v>-1424363</v>
      </c>
      <c r="BK899" s="11" t="s">
        <v>127</v>
      </c>
      <c r="BL899" s="11" t="s">
        <v>162</v>
      </c>
      <c r="BM899" s="14" t="n">
        <f aca="false">O899</f>
        <v>37246496</v>
      </c>
      <c r="BN899" s="11" t="s">
        <v>833</v>
      </c>
      <c r="BO899" s="13" t="n">
        <f aca="false">IFERROR(1-L899/M899,"")</f>
        <v>0.14798653534472</v>
      </c>
      <c r="BP899" s="11" t="s">
        <v>142</v>
      </c>
      <c r="BQ899" s="12" t="n">
        <v>2353768</v>
      </c>
      <c r="BR899" s="11" t="s">
        <v>88</v>
      </c>
      <c r="BS899" s="11" t="s">
        <v>89</v>
      </c>
      <c r="BT899" s="19" t="str">
        <f aca="false">IF(OR(Z899&lt;6,AH899&lt;0.9,S899&lt;0.02,AK899&lt;1),"REVIEW",IF(AND(S899&gt;0.25,AH899&gt;1.2),"ACCELERATING","STABLE"))</f>
        <v>STABLE</v>
      </c>
    </row>
    <row r="900" customFormat="false" ht="15" hidden="false" customHeight="false" outlineLevel="0" collapsed="false">
      <c r="A900" s="11" t="s">
        <v>831</v>
      </c>
      <c r="B900" s="11" t="s">
        <v>92</v>
      </c>
      <c r="C900" s="11" t="s">
        <v>74</v>
      </c>
      <c r="D900" s="11" t="s">
        <v>132</v>
      </c>
      <c r="E900" s="11" t="s">
        <v>116</v>
      </c>
      <c r="F900" s="11" t="s">
        <v>832</v>
      </c>
      <c r="G900" s="11" t="s">
        <v>78</v>
      </c>
      <c r="H900" s="11" t="s">
        <v>644</v>
      </c>
      <c r="I900" s="11" t="s">
        <v>78</v>
      </c>
      <c r="J900" s="12" t="n">
        <v>3561000</v>
      </c>
      <c r="K900" s="13" t="n">
        <f aca="false">IFERROR(J900/M900,"")</f>
        <v>0.14798653534472</v>
      </c>
      <c r="L900" s="12" t="n">
        <v>20502000</v>
      </c>
      <c r="M900" s="14" t="n">
        <f aca="false">L900+J900</f>
        <v>24063000</v>
      </c>
      <c r="N900" s="12" t="n">
        <v>7441000</v>
      </c>
      <c r="O900" s="12" t="n">
        <v>37246496</v>
      </c>
      <c r="P900" s="12" t="n">
        <v>962020</v>
      </c>
      <c r="Q900" s="13" t="n">
        <f aca="false">IFERROR(P900/P899-1,"")</f>
        <v>0.238103450272905</v>
      </c>
      <c r="R900" s="12" t="n">
        <v>934886</v>
      </c>
      <c r="S900" s="13" t="n">
        <f aca="false">IFERROR(R900/R899-1,"")</f>
        <v>0.119303576581074</v>
      </c>
      <c r="T900" s="12" t="n">
        <v>586681</v>
      </c>
      <c r="U900" s="13" t="n">
        <f aca="false">IFERROR(T900/P900,"")</f>
        <v>0.60984283071038</v>
      </c>
      <c r="V900" s="14" t="n">
        <f aca="false">T900-AV900</f>
        <v>-1715733</v>
      </c>
      <c r="W900" s="14" t="n">
        <f aca="false">V900-AA900*0.1</f>
        <v>-1715733</v>
      </c>
      <c r="X900" s="12" t="n">
        <v>3886374</v>
      </c>
      <c r="Y900" s="12" t="n">
        <v>141620</v>
      </c>
      <c r="Z900" s="15" t="n">
        <f aca="false">IFERROR(X900/Y900,"")</f>
        <v>27.4422680412371</v>
      </c>
      <c r="AA900" s="12" t="n">
        <v>0</v>
      </c>
      <c r="AB900" s="14" t="n">
        <f aca="false">W900-0.02*P900</f>
        <v>-1734973.4</v>
      </c>
      <c r="AC900" s="16" t="n">
        <v>46</v>
      </c>
      <c r="AD900" s="13" t="n">
        <f aca="false">IFERROR(AC900/AC899-1,"")</f>
        <v>0.0454545454545454</v>
      </c>
      <c r="AE900" s="17" t="n">
        <v>0.108</v>
      </c>
      <c r="AF900" s="17" t="n">
        <v>0.1</v>
      </c>
      <c r="AG900" s="13" t="n">
        <f aca="false">1-AF900</f>
        <v>0.9</v>
      </c>
      <c r="AH900" s="17" t="n">
        <v>1.117</v>
      </c>
      <c r="AI900" s="12" t="n">
        <v>13566</v>
      </c>
      <c r="AJ900" s="14" t="n">
        <f aca="false">IFERROR(AM900*U900*MIN(1/AE900,5),"")</f>
        <v>38054.1926363277</v>
      </c>
      <c r="AK900" s="18" t="n">
        <f aca="false">IFERROR(AJ900/AI900,"")</f>
        <v>2.80511518769923</v>
      </c>
      <c r="AL900" s="15" t="n">
        <f aca="false">IFERROR(AI900/(AM900*U900/12),"")</f>
        <v>21.3894959690452</v>
      </c>
      <c r="AM900" s="12" t="n">
        <v>12480</v>
      </c>
      <c r="AN900" s="12" t="n">
        <v>1387653</v>
      </c>
      <c r="AO900" s="12" t="n">
        <v>1553164</v>
      </c>
      <c r="AP900" s="17" t="n">
        <v>0.295</v>
      </c>
      <c r="AQ900" s="16" t="n">
        <v>29</v>
      </c>
      <c r="AR900" s="16" t="n">
        <v>5</v>
      </c>
      <c r="AS900" s="13" t="n">
        <f aca="false">IFERROR(AR900/AR899-1,"")</f>
        <v>0.25</v>
      </c>
      <c r="AT900" s="11" t="s">
        <v>218</v>
      </c>
      <c r="AU900" s="14" t="n">
        <f aca="false">IFERROR(P900/AR900,"")</f>
        <v>192404</v>
      </c>
      <c r="AV900" s="12" t="n">
        <v>2302414</v>
      </c>
      <c r="AW900" s="12" t="n">
        <v>734334</v>
      </c>
      <c r="AX900" s="12" t="n">
        <v>458630</v>
      </c>
      <c r="AY900" s="16" t="n">
        <v>29413</v>
      </c>
      <c r="AZ900" s="13" t="n">
        <f aca="false">IFERROR(AY900/AY899-1,"")</f>
        <v>0.119897959183674</v>
      </c>
      <c r="BA900" s="17" t="n">
        <v>0.882</v>
      </c>
      <c r="BB900" s="11" t="s">
        <v>99</v>
      </c>
      <c r="BC900" s="11" t="s">
        <v>126</v>
      </c>
      <c r="BD900" s="11" t="s">
        <v>83</v>
      </c>
      <c r="BE900" s="12" t="n">
        <v>1153844</v>
      </c>
      <c r="BF900" s="13" t="n">
        <f aca="false">IFERROR(P900/BE900-1,"")</f>
        <v>-0.16624777699585</v>
      </c>
      <c r="BG900" s="17" t="n">
        <v>0.005</v>
      </c>
      <c r="BH900" s="17" t="n">
        <v>0.073</v>
      </c>
      <c r="BI900" s="14" t="n">
        <f aca="false">P900*(1+IFERROR(Q900,0))^4</f>
        <v>2260538.1270242</v>
      </c>
      <c r="BJ900" s="12" t="n">
        <v>-1113517</v>
      </c>
      <c r="BK900" s="11" t="s">
        <v>127</v>
      </c>
      <c r="BL900" s="11" t="s">
        <v>162</v>
      </c>
      <c r="BM900" s="14" t="n">
        <f aca="false">O900</f>
        <v>37246496</v>
      </c>
      <c r="BN900" s="11" t="s">
        <v>833</v>
      </c>
      <c r="BO900" s="13" t="n">
        <f aca="false">IFERROR(1-L900/M900,"")</f>
        <v>0.14798653534472</v>
      </c>
      <c r="BP900" s="11" t="s">
        <v>142</v>
      </c>
      <c r="BQ900" s="12" t="n">
        <v>2542707</v>
      </c>
      <c r="BR900" s="11" t="s">
        <v>88</v>
      </c>
      <c r="BS900" s="11" t="s">
        <v>89</v>
      </c>
      <c r="BT900" s="19" t="str">
        <f aca="false">IF(OR(Z900&lt;6,AH900&lt;0.9,S900&lt;0.02,AK900&lt;1),"REVIEW",IF(AND(S900&gt;0.25,AH900&gt;1.2),"ACCELERATING","STABLE"))</f>
        <v>STABLE</v>
      </c>
    </row>
    <row r="901" customFormat="false" ht="15" hidden="false" customHeight="false" outlineLevel="0" collapsed="false">
      <c r="A901" s="11" t="s">
        <v>831</v>
      </c>
      <c r="B901" s="11" t="s">
        <v>93</v>
      </c>
      <c r="C901" s="11" t="s">
        <v>74</v>
      </c>
      <c r="D901" s="11" t="s">
        <v>132</v>
      </c>
      <c r="E901" s="11" t="s">
        <v>116</v>
      </c>
      <c r="F901" s="11" t="s">
        <v>832</v>
      </c>
      <c r="G901" s="11" t="s">
        <v>78</v>
      </c>
      <c r="H901" s="11" t="s">
        <v>644</v>
      </c>
      <c r="I901" s="11" t="s">
        <v>78</v>
      </c>
      <c r="J901" s="12" t="n">
        <v>3561000</v>
      </c>
      <c r="K901" s="13" t="n">
        <f aca="false">IFERROR(J901/M901,"")</f>
        <v>0.14798653534472</v>
      </c>
      <c r="L901" s="12" t="n">
        <v>20502000</v>
      </c>
      <c r="M901" s="14" t="n">
        <f aca="false">L901+J901</f>
        <v>24063000</v>
      </c>
      <c r="N901" s="12" t="n">
        <v>7441000</v>
      </c>
      <c r="O901" s="12" t="n">
        <v>37246496</v>
      </c>
      <c r="P901" s="12" t="n">
        <v>1161321</v>
      </c>
      <c r="Q901" s="13" t="n">
        <f aca="false">IFERROR(P901/P900-1,"")</f>
        <v>0.207169289619758</v>
      </c>
      <c r="R901" s="12" t="n">
        <v>1199047</v>
      </c>
      <c r="S901" s="13" t="n">
        <f aca="false">IFERROR(R901/R900-1,"")</f>
        <v>0.282559584804992</v>
      </c>
      <c r="T901" s="12" t="n">
        <v>711067</v>
      </c>
      <c r="U901" s="13" t="n">
        <f aca="false">IFERROR(T901/P901,"")</f>
        <v>0.612291519743465</v>
      </c>
      <c r="V901" s="14" t="n">
        <f aca="false">T901-AV901</f>
        <v>-1441342</v>
      </c>
      <c r="W901" s="14" t="n">
        <f aca="false">V901-AA901*0.1</f>
        <v>-1441342</v>
      </c>
      <c r="X901" s="12" t="n">
        <v>3504000</v>
      </c>
      <c r="Y901" s="12" t="n">
        <v>146000</v>
      </c>
      <c r="Z901" s="15" t="n">
        <f aca="false">IFERROR(X901/Y901,"")</f>
        <v>24</v>
      </c>
      <c r="AA901" s="12" t="n">
        <v>0</v>
      </c>
      <c r="AB901" s="14" t="n">
        <f aca="false">W901-0.02*P901</f>
        <v>-1464568.42</v>
      </c>
      <c r="AC901" s="16" t="n">
        <v>53</v>
      </c>
      <c r="AD901" s="13" t="n">
        <f aca="false">IFERROR(AC901/AC900-1,"")</f>
        <v>0.152173913043478</v>
      </c>
      <c r="AE901" s="17" t="n">
        <v>0.105</v>
      </c>
      <c r="AF901" s="17" t="n">
        <v>0.101</v>
      </c>
      <c r="AG901" s="13" t="n">
        <f aca="false">1-AF901</f>
        <v>0.899</v>
      </c>
      <c r="AH901" s="17" t="n">
        <v>1.112</v>
      </c>
      <c r="AI901" s="12" t="n">
        <v>13300</v>
      </c>
      <c r="AJ901" s="14" t="n">
        <f aca="false">IFERROR(AM901*U901*MIN(1/AE901,5),"")</f>
        <v>38941.7406556843</v>
      </c>
      <c r="AK901" s="18" t="n">
        <f aca="false">IFERROR(AJ901/AI901,"")</f>
        <v>2.92795042523942</v>
      </c>
      <c r="AL901" s="15" t="n">
        <f aca="false">IFERROR(AI901/(AM901*U901/12),"")</f>
        <v>20.4921502368312</v>
      </c>
      <c r="AM901" s="12" t="n">
        <v>12720</v>
      </c>
      <c r="AN901" s="12" t="n">
        <v>1635528</v>
      </c>
      <c r="AO901" s="12" t="n">
        <v>3228476</v>
      </c>
      <c r="AP901" s="17" t="n">
        <v>0.295</v>
      </c>
      <c r="AQ901" s="16" t="n">
        <v>29</v>
      </c>
      <c r="AR901" s="16" t="n">
        <v>5</v>
      </c>
      <c r="AS901" s="13" t="n">
        <f aca="false">IFERROR(AR901/AR900-1,"")</f>
        <v>0</v>
      </c>
      <c r="AT901" s="11" t="s">
        <v>218</v>
      </c>
      <c r="AU901" s="14" t="n">
        <f aca="false">IFERROR(P901/AR901,"")</f>
        <v>232264.2</v>
      </c>
      <c r="AV901" s="12" t="n">
        <v>2152409</v>
      </c>
      <c r="AW901" s="12" t="n">
        <v>1013959</v>
      </c>
      <c r="AX901" s="12" t="n">
        <v>570924</v>
      </c>
      <c r="AY901" s="16" t="n">
        <v>35774</v>
      </c>
      <c r="AZ901" s="13" t="n">
        <f aca="false">IFERROR(AY901/AY900-1,"")</f>
        <v>0.216264916873491</v>
      </c>
      <c r="BA901" s="17" t="n">
        <v>0.894</v>
      </c>
      <c r="BB901" s="11" t="s">
        <v>99</v>
      </c>
      <c r="BC901" s="11" t="s">
        <v>126</v>
      </c>
      <c r="BD901" s="11" t="s">
        <v>83</v>
      </c>
      <c r="BE901" s="12" t="n">
        <v>1394577</v>
      </c>
      <c r="BF901" s="13" t="n">
        <f aca="false">IFERROR(P901/BE901-1,"")</f>
        <v>-0.167259319492577</v>
      </c>
      <c r="BG901" s="17" t="n">
        <v>-0.041</v>
      </c>
      <c r="BH901" s="17" t="n">
        <v>0.092</v>
      </c>
      <c r="BI901" s="14" t="n">
        <f aca="false">P901*(1+IFERROR(Q901,0))^4</f>
        <v>2466181.2595069</v>
      </c>
      <c r="BJ901" s="12" t="n">
        <v>-1075456</v>
      </c>
      <c r="BK901" s="11" t="s">
        <v>127</v>
      </c>
      <c r="BL901" s="11" t="s">
        <v>162</v>
      </c>
      <c r="BM901" s="14" t="n">
        <f aca="false">O901</f>
        <v>37246496</v>
      </c>
      <c r="BN901" s="11" t="s">
        <v>833</v>
      </c>
      <c r="BO901" s="13" t="n">
        <f aca="false">IFERROR(1-L901/M901,"")</f>
        <v>0.14798653534472</v>
      </c>
      <c r="BP901" s="11" t="s">
        <v>142</v>
      </c>
      <c r="BQ901" s="12" t="n">
        <v>2301431</v>
      </c>
      <c r="BR901" s="11" t="s">
        <v>88</v>
      </c>
      <c r="BS901" s="11" t="s">
        <v>89</v>
      </c>
      <c r="BT901" s="19" t="str">
        <f aca="false">IF(OR(Z901&lt;6,AH901&lt;0.9,S901&lt;0.02,AK901&lt;1),"REVIEW",IF(AND(S901&gt;0.25,AH901&gt;1.2),"ACCELERATING","STABLE"))</f>
        <v>STABLE</v>
      </c>
    </row>
    <row r="902" customFormat="false" ht="15" hidden="false" customHeight="false" outlineLevel="0" collapsed="false">
      <c r="A902" s="3" t="s">
        <v>834</v>
      </c>
      <c r="B902" s="3" t="s">
        <v>73</v>
      </c>
      <c r="C902" s="3" t="s">
        <v>74</v>
      </c>
      <c r="D902" s="3" t="s">
        <v>210</v>
      </c>
      <c r="E902" s="3" t="s">
        <v>105</v>
      </c>
      <c r="F902" s="3" t="s">
        <v>835</v>
      </c>
      <c r="G902" s="3" t="s">
        <v>78</v>
      </c>
      <c r="H902" s="3" t="s">
        <v>644</v>
      </c>
      <c r="I902" s="3" t="s">
        <v>78</v>
      </c>
      <c r="J902" s="4" t="n">
        <v>1912000</v>
      </c>
      <c r="K902" s="5" t="n">
        <f aca="false">IFERROR(J902/M902,"")</f>
        <v>0.115028275779088</v>
      </c>
      <c r="L902" s="4" t="n">
        <v>14710000</v>
      </c>
      <c r="M902" s="6" t="n">
        <f aca="false">L902+J902</f>
        <v>16622000</v>
      </c>
      <c r="N902" s="4" t="n">
        <v>7925000</v>
      </c>
      <c r="O902" s="4" t="n">
        <v>32566749</v>
      </c>
      <c r="P902" s="4" t="n">
        <v>900471</v>
      </c>
      <c r="Q902" s="7"/>
      <c r="R902" s="4" t="n">
        <v>1004584</v>
      </c>
      <c r="S902" s="7"/>
      <c r="T902" s="4" t="n">
        <v>550030</v>
      </c>
      <c r="U902" s="5" t="n">
        <f aca="false">IFERROR(T902/P902,"")</f>
        <v>0.610824779476518</v>
      </c>
      <c r="V902" s="6" t="n">
        <f aca="false">T902-AV902</f>
        <v>-1883464</v>
      </c>
      <c r="W902" s="6" t="n">
        <f aca="false">V902-AA902*0.1</f>
        <v>-1883464</v>
      </c>
      <c r="X902" s="4" t="n">
        <v>3347196</v>
      </c>
      <c r="Y902" s="4" t="n">
        <v>149240</v>
      </c>
      <c r="Z902" s="8" t="n">
        <f aca="false">IFERROR(X902/Y902,"")</f>
        <v>22.4282766014473</v>
      </c>
      <c r="AA902" s="4" t="n">
        <v>0</v>
      </c>
      <c r="AB902" s="6" t="n">
        <f aca="false">W902-0.02*P902</f>
        <v>-1901473.42</v>
      </c>
      <c r="AC902" s="9" t="n">
        <v>17</v>
      </c>
      <c r="AD902" s="7"/>
      <c r="AE902" s="7" t="n">
        <v>0.077</v>
      </c>
      <c r="AF902" s="7" t="n">
        <v>0.073</v>
      </c>
      <c r="AG902" s="5" t="n">
        <f aca="false">1-AF902</f>
        <v>0.927</v>
      </c>
      <c r="AH902" s="7" t="n">
        <v>1.104</v>
      </c>
      <c r="AI902" s="4" t="n">
        <v>65402</v>
      </c>
      <c r="AJ902" s="6" t="n">
        <f aca="false">IFERROR(AM902*U902*MIN(1/AE902,5),"")</f>
        <v>140489.699279599</v>
      </c>
      <c r="AK902" s="10" t="n">
        <f aca="false">IFERROR(AJ902/AI902,"")</f>
        <v>2.14809484846945</v>
      </c>
      <c r="AL902" s="8" t="n">
        <f aca="false">IFERROR(AI902/(AM902*U902/12),"")</f>
        <v>27.9317275225304</v>
      </c>
      <c r="AM902" s="4" t="n">
        <v>46000</v>
      </c>
      <c r="AN902" s="4" t="n">
        <v>1427897</v>
      </c>
      <c r="AO902" s="4" t="n">
        <v>3555215</v>
      </c>
      <c r="AP902" s="7" t="n">
        <v>0.336</v>
      </c>
      <c r="AQ902" s="9" t="n">
        <v>68</v>
      </c>
      <c r="AR902" s="9" t="n">
        <v>4</v>
      </c>
      <c r="AS902" s="7"/>
      <c r="AT902" s="3" t="s">
        <v>134</v>
      </c>
      <c r="AU902" s="6" t="n">
        <f aca="false">IFERROR(P902/AR902,"")</f>
        <v>225117.75</v>
      </c>
      <c r="AV902" s="4" t="n">
        <v>2433494</v>
      </c>
      <c r="AW902" s="4" t="n">
        <v>830162</v>
      </c>
      <c r="AX902" s="4" t="n">
        <v>467811</v>
      </c>
      <c r="AY902" s="9" t="n">
        <v>11943</v>
      </c>
      <c r="AZ902" s="7"/>
      <c r="BA902" s="7" t="n">
        <v>0.92</v>
      </c>
      <c r="BB902" s="3" t="s">
        <v>99</v>
      </c>
      <c r="BC902" s="3" t="s">
        <v>82</v>
      </c>
      <c r="BD902" s="3" t="s">
        <v>175</v>
      </c>
      <c r="BE902" s="4" t="n">
        <v>898111</v>
      </c>
      <c r="BF902" s="5" t="n">
        <f aca="false">IFERROR(P902/BE902-1,"")</f>
        <v>0.00262773755137169</v>
      </c>
      <c r="BG902" s="7" t="n">
        <v>0.028</v>
      </c>
      <c r="BH902" s="7" t="n">
        <v>0.037</v>
      </c>
      <c r="BI902" s="6" t="n">
        <f aca="false">P902</f>
        <v>900471</v>
      </c>
      <c r="BJ902" s="4" t="n">
        <v>-1446540</v>
      </c>
      <c r="BK902" s="3" t="s">
        <v>102</v>
      </c>
      <c r="BL902" s="3" t="s">
        <v>162</v>
      </c>
      <c r="BM902" s="6" t="n">
        <f aca="false">O902</f>
        <v>32566749</v>
      </c>
      <c r="BN902" s="3" t="s">
        <v>836</v>
      </c>
      <c r="BO902" s="5" t="n">
        <f aca="false">IFERROR(1-L902/M902,"")</f>
        <v>0.115028275779088</v>
      </c>
      <c r="BP902" s="3" t="s">
        <v>113</v>
      </c>
      <c r="BQ902" s="4" t="n">
        <v>2866404</v>
      </c>
      <c r="BR902" s="3" t="s">
        <v>88</v>
      </c>
      <c r="BS902" s="3" t="s">
        <v>89</v>
      </c>
      <c r="BT902" s="3" t="s">
        <v>90</v>
      </c>
    </row>
    <row r="903" customFormat="false" ht="15" hidden="false" customHeight="false" outlineLevel="0" collapsed="false">
      <c r="A903" s="11" t="s">
        <v>834</v>
      </c>
      <c r="B903" s="11" t="s">
        <v>91</v>
      </c>
      <c r="C903" s="11" t="s">
        <v>74</v>
      </c>
      <c r="D903" s="11" t="s">
        <v>210</v>
      </c>
      <c r="E903" s="11" t="s">
        <v>105</v>
      </c>
      <c r="F903" s="11" t="s">
        <v>835</v>
      </c>
      <c r="G903" s="11" t="s">
        <v>78</v>
      </c>
      <c r="H903" s="11" t="s">
        <v>644</v>
      </c>
      <c r="I903" s="11" t="s">
        <v>78</v>
      </c>
      <c r="J903" s="12" t="n">
        <v>1912000</v>
      </c>
      <c r="K903" s="13" t="n">
        <f aca="false">IFERROR(J903/M903,"")</f>
        <v>0.115028275779088</v>
      </c>
      <c r="L903" s="12" t="n">
        <v>14710000</v>
      </c>
      <c r="M903" s="14" t="n">
        <f aca="false">L903+J903</f>
        <v>16622000</v>
      </c>
      <c r="N903" s="12" t="n">
        <v>7925000</v>
      </c>
      <c r="O903" s="12" t="n">
        <v>32566749</v>
      </c>
      <c r="P903" s="12" t="n">
        <v>1007725</v>
      </c>
      <c r="Q903" s="13" t="n">
        <f aca="false">IFERROR(P903/P902-1,"")</f>
        <v>0.119108777517544</v>
      </c>
      <c r="R903" s="12" t="n">
        <v>1130924</v>
      </c>
      <c r="S903" s="13" t="n">
        <f aca="false">IFERROR(R903/R902-1,"")</f>
        <v>0.125763500115471</v>
      </c>
      <c r="T903" s="12" t="n">
        <v>618036</v>
      </c>
      <c r="U903" s="13" t="n">
        <f aca="false">IFERROR(T903/P903,"")</f>
        <v>0.613298270857625</v>
      </c>
      <c r="V903" s="14" t="n">
        <f aca="false">T903-AV903</f>
        <v>-1395063</v>
      </c>
      <c r="W903" s="14" t="n">
        <f aca="false">V903-AA903*0.1</f>
        <v>-1395063</v>
      </c>
      <c r="X903" s="12" t="n">
        <v>2970816</v>
      </c>
      <c r="Y903" s="12" t="n">
        <v>154160</v>
      </c>
      <c r="Z903" s="15" t="n">
        <f aca="false">IFERROR(X903/Y903,"")</f>
        <v>19.2709911779969</v>
      </c>
      <c r="AA903" s="12" t="n">
        <v>0</v>
      </c>
      <c r="AB903" s="14" t="n">
        <f aca="false">W903-0.02*P903</f>
        <v>-1415217.5</v>
      </c>
      <c r="AC903" s="16" t="n">
        <v>19</v>
      </c>
      <c r="AD903" s="13" t="n">
        <f aca="false">IFERROR(AC903/AC902-1,"")</f>
        <v>0.117647058823529</v>
      </c>
      <c r="AE903" s="17" t="n">
        <v>0.075</v>
      </c>
      <c r="AF903" s="17" t="n">
        <v>0.048</v>
      </c>
      <c r="AG903" s="13" t="n">
        <f aca="false">1-AF903</f>
        <v>0.952</v>
      </c>
      <c r="AH903" s="17" t="n">
        <v>1.099</v>
      </c>
      <c r="AI903" s="12" t="n">
        <v>64168</v>
      </c>
      <c r="AJ903" s="14" t="n">
        <f aca="false">IFERROR(AM903*U903*MIN(1/AE903,5),"")</f>
        <v>143879.774343199</v>
      </c>
      <c r="AK903" s="18" t="n">
        <f aca="false">IFERROR(AJ903/AI903,"")</f>
        <v>2.24223560564766</v>
      </c>
      <c r="AL903" s="15" t="n">
        <f aca="false">IFERROR(AI903/(AM903*U903/12),"")</f>
        <v>26.7590077728114</v>
      </c>
      <c r="AM903" s="12" t="n">
        <v>46920</v>
      </c>
      <c r="AN903" s="12" t="n">
        <v>1623815</v>
      </c>
      <c r="AO903" s="12" t="n">
        <v>4054413</v>
      </c>
      <c r="AP903" s="17" t="n">
        <v>0.336</v>
      </c>
      <c r="AQ903" s="16" t="n">
        <v>68</v>
      </c>
      <c r="AR903" s="16" t="n">
        <v>4</v>
      </c>
      <c r="AS903" s="13" t="n">
        <f aca="false">IFERROR(AR903/AR902-1,"")</f>
        <v>0</v>
      </c>
      <c r="AT903" s="11" t="s">
        <v>134</v>
      </c>
      <c r="AU903" s="14" t="n">
        <f aca="false">IFERROR(P903/AR903,"")</f>
        <v>251931.25</v>
      </c>
      <c r="AV903" s="12" t="n">
        <v>2013099</v>
      </c>
      <c r="AW903" s="12" t="n">
        <v>893719</v>
      </c>
      <c r="AX903" s="12" t="n">
        <v>442890</v>
      </c>
      <c r="AY903" s="16" t="n">
        <v>14916</v>
      </c>
      <c r="AZ903" s="13" t="n">
        <f aca="false">IFERROR(AY903/AY902-1,"")</f>
        <v>0.24893242903793</v>
      </c>
      <c r="BA903" s="17" t="n">
        <v>0.936</v>
      </c>
      <c r="BB903" s="11" t="s">
        <v>99</v>
      </c>
      <c r="BC903" s="11" t="s">
        <v>82</v>
      </c>
      <c r="BD903" s="11" t="s">
        <v>175</v>
      </c>
      <c r="BE903" s="12" t="n">
        <v>1171901</v>
      </c>
      <c r="BF903" s="13" t="n">
        <f aca="false">IFERROR(P903/BE903-1,"")</f>
        <v>-0.140093745120108</v>
      </c>
      <c r="BG903" s="17" t="n">
        <v>-0.047</v>
      </c>
      <c r="BH903" s="17" t="n">
        <v>-0.064</v>
      </c>
      <c r="BI903" s="14" t="n">
        <f aca="false">P903*(1+IFERROR(Q903,0))^4</f>
        <v>1580633.71441656</v>
      </c>
      <c r="BJ903" s="12" t="n">
        <v>-1521260</v>
      </c>
      <c r="BK903" s="11" t="s">
        <v>102</v>
      </c>
      <c r="BL903" s="11" t="s">
        <v>162</v>
      </c>
      <c r="BM903" s="14" t="n">
        <f aca="false">O903</f>
        <v>32566749</v>
      </c>
      <c r="BN903" s="11" t="s">
        <v>836</v>
      </c>
      <c r="BO903" s="13" t="n">
        <f aca="false">IFERROR(1-L903/M903,"")</f>
        <v>0.115028275779088</v>
      </c>
      <c r="BP903" s="11" t="s">
        <v>113</v>
      </c>
      <c r="BQ903" s="12" t="n">
        <v>2398124</v>
      </c>
      <c r="BR903" s="11" t="s">
        <v>88</v>
      </c>
      <c r="BS903" s="11" t="s">
        <v>89</v>
      </c>
      <c r="BT903" s="19" t="str">
        <f aca="false">IF(OR(Z903&lt;6,AH903&lt;0.9,S903&lt;0.02,AK903&lt;1),"REVIEW",IF(AND(S903&gt;0.25,AH903&gt;1.2),"ACCELERATING","STABLE"))</f>
        <v>STABLE</v>
      </c>
    </row>
    <row r="904" customFormat="false" ht="15" hidden="false" customHeight="false" outlineLevel="0" collapsed="false">
      <c r="A904" s="11" t="s">
        <v>834</v>
      </c>
      <c r="B904" s="11" t="s">
        <v>92</v>
      </c>
      <c r="C904" s="11" t="s">
        <v>74</v>
      </c>
      <c r="D904" s="11" t="s">
        <v>210</v>
      </c>
      <c r="E904" s="11" t="s">
        <v>105</v>
      </c>
      <c r="F904" s="11" t="s">
        <v>835</v>
      </c>
      <c r="G904" s="11" t="s">
        <v>78</v>
      </c>
      <c r="H904" s="11" t="s">
        <v>644</v>
      </c>
      <c r="I904" s="11" t="s">
        <v>78</v>
      </c>
      <c r="J904" s="12" t="n">
        <v>1912000</v>
      </c>
      <c r="K904" s="13" t="n">
        <f aca="false">IFERROR(J904/M904,"")</f>
        <v>0.115028275779088</v>
      </c>
      <c r="L904" s="12" t="n">
        <v>14710000</v>
      </c>
      <c r="M904" s="14" t="n">
        <f aca="false">L904+J904</f>
        <v>16622000</v>
      </c>
      <c r="N904" s="12" t="n">
        <v>7925000</v>
      </c>
      <c r="O904" s="12" t="n">
        <v>32566749</v>
      </c>
      <c r="P904" s="12" t="n">
        <v>1290466</v>
      </c>
      <c r="Q904" s="13" t="n">
        <f aca="false">IFERROR(P904/P903-1,"")</f>
        <v>0.280573569178099</v>
      </c>
      <c r="R904" s="12" t="n">
        <v>1448777</v>
      </c>
      <c r="S904" s="13" t="n">
        <f aca="false">IFERROR(R904/R903-1,"")</f>
        <v>0.281056021447949</v>
      </c>
      <c r="T904" s="12" t="n">
        <v>794632</v>
      </c>
      <c r="U904" s="13" t="n">
        <f aca="false">IFERROR(T904/P904,"")</f>
        <v>0.615771357013668</v>
      </c>
      <c r="V904" s="14" t="n">
        <f aca="false">T904-AV904</f>
        <v>-1757133</v>
      </c>
      <c r="W904" s="14" t="n">
        <f aca="false">V904-AA904*0.1</f>
        <v>-1757133</v>
      </c>
      <c r="X904" s="12" t="n">
        <v>2567868</v>
      </c>
      <c r="Y904" s="12" t="n">
        <v>159080</v>
      </c>
      <c r="Z904" s="15" t="n">
        <f aca="false">IFERROR(X904/Y904,"")</f>
        <v>16.1419914508423</v>
      </c>
      <c r="AA904" s="12" t="n">
        <v>0</v>
      </c>
      <c r="AB904" s="14" t="n">
        <f aca="false">W904-0.02*P904</f>
        <v>-1782942.32</v>
      </c>
      <c r="AC904" s="16" t="n">
        <v>23</v>
      </c>
      <c r="AD904" s="13" t="n">
        <f aca="false">IFERROR(AC904/AC903-1,"")</f>
        <v>0.210526315789474</v>
      </c>
      <c r="AE904" s="17" t="n">
        <v>0.073</v>
      </c>
      <c r="AF904" s="17" t="n">
        <v>0.057</v>
      </c>
      <c r="AG904" s="13" t="n">
        <f aca="false">1-AF904</f>
        <v>0.943</v>
      </c>
      <c r="AH904" s="17" t="n">
        <v>1.094</v>
      </c>
      <c r="AI904" s="12" t="n">
        <v>62934</v>
      </c>
      <c r="AJ904" s="14" t="n">
        <f aca="false">IFERROR(AM904*U904*MIN(1/AE904,5),"")</f>
        <v>147292.508597669</v>
      </c>
      <c r="AK904" s="18" t="n">
        <f aca="false">IFERROR(AJ904/AI904,"")</f>
        <v>2.34042820411335</v>
      </c>
      <c r="AL904" s="15" t="n">
        <f aca="false">IFERROR(AI904/(AM904*U904/12),"")</f>
        <v>25.6363343658861</v>
      </c>
      <c r="AM904" s="12" t="n">
        <v>47840</v>
      </c>
      <c r="AN904" s="12" t="n">
        <v>1949658</v>
      </c>
      <c r="AO904" s="12" t="n">
        <v>4718368</v>
      </c>
      <c r="AP904" s="17" t="n">
        <v>0.336</v>
      </c>
      <c r="AQ904" s="16" t="n">
        <v>68</v>
      </c>
      <c r="AR904" s="16" t="n">
        <v>5</v>
      </c>
      <c r="AS904" s="13" t="n">
        <f aca="false">IFERROR(AR904/AR903-1,"")</f>
        <v>0.25</v>
      </c>
      <c r="AT904" s="11" t="s">
        <v>134</v>
      </c>
      <c r="AU904" s="14" t="n">
        <f aca="false">IFERROR(P904/AR904,"")</f>
        <v>258093.2</v>
      </c>
      <c r="AV904" s="12" t="n">
        <v>2551765</v>
      </c>
      <c r="AW904" s="12" t="n">
        <v>1039004</v>
      </c>
      <c r="AX904" s="12" t="n">
        <v>519113</v>
      </c>
      <c r="AY904" s="16" t="n">
        <v>18326</v>
      </c>
      <c r="AZ904" s="13" t="n">
        <f aca="false">IFERROR(AY904/AY903-1,"")</f>
        <v>0.228613569321534</v>
      </c>
      <c r="BA904" s="17" t="n">
        <v>0.92</v>
      </c>
      <c r="BB904" s="11" t="s">
        <v>99</v>
      </c>
      <c r="BC904" s="11" t="s">
        <v>82</v>
      </c>
      <c r="BD904" s="11" t="s">
        <v>175</v>
      </c>
      <c r="BE904" s="12" t="n">
        <v>1269686</v>
      </c>
      <c r="BF904" s="13" t="n">
        <f aca="false">IFERROR(P904/BE904-1,"")</f>
        <v>0.0163662511833635</v>
      </c>
      <c r="BG904" s="17" t="n">
        <v>-0.042</v>
      </c>
      <c r="BH904" s="17" t="n">
        <v>0</v>
      </c>
      <c r="BI904" s="14" t="n">
        <f aca="false">P904*(1+IFERROR(Q904,0))^4</f>
        <v>3470281.47502473</v>
      </c>
      <c r="BJ904" s="12" t="n">
        <v>-1071668</v>
      </c>
      <c r="BK904" s="11" t="s">
        <v>102</v>
      </c>
      <c r="BL904" s="11" t="s">
        <v>162</v>
      </c>
      <c r="BM904" s="14" t="n">
        <f aca="false">O904</f>
        <v>32566749</v>
      </c>
      <c r="BN904" s="11" t="s">
        <v>836</v>
      </c>
      <c r="BO904" s="13" t="n">
        <f aca="false">IFERROR(1-L904/M904,"")</f>
        <v>0.115028275779088</v>
      </c>
      <c r="BP904" s="11" t="s">
        <v>113</v>
      </c>
      <c r="BQ904" s="12" t="n">
        <v>2946642</v>
      </c>
      <c r="BR904" s="11" t="s">
        <v>88</v>
      </c>
      <c r="BS904" s="11" t="s">
        <v>89</v>
      </c>
      <c r="BT904" s="19" t="str">
        <f aca="false">IF(OR(Z904&lt;6,AH904&lt;0.9,S904&lt;0.02,AK904&lt;1),"REVIEW",IF(AND(S904&gt;0.25,AH904&gt;1.2),"ACCELERATING","STABLE"))</f>
        <v>STABLE</v>
      </c>
    </row>
    <row r="905" customFormat="false" ht="15" hidden="false" customHeight="false" outlineLevel="0" collapsed="false">
      <c r="A905" s="11" t="s">
        <v>834</v>
      </c>
      <c r="B905" s="11" t="s">
        <v>93</v>
      </c>
      <c r="C905" s="11" t="s">
        <v>74</v>
      </c>
      <c r="D905" s="11" t="s">
        <v>210</v>
      </c>
      <c r="E905" s="11" t="s">
        <v>105</v>
      </c>
      <c r="F905" s="11" t="s">
        <v>835</v>
      </c>
      <c r="G905" s="11" t="s">
        <v>78</v>
      </c>
      <c r="H905" s="11" t="s">
        <v>644</v>
      </c>
      <c r="I905" s="11" t="s">
        <v>78</v>
      </c>
      <c r="J905" s="12" t="n">
        <v>1912000</v>
      </c>
      <c r="K905" s="13" t="n">
        <f aca="false">IFERROR(J905/M905,"")</f>
        <v>0.115028275779088</v>
      </c>
      <c r="L905" s="12" t="n">
        <v>14710000</v>
      </c>
      <c r="M905" s="14" t="n">
        <f aca="false">L905+J905</f>
        <v>16622000</v>
      </c>
      <c r="N905" s="12" t="n">
        <v>7925000</v>
      </c>
      <c r="O905" s="12" t="n">
        <v>32566749</v>
      </c>
      <c r="P905" s="12" t="n">
        <v>1542652</v>
      </c>
      <c r="Q905" s="13" t="n">
        <f aca="false">IFERROR(P905/P904-1,"")</f>
        <v>0.195422428797039</v>
      </c>
      <c r="R905" s="12" t="n">
        <v>1709190</v>
      </c>
      <c r="S905" s="13" t="n">
        <f aca="false">IFERROR(R905/R904-1,"")</f>
        <v>0.179746779525075</v>
      </c>
      <c r="T905" s="12" t="n">
        <v>953736</v>
      </c>
      <c r="U905" s="13" t="n">
        <f aca="false">IFERROR(T905/P905,"")</f>
        <v>0.618244425832916</v>
      </c>
      <c r="V905" s="14" t="n">
        <f aca="false">T905-AV905</f>
        <v>-1584106</v>
      </c>
      <c r="W905" s="14" t="n">
        <f aca="false">V905-AA905*0.1</f>
        <v>-1584106</v>
      </c>
      <c r="X905" s="12" t="n">
        <v>2138352</v>
      </c>
      <c r="Y905" s="12" t="n">
        <v>164000</v>
      </c>
      <c r="Z905" s="15" t="n">
        <f aca="false">IFERROR(X905/Y905,"")</f>
        <v>13.0387317073171</v>
      </c>
      <c r="AA905" s="12" t="n">
        <v>0</v>
      </c>
      <c r="AB905" s="14" t="n">
        <f aca="false">W905-0.02*P905</f>
        <v>-1614959.04</v>
      </c>
      <c r="AC905" s="16" t="n">
        <v>27</v>
      </c>
      <c r="AD905" s="13" t="n">
        <f aca="false">IFERROR(AC905/AC904-1,"")</f>
        <v>0.173913043478261</v>
      </c>
      <c r="AE905" s="17" t="n">
        <v>0.071</v>
      </c>
      <c r="AF905" s="17" t="n">
        <v>0.047</v>
      </c>
      <c r="AG905" s="13" t="n">
        <f aca="false">1-AF905</f>
        <v>0.953</v>
      </c>
      <c r="AH905" s="17" t="n">
        <v>1.089</v>
      </c>
      <c r="AI905" s="12" t="n">
        <v>61700</v>
      </c>
      <c r="AJ905" s="14" t="n">
        <f aca="false">IFERROR(AM905*U905*MIN(1/AE905,5),"")</f>
        <v>150727.991018065</v>
      </c>
      <c r="AK905" s="18" t="n">
        <f aca="false">IFERROR(AJ905/AI905,"")</f>
        <v>2.442917196403</v>
      </c>
      <c r="AL905" s="15" t="n">
        <f aca="false">IFERROR(AI905/(AM905*U905/12),"")</f>
        <v>24.5607997227025</v>
      </c>
      <c r="AM905" s="12" t="n">
        <v>48760</v>
      </c>
      <c r="AN905" s="12" t="n">
        <v>2322102</v>
      </c>
      <c r="AO905" s="12" t="n">
        <v>5052500</v>
      </c>
      <c r="AP905" s="17" t="n">
        <v>0.336</v>
      </c>
      <c r="AQ905" s="16" t="n">
        <v>68</v>
      </c>
      <c r="AR905" s="16" t="n">
        <v>5</v>
      </c>
      <c r="AS905" s="13" t="n">
        <f aca="false">IFERROR(AR905/AR904-1,"")</f>
        <v>0</v>
      </c>
      <c r="AT905" s="11" t="s">
        <v>134</v>
      </c>
      <c r="AU905" s="14" t="n">
        <f aca="false">IFERROR(P905/AR905,"")</f>
        <v>308530.4</v>
      </c>
      <c r="AV905" s="12" t="n">
        <v>2537842</v>
      </c>
      <c r="AW905" s="12" t="n">
        <v>1072123</v>
      </c>
      <c r="AX905" s="12" t="n">
        <v>596430</v>
      </c>
      <c r="AY905" s="16" t="n">
        <v>20912</v>
      </c>
      <c r="AZ905" s="13" t="n">
        <f aca="false">IFERROR(AY905/AY904-1,"")</f>
        <v>0.141110989850486</v>
      </c>
      <c r="BA905" s="17" t="n">
        <v>0.939</v>
      </c>
      <c r="BB905" s="11" t="s">
        <v>99</v>
      </c>
      <c r="BC905" s="11" t="s">
        <v>82</v>
      </c>
      <c r="BD905" s="11" t="s">
        <v>175</v>
      </c>
      <c r="BE905" s="12" t="n">
        <v>1615606</v>
      </c>
      <c r="BF905" s="13" t="n">
        <f aca="false">IFERROR(P905/BE905-1,"")</f>
        <v>-0.0451558115035473</v>
      </c>
      <c r="BG905" s="17" t="n">
        <v>0.031</v>
      </c>
      <c r="BH905" s="17" t="n">
        <v>-0.022</v>
      </c>
      <c r="BI905" s="14" t="n">
        <f aca="false">P905*(1+IFERROR(Q905,0))^4</f>
        <v>3150311.99054167</v>
      </c>
      <c r="BJ905" s="12" t="n">
        <v>-1839473</v>
      </c>
      <c r="BK905" s="11" t="s">
        <v>102</v>
      </c>
      <c r="BL905" s="11" t="s">
        <v>162</v>
      </c>
      <c r="BM905" s="14" t="n">
        <f aca="false">O905</f>
        <v>32566749</v>
      </c>
      <c r="BN905" s="11" t="s">
        <v>836</v>
      </c>
      <c r="BO905" s="13" t="n">
        <f aca="false">IFERROR(1-L905/M905,"")</f>
        <v>0.115028275779088</v>
      </c>
      <c r="BP905" s="11" t="s">
        <v>113</v>
      </c>
      <c r="BQ905" s="12" t="n">
        <v>2867424</v>
      </c>
      <c r="BR905" s="11" t="s">
        <v>88</v>
      </c>
      <c r="BS905" s="11" t="s">
        <v>89</v>
      </c>
      <c r="BT905" s="19" t="str">
        <f aca="false">IF(OR(Z905&lt;6,AH905&lt;0.9,S905&lt;0.02,AK905&lt;1),"REVIEW",IF(AND(S905&gt;0.25,AH905&gt;1.2),"ACCELERATING","STABLE"))</f>
        <v>STABLE</v>
      </c>
    </row>
    <row r="906" customFormat="false" ht="15" hidden="false" customHeight="false" outlineLevel="0" collapsed="false">
      <c r="A906" s="3" t="s">
        <v>837</v>
      </c>
      <c r="B906" s="3" t="s">
        <v>73</v>
      </c>
      <c r="C906" s="3" t="s">
        <v>74</v>
      </c>
      <c r="D906" s="3" t="s">
        <v>210</v>
      </c>
      <c r="E906" s="3" t="s">
        <v>289</v>
      </c>
      <c r="F906" s="3" t="s">
        <v>838</v>
      </c>
      <c r="G906" s="3" t="s">
        <v>78</v>
      </c>
      <c r="H906" s="3" t="s">
        <v>644</v>
      </c>
      <c r="I906" s="3" t="s">
        <v>78</v>
      </c>
      <c r="J906" s="4" t="n">
        <v>1996000</v>
      </c>
      <c r="K906" s="5" t="n">
        <f aca="false">IFERROR(J906/M906,"")</f>
        <v>0.183742980760379</v>
      </c>
      <c r="L906" s="4" t="n">
        <v>8867000</v>
      </c>
      <c r="M906" s="6" t="n">
        <f aca="false">L906+J906</f>
        <v>10863000</v>
      </c>
      <c r="N906" s="4" t="n">
        <v>6902000</v>
      </c>
      <c r="O906" s="4" t="n">
        <v>20960670</v>
      </c>
      <c r="P906" s="4" t="n">
        <v>873081</v>
      </c>
      <c r="Q906" s="7"/>
      <c r="R906" s="4" t="n">
        <v>886281</v>
      </c>
      <c r="S906" s="7"/>
      <c r="T906" s="4" t="n">
        <v>675581</v>
      </c>
      <c r="U906" s="5" t="n">
        <f aca="false">IFERROR(T906/P906,"")</f>
        <v>0.773789602568376</v>
      </c>
      <c r="V906" s="6" t="n">
        <f aca="false">T906-AV906</f>
        <v>-1504705</v>
      </c>
      <c r="W906" s="6" t="n">
        <f aca="false">V906-AA906*0.1</f>
        <v>-1582205</v>
      </c>
      <c r="X906" s="4" t="n">
        <v>5050731</v>
      </c>
      <c r="Y906" s="4" t="n">
        <v>146510</v>
      </c>
      <c r="Z906" s="8" t="n">
        <f aca="false">IFERROR(X906/Y906,"")</f>
        <v>34.4736263736264</v>
      </c>
      <c r="AA906" s="4" t="n">
        <v>775000</v>
      </c>
      <c r="AB906" s="6" t="n">
        <f aca="false">W906-0.02*P906</f>
        <v>-1599666.62</v>
      </c>
      <c r="AC906" s="9" t="n">
        <v>52</v>
      </c>
      <c r="AD906" s="7"/>
      <c r="AE906" s="7" t="n">
        <v>0.075</v>
      </c>
      <c r="AF906" s="7" t="n">
        <v>0.078</v>
      </c>
      <c r="AG906" s="5" t="n">
        <f aca="false">1-AF906</f>
        <v>0.922</v>
      </c>
      <c r="AH906" s="7" t="n">
        <v>1.132</v>
      </c>
      <c r="AI906" s="4" t="n">
        <v>59148</v>
      </c>
      <c r="AJ906" s="6" t="n">
        <f aca="false">IFERROR(AM906*U906*MIN(1/AE906,5),"")</f>
        <v>119937.388398098</v>
      </c>
      <c r="AK906" s="10" t="n">
        <f aca="false">IFERROR(AJ906/AI906,"")</f>
        <v>2.02775053083956</v>
      </c>
      <c r="AL906" s="8" t="n">
        <f aca="false">IFERROR(AI906/(AM906*U906/12),"")</f>
        <v>29.5894386846285</v>
      </c>
      <c r="AM906" s="4" t="n">
        <v>31000</v>
      </c>
      <c r="AN906" s="4" t="n">
        <v>810392</v>
      </c>
      <c r="AO906" s="4" t="n">
        <v>3052166</v>
      </c>
      <c r="AP906" s="7" t="n">
        <v>0.2</v>
      </c>
      <c r="AQ906" s="9" t="n">
        <v>54</v>
      </c>
      <c r="AR906" s="9" t="n">
        <v>2</v>
      </c>
      <c r="AS906" s="7"/>
      <c r="AT906" s="3" t="s">
        <v>80</v>
      </c>
      <c r="AU906" s="6" t="n">
        <f aca="false">IFERROR(P906/AR906,"")</f>
        <v>436540.5</v>
      </c>
      <c r="AV906" s="4" t="n">
        <v>2180286</v>
      </c>
      <c r="AW906" s="4" t="n">
        <v>972720</v>
      </c>
      <c r="AX906" s="4" t="n">
        <v>636824</v>
      </c>
      <c r="AY906" s="9" t="n">
        <v>3821</v>
      </c>
      <c r="AZ906" s="7"/>
      <c r="BA906" s="7" t="n">
        <v>0.937</v>
      </c>
      <c r="BB906" s="3" t="s">
        <v>161</v>
      </c>
      <c r="BC906" s="3" t="s">
        <v>82</v>
      </c>
      <c r="BD906" s="3" t="s">
        <v>101</v>
      </c>
      <c r="BE906" s="4" t="n">
        <v>955548</v>
      </c>
      <c r="BF906" s="5" t="n">
        <f aca="false">IFERROR(P906/BE906-1,"")</f>
        <v>-0.08630335681724</v>
      </c>
      <c r="BG906" s="7" t="n">
        <v>-0.056</v>
      </c>
      <c r="BH906" s="7" t="n">
        <v>-0.059</v>
      </c>
      <c r="BI906" s="6" t="n">
        <f aca="false">P906</f>
        <v>873081</v>
      </c>
      <c r="BJ906" s="4" t="n">
        <v>-1303851</v>
      </c>
      <c r="BK906" s="3" t="s">
        <v>110</v>
      </c>
      <c r="BL906" s="3" t="s">
        <v>128</v>
      </c>
      <c r="BM906" s="6" t="n">
        <f aca="false">O906</f>
        <v>20960670</v>
      </c>
      <c r="BN906" s="3" t="s">
        <v>839</v>
      </c>
      <c r="BO906" s="5" t="n">
        <f aca="false">IFERROR(1-L906/M906,"")</f>
        <v>0.183742980760379</v>
      </c>
      <c r="BP906" s="3" t="s">
        <v>113</v>
      </c>
      <c r="BQ906" s="4" t="n">
        <v>2011936</v>
      </c>
      <c r="BR906" s="3" t="s">
        <v>88</v>
      </c>
      <c r="BS906" s="3" t="s">
        <v>89</v>
      </c>
      <c r="BT906" s="3" t="s">
        <v>90</v>
      </c>
    </row>
    <row r="907" customFormat="false" ht="15" hidden="false" customHeight="false" outlineLevel="0" collapsed="false">
      <c r="A907" s="11" t="s">
        <v>837</v>
      </c>
      <c r="B907" s="11" t="s">
        <v>91</v>
      </c>
      <c r="C907" s="11" t="s">
        <v>74</v>
      </c>
      <c r="D907" s="11" t="s">
        <v>210</v>
      </c>
      <c r="E907" s="11" t="s">
        <v>289</v>
      </c>
      <c r="F907" s="11" t="s">
        <v>838</v>
      </c>
      <c r="G907" s="11" t="s">
        <v>78</v>
      </c>
      <c r="H907" s="11" t="s">
        <v>644</v>
      </c>
      <c r="I907" s="11" t="s">
        <v>78</v>
      </c>
      <c r="J907" s="12" t="n">
        <v>1996000</v>
      </c>
      <c r="K907" s="13" t="n">
        <f aca="false">IFERROR(J907/M907,"")</f>
        <v>0.183742980760379</v>
      </c>
      <c r="L907" s="12" t="n">
        <v>8867000</v>
      </c>
      <c r="M907" s="14" t="n">
        <f aca="false">L907+J907</f>
        <v>10863000</v>
      </c>
      <c r="N907" s="12" t="n">
        <v>6902000</v>
      </c>
      <c r="O907" s="12" t="n">
        <v>20960670</v>
      </c>
      <c r="P907" s="12" t="n">
        <v>947744</v>
      </c>
      <c r="Q907" s="13" t="n">
        <f aca="false">IFERROR(P907/P906-1,"")</f>
        <v>0.0855166931819613</v>
      </c>
      <c r="R907" s="12" t="n">
        <v>1108507</v>
      </c>
      <c r="S907" s="13" t="n">
        <f aca="false">IFERROR(R907/R906-1,"")</f>
        <v>0.250739889493287</v>
      </c>
      <c r="T907" s="12" t="n">
        <v>736324</v>
      </c>
      <c r="U907" s="13" t="n">
        <f aca="false">IFERROR(T907/P907,"")</f>
        <v>0.776922882128507</v>
      </c>
      <c r="V907" s="14" t="n">
        <f aca="false">T907-AV907</f>
        <v>-1554061</v>
      </c>
      <c r="W907" s="14" t="n">
        <f aca="false">V907-AA907*0.1</f>
        <v>-1631561</v>
      </c>
      <c r="X907" s="12" t="n">
        <v>4681236</v>
      </c>
      <c r="Y907" s="12" t="n">
        <v>151340</v>
      </c>
      <c r="Z907" s="15" t="n">
        <f aca="false">IFERROR(X907/Y907,"")</f>
        <v>30.931914893617</v>
      </c>
      <c r="AA907" s="12" t="n">
        <v>775000</v>
      </c>
      <c r="AB907" s="14" t="n">
        <f aca="false">W907-0.02*P907</f>
        <v>-1650515.88</v>
      </c>
      <c r="AC907" s="16" t="n">
        <v>55</v>
      </c>
      <c r="AD907" s="13" t="n">
        <f aca="false">IFERROR(AC907/AC906-1,"")</f>
        <v>0.0576923076923077</v>
      </c>
      <c r="AE907" s="17" t="n">
        <v>0.073</v>
      </c>
      <c r="AF907" s="17" t="n">
        <v>0.052</v>
      </c>
      <c r="AG907" s="13" t="n">
        <f aca="false">1-AF907</f>
        <v>0.948</v>
      </c>
      <c r="AH907" s="17" t="n">
        <v>1.127</v>
      </c>
      <c r="AI907" s="12" t="n">
        <v>58032</v>
      </c>
      <c r="AJ907" s="14" t="n">
        <f aca="false">IFERROR(AM907*U907*MIN(1/AE907,5),"")</f>
        <v>122831.507664517</v>
      </c>
      <c r="AK907" s="18" t="n">
        <f aca="false">IFERROR(AJ907/AI907,"")</f>
        <v>2.11661682631164</v>
      </c>
      <c r="AL907" s="15" t="n">
        <f aca="false">IFERROR(AI907/(AM907*U907/12),"")</f>
        <v>28.3471241719997</v>
      </c>
      <c r="AM907" s="12" t="n">
        <v>31620</v>
      </c>
      <c r="AN907" s="12" t="n">
        <v>1210430</v>
      </c>
      <c r="AO907" s="12" t="n">
        <v>3324752</v>
      </c>
      <c r="AP907" s="17" t="n">
        <v>0.2</v>
      </c>
      <c r="AQ907" s="16" t="n">
        <v>54</v>
      </c>
      <c r="AR907" s="16" t="n">
        <v>2</v>
      </c>
      <c r="AS907" s="13" t="n">
        <f aca="false">IFERROR(AR907/AR906-1,"")</f>
        <v>0</v>
      </c>
      <c r="AT907" s="11" t="s">
        <v>80</v>
      </c>
      <c r="AU907" s="14" t="n">
        <f aca="false">IFERROR(P907/AR907,"")</f>
        <v>473872</v>
      </c>
      <c r="AV907" s="12" t="n">
        <v>2290385</v>
      </c>
      <c r="AW907" s="12" t="n">
        <v>709270</v>
      </c>
      <c r="AX907" s="12" t="n">
        <v>582839</v>
      </c>
      <c r="AY907" s="16" t="n">
        <v>4291</v>
      </c>
      <c r="AZ907" s="13" t="n">
        <f aca="false">IFERROR(AY907/AY906-1,"")</f>
        <v>0.123004449097095</v>
      </c>
      <c r="BA907" s="17" t="n">
        <v>0.933</v>
      </c>
      <c r="BB907" s="11" t="s">
        <v>161</v>
      </c>
      <c r="BC907" s="11" t="s">
        <v>82</v>
      </c>
      <c r="BD907" s="11" t="s">
        <v>101</v>
      </c>
      <c r="BE907" s="12" t="n">
        <v>1090137</v>
      </c>
      <c r="BF907" s="13" t="n">
        <f aca="false">IFERROR(P907/BE907-1,"")</f>
        <v>-0.130619362520491</v>
      </c>
      <c r="BG907" s="17" t="n">
        <v>0.013</v>
      </c>
      <c r="BH907" s="17" t="n">
        <v>0.081</v>
      </c>
      <c r="BI907" s="14" t="n">
        <f aca="false">P907*(1+IFERROR(Q907,0))^4</f>
        <v>1315942.97358245</v>
      </c>
      <c r="BJ907" s="12" t="n">
        <v>-1559216</v>
      </c>
      <c r="BK907" s="11" t="s">
        <v>110</v>
      </c>
      <c r="BL907" s="11" t="s">
        <v>128</v>
      </c>
      <c r="BM907" s="14" t="n">
        <f aca="false">O907</f>
        <v>20960670</v>
      </c>
      <c r="BN907" s="11" t="s">
        <v>839</v>
      </c>
      <c r="BO907" s="13" t="n">
        <f aca="false">IFERROR(1-L907/M907,"")</f>
        <v>0.183742980760379</v>
      </c>
      <c r="BP907" s="11" t="s">
        <v>113</v>
      </c>
      <c r="BQ907" s="12" t="n">
        <v>2454156</v>
      </c>
      <c r="BR907" s="11" t="s">
        <v>88</v>
      </c>
      <c r="BS907" s="11" t="s">
        <v>89</v>
      </c>
      <c r="BT907" s="19" t="str">
        <f aca="false">IF(OR(Z907&lt;6,AH907&lt;0.9,S907&lt;0.02,AK907&lt;1),"REVIEW",IF(AND(S907&gt;0.25,AH907&gt;1.2),"ACCELERATING","STABLE"))</f>
        <v>STABLE</v>
      </c>
    </row>
    <row r="908" customFormat="false" ht="15" hidden="false" customHeight="false" outlineLevel="0" collapsed="false">
      <c r="A908" s="11" t="s">
        <v>837</v>
      </c>
      <c r="B908" s="11" t="s">
        <v>92</v>
      </c>
      <c r="C908" s="11" t="s">
        <v>74</v>
      </c>
      <c r="D908" s="11" t="s">
        <v>210</v>
      </c>
      <c r="E908" s="11" t="s">
        <v>289</v>
      </c>
      <c r="F908" s="11" t="s">
        <v>838</v>
      </c>
      <c r="G908" s="11" t="s">
        <v>78</v>
      </c>
      <c r="H908" s="11" t="s">
        <v>644</v>
      </c>
      <c r="I908" s="11" t="s">
        <v>78</v>
      </c>
      <c r="J908" s="12" t="n">
        <v>1996000</v>
      </c>
      <c r="K908" s="13" t="n">
        <f aca="false">IFERROR(J908/M908,"")</f>
        <v>0.183742980760379</v>
      </c>
      <c r="L908" s="12" t="n">
        <v>8867000</v>
      </c>
      <c r="M908" s="14" t="n">
        <f aca="false">L908+J908</f>
        <v>10863000</v>
      </c>
      <c r="N908" s="12" t="n">
        <v>6902000</v>
      </c>
      <c r="O908" s="12" t="n">
        <v>20960670</v>
      </c>
      <c r="P908" s="12" t="n">
        <v>1182511</v>
      </c>
      <c r="Q908" s="13" t="n">
        <f aca="false">IFERROR(P908/P907-1,"")</f>
        <v>0.247711407299862</v>
      </c>
      <c r="R908" s="12" t="n">
        <v>1190940</v>
      </c>
      <c r="S908" s="13" t="n">
        <f aca="false">IFERROR(R908/R907-1,"")</f>
        <v>0.0743639868760413</v>
      </c>
      <c r="T908" s="12" t="n">
        <v>922424</v>
      </c>
      <c r="U908" s="13" t="n">
        <f aca="false">IFERROR(T908/P908,"")</f>
        <v>0.780055322952598</v>
      </c>
      <c r="V908" s="14" t="n">
        <f aca="false">T908-AV908</f>
        <v>-1908771</v>
      </c>
      <c r="W908" s="14" t="n">
        <f aca="false">V908-AA908*0.1</f>
        <v>-1986271</v>
      </c>
      <c r="X908" s="12" t="n">
        <v>4285659</v>
      </c>
      <c r="Y908" s="12" t="n">
        <v>156170</v>
      </c>
      <c r="Z908" s="15" t="n">
        <f aca="false">IFERROR(X908/Y908,"")</f>
        <v>27.4422680412371</v>
      </c>
      <c r="AA908" s="12" t="n">
        <v>775000</v>
      </c>
      <c r="AB908" s="14" t="n">
        <f aca="false">W908-0.02*P908</f>
        <v>-2009921.22</v>
      </c>
      <c r="AC908" s="16" t="n">
        <v>62</v>
      </c>
      <c r="AD908" s="13" t="n">
        <f aca="false">IFERROR(AC908/AC907-1,"")</f>
        <v>0.127272727272727</v>
      </c>
      <c r="AE908" s="17" t="n">
        <v>0.071</v>
      </c>
      <c r="AF908" s="17" t="n">
        <v>0.044</v>
      </c>
      <c r="AG908" s="13" t="n">
        <f aca="false">1-AF908</f>
        <v>0.956</v>
      </c>
      <c r="AH908" s="17" t="n">
        <v>1.122</v>
      </c>
      <c r="AI908" s="12" t="n">
        <v>56916</v>
      </c>
      <c r="AJ908" s="14" t="n">
        <f aca="false">IFERROR(AM908*U908*MIN(1/AE908,5),"")</f>
        <v>125744.918059959</v>
      </c>
      <c r="AK908" s="18" t="n">
        <f aca="false">IFERROR(AJ908/AI908,"")</f>
        <v>2.20930701489843</v>
      </c>
      <c r="AL908" s="15" t="n">
        <f aca="false">IFERROR(AI908/(AM908*U908/12),"")</f>
        <v>27.1578370934374</v>
      </c>
      <c r="AM908" s="12" t="n">
        <v>32240</v>
      </c>
      <c r="AN908" s="12" t="n">
        <v>1651648</v>
      </c>
      <c r="AO908" s="12" t="n">
        <v>3563421</v>
      </c>
      <c r="AP908" s="17" t="n">
        <v>0.2</v>
      </c>
      <c r="AQ908" s="16" t="n">
        <v>54</v>
      </c>
      <c r="AR908" s="16" t="n">
        <v>2</v>
      </c>
      <c r="AS908" s="13" t="n">
        <f aca="false">IFERROR(AR908/AR907-1,"")</f>
        <v>0</v>
      </c>
      <c r="AT908" s="11" t="s">
        <v>80</v>
      </c>
      <c r="AU908" s="14" t="n">
        <f aca="false">IFERROR(P908/AR908,"")</f>
        <v>591255.5</v>
      </c>
      <c r="AV908" s="12" t="n">
        <v>2831195</v>
      </c>
      <c r="AW908" s="12" t="n">
        <v>1071977</v>
      </c>
      <c r="AX908" s="12" t="n">
        <v>685324</v>
      </c>
      <c r="AY908" s="16" t="n">
        <v>5110</v>
      </c>
      <c r="AZ908" s="13" t="n">
        <f aca="false">IFERROR(AY908/AY907-1,"")</f>
        <v>0.190864600326264</v>
      </c>
      <c r="BA908" s="17" t="n">
        <v>0.927</v>
      </c>
      <c r="BB908" s="11" t="s">
        <v>161</v>
      </c>
      <c r="BC908" s="11" t="s">
        <v>82</v>
      </c>
      <c r="BD908" s="11" t="s">
        <v>101</v>
      </c>
      <c r="BE908" s="12" t="n">
        <v>1071869</v>
      </c>
      <c r="BF908" s="13" t="n">
        <f aca="false">IFERROR(P908/BE908-1,"")</f>
        <v>0.103223434953339</v>
      </c>
      <c r="BG908" s="17" t="n">
        <v>0.086</v>
      </c>
      <c r="BH908" s="17" t="n">
        <v>-0.014</v>
      </c>
      <c r="BI908" s="14" t="n">
        <f aca="false">P908*(1+IFERROR(Q908,0))^4</f>
        <v>2865904.88041996</v>
      </c>
      <c r="BJ908" s="12" t="n">
        <v>-1032899</v>
      </c>
      <c r="BK908" s="11" t="s">
        <v>110</v>
      </c>
      <c r="BL908" s="11" t="s">
        <v>128</v>
      </c>
      <c r="BM908" s="14" t="n">
        <f aca="false">O908</f>
        <v>20960670</v>
      </c>
      <c r="BN908" s="11" t="s">
        <v>839</v>
      </c>
      <c r="BO908" s="13" t="n">
        <f aca="false">IFERROR(1-L908/M908,"")</f>
        <v>0.183742980760379</v>
      </c>
      <c r="BP908" s="11" t="s">
        <v>113</v>
      </c>
      <c r="BQ908" s="12" t="n">
        <v>2994229</v>
      </c>
      <c r="BR908" s="11" t="s">
        <v>88</v>
      </c>
      <c r="BS908" s="11" t="s">
        <v>89</v>
      </c>
      <c r="BT908" s="19" t="str">
        <f aca="false">IF(OR(Z908&lt;6,AH908&lt;0.9,S908&lt;0.02,AK908&lt;1),"REVIEW",IF(AND(S908&gt;0.25,AH908&gt;1.2),"ACCELERATING","STABLE"))</f>
        <v>STABLE</v>
      </c>
    </row>
    <row r="909" customFormat="false" ht="15" hidden="false" customHeight="false" outlineLevel="0" collapsed="false">
      <c r="A909" s="11" t="s">
        <v>837</v>
      </c>
      <c r="B909" s="11" t="s">
        <v>93</v>
      </c>
      <c r="C909" s="11" t="s">
        <v>74</v>
      </c>
      <c r="D909" s="11" t="s">
        <v>210</v>
      </c>
      <c r="E909" s="11" t="s">
        <v>289</v>
      </c>
      <c r="F909" s="11" t="s">
        <v>838</v>
      </c>
      <c r="G909" s="11" t="s">
        <v>78</v>
      </c>
      <c r="H909" s="11" t="s">
        <v>644</v>
      </c>
      <c r="I909" s="11" t="s">
        <v>78</v>
      </c>
      <c r="J909" s="12" t="n">
        <v>1996000</v>
      </c>
      <c r="K909" s="13" t="n">
        <f aca="false">IFERROR(J909/M909,"")</f>
        <v>0.183742980760379</v>
      </c>
      <c r="L909" s="12" t="n">
        <v>8867000</v>
      </c>
      <c r="M909" s="14" t="n">
        <f aca="false">L909+J909</f>
        <v>10863000</v>
      </c>
      <c r="N909" s="12" t="n">
        <v>6902000</v>
      </c>
      <c r="O909" s="12" t="n">
        <v>20960670</v>
      </c>
      <c r="P909" s="12" t="n">
        <v>1299532</v>
      </c>
      <c r="Q909" s="13" t="n">
        <f aca="false">IFERROR(P909/P908-1,"")</f>
        <v>0.0989597559769</v>
      </c>
      <c r="R909" s="12" t="n">
        <v>1465079</v>
      </c>
      <c r="S909" s="13" t="n">
        <f aca="false">IFERROR(R909/R908-1,"")</f>
        <v>0.230187079113977</v>
      </c>
      <c r="T909" s="12" t="n">
        <v>1017778</v>
      </c>
      <c r="U909" s="13" t="n">
        <f aca="false">IFERROR(T909/P909,"")</f>
        <v>0.783188101562717</v>
      </c>
      <c r="V909" s="14" t="n">
        <f aca="false">T909-AV909</f>
        <v>-1811617</v>
      </c>
      <c r="W909" s="14" t="n">
        <f aca="false">V909-AA909*0.1</f>
        <v>-1889117</v>
      </c>
      <c r="X909" s="12" t="n">
        <v>3864000</v>
      </c>
      <c r="Y909" s="12" t="n">
        <v>161000</v>
      </c>
      <c r="Z909" s="15" t="n">
        <f aca="false">IFERROR(X909/Y909,"")</f>
        <v>24</v>
      </c>
      <c r="AA909" s="12" t="n">
        <v>775000</v>
      </c>
      <c r="AB909" s="14" t="n">
        <f aca="false">W909-0.02*P909</f>
        <v>-1915107.64</v>
      </c>
      <c r="AC909" s="16" t="n">
        <v>67</v>
      </c>
      <c r="AD909" s="13" t="n">
        <f aca="false">IFERROR(AC909/AC908-1,"")</f>
        <v>0.0806451612903225</v>
      </c>
      <c r="AE909" s="17" t="n">
        <v>0.069</v>
      </c>
      <c r="AF909" s="17" t="n">
        <v>0.071</v>
      </c>
      <c r="AG909" s="13" t="n">
        <f aca="false">1-AF909</f>
        <v>0.929</v>
      </c>
      <c r="AH909" s="17" t="n">
        <v>1.117</v>
      </c>
      <c r="AI909" s="12" t="n">
        <v>55800</v>
      </c>
      <c r="AJ909" s="14" t="n">
        <f aca="false">IFERROR(AM909*U909*MIN(1/AE909,5),"")</f>
        <v>128677.805086754</v>
      </c>
      <c r="AK909" s="18" t="n">
        <f aca="false">IFERROR(AJ909/AI909,"")</f>
        <v>2.30605385460133</v>
      </c>
      <c r="AL909" s="15" t="n">
        <f aca="false">IFERROR(AI909/(AM909*U909/12),"")</f>
        <v>26.018473020602</v>
      </c>
      <c r="AM909" s="12" t="n">
        <v>32860</v>
      </c>
      <c r="AN909" s="12" t="n">
        <v>2020038</v>
      </c>
      <c r="AO909" s="12" t="n">
        <v>2373436</v>
      </c>
      <c r="AP909" s="17" t="n">
        <v>0.2</v>
      </c>
      <c r="AQ909" s="16" t="n">
        <v>54</v>
      </c>
      <c r="AR909" s="16" t="n">
        <v>2</v>
      </c>
      <c r="AS909" s="13" t="n">
        <f aca="false">IFERROR(AR909/AR908-1,"")</f>
        <v>0</v>
      </c>
      <c r="AT909" s="11" t="s">
        <v>80</v>
      </c>
      <c r="AU909" s="14" t="n">
        <f aca="false">IFERROR(P909/AR909,"")</f>
        <v>649766</v>
      </c>
      <c r="AV909" s="12" t="n">
        <v>2829395</v>
      </c>
      <c r="AW909" s="12" t="n">
        <v>1023108</v>
      </c>
      <c r="AX909" s="12" t="n">
        <v>545782</v>
      </c>
      <c r="AY909" s="16" t="n">
        <v>5438</v>
      </c>
      <c r="AZ909" s="13" t="n">
        <f aca="false">IFERROR(AY909/AY908-1,"")</f>
        <v>0.064187866927593</v>
      </c>
      <c r="BA909" s="17" t="n">
        <v>0.941</v>
      </c>
      <c r="BB909" s="11" t="s">
        <v>161</v>
      </c>
      <c r="BC909" s="11" t="s">
        <v>82</v>
      </c>
      <c r="BD909" s="11" t="s">
        <v>101</v>
      </c>
      <c r="BE909" s="12" t="n">
        <v>1463813</v>
      </c>
      <c r="BF909" s="13" t="n">
        <f aca="false">IFERROR(P909/BE909-1,"")</f>
        <v>-0.112228132965071</v>
      </c>
      <c r="BG909" s="17" t="n">
        <v>-0.034</v>
      </c>
      <c r="BH909" s="17" t="n">
        <v>-0.069</v>
      </c>
      <c r="BI909" s="14" t="n">
        <f aca="false">P909*(1+IFERROR(Q909,0))^4</f>
        <v>1895457.85899284</v>
      </c>
      <c r="BJ909" s="12" t="n">
        <v>-1668606</v>
      </c>
      <c r="BK909" s="11" t="s">
        <v>110</v>
      </c>
      <c r="BL909" s="11" t="s">
        <v>128</v>
      </c>
      <c r="BM909" s="14" t="n">
        <f aca="false">O909</f>
        <v>20960670</v>
      </c>
      <c r="BN909" s="11" t="s">
        <v>839</v>
      </c>
      <c r="BO909" s="13" t="n">
        <f aca="false">IFERROR(1-L909/M909,"")</f>
        <v>0.183742980760379</v>
      </c>
      <c r="BP909" s="11" t="s">
        <v>113</v>
      </c>
      <c r="BQ909" s="12" t="n">
        <v>2622162</v>
      </c>
      <c r="BR909" s="11" t="s">
        <v>88</v>
      </c>
      <c r="BS909" s="11" t="s">
        <v>89</v>
      </c>
      <c r="BT909" s="19" t="str">
        <f aca="false">IF(OR(Z909&lt;6,AH909&lt;0.9,S909&lt;0.02,AK909&lt;1),"REVIEW",IF(AND(S909&gt;0.25,AH909&gt;1.2),"ACCELERATING","STABLE"))</f>
        <v>STABLE</v>
      </c>
    </row>
    <row r="910" customFormat="false" ht="15" hidden="false" customHeight="false" outlineLevel="0" collapsed="false">
      <c r="A910" s="3" t="s">
        <v>840</v>
      </c>
      <c r="B910" s="3" t="s">
        <v>73</v>
      </c>
      <c r="C910" s="3" t="s">
        <v>74</v>
      </c>
      <c r="D910" s="3" t="s">
        <v>165</v>
      </c>
      <c r="E910" s="3" t="s">
        <v>777</v>
      </c>
      <c r="F910" s="3" t="s">
        <v>841</v>
      </c>
      <c r="G910" s="3" t="s">
        <v>78</v>
      </c>
      <c r="H910" s="3" t="s">
        <v>644</v>
      </c>
      <c r="I910" s="3" t="s">
        <v>78</v>
      </c>
      <c r="J910" s="4" t="n">
        <v>3472000</v>
      </c>
      <c r="K910" s="5" t="n">
        <f aca="false">IFERROR(J910/M910,"")</f>
        <v>0.140186538539185</v>
      </c>
      <c r="L910" s="4" t="n">
        <v>21295000</v>
      </c>
      <c r="M910" s="6" t="n">
        <f aca="false">L910+J910</f>
        <v>24767000</v>
      </c>
      <c r="N910" s="4" t="n">
        <v>6697000</v>
      </c>
      <c r="O910" s="4" t="n">
        <v>21080294</v>
      </c>
      <c r="P910" s="4" t="n">
        <v>541730</v>
      </c>
      <c r="Q910" s="7"/>
      <c r="R910" s="4" t="n">
        <v>579022</v>
      </c>
      <c r="S910" s="7"/>
      <c r="T910" s="4" t="n">
        <v>327121</v>
      </c>
      <c r="U910" s="5" t="n">
        <f aca="false">IFERROR(T910/P910,"")</f>
        <v>0.603845088881915</v>
      </c>
      <c r="V910" s="6" t="n">
        <f aca="false">T910-AV910</f>
        <v>-2353360</v>
      </c>
      <c r="W910" s="6" t="n">
        <f aca="false">V910-AA910*0.1</f>
        <v>-2353360</v>
      </c>
      <c r="X910" s="4" t="n">
        <v>6754411</v>
      </c>
      <c r="Y910" s="4" t="n">
        <v>219310</v>
      </c>
      <c r="Z910" s="8" t="n">
        <f aca="false">IFERROR(X910/Y910,"")</f>
        <v>30.7984633623638</v>
      </c>
      <c r="AA910" s="4" t="n">
        <v>0</v>
      </c>
      <c r="AB910" s="6" t="n">
        <f aca="false">W910-0.02*P910</f>
        <v>-2364194.6</v>
      </c>
      <c r="AC910" s="9" t="n">
        <v>49</v>
      </c>
      <c r="AD910" s="7"/>
      <c r="AE910" s="7" t="n">
        <v>0.072</v>
      </c>
      <c r="AF910" s="7" t="n">
        <v>0.047</v>
      </c>
      <c r="AG910" s="5" t="n">
        <f aca="false">1-AF910</f>
        <v>0.953</v>
      </c>
      <c r="AH910" s="7" t="n">
        <v>1.086</v>
      </c>
      <c r="AI910" s="4" t="n">
        <v>44732</v>
      </c>
      <c r="AJ910" s="6" t="n">
        <f aca="false">IFERROR(AM910*U910*MIN(1/AE910,5),"")</f>
        <v>153980.497664888</v>
      </c>
      <c r="AK910" s="10" t="n">
        <f aca="false">IFERROR(AJ910/AI910,"")</f>
        <v>3.44228958385246</v>
      </c>
      <c r="AL910" s="8" t="n">
        <f aca="false">IFERROR(AI910/(AM910*U910/12),"")</f>
        <v>17.4302592906349</v>
      </c>
      <c r="AM910" s="4" t="n">
        <v>51000</v>
      </c>
      <c r="AN910" s="4" t="n">
        <v>793330</v>
      </c>
      <c r="AO910" s="4" t="n">
        <v>2227561</v>
      </c>
      <c r="AP910" s="7" t="n">
        <v>0.276</v>
      </c>
      <c r="AQ910" s="9" t="n">
        <v>25</v>
      </c>
      <c r="AR910" s="9" t="n">
        <v>3</v>
      </c>
      <c r="AS910" s="7"/>
      <c r="AT910" s="3" t="s">
        <v>80</v>
      </c>
      <c r="AU910" s="6" t="n">
        <f aca="false">IFERROR(P910/AR910,"")</f>
        <v>180576.666666667</v>
      </c>
      <c r="AV910" s="4" t="n">
        <v>2680481</v>
      </c>
      <c r="AW910" s="4" t="n">
        <v>863071</v>
      </c>
      <c r="AX910" s="4" t="n">
        <v>521770</v>
      </c>
      <c r="AY910" s="9" t="n">
        <v>2397</v>
      </c>
      <c r="AZ910" s="7"/>
      <c r="BA910" s="7" t="n">
        <v>0.923</v>
      </c>
      <c r="BB910" s="3" t="s">
        <v>81</v>
      </c>
      <c r="BC910" s="3" t="s">
        <v>100</v>
      </c>
      <c r="BD910" s="3" t="s">
        <v>175</v>
      </c>
      <c r="BE910" s="4" t="n">
        <v>580054</v>
      </c>
      <c r="BF910" s="5" t="n">
        <f aca="false">IFERROR(P910/BE910-1,"")</f>
        <v>-0.066069710751068</v>
      </c>
      <c r="BG910" s="7" t="n">
        <v>0.017</v>
      </c>
      <c r="BH910" s="7" t="n">
        <v>0.046</v>
      </c>
      <c r="BI910" s="6" t="n">
        <f aca="false">P910</f>
        <v>541730</v>
      </c>
      <c r="BJ910" s="4" t="n">
        <v>-1528786</v>
      </c>
      <c r="BK910" s="3" t="s">
        <v>110</v>
      </c>
      <c r="BL910" s="3" t="s">
        <v>85</v>
      </c>
      <c r="BM910" s="6" t="n">
        <f aca="false">O910</f>
        <v>21080294</v>
      </c>
      <c r="BN910" s="3" t="s">
        <v>842</v>
      </c>
      <c r="BO910" s="5" t="n">
        <f aca="false">IFERROR(1-L910/M910,"")</f>
        <v>0.140186538539185</v>
      </c>
      <c r="BP910" s="3" t="s">
        <v>142</v>
      </c>
      <c r="BQ910" s="4" t="n">
        <v>2836385</v>
      </c>
      <c r="BR910" s="3" t="s">
        <v>88</v>
      </c>
      <c r="BS910" s="3" t="s">
        <v>89</v>
      </c>
      <c r="BT910" s="3" t="s">
        <v>90</v>
      </c>
    </row>
    <row r="911" customFormat="false" ht="15" hidden="false" customHeight="false" outlineLevel="0" collapsed="false">
      <c r="A911" s="11" t="s">
        <v>840</v>
      </c>
      <c r="B911" s="11" t="s">
        <v>91</v>
      </c>
      <c r="C911" s="11" t="s">
        <v>74</v>
      </c>
      <c r="D911" s="11" t="s">
        <v>165</v>
      </c>
      <c r="E911" s="11" t="s">
        <v>777</v>
      </c>
      <c r="F911" s="11" t="s">
        <v>841</v>
      </c>
      <c r="G911" s="11" t="s">
        <v>78</v>
      </c>
      <c r="H911" s="11" t="s">
        <v>644</v>
      </c>
      <c r="I911" s="11" t="s">
        <v>78</v>
      </c>
      <c r="J911" s="12" t="n">
        <v>3472000</v>
      </c>
      <c r="K911" s="13" t="n">
        <f aca="false">IFERROR(J911/M911,"")</f>
        <v>0.140186538539185</v>
      </c>
      <c r="L911" s="12" t="n">
        <v>21295000</v>
      </c>
      <c r="M911" s="14" t="n">
        <f aca="false">L911+J911</f>
        <v>24767000</v>
      </c>
      <c r="N911" s="12" t="n">
        <v>6697000</v>
      </c>
      <c r="O911" s="12" t="n">
        <v>21080294</v>
      </c>
      <c r="P911" s="12" t="n">
        <v>596714</v>
      </c>
      <c r="Q911" s="13" t="n">
        <f aca="false">IFERROR(P911/P910-1,"")</f>
        <v>0.101497055728869</v>
      </c>
      <c r="R911" s="12" t="n">
        <v>642491</v>
      </c>
      <c r="S911" s="13" t="n">
        <f aca="false">IFERROR(R911/R910-1,"")</f>
        <v>0.109614142467816</v>
      </c>
      <c r="T911" s="12" t="n">
        <v>361782</v>
      </c>
      <c r="U911" s="13" t="n">
        <f aca="false">IFERROR(T911/P911,"")</f>
        <v>0.606290450701676</v>
      </c>
      <c r="V911" s="14" t="n">
        <f aca="false">T911-AV911</f>
        <v>-2407468</v>
      </c>
      <c r="W911" s="14" t="n">
        <f aca="false">V911-AA911*0.1</f>
        <v>-2407468</v>
      </c>
      <c r="X911" s="12" t="n">
        <v>6201316</v>
      </c>
      <c r="Y911" s="12" t="n">
        <v>226540</v>
      </c>
      <c r="Z911" s="15" t="n">
        <f aca="false">IFERROR(X911/Y911,"")</f>
        <v>27.3740443188841</v>
      </c>
      <c r="AA911" s="12" t="n">
        <v>0</v>
      </c>
      <c r="AB911" s="14" t="n">
        <f aca="false">W911-0.02*P911</f>
        <v>-2419402.28</v>
      </c>
      <c r="AC911" s="16" t="n">
        <v>53</v>
      </c>
      <c r="AD911" s="13" t="n">
        <f aca="false">IFERROR(AC911/AC910-1,"")</f>
        <v>0.0816326530612246</v>
      </c>
      <c r="AE911" s="17" t="n">
        <v>0.07</v>
      </c>
      <c r="AF911" s="17" t="n">
        <v>0.063</v>
      </c>
      <c r="AG911" s="13" t="n">
        <f aca="false">1-AF911</f>
        <v>0.937</v>
      </c>
      <c r="AH911" s="17" t="n">
        <v>1.081</v>
      </c>
      <c r="AI911" s="12" t="n">
        <v>43888</v>
      </c>
      <c r="AJ911" s="14" t="n">
        <f aca="false">IFERROR(AM911*U911*MIN(1/AE911,5),"")</f>
        <v>157696.146227506</v>
      </c>
      <c r="AK911" s="18" t="n">
        <f aca="false">IFERROR(AJ911/AI911,"")</f>
        <v>3.59314952213603</v>
      </c>
      <c r="AL911" s="15" t="n">
        <f aca="false">IFERROR(AI911/(AM911*U911/12),"")</f>
        <v>16.6984423081653</v>
      </c>
      <c r="AM911" s="12" t="n">
        <v>52020</v>
      </c>
      <c r="AN911" s="12" t="n">
        <v>914588</v>
      </c>
      <c r="AO911" s="12" t="n">
        <v>2168236</v>
      </c>
      <c r="AP911" s="17" t="n">
        <v>0.276</v>
      </c>
      <c r="AQ911" s="16" t="n">
        <v>25</v>
      </c>
      <c r="AR911" s="16" t="n">
        <v>4</v>
      </c>
      <c r="AS911" s="13" t="n">
        <f aca="false">IFERROR(AR911/AR910-1,"")</f>
        <v>0.333333333333333</v>
      </c>
      <c r="AT911" s="11" t="s">
        <v>80</v>
      </c>
      <c r="AU911" s="14" t="n">
        <f aca="false">IFERROR(P911/AR911,"")</f>
        <v>149178.5</v>
      </c>
      <c r="AV911" s="12" t="n">
        <v>2769250</v>
      </c>
      <c r="AW911" s="12" t="n">
        <v>1140525</v>
      </c>
      <c r="AX911" s="12" t="n">
        <v>520835</v>
      </c>
      <c r="AY911" s="16" t="n">
        <v>3014</v>
      </c>
      <c r="AZ911" s="13" t="n">
        <f aca="false">IFERROR(AY911/AY910-1,"")</f>
        <v>0.257405089695453</v>
      </c>
      <c r="BA911" s="17" t="n">
        <v>0.931</v>
      </c>
      <c r="BB911" s="11" t="s">
        <v>81</v>
      </c>
      <c r="BC911" s="11" t="s">
        <v>100</v>
      </c>
      <c r="BD911" s="11" t="s">
        <v>175</v>
      </c>
      <c r="BE911" s="12" t="n">
        <v>636984</v>
      </c>
      <c r="BF911" s="13" t="n">
        <f aca="false">IFERROR(P911/BE911-1,"")</f>
        <v>-0.0632197982994863</v>
      </c>
      <c r="BG911" s="17" t="n">
        <v>0.047</v>
      </c>
      <c r="BH911" s="17" t="n">
        <v>-0.063</v>
      </c>
      <c r="BI911" s="14" t="n">
        <f aca="false">P911*(1+IFERROR(Q911,0))^4</f>
        <v>878414.689641183</v>
      </c>
      <c r="BJ911" s="12" t="n">
        <v>-2102074</v>
      </c>
      <c r="BK911" s="11" t="s">
        <v>110</v>
      </c>
      <c r="BL911" s="11" t="s">
        <v>85</v>
      </c>
      <c r="BM911" s="14" t="n">
        <f aca="false">O911</f>
        <v>21080294</v>
      </c>
      <c r="BN911" s="11" t="s">
        <v>842</v>
      </c>
      <c r="BO911" s="13" t="n">
        <f aca="false">IFERROR(1-L911/M911,"")</f>
        <v>0.140186538539185</v>
      </c>
      <c r="BP911" s="11" t="s">
        <v>142</v>
      </c>
      <c r="BQ911" s="12" t="n">
        <v>2850944</v>
      </c>
      <c r="BR911" s="11" t="s">
        <v>88</v>
      </c>
      <c r="BS911" s="11" t="s">
        <v>89</v>
      </c>
      <c r="BT911" s="19" t="str">
        <f aca="false">IF(OR(Z911&lt;6,AH911&lt;0.9,S911&lt;0.02,AK911&lt;1),"REVIEW",IF(AND(S911&gt;0.25,AH911&gt;1.2),"ACCELERATING","STABLE"))</f>
        <v>STABLE</v>
      </c>
    </row>
    <row r="912" customFormat="false" ht="15" hidden="false" customHeight="false" outlineLevel="0" collapsed="false">
      <c r="A912" s="11" t="s">
        <v>840</v>
      </c>
      <c r="B912" s="11" t="s">
        <v>92</v>
      </c>
      <c r="C912" s="11" t="s">
        <v>74</v>
      </c>
      <c r="D912" s="11" t="s">
        <v>165</v>
      </c>
      <c r="E912" s="11" t="s">
        <v>777</v>
      </c>
      <c r="F912" s="11" t="s">
        <v>841</v>
      </c>
      <c r="G912" s="11" t="s">
        <v>78</v>
      </c>
      <c r="H912" s="11" t="s">
        <v>644</v>
      </c>
      <c r="I912" s="11" t="s">
        <v>78</v>
      </c>
      <c r="J912" s="12" t="n">
        <v>3472000</v>
      </c>
      <c r="K912" s="13" t="n">
        <f aca="false">IFERROR(J912/M912,"")</f>
        <v>0.140186538539185</v>
      </c>
      <c r="L912" s="12" t="n">
        <v>21295000</v>
      </c>
      <c r="M912" s="14" t="n">
        <f aca="false">L912+J912</f>
        <v>24767000</v>
      </c>
      <c r="N912" s="12" t="n">
        <v>6697000</v>
      </c>
      <c r="O912" s="12" t="n">
        <v>21080294</v>
      </c>
      <c r="P912" s="12" t="n">
        <v>688502</v>
      </c>
      <c r="Q912" s="13" t="n">
        <f aca="false">IFERROR(P912/P911-1,"")</f>
        <v>0.153822434197958</v>
      </c>
      <c r="R912" s="12" t="n">
        <v>743066</v>
      </c>
      <c r="S912" s="13" t="n">
        <f aca="false">IFERROR(R912/R911-1,"")</f>
        <v>0.156539157746957</v>
      </c>
      <c r="T912" s="12" t="n">
        <v>419116</v>
      </c>
      <c r="U912" s="13" t="n">
        <f aca="false">IFERROR(T912/P912,"")</f>
        <v>0.608736067578598</v>
      </c>
      <c r="V912" s="14" t="n">
        <f aca="false">T912-AV912</f>
        <v>-2433828</v>
      </c>
      <c r="W912" s="14" t="n">
        <f aca="false">V912-AA912*0.1</f>
        <v>-2433828</v>
      </c>
      <c r="X912" s="12" t="n">
        <v>5609179</v>
      </c>
      <c r="Y912" s="12" t="n">
        <v>233770</v>
      </c>
      <c r="Z912" s="15" t="n">
        <f aca="false">IFERROR(X912/Y912,"")</f>
        <v>23.9944347007743</v>
      </c>
      <c r="AA912" s="12" t="n">
        <v>0</v>
      </c>
      <c r="AB912" s="14" t="n">
        <f aca="false">W912-0.02*P912</f>
        <v>-2447598.04</v>
      </c>
      <c r="AC912" s="16" t="n">
        <v>65</v>
      </c>
      <c r="AD912" s="13" t="n">
        <f aca="false">IFERROR(AC912/AC911-1,"")</f>
        <v>0.226415094339623</v>
      </c>
      <c r="AE912" s="17" t="n">
        <v>0.068</v>
      </c>
      <c r="AF912" s="17" t="n">
        <v>0.066</v>
      </c>
      <c r="AG912" s="13" t="n">
        <f aca="false">1-AF912</f>
        <v>0.934</v>
      </c>
      <c r="AH912" s="17" t="n">
        <v>1.076</v>
      </c>
      <c r="AI912" s="12" t="n">
        <v>43044</v>
      </c>
      <c r="AJ912" s="14" t="n">
        <f aca="false">IFERROR(AM912*U912*MIN(1/AE912,5),"")</f>
        <v>161436.805121844</v>
      </c>
      <c r="AK912" s="18" t="n">
        <f aca="false">IFERROR(AJ912/AI912,"")</f>
        <v>3.75050657749847</v>
      </c>
      <c r="AL912" s="15" t="n">
        <f aca="false">IFERROR(AI912/(AM912*U912/12),"")</f>
        <v>15.9978388946111</v>
      </c>
      <c r="AM912" s="12" t="n">
        <v>53040</v>
      </c>
      <c r="AN912" s="12" t="n">
        <v>1080278</v>
      </c>
      <c r="AO912" s="12" t="n">
        <v>2436162</v>
      </c>
      <c r="AP912" s="17" t="n">
        <v>0.276</v>
      </c>
      <c r="AQ912" s="16" t="n">
        <v>25</v>
      </c>
      <c r="AR912" s="16" t="n">
        <v>4</v>
      </c>
      <c r="AS912" s="13" t="n">
        <f aca="false">IFERROR(AR912/AR911-1,"")</f>
        <v>0</v>
      </c>
      <c r="AT912" s="11" t="s">
        <v>80</v>
      </c>
      <c r="AU912" s="14" t="n">
        <f aca="false">IFERROR(P912/AR912,"")</f>
        <v>172125.5</v>
      </c>
      <c r="AV912" s="12" t="n">
        <v>2852944</v>
      </c>
      <c r="AW912" s="12" t="n">
        <v>937124</v>
      </c>
      <c r="AX912" s="12" t="n">
        <v>736051</v>
      </c>
      <c r="AY912" s="16" t="n">
        <v>3170</v>
      </c>
      <c r="AZ912" s="13" t="n">
        <f aca="false">IFERROR(AY912/AY911-1,"")</f>
        <v>0.0517584605175847</v>
      </c>
      <c r="BA912" s="17" t="n">
        <v>0.95</v>
      </c>
      <c r="BB912" s="11" t="s">
        <v>81</v>
      </c>
      <c r="BC912" s="11" t="s">
        <v>100</v>
      </c>
      <c r="BD912" s="11" t="s">
        <v>175</v>
      </c>
      <c r="BE912" s="12" t="n">
        <v>645629</v>
      </c>
      <c r="BF912" s="13" t="n">
        <f aca="false">IFERROR(P912/BE912-1,"")</f>
        <v>0.0664050096882265</v>
      </c>
      <c r="BG912" s="17" t="n">
        <v>0.036</v>
      </c>
      <c r="BH912" s="17" t="n">
        <v>-0.011</v>
      </c>
      <c r="BI912" s="14" t="n">
        <f aca="false">P912*(1+IFERROR(Q912,0))^4</f>
        <v>1220284.57489058</v>
      </c>
      <c r="BJ912" s="12" t="n">
        <v>-2238435</v>
      </c>
      <c r="BK912" s="11" t="s">
        <v>110</v>
      </c>
      <c r="BL912" s="11" t="s">
        <v>85</v>
      </c>
      <c r="BM912" s="14" t="n">
        <f aca="false">O912</f>
        <v>21080294</v>
      </c>
      <c r="BN912" s="11" t="s">
        <v>842</v>
      </c>
      <c r="BO912" s="13" t="n">
        <f aca="false">IFERROR(1-L912/M912,"")</f>
        <v>0.140186538539185</v>
      </c>
      <c r="BP912" s="11" t="s">
        <v>142</v>
      </c>
      <c r="BQ912" s="12" t="n">
        <v>3572967</v>
      </c>
      <c r="BR912" s="11" t="s">
        <v>88</v>
      </c>
      <c r="BS912" s="11" t="s">
        <v>89</v>
      </c>
      <c r="BT912" s="19" t="str">
        <f aca="false">IF(OR(Z912&lt;6,AH912&lt;0.9,S912&lt;0.02,AK912&lt;1),"REVIEW",IF(AND(S912&gt;0.25,AH912&gt;1.2),"ACCELERATING","STABLE"))</f>
        <v>STABLE</v>
      </c>
    </row>
    <row r="913" customFormat="false" ht="15" hidden="false" customHeight="false" outlineLevel="0" collapsed="false">
      <c r="A913" s="11" t="s">
        <v>840</v>
      </c>
      <c r="B913" s="11" t="s">
        <v>93</v>
      </c>
      <c r="C913" s="11" t="s">
        <v>74</v>
      </c>
      <c r="D913" s="11" t="s">
        <v>165</v>
      </c>
      <c r="E913" s="11" t="s">
        <v>777</v>
      </c>
      <c r="F913" s="11" t="s">
        <v>841</v>
      </c>
      <c r="G913" s="11" t="s">
        <v>78</v>
      </c>
      <c r="H913" s="11" t="s">
        <v>644</v>
      </c>
      <c r="I913" s="11" t="s">
        <v>78</v>
      </c>
      <c r="J913" s="12" t="n">
        <v>3472000</v>
      </c>
      <c r="K913" s="13" t="n">
        <f aca="false">IFERROR(J913/M913,"")</f>
        <v>0.140186538539185</v>
      </c>
      <c r="L913" s="12" t="n">
        <v>21295000</v>
      </c>
      <c r="M913" s="14" t="n">
        <f aca="false">L913+J913</f>
        <v>24767000</v>
      </c>
      <c r="N913" s="12" t="n">
        <v>6697000</v>
      </c>
      <c r="O913" s="12" t="n">
        <v>21080294</v>
      </c>
      <c r="P913" s="12" t="n">
        <v>786747</v>
      </c>
      <c r="Q913" s="13" t="n">
        <f aca="false">IFERROR(P913/P912-1,"")</f>
        <v>0.142693848383883</v>
      </c>
      <c r="R913" s="12" t="n">
        <v>879243</v>
      </c>
      <c r="S913" s="13" t="n">
        <f aca="false">IFERROR(R913/R912-1,"")</f>
        <v>0.183263667022849</v>
      </c>
      <c r="T913" s="12" t="n">
        <v>480844</v>
      </c>
      <c r="U913" s="13" t="n">
        <f aca="false">IFERROR(T913/P913,"")</f>
        <v>0.611179960012558</v>
      </c>
      <c r="V913" s="14" t="n">
        <f aca="false">T913-AV913</f>
        <v>-2283026</v>
      </c>
      <c r="W913" s="14" t="n">
        <f aca="false">V913-AA913*0.1</f>
        <v>-2283026</v>
      </c>
      <c r="X913" s="12" t="n">
        <v>4978000</v>
      </c>
      <c r="Y913" s="12" t="n">
        <v>241000</v>
      </c>
      <c r="Z913" s="15" t="n">
        <f aca="false">IFERROR(X913/Y913,"")</f>
        <v>20.655601659751</v>
      </c>
      <c r="AA913" s="12" t="n">
        <v>0</v>
      </c>
      <c r="AB913" s="14" t="n">
        <f aca="false">W913-0.02*P913</f>
        <v>-2298760.94</v>
      </c>
      <c r="AC913" s="16" t="n">
        <v>74</v>
      </c>
      <c r="AD913" s="13" t="n">
        <f aca="false">IFERROR(AC913/AC912-1,"")</f>
        <v>0.138461538461538</v>
      </c>
      <c r="AE913" s="17" t="n">
        <v>0.066</v>
      </c>
      <c r="AF913" s="17" t="n">
        <v>0.052</v>
      </c>
      <c r="AG913" s="13" t="n">
        <f aca="false">1-AF913</f>
        <v>0.948</v>
      </c>
      <c r="AH913" s="17" t="n">
        <v>1.071</v>
      </c>
      <c r="AI913" s="12" t="n">
        <v>42200</v>
      </c>
      <c r="AJ913" s="14" t="n">
        <f aca="false">IFERROR(AM913*U913*MIN(1/AE913,5),"")</f>
        <v>165201.943191394</v>
      </c>
      <c r="AK913" s="18" t="n">
        <f aca="false">IFERROR(AJ913/AI913,"")</f>
        <v>3.9147379903174</v>
      </c>
      <c r="AL913" s="15" t="n">
        <f aca="false">IFERROR(AI913/(AM913*U913/12),"")</f>
        <v>15.326696230604</v>
      </c>
      <c r="AM913" s="12" t="n">
        <v>54060</v>
      </c>
      <c r="AN913" s="12" t="n">
        <v>1052496</v>
      </c>
      <c r="AO913" s="12" t="n">
        <v>2660577</v>
      </c>
      <c r="AP913" s="17" t="n">
        <v>0.276</v>
      </c>
      <c r="AQ913" s="16" t="n">
        <v>25</v>
      </c>
      <c r="AR913" s="16" t="n">
        <v>4</v>
      </c>
      <c r="AS913" s="13" t="n">
        <f aca="false">IFERROR(AR913/AR912-1,"")</f>
        <v>0</v>
      </c>
      <c r="AT913" s="11" t="s">
        <v>80</v>
      </c>
      <c r="AU913" s="14" t="n">
        <f aca="false">IFERROR(P913/AR913,"")</f>
        <v>196686.75</v>
      </c>
      <c r="AV913" s="12" t="n">
        <v>2763870</v>
      </c>
      <c r="AW913" s="12" t="n">
        <v>1002675</v>
      </c>
      <c r="AX913" s="12" t="n">
        <v>777161</v>
      </c>
      <c r="AY913" s="16" t="n">
        <v>3654</v>
      </c>
      <c r="AZ913" s="13" t="n">
        <f aca="false">IFERROR(AY913/AY912-1,"")</f>
        <v>0.152681388012618</v>
      </c>
      <c r="BA913" s="17" t="n">
        <v>0.948</v>
      </c>
      <c r="BB913" s="11" t="s">
        <v>81</v>
      </c>
      <c r="BC913" s="11" t="s">
        <v>100</v>
      </c>
      <c r="BD913" s="11" t="s">
        <v>175</v>
      </c>
      <c r="BE913" s="12" t="n">
        <v>865336</v>
      </c>
      <c r="BF913" s="13" t="n">
        <f aca="false">IFERROR(P913/BE913-1,"")</f>
        <v>-0.0908190575683896</v>
      </c>
      <c r="BG913" s="17" t="n">
        <v>-0.012</v>
      </c>
      <c r="BH913" s="17" t="n">
        <v>-0.074</v>
      </c>
      <c r="BI913" s="14" t="n">
        <f aca="false">P913*(1+IFERROR(Q913,0))^4</f>
        <v>1341388.72976967</v>
      </c>
      <c r="BJ913" s="12" t="n">
        <v>-2539564</v>
      </c>
      <c r="BK913" s="11" t="s">
        <v>110</v>
      </c>
      <c r="BL913" s="11" t="s">
        <v>85</v>
      </c>
      <c r="BM913" s="14" t="n">
        <f aca="false">O913</f>
        <v>21080294</v>
      </c>
      <c r="BN913" s="11" t="s">
        <v>842</v>
      </c>
      <c r="BO913" s="13" t="n">
        <f aca="false">IFERROR(1-L913/M913,"")</f>
        <v>0.140186538539185</v>
      </c>
      <c r="BP913" s="11" t="s">
        <v>142</v>
      </c>
      <c r="BQ913" s="12" t="n">
        <v>2916626</v>
      </c>
      <c r="BR913" s="11" t="s">
        <v>88</v>
      </c>
      <c r="BS913" s="11" t="s">
        <v>89</v>
      </c>
      <c r="BT913" s="19" t="str">
        <f aca="false">IF(OR(Z913&lt;6,AH913&lt;0.9,S913&lt;0.02,AK913&lt;1),"REVIEW",IF(AND(S913&gt;0.25,AH913&gt;1.2),"ACCELERATING","STABLE"))</f>
        <v>STABLE</v>
      </c>
    </row>
    <row r="914" customFormat="false" ht="15" hidden="false" customHeight="false" outlineLevel="0" collapsed="false">
      <c r="A914" s="3" t="s">
        <v>843</v>
      </c>
      <c r="B914" s="3" t="s">
        <v>73</v>
      </c>
      <c r="C914" s="3" t="s">
        <v>74</v>
      </c>
      <c r="D914" s="3" t="s">
        <v>210</v>
      </c>
      <c r="E914" s="3" t="s">
        <v>105</v>
      </c>
      <c r="F914" s="3" t="s">
        <v>844</v>
      </c>
      <c r="G914" s="3" t="s">
        <v>78</v>
      </c>
      <c r="H914" s="3" t="s">
        <v>644</v>
      </c>
      <c r="I914" s="3" t="s">
        <v>78</v>
      </c>
      <c r="J914" s="4" t="n">
        <v>2633000</v>
      </c>
      <c r="K914" s="5" t="n">
        <f aca="false">IFERROR(J914/M914,"")</f>
        <v>0.104013589318164</v>
      </c>
      <c r="L914" s="4" t="n">
        <v>22681000</v>
      </c>
      <c r="M914" s="6" t="n">
        <f aca="false">L914+J914</f>
        <v>25314000</v>
      </c>
      <c r="N914" s="4" t="n">
        <v>3924000</v>
      </c>
      <c r="O914" s="4" t="n">
        <v>22152345</v>
      </c>
      <c r="P914" s="4" t="n">
        <v>1054094</v>
      </c>
      <c r="Q914" s="7"/>
      <c r="R914" s="4" t="n">
        <v>1249180</v>
      </c>
      <c r="S914" s="7"/>
      <c r="T914" s="4" t="n">
        <v>729494</v>
      </c>
      <c r="U914" s="5" t="n">
        <f aca="false">IFERROR(T914/P914,"")</f>
        <v>0.692057824065027</v>
      </c>
      <c r="V914" s="6" t="n">
        <f aca="false">T914-AV914</f>
        <v>-1586480</v>
      </c>
      <c r="W914" s="6" t="n">
        <f aca="false">V914-AA914*0.1</f>
        <v>-1586480</v>
      </c>
      <c r="X914" s="4" t="n">
        <v>5488151</v>
      </c>
      <c r="Y914" s="4" t="n">
        <v>164710</v>
      </c>
      <c r="Z914" s="8" t="n">
        <f aca="false">IFERROR(X914/Y914,"")</f>
        <v>33.3200837836197</v>
      </c>
      <c r="AA914" s="4" t="n">
        <v>0</v>
      </c>
      <c r="AB914" s="6" t="n">
        <f aca="false">W914-0.02*P914</f>
        <v>-1607561.88</v>
      </c>
      <c r="AC914" s="9" t="n">
        <v>40</v>
      </c>
      <c r="AD914" s="7"/>
      <c r="AE914" s="7" t="n">
        <v>0.066</v>
      </c>
      <c r="AF914" s="7" t="n">
        <v>0.064</v>
      </c>
      <c r="AG914" s="5" t="n">
        <f aca="false">1-AF914</f>
        <v>0.936</v>
      </c>
      <c r="AH914" s="7" t="n">
        <v>1.139</v>
      </c>
      <c r="AI914" s="4" t="n">
        <v>48230</v>
      </c>
      <c r="AJ914" s="6" t="n">
        <f aca="false">IFERROR(AM914*U914*MIN(1/AE914,5),"")</f>
        <v>89967.5171284534</v>
      </c>
      <c r="AK914" s="10" t="n">
        <f aca="false">IFERROR(AJ914/AI914,"")</f>
        <v>1.86538497052568</v>
      </c>
      <c r="AL914" s="8" t="n">
        <f aca="false">IFERROR(AI914/(AM914*U914/12),"")</f>
        <v>32.1649423298889</v>
      </c>
      <c r="AM914" s="4" t="n">
        <v>26000</v>
      </c>
      <c r="AN914" s="4" t="n">
        <v>1318259</v>
      </c>
      <c r="AO914" s="4" t="n">
        <v>3495086</v>
      </c>
      <c r="AP914" s="7" t="n">
        <v>0.383</v>
      </c>
      <c r="AQ914" s="9" t="n">
        <v>73</v>
      </c>
      <c r="AR914" s="9" t="n">
        <v>2</v>
      </c>
      <c r="AS914" s="7"/>
      <c r="AT914" s="3" t="s">
        <v>153</v>
      </c>
      <c r="AU914" s="6" t="n">
        <f aca="false">IFERROR(P914/AR914,"")</f>
        <v>527047</v>
      </c>
      <c r="AV914" s="4" t="n">
        <v>2315974</v>
      </c>
      <c r="AW914" s="4" t="n">
        <v>706732</v>
      </c>
      <c r="AX914" s="4" t="n">
        <v>464310</v>
      </c>
      <c r="AY914" s="9" t="n">
        <v>1060</v>
      </c>
      <c r="AZ914" s="7"/>
      <c r="BA914" s="7" t="n">
        <v>0.945</v>
      </c>
      <c r="BB914" s="3" t="s">
        <v>161</v>
      </c>
      <c r="BC914" s="3" t="s">
        <v>108</v>
      </c>
      <c r="BD914" s="3" t="s">
        <v>157</v>
      </c>
      <c r="BE914" s="4" t="n">
        <v>974048</v>
      </c>
      <c r="BF914" s="5" t="n">
        <f aca="false">IFERROR(P914/BE914-1,"")</f>
        <v>0.0821787016656264</v>
      </c>
      <c r="BG914" s="7" t="n">
        <v>0.013</v>
      </c>
      <c r="BH914" s="7" t="n">
        <v>0.083</v>
      </c>
      <c r="BI914" s="6" t="n">
        <f aca="false">P914</f>
        <v>1054094</v>
      </c>
      <c r="BJ914" s="4" t="n">
        <v>-1758879</v>
      </c>
      <c r="BK914" s="3" t="s">
        <v>110</v>
      </c>
      <c r="BL914" s="3" t="s">
        <v>111</v>
      </c>
      <c r="BM914" s="6" t="n">
        <f aca="false">O914</f>
        <v>22152345</v>
      </c>
      <c r="BN914" s="3" t="s">
        <v>845</v>
      </c>
      <c r="BO914" s="5" t="n">
        <f aca="false">IFERROR(1-L914/M914,"")</f>
        <v>0.104013589318164</v>
      </c>
      <c r="BP914" s="3" t="s">
        <v>113</v>
      </c>
      <c r="BQ914" s="4" t="n">
        <v>3156007</v>
      </c>
      <c r="BR914" s="3" t="s">
        <v>88</v>
      </c>
      <c r="BS914" s="3" t="s">
        <v>89</v>
      </c>
      <c r="BT914" s="3" t="s">
        <v>90</v>
      </c>
    </row>
    <row r="915" customFormat="false" ht="15" hidden="false" customHeight="false" outlineLevel="0" collapsed="false">
      <c r="A915" s="11" t="s">
        <v>843</v>
      </c>
      <c r="B915" s="11" t="s">
        <v>91</v>
      </c>
      <c r="C915" s="11" t="s">
        <v>74</v>
      </c>
      <c r="D915" s="11" t="s">
        <v>210</v>
      </c>
      <c r="E915" s="11" t="s">
        <v>105</v>
      </c>
      <c r="F915" s="11" t="s">
        <v>844</v>
      </c>
      <c r="G915" s="11" t="s">
        <v>78</v>
      </c>
      <c r="H915" s="11" t="s">
        <v>644</v>
      </c>
      <c r="I915" s="11" t="s">
        <v>78</v>
      </c>
      <c r="J915" s="12" t="n">
        <v>2633000</v>
      </c>
      <c r="K915" s="13" t="n">
        <f aca="false">IFERROR(J915/M915,"")</f>
        <v>0.104013589318164</v>
      </c>
      <c r="L915" s="12" t="n">
        <v>22681000</v>
      </c>
      <c r="M915" s="14" t="n">
        <f aca="false">L915+J915</f>
        <v>25314000</v>
      </c>
      <c r="N915" s="12" t="n">
        <v>3924000</v>
      </c>
      <c r="O915" s="12" t="n">
        <v>22152345</v>
      </c>
      <c r="P915" s="12" t="n">
        <v>1123012</v>
      </c>
      <c r="Q915" s="13" t="n">
        <f aca="false">IFERROR(P915/P914-1,"")</f>
        <v>0.0653812658074138</v>
      </c>
      <c r="R915" s="12" t="n">
        <v>1398355</v>
      </c>
      <c r="S915" s="13" t="n">
        <f aca="false">IFERROR(R915/R914-1,"")</f>
        <v>0.11941833843001</v>
      </c>
      <c r="T915" s="12" t="n">
        <v>780335</v>
      </c>
      <c r="U915" s="13" t="n">
        <f aca="false">IFERROR(T915/P915,"")</f>
        <v>0.69485900417805</v>
      </c>
      <c r="V915" s="14" t="n">
        <f aca="false">T915-AV915</f>
        <v>-1889684</v>
      </c>
      <c r="W915" s="14" t="n">
        <f aca="false">V915-AA915*0.1</f>
        <v>-1889684</v>
      </c>
      <c r="X915" s="12" t="n">
        <v>5072756</v>
      </c>
      <c r="Y915" s="12" t="n">
        <v>170140</v>
      </c>
      <c r="Z915" s="15" t="n">
        <f aca="false">IFERROR(X915/Y915,"")</f>
        <v>29.8151874926531</v>
      </c>
      <c r="AA915" s="12" t="n">
        <v>0</v>
      </c>
      <c r="AB915" s="14" t="n">
        <f aca="false">W915-0.02*P915</f>
        <v>-1912144.24</v>
      </c>
      <c r="AC915" s="16" t="n">
        <v>44</v>
      </c>
      <c r="AD915" s="13" t="n">
        <f aca="false">IFERROR(AC915/AC914-1,"")</f>
        <v>0.1</v>
      </c>
      <c r="AE915" s="17" t="n">
        <v>0.065</v>
      </c>
      <c r="AF915" s="17" t="n">
        <v>0.039</v>
      </c>
      <c r="AG915" s="13" t="n">
        <f aca="false">1-AF915</f>
        <v>0.961</v>
      </c>
      <c r="AH915" s="17" t="n">
        <v>1.134</v>
      </c>
      <c r="AI915" s="12" t="n">
        <v>47320</v>
      </c>
      <c r="AJ915" s="14" t="n">
        <f aca="false">IFERROR(AM915*U915*MIN(1/AE915,5),"")</f>
        <v>92138.3039540094</v>
      </c>
      <c r="AK915" s="18" t="n">
        <f aca="false">IFERROR(AJ915/AI915,"")</f>
        <v>1.94713237434508</v>
      </c>
      <c r="AL915" s="15" t="n">
        <f aca="false">IFERROR(AI915/(AM915*U915/12),"")</f>
        <v>30.814545939734</v>
      </c>
      <c r="AM915" s="12" t="n">
        <v>26520</v>
      </c>
      <c r="AN915" s="12" t="n">
        <v>1913215</v>
      </c>
      <c r="AO915" s="12" t="n">
        <v>2314379</v>
      </c>
      <c r="AP915" s="17" t="n">
        <v>0.383</v>
      </c>
      <c r="AQ915" s="16" t="n">
        <v>73</v>
      </c>
      <c r="AR915" s="16" t="n">
        <v>2</v>
      </c>
      <c r="AS915" s="13" t="n">
        <f aca="false">IFERROR(AR915/AR914-1,"")</f>
        <v>0</v>
      </c>
      <c r="AT915" s="11" t="s">
        <v>153</v>
      </c>
      <c r="AU915" s="14" t="n">
        <f aca="false">IFERROR(P915/AR915,"")</f>
        <v>561506</v>
      </c>
      <c r="AV915" s="12" t="n">
        <v>2670019</v>
      </c>
      <c r="AW915" s="12" t="n">
        <v>1113021</v>
      </c>
      <c r="AX915" s="12" t="n">
        <v>779012</v>
      </c>
      <c r="AY915" s="16" t="n">
        <v>1305</v>
      </c>
      <c r="AZ915" s="13" t="n">
        <f aca="false">IFERROR(AY915/AY914-1,"")</f>
        <v>0.231132075471698</v>
      </c>
      <c r="BA915" s="17" t="n">
        <v>0.94</v>
      </c>
      <c r="BB915" s="11" t="s">
        <v>161</v>
      </c>
      <c r="BC915" s="11" t="s">
        <v>108</v>
      </c>
      <c r="BD915" s="11" t="s">
        <v>157</v>
      </c>
      <c r="BE915" s="12" t="n">
        <v>1077106</v>
      </c>
      <c r="BF915" s="13" t="n">
        <f aca="false">IFERROR(P915/BE915-1,"")</f>
        <v>0.0426197607292134</v>
      </c>
      <c r="BG915" s="17" t="n">
        <v>0.017</v>
      </c>
      <c r="BH915" s="17" t="n">
        <v>0.01</v>
      </c>
      <c r="BI915" s="14" t="n">
        <f aca="false">P915*(1+IFERROR(Q915,0))^4</f>
        <v>1446787.07276138</v>
      </c>
      <c r="BJ915" s="12" t="n">
        <v>-1182631</v>
      </c>
      <c r="BK915" s="11" t="s">
        <v>110</v>
      </c>
      <c r="BL915" s="11" t="s">
        <v>111</v>
      </c>
      <c r="BM915" s="14" t="n">
        <f aca="false">O915</f>
        <v>22152345</v>
      </c>
      <c r="BN915" s="11" t="s">
        <v>845</v>
      </c>
      <c r="BO915" s="13" t="n">
        <f aca="false">IFERROR(1-L915/M915,"")</f>
        <v>0.104013589318164</v>
      </c>
      <c r="BP915" s="11" t="s">
        <v>113</v>
      </c>
      <c r="BQ915" s="12" t="n">
        <v>3265935</v>
      </c>
      <c r="BR915" s="11" t="s">
        <v>88</v>
      </c>
      <c r="BS915" s="11" t="s">
        <v>89</v>
      </c>
      <c r="BT915" s="19" t="str">
        <f aca="false">IF(OR(Z915&lt;6,AH915&lt;0.9,S915&lt;0.02,AK915&lt;1),"REVIEW",IF(AND(S915&gt;0.25,AH915&gt;1.2),"ACCELERATING","STABLE"))</f>
        <v>STABLE</v>
      </c>
    </row>
    <row r="916" customFormat="false" ht="15" hidden="false" customHeight="false" outlineLevel="0" collapsed="false">
      <c r="A916" s="11" t="s">
        <v>843</v>
      </c>
      <c r="B916" s="11" t="s">
        <v>92</v>
      </c>
      <c r="C916" s="11" t="s">
        <v>74</v>
      </c>
      <c r="D916" s="11" t="s">
        <v>210</v>
      </c>
      <c r="E916" s="11" t="s">
        <v>105</v>
      </c>
      <c r="F916" s="11" t="s">
        <v>844</v>
      </c>
      <c r="G916" s="11" t="s">
        <v>78</v>
      </c>
      <c r="H916" s="11" t="s">
        <v>644</v>
      </c>
      <c r="I916" s="11" t="s">
        <v>78</v>
      </c>
      <c r="J916" s="12" t="n">
        <v>2633000</v>
      </c>
      <c r="K916" s="13" t="n">
        <f aca="false">IFERROR(J916/M916,"")</f>
        <v>0.104013589318164</v>
      </c>
      <c r="L916" s="12" t="n">
        <v>22681000</v>
      </c>
      <c r="M916" s="14" t="n">
        <f aca="false">L916+J916</f>
        <v>25314000</v>
      </c>
      <c r="N916" s="12" t="n">
        <v>3924000</v>
      </c>
      <c r="O916" s="12" t="n">
        <v>22152345</v>
      </c>
      <c r="P916" s="12" t="n">
        <v>1333857</v>
      </c>
      <c r="Q916" s="13" t="n">
        <f aca="false">IFERROR(P916/P915-1,"")</f>
        <v>0.187749552097395</v>
      </c>
      <c r="R916" s="12" t="n">
        <v>1613050</v>
      </c>
      <c r="S916" s="13" t="n">
        <f aca="false">IFERROR(R916/R915-1,"")</f>
        <v>0.153533973847843</v>
      </c>
      <c r="T916" s="12" t="n">
        <v>930580</v>
      </c>
      <c r="U916" s="13" t="n">
        <f aca="false">IFERROR(T916/P916,"")</f>
        <v>0.697660993644746</v>
      </c>
      <c r="V916" s="14" t="n">
        <f aca="false">T916-AV916</f>
        <v>-1745591</v>
      </c>
      <c r="W916" s="14" t="n">
        <f aca="false">V916-AA916*0.1</f>
        <v>-1745591</v>
      </c>
      <c r="X916" s="12" t="n">
        <v>4628039</v>
      </c>
      <c r="Y916" s="12" t="n">
        <v>175570</v>
      </c>
      <c r="Z916" s="15" t="n">
        <f aca="false">IFERROR(X916/Y916,"")</f>
        <v>26.3600786011278</v>
      </c>
      <c r="AA916" s="12" t="n">
        <v>0</v>
      </c>
      <c r="AB916" s="14" t="n">
        <f aca="false">W916-0.02*P916</f>
        <v>-1772268.14</v>
      </c>
      <c r="AC916" s="16" t="n">
        <v>49</v>
      </c>
      <c r="AD916" s="13" t="n">
        <f aca="false">IFERROR(AC916/AC915-1,"")</f>
        <v>0.113636363636364</v>
      </c>
      <c r="AE916" s="17" t="n">
        <v>0.063</v>
      </c>
      <c r="AF916" s="17" t="n">
        <v>0.064</v>
      </c>
      <c r="AG916" s="13" t="n">
        <f aca="false">1-AF916</f>
        <v>0.936</v>
      </c>
      <c r="AH916" s="17" t="n">
        <v>1.129</v>
      </c>
      <c r="AI916" s="12" t="n">
        <v>46410</v>
      </c>
      <c r="AJ916" s="14" t="n">
        <f aca="false">IFERROR(AM916*U916*MIN(1/AE916,5),"")</f>
        <v>94323.7663407697</v>
      </c>
      <c r="AK916" s="18" t="n">
        <f aca="false">IFERROR(AJ916/AI916,"")</f>
        <v>2.03240177420318</v>
      </c>
      <c r="AL916" s="15" t="n">
        <f aca="false">IFERROR(AI916/(AM916*U916/12),"")</f>
        <v>29.5217219161912</v>
      </c>
      <c r="AM916" s="12" t="n">
        <v>27040</v>
      </c>
      <c r="AN916" s="12" t="n">
        <v>1542076</v>
      </c>
      <c r="AO916" s="12" t="n">
        <v>3265606</v>
      </c>
      <c r="AP916" s="17" t="n">
        <v>0.383</v>
      </c>
      <c r="AQ916" s="16" t="n">
        <v>73</v>
      </c>
      <c r="AR916" s="16" t="n">
        <v>2</v>
      </c>
      <c r="AS916" s="13" t="n">
        <f aca="false">IFERROR(AR916/AR915-1,"")</f>
        <v>0</v>
      </c>
      <c r="AT916" s="11" t="s">
        <v>153</v>
      </c>
      <c r="AU916" s="14" t="n">
        <f aca="false">IFERROR(P916/AR916,"")</f>
        <v>666928.5</v>
      </c>
      <c r="AV916" s="12" t="n">
        <v>2676171</v>
      </c>
      <c r="AW916" s="12" t="n">
        <v>1089519</v>
      </c>
      <c r="AX916" s="12" t="n">
        <v>538977</v>
      </c>
      <c r="AY916" s="16" t="n">
        <v>1419</v>
      </c>
      <c r="AZ916" s="13" t="n">
        <f aca="false">IFERROR(AY916/AY915-1,"")</f>
        <v>0.0873563218390805</v>
      </c>
      <c r="BA916" s="17" t="n">
        <v>0.947</v>
      </c>
      <c r="BB916" s="11" t="s">
        <v>161</v>
      </c>
      <c r="BC916" s="11" t="s">
        <v>108</v>
      </c>
      <c r="BD916" s="11" t="s">
        <v>157</v>
      </c>
      <c r="BE916" s="12" t="n">
        <v>1251719</v>
      </c>
      <c r="BF916" s="13" t="n">
        <f aca="false">IFERROR(P916/BE916-1,"")</f>
        <v>0.065620159157127</v>
      </c>
      <c r="BG916" s="17" t="n">
        <v>-0.004</v>
      </c>
      <c r="BH916" s="17" t="n">
        <v>-0.035</v>
      </c>
      <c r="BI916" s="14" t="n">
        <f aca="false">P916*(1+IFERROR(Q916,0))^4</f>
        <v>2654659.19045662</v>
      </c>
      <c r="BJ916" s="12" t="n">
        <v>-1067402</v>
      </c>
      <c r="BK916" s="11" t="s">
        <v>110</v>
      </c>
      <c r="BL916" s="11" t="s">
        <v>111</v>
      </c>
      <c r="BM916" s="14" t="n">
        <f aca="false">O916</f>
        <v>22152345</v>
      </c>
      <c r="BN916" s="11" t="s">
        <v>845</v>
      </c>
      <c r="BO916" s="13" t="n">
        <f aca="false">IFERROR(1-L916/M916,"")</f>
        <v>0.104013589318164</v>
      </c>
      <c r="BP916" s="11" t="s">
        <v>113</v>
      </c>
      <c r="BQ916" s="12" t="n">
        <v>2225005</v>
      </c>
      <c r="BR916" s="11" t="s">
        <v>88</v>
      </c>
      <c r="BS916" s="11" t="s">
        <v>89</v>
      </c>
      <c r="BT916" s="19" t="str">
        <f aca="false">IF(OR(Z916&lt;6,AH916&lt;0.9,S916&lt;0.02,AK916&lt;1),"REVIEW",IF(AND(S916&gt;0.25,AH916&gt;1.2),"ACCELERATING","STABLE"))</f>
        <v>STABLE</v>
      </c>
    </row>
    <row r="917" customFormat="false" ht="15" hidden="false" customHeight="false" outlineLevel="0" collapsed="false">
      <c r="A917" s="11" t="s">
        <v>843</v>
      </c>
      <c r="B917" s="11" t="s">
        <v>93</v>
      </c>
      <c r="C917" s="11" t="s">
        <v>74</v>
      </c>
      <c r="D917" s="11" t="s">
        <v>210</v>
      </c>
      <c r="E917" s="11" t="s">
        <v>105</v>
      </c>
      <c r="F917" s="11" t="s">
        <v>844</v>
      </c>
      <c r="G917" s="11" t="s">
        <v>78</v>
      </c>
      <c r="H917" s="11" t="s">
        <v>644</v>
      </c>
      <c r="I917" s="11" t="s">
        <v>78</v>
      </c>
      <c r="J917" s="12" t="n">
        <v>2633000</v>
      </c>
      <c r="K917" s="13" t="n">
        <f aca="false">IFERROR(J917/M917,"")</f>
        <v>0.104013589318164</v>
      </c>
      <c r="L917" s="12" t="n">
        <v>22681000</v>
      </c>
      <c r="M917" s="14" t="n">
        <f aca="false">L917+J917</f>
        <v>25314000</v>
      </c>
      <c r="N917" s="12" t="n">
        <v>3924000</v>
      </c>
      <c r="O917" s="12" t="n">
        <v>22152345</v>
      </c>
      <c r="P917" s="12" t="n">
        <v>1490827</v>
      </c>
      <c r="Q917" s="13" t="n">
        <f aca="false">IFERROR(P917/P916-1,"")</f>
        <v>0.117681280677014</v>
      </c>
      <c r="R917" s="12" t="n">
        <v>1754868</v>
      </c>
      <c r="S917" s="13" t="n">
        <f aca="false">IFERROR(R917/R916-1,"")</f>
        <v>0.0879191593564985</v>
      </c>
      <c r="T917" s="12" t="n">
        <v>1044269</v>
      </c>
      <c r="U917" s="13" t="n">
        <f aca="false">IFERROR(T917/P917,"")</f>
        <v>0.700462897438804</v>
      </c>
      <c r="V917" s="14" t="n">
        <f aca="false">T917-AV917</f>
        <v>-1725135</v>
      </c>
      <c r="W917" s="14" t="n">
        <f aca="false">V917-AA917*0.1</f>
        <v>-1725135</v>
      </c>
      <c r="X917" s="12" t="n">
        <v>4154000</v>
      </c>
      <c r="Y917" s="12" t="n">
        <v>181000</v>
      </c>
      <c r="Z917" s="15" t="n">
        <f aca="false">IFERROR(X917/Y917,"")</f>
        <v>22.9502762430939</v>
      </c>
      <c r="AA917" s="12" t="n">
        <v>0</v>
      </c>
      <c r="AB917" s="14" t="n">
        <f aca="false">W917-0.02*P917</f>
        <v>-1754951.54</v>
      </c>
      <c r="AC917" s="16" t="n">
        <v>53</v>
      </c>
      <c r="AD917" s="13" t="n">
        <f aca="false">IFERROR(AC917/AC916-1,"")</f>
        <v>0.0816326530612246</v>
      </c>
      <c r="AE917" s="17" t="n">
        <v>0.061</v>
      </c>
      <c r="AF917" s="17" t="n">
        <v>0.065</v>
      </c>
      <c r="AG917" s="13" t="n">
        <f aca="false">1-AF917</f>
        <v>0.935</v>
      </c>
      <c r="AH917" s="17" t="n">
        <v>1.124</v>
      </c>
      <c r="AI917" s="12" t="n">
        <v>45500</v>
      </c>
      <c r="AJ917" s="14" t="n">
        <f aca="false">IFERROR(AM917*U917*MIN(1/AE917,5),"")</f>
        <v>96523.7872670672</v>
      </c>
      <c r="AK917" s="18" t="n">
        <f aca="false">IFERROR(AJ917/AI917,"")</f>
        <v>2.12140191795752</v>
      </c>
      <c r="AL917" s="15" t="n">
        <f aca="false">IFERROR(AI917/(AM917*U917/12),"")</f>
        <v>28.2831836306473</v>
      </c>
      <c r="AM917" s="12" t="n">
        <v>27560</v>
      </c>
      <c r="AN917" s="12" t="n">
        <v>2010908</v>
      </c>
      <c r="AO917" s="12" t="n">
        <v>6637714</v>
      </c>
      <c r="AP917" s="17" t="n">
        <v>0.383</v>
      </c>
      <c r="AQ917" s="16" t="n">
        <v>73</v>
      </c>
      <c r="AR917" s="16" t="n">
        <v>2</v>
      </c>
      <c r="AS917" s="13" t="n">
        <f aca="false">IFERROR(AR917/AR916-1,"")</f>
        <v>0</v>
      </c>
      <c r="AT917" s="11" t="s">
        <v>153</v>
      </c>
      <c r="AU917" s="14" t="n">
        <f aca="false">IFERROR(P917/AR917,"")</f>
        <v>745413.5</v>
      </c>
      <c r="AV917" s="12" t="n">
        <v>2769404</v>
      </c>
      <c r="AW917" s="12" t="n">
        <v>1226334</v>
      </c>
      <c r="AX917" s="12" t="n">
        <v>545869</v>
      </c>
      <c r="AY917" s="16" t="n">
        <v>1480</v>
      </c>
      <c r="AZ917" s="13" t="n">
        <f aca="false">IFERROR(AY917/AY916-1,"")</f>
        <v>0.0429880197322057</v>
      </c>
      <c r="BA917" s="17" t="n">
        <v>0.935</v>
      </c>
      <c r="BB917" s="11" t="s">
        <v>161</v>
      </c>
      <c r="BC917" s="11" t="s">
        <v>108</v>
      </c>
      <c r="BD917" s="11" t="s">
        <v>157</v>
      </c>
      <c r="BE917" s="12" t="n">
        <v>1694565</v>
      </c>
      <c r="BF917" s="13" t="n">
        <f aca="false">IFERROR(P917/BE917-1,"")</f>
        <v>-0.120230265584383</v>
      </c>
      <c r="BG917" s="17" t="n">
        <v>0.084</v>
      </c>
      <c r="BH917" s="17" t="n">
        <v>0.029</v>
      </c>
      <c r="BI917" s="14" t="n">
        <f aca="false">P917*(1+IFERROR(Q917,0))^4</f>
        <v>2326479.11746692</v>
      </c>
      <c r="BJ917" s="12" t="n">
        <v>-2035427</v>
      </c>
      <c r="BK917" s="11" t="s">
        <v>110</v>
      </c>
      <c r="BL917" s="11" t="s">
        <v>111</v>
      </c>
      <c r="BM917" s="14" t="n">
        <f aca="false">O917</f>
        <v>22152345</v>
      </c>
      <c r="BN917" s="11" t="s">
        <v>845</v>
      </c>
      <c r="BO917" s="13" t="n">
        <f aca="false">IFERROR(1-L917/M917,"")</f>
        <v>0.104013589318164</v>
      </c>
      <c r="BP917" s="11" t="s">
        <v>113</v>
      </c>
      <c r="BQ917" s="12" t="n">
        <v>2439508</v>
      </c>
      <c r="BR917" s="11" t="s">
        <v>88</v>
      </c>
      <c r="BS917" s="11" t="s">
        <v>89</v>
      </c>
      <c r="BT917" s="19" t="str">
        <f aca="false">IF(OR(Z917&lt;6,AH917&lt;0.9,S917&lt;0.02,AK917&lt;1),"REVIEW",IF(AND(S917&gt;0.25,AH917&gt;1.2),"ACCELERATING","STABLE"))</f>
        <v>STABLE</v>
      </c>
    </row>
    <row r="918" customFormat="false" ht="15" hidden="false" customHeight="false" outlineLevel="0" collapsed="false">
      <c r="A918" s="3" t="s">
        <v>846</v>
      </c>
      <c r="B918" s="3" t="s">
        <v>73</v>
      </c>
      <c r="C918" s="3" t="s">
        <v>74</v>
      </c>
      <c r="D918" s="3" t="s">
        <v>75</v>
      </c>
      <c r="E918" s="3" t="s">
        <v>187</v>
      </c>
      <c r="F918" s="3" t="s">
        <v>847</v>
      </c>
      <c r="G918" s="3" t="s">
        <v>78</v>
      </c>
      <c r="H918" s="3" t="s">
        <v>644</v>
      </c>
      <c r="I918" s="3" t="s">
        <v>78</v>
      </c>
      <c r="J918" s="4" t="n">
        <v>4009000</v>
      </c>
      <c r="K918" s="5" t="n">
        <f aca="false">IFERROR(J918/M918,"")</f>
        <v>0.145480277243532</v>
      </c>
      <c r="L918" s="4" t="n">
        <v>23548000</v>
      </c>
      <c r="M918" s="6" t="n">
        <f aca="false">L918+J918</f>
        <v>27557000</v>
      </c>
      <c r="N918" s="4" t="n">
        <v>4009000</v>
      </c>
      <c r="O918" s="4" t="n">
        <v>49143023</v>
      </c>
      <c r="P918" s="4" t="n">
        <v>959469</v>
      </c>
      <c r="Q918" s="7"/>
      <c r="R918" s="4" t="n">
        <v>976536</v>
      </c>
      <c r="S918" s="7"/>
      <c r="T918" s="4" t="n">
        <v>803400</v>
      </c>
      <c r="U918" s="5" t="n">
        <f aca="false">IFERROR(T918/P918,"")</f>
        <v>0.837338152665693</v>
      </c>
      <c r="V918" s="6" t="n">
        <f aca="false">T918-AV918</f>
        <v>-1316670</v>
      </c>
      <c r="W918" s="6" t="n">
        <f aca="false">V918-AA918*0.1</f>
        <v>-1316670</v>
      </c>
      <c r="X918" s="4" t="n">
        <v>3409085</v>
      </c>
      <c r="Y918" s="4" t="n">
        <v>122850</v>
      </c>
      <c r="Z918" s="8" t="n">
        <f aca="false">IFERROR(X918/Y918,"")</f>
        <v>27.7499796499797</v>
      </c>
      <c r="AA918" s="4" t="n">
        <v>0</v>
      </c>
      <c r="AB918" s="6" t="n">
        <f aca="false">W918-0.02*P918</f>
        <v>-1335859.38</v>
      </c>
      <c r="AC918" s="9" t="n">
        <v>12</v>
      </c>
      <c r="AD918" s="7"/>
      <c r="AE918" s="7" t="n">
        <v>0.123</v>
      </c>
      <c r="AF918" s="7" t="n">
        <v>0.104</v>
      </c>
      <c r="AG918" s="5" t="n">
        <f aca="false">1-AF918</f>
        <v>0.896</v>
      </c>
      <c r="AH918" s="7" t="n">
        <v>1.157</v>
      </c>
      <c r="AI918" s="4" t="n">
        <v>95506</v>
      </c>
      <c r="AJ918" s="6" t="n">
        <f aca="false">IFERROR(AM918*U918*MIN(1/AE918,5),"")</f>
        <v>180027.702823124</v>
      </c>
      <c r="AK918" s="10" t="n">
        <f aca="false">IFERROR(AJ918/AI918,"")</f>
        <v>1.8849884072532</v>
      </c>
      <c r="AL918" s="8" t="n">
        <f aca="false">IFERROR(AI918/(AM918*U918/12),"")</f>
        <v>31.8304344839085</v>
      </c>
      <c r="AM918" s="4" t="n">
        <v>43000</v>
      </c>
      <c r="AN918" s="4" t="n">
        <v>1047572</v>
      </c>
      <c r="AO918" s="4" t="n">
        <v>2901384</v>
      </c>
      <c r="AP918" s="7" t="n">
        <v>0.308</v>
      </c>
      <c r="AQ918" s="9" t="n">
        <v>36</v>
      </c>
      <c r="AR918" s="9" t="n">
        <v>5</v>
      </c>
      <c r="AS918" s="7"/>
      <c r="AT918" s="3" t="s">
        <v>134</v>
      </c>
      <c r="AU918" s="6" t="n">
        <f aca="false">IFERROR(P918/AR918,"")</f>
        <v>191893.8</v>
      </c>
      <c r="AV918" s="4" t="n">
        <v>2120070</v>
      </c>
      <c r="AW918" s="4" t="n">
        <v>805961</v>
      </c>
      <c r="AX918" s="4" t="n">
        <v>539901</v>
      </c>
      <c r="AY918" s="9" t="n">
        <v>24101</v>
      </c>
      <c r="AZ918" s="7"/>
      <c r="BA918" s="7" t="n">
        <v>0.871</v>
      </c>
      <c r="BB918" s="3" t="s">
        <v>161</v>
      </c>
      <c r="BC918" s="3" t="s">
        <v>82</v>
      </c>
      <c r="BD918" s="3" t="s">
        <v>157</v>
      </c>
      <c r="BE918" s="4" t="n">
        <v>941974</v>
      </c>
      <c r="BF918" s="5" t="n">
        <f aca="false">IFERROR(P918/BE918-1,"")</f>
        <v>0.018572699458796</v>
      </c>
      <c r="BG918" s="7" t="n">
        <v>0.061</v>
      </c>
      <c r="BH918" s="7" t="n">
        <v>-0.044</v>
      </c>
      <c r="BI918" s="6" t="n">
        <f aca="false">P918</f>
        <v>959469</v>
      </c>
      <c r="BJ918" s="4" t="n">
        <v>-861926</v>
      </c>
      <c r="BK918" s="3" t="s">
        <v>110</v>
      </c>
      <c r="BL918" s="3" t="s">
        <v>162</v>
      </c>
      <c r="BM918" s="6" t="n">
        <f aca="false">O918</f>
        <v>49143023</v>
      </c>
      <c r="BN918" s="3" t="s">
        <v>848</v>
      </c>
      <c r="BO918" s="5" t="n">
        <f aca="false">IFERROR(1-L918/M918,"")</f>
        <v>0.145480277243532</v>
      </c>
      <c r="BP918" s="3" t="s">
        <v>198</v>
      </c>
      <c r="BQ918" s="4" t="n">
        <v>1602943</v>
      </c>
      <c r="BR918" s="3" t="s">
        <v>88</v>
      </c>
      <c r="BS918" s="3" t="s">
        <v>89</v>
      </c>
      <c r="BT918" s="3" t="s">
        <v>90</v>
      </c>
    </row>
    <row r="919" customFormat="false" ht="15" hidden="false" customHeight="false" outlineLevel="0" collapsed="false">
      <c r="A919" s="11" t="s">
        <v>846</v>
      </c>
      <c r="B919" s="11" t="s">
        <v>91</v>
      </c>
      <c r="C919" s="11" t="s">
        <v>74</v>
      </c>
      <c r="D919" s="11" t="s">
        <v>75</v>
      </c>
      <c r="E919" s="11" t="s">
        <v>187</v>
      </c>
      <c r="F919" s="11" t="s">
        <v>847</v>
      </c>
      <c r="G919" s="11" t="s">
        <v>78</v>
      </c>
      <c r="H919" s="11" t="s">
        <v>644</v>
      </c>
      <c r="I919" s="11" t="s">
        <v>78</v>
      </c>
      <c r="J919" s="12" t="n">
        <v>4009000</v>
      </c>
      <c r="K919" s="13" t="n">
        <f aca="false">IFERROR(J919/M919,"")</f>
        <v>0.145480277243532</v>
      </c>
      <c r="L919" s="12" t="n">
        <v>23548000</v>
      </c>
      <c r="M919" s="14" t="n">
        <f aca="false">L919+J919</f>
        <v>27557000</v>
      </c>
      <c r="N919" s="12" t="n">
        <v>4009000</v>
      </c>
      <c r="O919" s="12" t="n">
        <v>49143023</v>
      </c>
      <c r="P919" s="12" t="n">
        <v>1034142</v>
      </c>
      <c r="Q919" s="13" t="n">
        <f aca="false">IFERROR(P919/P918-1,"")</f>
        <v>0.0778274232935092</v>
      </c>
      <c r="R919" s="12" t="n">
        <v>1196051</v>
      </c>
      <c r="S919" s="13" t="n">
        <f aca="false">IFERROR(R919/R918-1,"")</f>
        <v>0.224789459886783</v>
      </c>
      <c r="T919" s="12" t="n">
        <v>869433</v>
      </c>
      <c r="U919" s="13" t="n">
        <f aca="false">IFERROR(T919/P919,"")</f>
        <v>0.840728836078604</v>
      </c>
      <c r="V919" s="14" t="n">
        <f aca="false">T919-AV919</f>
        <v>-1266149</v>
      </c>
      <c r="W919" s="14" t="n">
        <f aca="false">V919-AA919*0.1</f>
        <v>-1266149</v>
      </c>
      <c r="X919" s="12" t="n">
        <v>3099260</v>
      </c>
      <c r="Y919" s="12" t="n">
        <v>126900</v>
      </c>
      <c r="Z919" s="15" t="n">
        <f aca="false">IFERROR(X919/Y919,"")</f>
        <v>24.4228526398739</v>
      </c>
      <c r="AA919" s="12" t="n">
        <v>0</v>
      </c>
      <c r="AB919" s="14" t="n">
        <f aca="false">W919-0.02*P919</f>
        <v>-1286831.84</v>
      </c>
      <c r="AC919" s="16" t="n">
        <v>13</v>
      </c>
      <c r="AD919" s="13" t="n">
        <f aca="false">IFERROR(AC919/AC918-1,"")</f>
        <v>0.0833333333333333</v>
      </c>
      <c r="AE919" s="17" t="n">
        <v>0.12</v>
      </c>
      <c r="AF919" s="17" t="n">
        <v>0.083</v>
      </c>
      <c r="AG919" s="13" t="n">
        <f aca="false">1-AF919</f>
        <v>0.917</v>
      </c>
      <c r="AH919" s="17" t="n">
        <v>1.152</v>
      </c>
      <c r="AI919" s="12" t="n">
        <v>93704</v>
      </c>
      <c r="AJ919" s="14" t="n">
        <f aca="false">IFERROR(AM919*U919*MIN(1/AE919,5),"")</f>
        <v>184371.833752038</v>
      </c>
      <c r="AK919" s="18" t="n">
        <f aca="false">IFERROR(AJ919/AI919,"")</f>
        <v>1.96759832826814</v>
      </c>
      <c r="AL919" s="15" t="n">
        <f aca="false">IFERROR(AI919/(AM919*U919/12),"")</f>
        <v>30.4940287547466</v>
      </c>
      <c r="AM919" s="12" t="n">
        <v>43860</v>
      </c>
      <c r="AN919" s="12" t="n">
        <v>1337566</v>
      </c>
      <c r="AO919" s="12" t="n">
        <v>2696250</v>
      </c>
      <c r="AP919" s="17" t="n">
        <v>0.308</v>
      </c>
      <c r="AQ919" s="16" t="n">
        <v>36</v>
      </c>
      <c r="AR919" s="16" t="n">
        <v>6</v>
      </c>
      <c r="AS919" s="13" t="n">
        <f aca="false">IFERROR(AR919/AR918-1,"")</f>
        <v>0.2</v>
      </c>
      <c r="AT919" s="11" t="s">
        <v>134</v>
      </c>
      <c r="AU919" s="14" t="n">
        <f aca="false">IFERROR(P919/AR919,"")</f>
        <v>172357</v>
      </c>
      <c r="AV919" s="12" t="n">
        <v>2135582</v>
      </c>
      <c r="AW919" s="12" t="n">
        <v>930347</v>
      </c>
      <c r="AX919" s="12" t="n">
        <v>496769</v>
      </c>
      <c r="AY919" s="16" t="n">
        <v>26496</v>
      </c>
      <c r="AZ919" s="13" t="n">
        <f aca="false">IFERROR(AY919/AY918-1,"")</f>
        <v>0.0993734699804987</v>
      </c>
      <c r="BA919" s="17" t="n">
        <v>0.88</v>
      </c>
      <c r="BB919" s="11" t="s">
        <v>161</v>
      </c>
      <c r="BC919" s="11" t="s">
        <v>82</v>
      </c>
      <c r="BD919" s="11" t="s">
        <v>157</v>
      </c>
      <c r="BE919" s="12" t="n">
        <v>974933</v>
      </c>
      <c r="BF919" s="13" t="n">
        <f aca="false">IFERROR(P919/BE919-1,"")</f>
        <v>0.0607313528211682</v>
      </c>
      <c r="BG919" s="17" t="n">
        <v>0.009</v>
      </c>
      <c r="BH919" s="17" t="n">
        <v>-0.076</v>
      </c>
      <c r="BI919" s="14" t="n">
        <f aca="false">P919*(1+IFERROR(Q919,0))^4</f>
        <v>1395651.84321663</v>
      </c>
      <c r="BJ919" s="12" t="n">
        <v>-882207</v>
      </c>
      <c r="BK919" s="11" t="s">
        <v>110</v>
      </c>
      <c r="BL919" s="11" t="s">
        <v>162</v>
      </c>
      <c r="BM919" s="14" t="n">
        <f aca="false">O919</f>
        <v>49143023</v>
      </c>
      <c r="BN919" s="11" t="s">
        <v>848</v>
      </c>
      <c r="BO919" s="13" t="n">
        <f aca="false">IFERROR(1-L919/M919,"")</f>
        <v>0.145480277243532</v>
      </c>
      <c r="BP919" s="11" t="s">
        <v>198</v>
      </c>
      <c r="BQ919" s="12" t="n">
        <v>2473684</v>
      </c>
      <c r="BR919" s="11" t="s">
        <v>88</v>
      </c>
      <c r="BS919" s="11" t="s">
        <v>89</v>
      </c>
      <c r="BT919" s="19" t="str">
        <f aca="false">IF(OR(Z919&lt;6,AH919&lt;0.9,S919&lt;0.02,AK919&lt;1),"REVIEW",IF(AND(S919&gt;0.25,AH919&gt;1.2),"ACCELERATING","STABLE"))</f>
        <v>STABLE</v>
      </c>
    </row>
    <row r="920" customFormat="false" ht="15" hidden="false" customHeight="false" outlineLevel="0" collapsed="false">
      <c r="A920" s="11" t="s">
        <v>846</v>
      </c>
      <c r="B920" s="11" t="s">
        <v>92</v>
      </c>
      <c r="C920" s="11" t="s">
        <v>74</v>
      </c>
      <c r="D920" s="11" t="s">
        <v>75</v>
      </c>
      <c r="E920" s="11" t="s">
        <v>187</v>
      </c>
      <c r="F920" s="11" t="s">
        <v>847</v>
      </c>
      <c r="G920" s="11" t="s">
        <v>78</v>
      </c>
      <c r="H920" s="11" t="s">
        <v>644</v>
      </c>
      <c r="I920" s="11" t="s">
        <v>78</v>
      </c>
      <c r="J920" s="12" t="n">
        <v>4009000</v>
      </c>
      <c r="K920" s="13" t="n">
        <f aca="false">IFERROR(J920/M920,"")</f>
        <v>0.145480277243532</v>
      </c>
      <c r="L920" s="12" t="n">
        <v>23548000</v>
      </c>
      <c r="M920" s="14" t="n">
        <f aca="false">L920+J920</f>
        <v>27557000</v>
      </c>
      <c r="N920" s="12" t="n">
        <v>4009000</v>
      </c>
      <c r="O920" s="12" t="n">
        <v>49143023</v>
      </c>
      <c r="P920" s="12" t="n">
        <v>1368076</v>
      </c>
      <c r="Q920" s="13" t="n">
        <f aca="false">IFERROR(P920/P919-1,"")</f>
        <v>0.322909232968006</v>
      </c>
      <c r="R920" s="12" t="n">
        <v>1507499</v>
      </c>
      <c r="S920" s="13" t="n">
        <f aca="false">IFERROR(R920/R919-1,"")</f>
        <v>0.26039692287369</v>
      </c>
      <c r="T920" s="12" t="n">
        <v>1154819</v>
      </c>
      <c r="U920" s="13" t="n">
        <f aca="false">IFERROR(T920/P920,"")</f>
        <v>0.844119040170283</v>
      </c>
      <c r="V920" s="14" t="n">
        <f aca="false">T920-AV920</f>
        <v>-1441174</v>
      </c>
      <c r="W920" s="14" t="n">
        <f aca="false">V920-AA920*0.1</f>
        <v>-1441174</v>
      </c>
      <c r="X920" s="12" t="n">
        <v>2767565</v>
      </c>
      <c r="Y920" s="12" t="n">
        <v>130950</v>
      </c>
      <c r="Z920" s="15" t="n">
        <f aca="false">IFERROR(X920/Y920,"")</f>
        <v>21.134516991218</v>
      </c>
      <c r="AA920" s="12" t="n">
        <v>0</v>
      </c>
      <c r="AB920" s="14" t="n">
        <f aca="false">W920-0.02*P920</f>
        <v>-1468535.52</v>
      </c>
      <c r="AC920" s="16" t="n">
        <v>16</v>
      </c>
      <c r="AD920" s="13" t="n">
        <f aca="false">IFERROR(AC920/AC919-1,"")</f>
        <v>0.230769230769231</v>
      </c>
      <c r="AE920" s="17" t="n">
        <v>0.116</v>
      </c>
      <c r="AF920" s="17" t="n">
        <v>0.122</v>
      </c>
      <c r="AG920" s="13" t="n">
        <f aca="false">1-AF920</f>
        <v>0.878</v>
      </c>
      <c r="AH920" s="17" t="n">
        <v>1.147</v>
      </c>
      <c r="AI920" s="12" t="n">
        <v>91902</v>
      </c>
      <c r="AJ920" s="14" t="n">
        <f aca="false">IFERROR(AM920*U920*MIN(1/AE920,5),"")</f>
        <v>188745.017382075</v>
      </c>
      <c r="AK920" s="18" t="n">
        <f aca="false">IFERROR(AJ920/AI920,"")</f>
        <v>2.05376398100232</v>
      </c>
      <c r="AL920" s="15" t="n">
        <f aca="false">IFERROR(AI920/(AM920*U920/12),"")</f>
        <v>29.2146520023774</v>
      </c>
      <c r="AM920" s="12" t="n">
        <v>44720</v>
      </c>
      <c r="AN920" s="12" t="n">
        <v>1552445</v>
      </c>
      <c r="AO920" s="12" t="n">
        <v>3731919</v>
      </c>
      <c r="AP920" s="17" t="n">
        <v>0.308</v>
      </c>
      <c r="AQ920" s="16" t="n">
        <v>36</v>
      </c>
      <c r="AR920" s="16" t="n">
        <v>6</v>
      </c>
      <c r="AS920" s="13" t="n">
        <f aca="false">IFERROR(AR920/AR919-1,"")</f>
        <v>0</v>
      </c>
      <c r="AT920" s="11" t="s">
        <v>134</v>
      </c>
      <c r="AU920" s="14" t="n">
        <f aca="false">IFERROR(P920/AR920,"")</f>
        <v>228012.666666667</v>
      </c>
      <c r="AV920" s="12" t="n">
        <v>2595993</v>
      </c>
      <c r="AW920" s="12" t="n">
        <v>1047680</v>
      </c>
      <c r="AX920" s="12" t="n">
        <v>568969</v>
      </c>
      <c r="AY920" s="16" t="n">
        <v>33518</v>
      </c>
      <c r="AZ920" s="13" t="n">
        <f aca="false">IFERROR(AY920/AY919-1,"")</f>
        <v>0.265021135265701</v>
      </c>
      <c r="BA920" s="17" t="n">
        <v>0.895</v>
      </c>
      <c r="BB920" s="11" t="s">
        <v>161</v>
      </c>
      <c r="BC920" s="11" t="s">
        <v>82</v>
      </c>
      <c r="BD920" s="11" t="s">
        <v>157</v>
      </c>
      <c r="BE920" s="12" t="n">
        <v>1246235</v>
      </c>
      <c r="BF920" s="13" t="n">
        <f aca="false">IFERROR(P920/BE920-1,"")</f>
        <v>0.0977672750323977</v>
      </c>
      <c r="BG920" s="17" t="n">
        <v>0.029</v>
      </c>
      <c r="BH920" s="17" t="n">
        <v>-0.031</v>
      </c>
      <c r="BI920" s="14" t="n">
        <f aca="false">P920*(1+IFERROR(Q920,0))^4</f>
        <v>4190158.1439899</v>
      </c>
      <c r="BJ920" s="12" t="n">
        <v>-1268021</v>
      </c>
      <c r="BK920" s="11" t="s">
        <v>110</v>
      </c>
      <c r="BL920" s="11" t="s">
        <v>162</v>
      </c>
      <c r="BM920" s="14" t="n">
        <f aca="false">O920</f>
        <v>49143023</v>
      </c>
      <c r="BN920" s="11" t="s">
        <v>848</v>
      </c>
      <c r="BO920" s="13" t="n">
        <f aca="false">IFERROR(1-L920/M920,"")</f>
        <v>0.145480277243532</v>
      </c>
      <c r="BP920" s="11" t="s">
        <v>198</v>
      </c>
      <c r="BQ920" s="12" t="n">
        <v>2211756</v>
      </c>
      <c r="BR920" s="11" t="s">
        <v>88</v>
      </c>
      <c r="BS920" s="11" t="s">
        <v>89</v>
      </c>
      <c r="BT920" s="19" t="str">
        <f aca="false">IF(OR(Z920&lt;6,AH920&lt;0.9,S920&lt;0.02,AK920&lt;1),"REVIEW",IF(AND(S920&gt;0.25,AH920&gt;1.2),"ACCELERATING","STABLE"))</f>
        <v>STABLE</v>
      </c>
    </row>
    <row r="921" customFormat="false" ht="15" hidden="false" customHeight="false" outlineLevel="0" collapsed="false">
      <c r="A921" s="11" t="s">
        <v>846</v>
      </c>
      <c r="B921" s="11" t="s">
        <v>93</v>
      </c>
      <c r="C921" s="11" t="s">
        <v>74</v>
      </c>
      <c r="D921" s="11" t="s">
        <v>75</v>
      </c>
      <c r="E921" s="11" t="s">
        <v>187</v>
      </c>
      <c r="F921" s="11" t="s">
        <v>847</v>
      </c>
      <c r="G921" s="11" t="s">
        <v>78</v>
      </c>
      <c r="H921" s="11" t="s">
        <v>644</v>
      </c>
      <c r="I921" s="11" t="s">
        <v>78</v>
      </c>
      <c r="J921" s="12" t="n">
        <v>4009000</v>
      </c>
      <c r="K921" s="13" t="n">
        <f aca="false">IFERROR(J921/M921,"")</f>
        <v>0.145480277243532</v>
      </c>
      <c r="L921" s="12" t="n">
        <v>23548000</v>
      </c>
      <c r="M921" s="14" t="n">
        <f aca="false">L921+J921</f>
        <v>27557000</v>
      </c>
      <c r="N921" s="12" t="n">
        <v>4009000</v>
      </c>
      <c r="O921" s="12" t="n">
        <v>49143023</v>
      </c>
      <c r="P921" s="12" t="n">
        <v>1597561</v>
      </c>
      <c r="Q921" s="13" t="n">
        <f aca="false">IFERROR(P921/P920-1,"")</f>
        <v>0.167742873933904</v>
      </c>
      <c r="R921" s="12" t="n">
        <v>1666404</v>
      </c>
      <c r="S921" s="13" t="n">
        <f aca="false">IFERROR(R921/R920-1,"")</f>
        <v>0.105409688497306</v>
      </c>
      <c r="T921" s="12" t="n">
        <v>1353947</v>
      </c>
      <c r="U921" s="13" t="n">
        <f aca="false">IFERROR(T921/P921,"")</f>
        <v>0.84750879622124</v>
      </c>
      <c r="V921" s="14" t="n">
        <f aca="false">T921-AV921</f>
        <v>-1424437</v>
      </c>
      <c r="W921" s="14" t="n">
        <f aca="false">V921-AA921*0.1</f>
        <v>-1424437</v>
      </c>
      <c r="X921" s="12" t="n">
        <v>2414000</v>
      </c>
      <c r="Y921" s="12" t="n">
        <v>135000</v>
      </c>
      <c r="Z921" s="15" t="n">
        <f aca="false">IFERROR(X921/Y921,"")</f>
        <v>17.8814814814815</v>
      </c>
      <c r="AA921" s="12" t="n">
        <v>0</v>
      </c>
      <c r="AB921" s="14" t="n">
        <f aca="false">W921-0.02*P921</f>
        <v>-1456388.22</v>
      </c>
      <c r="AC921" s="16" t="n">
        <v>18</v>
      </c>
      <c r="AD921" s="13" t="n">
        <f aca="false">IFERROR(AC921/AC920-1,"")</f>
        <v>0.125</v>
      </c>
      <c r="AE921" s="17" t="n">
        <v>0.113</v>
      </c>
      <c r="AF921" s="17" t="n">
        <v>0.095</v>
      </c>
      <c r="AG921" s="13" t="n">
        <f aca="false">1-AF921</f>
        <v>0.905</v>
      </c>
      <c r="AH921" s="17" t="n">
        <v>1.142</v>
      </c>
      <c r="AI921" s="12" t="n">
        <v>90100</v>
      </c>
      <c r="AJ921" s="14" t="n">
        <f aca="false">IFERROR(AM921*U921*MIN(1/AE921,5),"")</f>
        <v>193147.254658821</v>
      </c>
      <c r="AK921" s="18" t="n">
        <f aca="false">IFERROR(AJ921/AI921,"")</f>
        <v>2.14369871985372</v>
      </c>
      <c r="AL921" s="15" t="n">
        <f aca="false">IFERROR(AI921/(AM921*U921/12),"")</f>
        <v>27.9890077109782</v>
      </c>
      <c r="AM921" s="12" t="n">
        <v>45580</v>
      </c>
      <c r="AN921" s="12" t="n">
        <v>1817800</v>
      </c>
      <c r="AO921" s="12" t="n">
        <v>6099824</v>
      </c>
      <c r="AP921" s="17" t="n">
        <v>0.308</v>
      </c>
      <c r="AQ921" s="16" t="n">
        <v>36</v>
      </c>
      <c r="AR921" s="16" t="n">
        <v>7</v>
      </c>
      <c r="AS921" s="13" t="n">
        <f aca="false">IFERROR(AR921/AR920-1,"")</f>
        <v>0.166666666666667</v>
      </c>
      <c r="AT921" s="11" t="s">
        <v>134</v>
      </c>
      <c r="AU921" s="14" t="n">
        <f aca="false">IFERROR(P921/AR921,"")</f>
        <v>228223</v>
      </c>
      <c r="AV921" s="12" t="n">
        <v>2778384</v>
      </c>
      <c r="AW921" s="12" t="n">
        <v>1024596</v>
      </c>
      <c r="AX921" s="12" t="n">
        <v>655400</v>
      </c>
      <c r="AY921" s="16" t="n">
        <v>37506</v>
      </c>
      <c r="AZ921" s="13" t="n">
        <f aca="false">IFERROR(AY921/AY920-1,"")</f>
        <v>0.118980846112537</v>
      </c>
      <c r="BA921" s="17" t="n">
        <v>0.9</v>
      </c>
      <c r="BB921" s="11" t="s">
        <v>161</v>
      </c>
      <c r="BC921" s="11" t="s">
        <v>82</v>
      </c>
      <c r="BD921" s="11" t="s">
        <v>157</v>
      </c>
      <c r="BE921" s="12" t="n">
        <v>1996823</v>
      </c>
      <c r="BF921" s="13" t="n">
        <f aca="false">IFERROR(P921/BE921-1,"")</f>
        <v>-0.199948618380297</v>
      </c>
      <c r="BG921" s="17" t="n">
        <v>-0.056</v>
      </c>
      <c r="BH921" s="17" t="n">
        <v>0.074</v>
      </c>
      <c r="BI921" s="14" t="n">
        <f aca="false">P921*(1+IFERROR(Q921,0))^4</f>
        <v>2970614.88439503</v>
      </c>
      <c r="BJ921" s="12" t="n">
        <v>-1192280</v>
      </c>
      <c r="BK921" s="11" t="s">
        <v>110</v>
      </c>
      <c r="BL921" s="11" t="s">
        <v>162</v>
      </c>
      <c r="BM921" s="14" t="n">
        <f aca="false">O921</f>
        <v>49143023</v>
      </c>
      <c r="BN921" s="11" t="s">
        <v>848</v>
      </c>
      <c r="BO921" s="13" t="n">
        <f aca="false">IFERROR(1-L921/M921,"")</f>
        <v>0.145480277243532</v>
      </c>
      <c r="BP921" s="11" t="s">
        <v>198</v>
      </c>
      <c r="BQ921" s="12" t="n">
        <v>1931464</v>
      </c>
      <c r="BR921" s="11" t="s">
        <v>88</v>
      </c>
      <c r="BS921" s="11" t="s">
        <v>89</v>
      </c>
      <c r="BT921" s="19" t="str">
        <f aca="false">IF(OR(Z921&lt;6,AH921&lt;0.9,S921&lt;0.02,AK921&lt;1),"REVIEW",IF(AND(S921&gt;0.25,AH921&gt;1.2),"ACCELERATING","STABLE"))</f>
        <v>STABLE</v>
      </c>
    </row>
    <row r="922" customFormat="false" ht="15" hidden="false" customHeight="false" outlineLevel="0" collapsed="false">
      <c r="A922" s="3" t="s">
        <v>849</v>
      </c>
      <c r="B922" s="3" t="s">
        <v>73</v>
      </c>
      <c r="C922" s="3" t="s">
        <v>74</v>
      </c>
      <c r="D922" s="3" t="s">
        <v>115</v>
      </c>
      <c r="E922" s="3" t="s">
        <v>105</v>
      </c>
      <c r="F922" s="3" t="s">
        <v>850</v>
      </c>
      <c r="G922" s="3" t="s">
        <v>78</v>
      </c>
      <c r="H922" s="3" t="s">
        <v>644</v>
      </c>
      <c r="I922" s="3" t="s">
        <v>78</v>
      </c>
      <c r="J922" s="4" t="n">
        <v>4341000</v>
      </c>
      <c r="K922" s="5" t="n">
        <f aca="false">IFERROR(J922/M922,"")</f>
        <v>0.180521478770741</v>
      </c>
      <c r="L922" s="4" t="n">
        <v>19706000</v>
      </c>
      <c r="M922" s="6" t="n">
        <f aca="false">L922+J922</f>
        <v>24047000</v>
      </c>
      <c r="N922" s="4" t="n">
        <v>4341000</v>
      </c>
      <c r="O922" s="4" t="n">
        <v>19035166</v>
      </c>
      <c r="P922" s="4" t="n">
        <v>1236448</v>
      </c>
      <c r="Q922" s="7"/>
      <c r="R922" s="4" t="n">
        <v>1455556</v>
      </c>
      <c r="S922" s="7"/>
      <c r="T922" s="4" t="n">
        <v>563460</v>
      </c>
      <c r="U922" s="5" t="n">
        <f aca="false">IFERROR(T922/P922,"")</f>
        <v>0.455708610471285</v>
      </c>
      <c r="V922" s="6" t="n">
        <f aca="false">T922-AV922</f>
        <v>-1670918</v>
      </c>
      <c r="W922" s="6" t="n">
        <f aca="false">V922-AA922*0.1</f>
        <v>-1673918</v>
      </c>
      <c r="X922" s="4" t="n">
        <v>2636105</v>
      </c>
      <c r="Y922" s="4" t="n">
        <v>175480</v>
      </c>
      <c r="Z922" s="8" t="n">
        <f aca="false">IFERROR(X922/Y922,"")</f>
        <v>15.0222532482334</v>
      </c>
      <c r="AA922" s="4" t="n">
        <v>30000</v>
      </c>
      <c r="AB922" s="6" t="n">
        <f aca="false">W922-0.02*P922</f>
        <v>-1698646.96</v>
      </c>
      <c r="AC922" s="9" t="n">
        <v>19</v>
      </c>
      <c r="AD922" s="7"/>
      <c r="AE922" s="7" t="n">
        <v>0.184</v>
      </c>
      <c r="AF922" s="7" t="n">
        <v>0.154</v>
      </c>
      <c r="AG922" s="5" t="n">
        <f aca="false">1-AF922</f>
        <v>0.846</v>
      </c>
      <c r="AH922" s="7" t="n">
        <v>0.878</v>
      </c>
      <c r="AI922" s="4" t="n">
        <v>37012</v>
      </c>
      <c r="AJ922" s="6" t="n">
        <f aca="false">IFERROR(AM922*U922*MIN(1/AE922,5),"")</f>
        <v>68356.2915706928</v>
      </c>
      <c r="AK922" s="10" t="n">
        <f aca="false">IFERROR(AJ922/AI922,"")</f>
        <v>1.84686835541697</v>
      </c>
      <c r="AL922" s="8" t="n">
        <f aca="false">IFERROR(AI922/(AM922*U922/12),"")</f>
        <v>32.4874265261066</v>
      </c>
      <c r="AM922" s="4" t="n">
        <v>30000</v>
      </c>
      <c r="AN922" s="4" t="n">
        <v>1676137</v>
      </c>
      <c r="AO922" s="4" t="n">
        <v>3312527</v>
      </c>
      <c r="AP922" s="7" t="n">
        <v>0.408</v>
      </c>
      <c r="AQ922" s="9" t="n">
        <v>75</v>
      </c>
      <c r="AR922" s="9" t="n">
        <v>11</v>
      </c>
      <c r="AS922" s="7"/>
      <c r="AT922" s="3" t="s">
        <v>170</v>
      </c>
      <c r="AU922" s="6" t="n">
        <f aca="false">IFERROR(P922/AR922,"")</f>
        <v>112404.363636364</v>
      </c>
      <c r="AV922" s="4" t="n">
        <v>2234378</v>
      </c>
      <c r="AW922" s="4" t="n">
        <v>1079216</v>
      </c>
      <c r="AX922" s="4" t="n">
        <v>439207</v>
      </c>
      <c r="AY922" s="9" t="n">
        <v>6833</v>
      </c>
      <c r="AZ922" s="7"/>
      <c r="BA922" s="7" t="n">
        <v>0.822</v>
      </c>
      <c r="BB922" s="3" t="s">
        <v>146</v>
      </c>
      <c r="BC922" s="3" t="s">
        <v>120</v>
      </c>
      <c r="BD922" s="3" t="s">
        <v>109</v>
      </c>
      <c r="BE922" s="4" t="n">
        <v>1598106</v>
      </c>
      <c r="BF922" s="5" t="n">
        <f aca="false">IFERROR(P922/BE922-1,"")</f>
        <v>-0.226304137522793</v>
      </c>
      <c r="BG922" s="7" t="n">
        <v>0.218</v>
      </c>
      <c r="BH922" s="7" t="n">
        <v>0.367</v>
      </c>
      <c r="BI922" s="6" t="n">
        <f aca="false">P922</f>
        <v>1236448</v>
      </c>
      <c r="BJ922" s="4" t="n">
        <v>-1410857</v>
      </c>
      <c r="BK922" s="3" t="s">
        <v>147</v>
      </c>
      <c r="BL922" s="3" t="s">
        <v>140</v>
      </c>
      <c r="BM922" s="6" t="n">
        <f aca="false">O922</f>
        <v>19035166</v>
      </c>
      <c r="BN922" s="3" t="s">
        <v>851</v>
      </c>
      <c r="BO922" s="5" t="n">
        <f aca="false">IFERROR(1-L922/M922,"")</f>
        <v>0.180521478770741</v>
      </c>
      <c r="BP922" s="3" t="s">
        <v>198</v>
      </c>
      <c r="BQ922" s="4" t="n">
        <v>2264514</v>
      </c>
      <c r="BR922" s="3" t="s">
        <v>88</v>
      </c>
      <c r="BS922" s="3" t="s">
        <v>89</v>
      </c>
      <c r="BT922" s="3" t="s">
        <v>90</v>
      </c>
    </row>
    <row r="923" customFormat="false" ht="15" hidden="false" customHeight="false" outlineLevel="0" collapsed="false">
      <c r="A923" s="11" t="s">
        <v>849</v>
      </c>
      <c r="B923" s="11" t="s">
        <v>91</v>
      </c>
      <c r="C923" s="11" t="s">
        <v>74</v>
      </c>
      <c r="D923" s="11" t="s">
        <v>115</v>
      </c>
      <c r="E923" s="11" t="s">
        <v>105</v>
      </c>
      <c r="F923" s="11" t="s">
        <v>850</v>
      </c>
      <c r="G923" s="11" t="s">
        <v>78</v>
      </c>
      <c r="H923" s="11" t="s">
        <v>644</v>
      </c>
      <c r="I923" s="11" t="s">
        <v>78</v>
      </c>
      <c r="J923" s="12" t="n">
        <v>4341000</v>
      </c>
      <c r="K923" s="13" t="n">
        <f aca="false">IFERROR(J923/M923,"")</f>
        <v>0.180521478770741</v>
      </c>
      <c r="L923" s="12" t="n">
        <v>19706000</v>
      </c>
      <c r="M923" s="14" t="n">
        <f aca="false">L923+J923</f>
        <v>24047000</v>
      </c>
      <c r="N923" s="12" t="n">
        <v>4341000</v>
      </c>
      <c r="O923" s="12" t="n">
        <v>19035166</v>
      </c>
      <c r="P923" s="12" t="n">
        <v>1133560</v>
      </c>
      <c r="Q923" s="13" t="n">
        <f aca="false">IFERROR(P923/P922-1,"")</f>
        <v>-0.0832125572607987</v>
      </c>
      <c r="R923" s="12" t="n">
        <v>1307174</v>
      </c>
      <c r="S923" s="13" t="n">
        <f aca="false">IFERROR(R923/R922-1,"")</f>
        <v>-0.101941800933801</v>
      </c>
      <c r="T923" s="12" t="n">
        <v>506827</v>
      </c>
      <c r="U923" s="13" t="n">
        <f aca="false">IFERROR(T923/P923,"")</f>
        <v>0.447110871943258</v>
      </c>
      <c r="V923" s="14" t="n">
        <f aca="false">T923-AV923</f>
        <v>-2328450</v>
      </c>
      <c r="W923" s="14" t="n">
        <f aca="false">V923-AA923*0.1</f>
        <v>-2331450</v>
      </c>
      <c r="X923" s="12" t="n">
        <v>2141765</v>
      </c>
      <c r="Y923" s="12" t="n">
        <v>188320</v>
      </c>
      <c r="Z923" s="15" t="n">
        <f aca="false">IFERROR(X923/Y923,"")</f>
        <v>11.3730087085811</v>
      </c>
      <c r="AA923" s="12" t="n">
        <v>30000</v>
      </c>
      <c r="AB923" s="14" t="n">
        <f aca="false">W923-0.02*P923</f>
        <v>-2354121.2</v>
      </c>
      <c r="AC923" s="16" t="n">
        <v>18</v>
      </c>
      <c r="AD923" s="13" t="n">
        <f aca="false">IFERROR(AC923/AC922-1,"")</f>
        <v>-0.0526315789473685</v>
      </c>
      <c r="AE923" s="17" t="n">
        <v>0.219</v>
      </c>
      <c r="AF923" s="17" t="n">
        <v>0.239</v>
      </c>
      <c r="AG923" s="13" t="n">
        <f aca="false">1-AF923</f>
        <v>0.761</v>
      </c>
      <c r="AH923" s="17" t="n">
        <v>0.838</v>
      </c>
      <c r="AI923" s="12" t="n">
        <v>40908</v>
      </c>
      <c r="AJ923" s="14" t="n">
        <f aca="false">IFERROR(AM923*U923*MIN(1/AE923,5),"")</f>
        <v>62473.0259427567</v>
      </c>
      <c r="AK923" s="18" t="n">
        <f aca="false">IFERROR(AJ923/AI923,"")</f>
        <v>1.52715913617768</v>
      </c>
      <c r="AL923" s="15" t="n">
        <f aca="false">IFERROR(AI923/(AM923*U923/12),"")</f>
        <v>35.8800332263277</v>
      </c>
      <c r="AM923" s="12" t="n">
        <v>30600</v>
      </c>
      <c r="AN923" s="12" t="n">
        <v>1415460</v>
      </c>
      <c r="AO923" s="12" t="n">
        <v>3045590</v>
      </c>
      <c r="AP923" s="17" t="n">
        <v>0.408</v>
      </c>
      <c r="AQ923" s="16" t="n">
        <v>75</v>
      </c>
      <c r="AR923" s="16" t="n">
        <v>10</v>
      </c>
      <c r="AS923" s="13" t="n">
        <f aca="false">IFERROR(AR923/AR922-1,"")</f>
        <v>-0.0909090909090909</v>
      </c>
      <c r="AT923" s="11" t="s">
        <v>170</v>
      </c>
      <c r="AU923" s="14" t="n">
        <f aca="false">IFERROR(P923/AR923,"")</f>
        <v>113356</v>
      </c>
      <c r="AV923" s="12" t="n">
        <v>2835277</v>
      </c>
      <c r="AW923" s="12" t="n">
        <v>1346181</v>
      </c>
      <c r="AX923" s="12" t="n">
        <v>559156</v>
      </c>
      <c r="AY923" s="16" t="n">
        <v>6163</v>
      </c>
      <c r="AZ923" s="13" t="n">
        <f aca="false">IFERROR(AY923/AY922-1,"")</f>
        <v>-0.0980535635884677</v>
      </c>
      <c r="BA923" s="17" t="n">
        <v>0.767</v>
      </c>
      <c r="BB923" s="11" t="s">
        <v>146</v>
      </c>
      <c r="BC923" s="11" t="s">
        <v>120</v>
      </c>
      <c r="BD923" s="11" t="s">
        <v>109</v>
      </c>
      <c r="BE923" s="12" t="n">
        <v>1835758</v>
      </c>
      <c r="BF923" s="13" t="n">
        <f aca="false">IFERROR(P923/BE923-1,"")</f>
        <v>-0.382511202456969</v>
      </c>
      <c r="BG923" s="17" t="n">
        <v>0.137</v>
      </c>
      <c r="BH923" s="17" t="n">
        <v>0.265</v>
      </c>
      <c r="BI923" s="14" t="n">
        <f aca="false">P923*(1+IFERROR(Q923,0))^4</f>
        <v>800790.914274972</v>
      </c>
      <c r="BJ923" s="12" t="n">
        <v>-1587217</v>
      </c>
      <c r="BK923" s="11" t="s">
        <v>147</v>
      </c>
      <c r="BL923" s="11" t="s">
        <v>140</v>
      </c>
      <c r="BM923" s="14" t="n">
        <f aca="false">O923</f>
        <v>19035166</v>
      </c>
      <c r="BN923" s="11" t="s">
        <v>851</v>
      </c>
      <c r="BO923" s="13" t="n">
        <f aca="false">IFERROR(1-L923/M923,"")</f>
        <v>0.180521478770741</v>
      </c>
      <c r="BP923" s="11" t="s">
        <v>198</v>
      </c>
      <c r="BQ923" s="12" t="n">
        <v>2556457</v>
      </c>
      <c r="BR923" s="11" t="s">
        <v>88</v>
      </c>
      <c r="BS923" s="11" t="s">
        <v>89</v>
      </c>
      <c r="BT923" s="19" t="str">
        <f aca="false">IF(OR(Z923&lt;6,AH923&lt;0.9,S923&lt;0.02,AK923&lt;1),"REVIEW",IF(AND(S923&gt;0.25,AH923&gt;1.2),"ACCELERATING","STABLE"))</f>
        <v>REVIEW</v>
      </c>
    </row>
    <row r="924" customFormat="false" ht="15" hidden="false" customHeight="false" outlineLevel="0" collapsed="false">
      <c r="A924" s="11" t="s">
        <v>849</v>
      </c>
      <c r="B924" s="11" t="s">
        <v>92</v>
      </c>
      <c r="C924" s="11" t="s">
        <v>74</v>
      </c>
      <c r="D924" s="11" t="s">
        <v>115</v>
      </c>
      <c r="E924" s="11" t="s">
        <v>105</v>
      </c>
      <c r="F924" s="11" t="s">
        <v>850</v>
      </c>
      <c r="G924" s="11" t="s">
        <v>78</v>
      </c>
      <c r="H924" s="11" t="s">
        <v>644</v>
      </c>
      <c r="I924" s="11" t="s">
        <v>78</v>
      </c>
      <c r="J924" s="12" t="n">
        <v>4341000</v>
      </c>
      <c r="K924" s="13" t="n">
        <f aca="false">IFERROR(J924/M924,"")</f>
        <v>0.180521478770741</v>
      </c>
      <c r="L924" s="12" t="n">
        <v>19706000</v>
      </c>
      <c r="M924" s="14" t="n">
        <f aca="false">L924+J924</f>
        <v>24047000</v>
      </c>
      <c r="N924" s="12" t="n">
        <v>4341000</v>
      </c>
      <c r="O924" s="12" t="n">
        <v>19035166</v>
      </c>
      <c r="P924" s="12" t="n">
        <v>1028473</v>
      </c>
      <c r="Q924" s="13" t="n">
        <f aca="false">IFERROR(P924/P923-1,"")</f>
        <v>-0.0927052824729172</v>
      </c>
      <c r="R924" s="12" t="n">
        <v>1200840</v>
      </c>
      <c r="S924" s="13" t="n">
        <f aca="false">IFERROR(R924/R923-1,"")</f>
        <v>-0.0813464772096141</v>
      </c>
      <c r="T924" s="12" t="n">
        <v>450998</v>
      </c>
      <c r="U924" s="13" t="n">
        <f aca="false">IFERROR(T924/P924,"")</f>
        <v>0.438512240963059</v>
      </c>
      <c r="V924" s="14" t="n">
        <f aca="false">T924-AV924</f>
        <v>-2325515</v>
      </c>
      <c r="W924" s="14" t="n">
        <f aca="false">V924-AA924*0.1</f>
        <v>-2328515</v>
      </c>
      <c r="X924" s="12" t="n">
        <v>1562681</v>
      </c>
      <c r="Y924" s="12" t="n">
        <v>201160</v>
      </c>
      <c r="Z924" s="15" t="n">
        <f aca="false">IFERROR(X924/Y924,"")</f>
        <v>7.76834857824617</v>
      </c>
      <c r="AA924" s="12" t="n">
        <v>30000</v>
      </c>
      <c r="AB924" s="14" t="n">
        <f aca="false">W924-0.02*P924</f>
        <v>-2349084.46</v>
      </c>
      <c r="AC924" s="16" t="n">
        <v>16</v>
      </c>
      <c r="AD924" s="13" t="n">
        <f aca="false">IFERROR(AC924/AC923-1,"")</f>
        <v>-0.111111111111111</v>
      </c>
      <c r="AE924" s="17" t="n">
        <v>0.253</v>
      </c>
      <c r="AF924" s="17" t="n">
        <v>0.277</v>
      </c>
      <c r="AG924" s="13" t="n">
        <f aca="false">1-AF924</f>
        <v>0.723</v>
      </c>
      <c r="AH924" s="17" t="n">
        <v>0.798</v>
      </c>
      <c r="AI924" s="12" t="n">
        <v>44804</v>
      </c>
      <c r="AJ924" s="14" t="n">
        <f aca="false">IFERROR(AM924*U924*MIN(1/AE924,5),"")</f>
        <v>54077.398885563</v>
      </c>
      <c r="AK924" s="18" t="n">
        <f aca="false">IFERROR(AJ924/AI924,"")</f>
        <v>1.20697703074643</v>
      </c>
      <c r="AL924" s="15" t="n">
        <f aca="false">IFERROR(AI924/(AM924*U924/12),"")</f>
        <v>39.2972101633062</v>
      </c>
      <c r="AM924" s="12" t="n">
        <v>31200</v>
      </c>
      <c r="AN924" s="12" t="n">
        <v>1736361</v>
      </c>
      <c r="AO924" s="12" t="n">
        <v>1920000</v>
      </c>
      <c r="AP924" s="17" t="n">
        <v>0.408</v>
      </c>
      <c r="AQ924" s="16" t="n">
        <v>75</v>
      </c>
      <c r="AR924" s="16" t="n">
        <v>9</v>
      </c>
      <c r="AS924" s="13" t="n">
        <f aca="false">IFERROR(AR924/AR923-1,"")</f>
        <v>-0.1</v>
      </c>
      <c r="AT924" s="11" t="s">
        <v>170</v>
      </c>
      <c r="AU924" s="14" t="n">
        <f aca="false">IFERROR(P924/AR924,"")</f>
        <v>114274.777777778</v>
      </c>
      <c r="AV924" s="12" t="n">
        <v>2776513</v>
      </c>
      <c r="AW924" s="12" t="n">
        <v>1358607</v>
      </c>
      <c r="AX924" s="12" t="n">
        <v>918734</v>
      </c>
      <c r="AY924" s="16" t="n">
        <v>5742</v>
      </c>
      <c r="AZ924" s="13" t="n">
        <f aca="false">IFERROR(AY924/AY923-1,"")</f>
        <v>-0.0683108875547623</v>
      </c>
      <c r="BA924" s="17" t="n">
        <v>0.761</v>
      </c>
      <c r="BB924" s="11" t="s">
        <v>146</v>
      </c>
      <c r="BC924" s="11" t="s">
        <v>120</v>
      </c>
      <c r="BD924" s="11" t="s">
        <v>109</v>
      </c>
      <c r="BE924" s="12" t="n">
        <v>1719271</v>
      </c>
      <c r="BF924" s="13" t="n">
        <f aca="false">IFERROR(P924/BE924-1,"")</f>
        <v>-0.401797040722492</v>
      </c>
      <c r="BG924" s="17" t="n">
        <v>0.233</v>
      </c>
      <c r="BH924" s="17" t="n">
        <v>0.23</v>
      </c>
      <c r="BI924" s="14" t="n">
        <f aca="false">P924*(1+IFERROR(Q924,0))^4</f>
        <v>696925.610449489</v>
      </c>
      <c r="BJ924" s="12" t="n">
        <v>-2230190</v>
      </c>
      <c r="BK924" s="11" t="s">
        <v>147</v>
      </c>
      <c r="BL924" s="11" t="s">
        <v>140</v>
      </c>
      <c r="BM924" s="14" t="n">
        <f aca="false">O924</f>
        <v>19035166</v>
      </c>
      <c r="BN924" s="11" t="s">
        <v>851</v>
      </c>
      <c r="BO924" s="13" t="n">
        <f aca="false">IFERROR(1-L924/M924,"")</f>
        <v>0.180521478770741</v>
      </c>
      <c r="BP924" s="11" t="s">
        <v>198</v>
      </c>
      <c r="BQ924" s="12" t="n">
        <v>3218579</v>
      </c>
      <c r="BR924" s="11" t="s">
        <v>88</v>
      </c>
      <c r="BS924" s="11" t="s">
        <v>89</v>
      </c>
      <c r="BT924" s="19" t="str">
        <f aca="false">IF(OR(Z924&lt;6,AH924&lt;0.9,S924&lt;0.02,AK924&lt;1),"REVIEW",IF(AND(S924&gt;0.25,AH924&gt;1.2),"ACCELERATING","STABLE"))</f>
        <v>REVIEW</v>
      </c>
    </row>
    <row r="925" customFormat="false" ht="15" hidden="false" customHeight="false" outlineLevel="0" collapsed="false">
      <c r="A925" s="11" t="s">
        <v>849</v>
      </c>
      <c r="B925" s="11" t="s">
        <v>93</v>
      </c>
      <c r="C925" s="11" t="s">
        <v>74</v>
      </c>
      <c r="D925" s="11" t="s">
        <v>115</v>
      </c>
      <c r="E925" s="11" t="s">
        <v>105</v>
      </c>
      <c r="F925" s="11" t="s">
        <v>850</v>
      </c>
      <c r="G925" s="11" t="s">
        <v>78</v>
      </c>
      <c r="H925" s="11" t="s">
        <v>644</v>
      </c>
      <c r="I925" s="11" t="s">
        <v>78</v>
      </c>
      <c r="J925" s="12" t="n">
        <v>4341000</v>
      </c>
      <c r="K925" s="13" t="n">
        <f aca="false">IFERROR(J925/M925,"")</f>
        <v>0.180521478770741</v>
      </c>
      <c r="L925" s="12" t="n">
        <v>19706000</v>
      </c>
      <c r="M925" s="14" t="n">
        <f aca="false">L925+J925</f>
        <v>24047000</v>
      </c>
      <c r="N925" s="12" t="n">
        <v>4341000</v>
      </c>
      <c r="O925" s="12" t="n">
        <v>19035166</v>
      </c>
      <c r="P925" s="12" t="n">
        <v>907676</v>
      </c>
      <c r="Q925" s="13" t="n">
        <f aca="false">IFERROR(P925/P924-1,"")</f>
        <v>-0.117452767355098</v>
      </c>
      <c r="R925" s="12" t="n">
        <v>1071998</v>
      </c>
      <c r="S925" s="13" t="n">
        <f aca="false">IFERROR(R925/R924-1,"")</f>
        <v>-0.107293228073682</v>
      </c>
      <c r="T925" s="12" t="n">
        <v>390223</v>
      </c>
      <c r="U925" s="13" t="n">
        <f aca="false">IFERROR(T925/P925,"")</f>
        <v>0.429914418801423</v>
      </c>
      <c r="V925" s="14" t="n">
        <f aca="false">T925-AV925</f>
        <v>-2596464</v>
      </c>
      <c r="W925" s="14" t="n">
        <f aca="false">V925-AA925*0.1</f>
        <v>-2599464</v>
      </c>
      <c r="X925" s="12" t="n">
        <v>898853</v>
      </c>
      <c r="Y925" s="12" t="n">
        <v>214000</v>
      </c>
      <c r="Z925" s="15" t="n">
        <f aca="false">IFERROR(X925/Y925,"")</f>
        <v>4.2002476635514</v>
      </c>
      <c r="AA925" s="12" t="n">
        <v>30000</v>
      </c>
      <c r="AB925" s="14" t="n">
        <f aca="false">W925-0.02*P925</f>
        <v>-2617617.52</v>
      </c>
      <c r="AC925" s="16" t="n">
        <v>15</v>
      </c>
      <c r="AD925" s="13" t="n">
        <f aca="false">IFERROR(AC925/AC924-1,"")</f>
        <v>-0.0625</v>
      </c>
      <c r="AE925" s="17" t="n">
        <v>0.288</v>
      </c>
      <c r="AF925" s="17" t="n">
        <v>0.291</v>
      </c>
      <c r="AG925" s="13" t="n">
        <f aca="false">1-AF925</f>
        <v>0.709</v>
      </c>
      <c r="AH925" s="17" t="n">
        <v>0.758</v>
      </c>
      <c r="AI925" s="12" t="n">
        <v>48700</v>
      </c>
      <c r="AJ925" s="14" t="n">
        <f aca="false">IFERROR(AM925*U925*MIN(1/AE925,5),"")</f>
        <v>47469.7170759904</v>
      </c>
      <c r="AK925" s="18" t="n">
        <f aca="false">IFERROR(AJ925/AI925,"")</f>
        <v>0.974737516960789</v>
      </c>
      <c r="AL925" s="15" t="n">
        <f aca="false">IFERROR(AI925/(AM925*U925/12),"")</f>
        <v>42.7465506781584</v>
      </c>
      <c r="AM925" s="12" t="n">
        <v>31800</v>
      </c>
      <c r="AN925" s="12" t="n">
        <v>1093438</v>
      </c>
      <c r="AO925" s="12" t="n">
        <v>1800794</v>
      </c>
      <c r="AP925" s="17" t="n">
        <v>0.408</v>
      </c>
      <c r="AQ925" s="16" t="n">
        <v>75</v>
      </c>
      <c r="AR925" s="16" t="n">
        <v>8</v>
      </c>
      <c r="AS925" s="13" t="n">
        <f aca="false">IFERROR(AR925/AR924-1,"")</f>
        <v>-0.111111111111111</v>
      </c>
      <c r="AT925" s="11" t="s">
        <v>170</v>
      </c>
      <c r="AU925" s="14" t="n">
        <f aca="false">IFERROR(P925/AR925,"")</f>
        <v>113459.5</v>
      </c>
      <c r="AV925" s="12" t="n">
        <v>2986687</v>
      </c>
      <c r="AW925" s="12" t="n">
        <v>1461516</v>
      </c>
      <c r="AX925" s="12" t="n">
        <v>964381</v>
      </c>
      <c r="AY925" s="16" t="n">
        <v>5277</v>
      </c>
      <c r="AZ925" s="13" t="n">
        <f aca="false">IFERROR(AY925/AY924-1,"")</f>
        <v>-0.0809822361546499</v>
      </c>
      <c r="BA925" s="17" t="n">
        <v>0.754</v>
      </c>
      <c r="BB925" s="11" t="s">
        <v>146</v>
      </c>
      <c r="BC925" s="11" t="s">
        <v>120</v>
      </c>
      <c r="BD925" s="11" t="s">
        <v>109</v>
      </c>
      <c r="BE925" s="12" t="n">
        <v>1296006</v>
      </c>
      <c r="BF925" s="13" t="n">
        <f aca="false">IFERROR(P925/BE925-1,"")</f>
        <v>-0.299635958475501</v>
      </c>
      <c r="BG925" s="17" t="n">
        <v>0.177</v>
      </c>
      <c r="BH925" s="17" t="n">
        <v>0.356</v>
      </c>
      <c r="BI925" s="14" t="n">
        <f aca="false">P925*(1+IFERROR(Q925,0))^4</f>
        <v>550658.924640334</v>
      </c>
      <c r="BJ925" s="12" t="n">
        <v>-1384325</v>
      </c>
      <c r="BK925" s="11" t="s">
        <v>147</v>
      </c>
      <c r="BL925" s="11" t="s">
        <v>140</v>
      </c>
      <c r="BM925" s="14" t="n">
        <f aca="false">O925</f>
        <v>19035166</v>
      </c>
      <c r="BN925" s="11" t="s">
        <v>851</v>
      </c>
      <c r="BO925" s="13" t="n">
        <f aca="false">IFERROR(1-L925/M925,"")</f>
        <v>0.180521478770741</v>
      </c>
      <c r="BP925" s="11" t="s">
        <v>198</v>
      </c>
      <c r="BQ925" s="12" t="n">
        <v>3435090</v>
      </c>
      <c r="BR925" s="11" t="s">
        <v>88</v>
      </c>
      <c r="BS925" s="11" t="s">
        <v>89</v>
      </c>
      <c r="BT925" s="19" t="str">
        <f aca="false">IF(OR(Z925&lt;6,AH925&lt;0.9,S925&lt;0.02,AK925&lt;1),"REVIEW",IF(AND(S925&gt;0.25,AH925&gt;1.2),"ACCELERATING","STABLE"))</f>
        <v>REVIEW</v>
      </c>
    </row>
    <row r="926" customFormat="false" ht="15" hidden="false" customHeight="false" outlineLevel="0" collapsed="false">
      <c r="A926" s="3" t="s">
        <v>852</v>
      </c>
      <c r="B926" s="3" t="s">
        <v>73</v>
      </c>
      <c r="C926" s="3" t="s">
        <v>74</v>
      </c>
      <c r="D926" s="3" t="s">
        <v>210</v>
      </c>
      <c r="E926" s="3" t="s">
        <v>777</v>
      </c>
      <c r="F926" s="3" t="s">
        <v>853</v>
      </c>
      <c r="G926" s="3" t="s">
        <v>78</v>
      </c>
      <c r="H926" s="3" t="s">
        <v>644</v>
      </c>
      <c r="I926" s="3" t="s">
        <v>78</v>
      </c>
      <c r="J926" s="4" t="n">
        <v>5966000</v>
      </c>
      <c r="K926" s="5" t="n">
        <f aca="false">IFERROR(J926/M926,"")</f>
        <v>0.166848449254691</v>
      </c>
      <c r="L926" s="4" t="n">
        <v>29791000</v>
      </c>
      <c r="M926" s="6" t="n">
        <f aca="false">L926+J926</f>
        <v>35757000</v>
      </c>
      <c r="N926" s="4" t="n">
        <v>7600000</v>
      </c>
      <c r="O926" s="4" t="n">
        <v>28496459</v>
      </c>
      <c r="P926" s="4" t="n">
        <v>198795</v>
      </c>
      <c r="Q926" s="7"/>
      <c r="R926" s="4" t="n">
        <v>224977</v>
      </c>
      <c r="S926" s="7"/>
      <c r="T926" s="4" t="n">
        <v>116196</v>
      </c>
      <c r="U926" s="5" t="n">
        <f aca="false">IFERROR(T926/P926,"")</f>
        <v>0.584501622274202</v>
      </c>
      <c r="V926" s="6" t="n">
        <f aca="false">T926-AV926</f>
        <v>-2267532</v>
      </c>
      <c r="W926" s="6" t="n">
        <f aca="false">V926-AA926*0.1</f>
        <v>-2267532</v>
      </c>
      <c r="X926" s="4" t="n">
        <v>2603586</v>
      </c>
      <c r="Y926" s="4" t="n">
        <v>186140</v>
      </c>
      <c r="Z926" s="8" t="n">
        <f aca="false">IFERROR(X926/Y926,"")</f>
        <v>13.9872461588052</v>
      </c>
      <c r="AA926" s="4" t="n">
        <v>0</v>
      </c>
      <c r="AB926" s="6" t="n">
        <f aca="false">W926-0.02*P926</f>
        <v>-2271507.9</v>
      </c>
      <c r="AC926" s="9" t="n">
        <v>48</v>
      </c>
      <c r="AD926" s="7"/>
      <c r="AE926" s="7" t="n">
        <v>0.163</v>
      </c>
      <c r="AF926" s="7" t="n">
        <v>0.1</v>
      </c>
      <c r="AG926" s="5" t="n">
        <f aca="false">1-AF926</f>
        <v>0.9</v>
      </c>
      <c r="AH926" s="7" t="n">
        <v>0.889</v>
      </c>
      <c r="AI926" s="4" t="n">
        <v>76532</v>
      </c>
      <c r="AJ926" s="6" t="n">
        <f aca="false">IFERROR(AM926*U926*MIN(1/AE926,5),"")</f>
        <v>70140.1946729043</v>
      </c>
      <c r="AK926" s="10" t="n">
        <f aca="false">IFERROR(AJ926/AI926,"")</f>
        <v>0.916481924853712</v>
      </c>
      <c r="AL926" s="8" t="n">
        <f aca="false">IFERROR(AI926/(AM926*U926/12),"")</f>
        <v>65.4677395951668</v>
      </c>
      <c r="AM926" s="4" t="n">
        <v>24000</v>
      </c>
      <c r="AN926" s="4" t="n">
        <v>330620</v>
      </c>
      <c r="AO926" s="4" t="n">
        <v>739604</v>
      </c>
      <c r="AP926" s="7" t="n">
        <v>0.319</v>
      </c>
      <c r="AQ926" s="9" t="n">
        <v>69</v>
      </c>
      <c r="AR926" s="9" t="n">
        <v>2</v>
      </c>
      <c r="AS926" s="7"/>
      <c r="AT926" s="3" t="s">
        <v>145</v>
      </c>
      <c r="AU926" s="6" t="n">
        <f aca="false">IFERROR(P926/AR926,"")</f>
        <v>99397.5</v>
      </c>
      <c r="AV926" s="4" t="n">
        <v>2383728</v>
      </c>
      <c r="AW926" s="4" t="n">
        <v>784861</v>
      </c>
      <c r="AX926" s="4" t="n">
        <v>572452</v>
      </c>
      <c r="AY926" s="9" t="n">
        <v>39786</v>
      </c>
      <c r="AZ926" s="7"/>
      <c r="BA926" s="7" t="n">
        <v>0.831</v>
      </c>
      <c r="BB926" s="3" t="s">
        <v>119</v>
      </c>
      <c r="BC926" s="3" t="s">
        <v>120</v>
      </c>
      <c r="BD926" s="3" t="s">
        <v>157</v>
      </c>
      <c r="BE926" s="4" t="n">
        <v>269408</v>
      </c>
      <c r="BF926" s="5" t="n">
        <f aca="false">IFERROR(P926/BE926-1,"")</f>
        <v>-0.262104317614919</v>
      </c>
      <c r="BG926" s="7" t="n">
        <v>0.235</v>
      </c>
      <c r="BH926" s="7" t="n">
        <v>0.177</v>
      </c>
      <c r="BI926" s="6" t="n">
        <f aca="false">P926</f>
        <v>198795</v>
      </c>
      <c r="BJ926" s="4" t="n">
        <v>-1824819</v>
      </c>
      <c r="BK926" s="3" t="s">
        <v>147</v>
      </c>
      <c r="BL926" s="3" t="s">
        <v>140</v>
      </c>
      <c r="BM926" s="6" t="n">
        <f aca="false">O926</f>
        <v>28496459</v>
      </c>
      <c r="BN926" s="3" t="s">
        <v>854</v>
      </c>
      <c r="BO926" s="5" t="n">
        <f aca="false">IFERROR(1-L926/M926,"")</f>
        <v>0.166848449254691</v>
      </c>
      <c r="BP926" s="3" t="s">
        <v>142</v>
      </c>
      <c r="BQ926" s="4" t="n">
        <v>3370307</v>
      </c>
      <c r="BR926" s="3" t="s">
        <v>88</v>
      </c>
      <c r="BS926" s="3" t="s">
        <v>89</v>
      </c>
      <c r="BT926" s="3" t="s">
        <v>90</v>
      </c>
    </row>
    <row r="927" customFormat="false" ht="15" hidden="false" customHeight="false" outlineLevel="0" collapsed="false">
      <c r="A927" s="11" t="s">
        <v>852</v>
      </c>
      <c r="B927" s="11" t="s">
        <v>91</v>
      </c>
      <c r="C927" s="11" t="s">
        <v>74</v>
      </c>
      <c r="D927" s="11" t="s">
        <v>210</v>
      </c>
      <c r="E927" s="11" t="s">
        <v>777</v>
      </c>
      <c r="F927" s="11" t="s">
        <v>853</v>
      </c>
      <c r="G927" s="11" t="s">
        <v>78</v>
      </c>
      <c r="H927" s="11" t="s">
        <v>644</v>
      </c>
      <c r="I927" s="11" t="s">
        <v>78</v>
      </c>
      <c r="J927" s="12" t="n">
        <v>5966000</v>
      </c>
      <c r="K927" s="13" t="n">
        <f aca="false">IFERROR(J927/M927,"")</f>
        <v>0.166848449254691</v>
      </c>
      <c r="L927" s="12" t="n">
        <v>29791000</v>
      </c>
      <c r="M927" s="14" t="n">
        <f aca="false">L927+J927</f>
        <v>35757000</v>
      </c>
      <c r="N927" s="12" t="n">
        <v>7600000</v>
      </c>
      <c r="O927" s="12" t="n">
        <v>28496459</v>
      </c>
      <c r="P927" s="12" t="n">
        <v>190344</v>
      </c>
      <c r="Q927" s="13" t="n">
        <f aca="false">IFERROR(P927/P926-1,"")</f>
        <v>-0.0425111295555724</v>
      </c>
      <c r="R927" s="12" t="n">
        <v>215711</v>
      </c>
      <c r="S927" s="13" t="n">
        <f aca="false">IFERROR(R927/R926-1,"")</f>
        <v>-0.0411864323908666</v>
      </c>
      <c r="T927" s="12" t="n">
        <v>109157</v>
      </c>
      <c r="U927" s="13" t="n">
        <f aca="false">IFERROR(T927/P927,"")</f>
        <v>0.573472239734376</v>
      </c>
      <c r="V927" s="14" t="n">
        <f aca="false">T927-AV927</f>
        <v>-2110056</v>
      </c>
      <c r="W927" s="14" t="n">
        <f aca="false">V927-AA927*0.1</f>
        <v>-2110056</v>
      </c>
      <c r="X927" s="12" t="n">
        <v>2079216</v>
      </c>
      <c r="Y927" s="12" t="n">
        <v>199760</v>
      </c>
      <c r="Z927" s="15" t="n">
        <f aca="false">IFERROR(X927/Y927,"")</f>
        <v>10.4085702843412</v>
      </c>
      <c r="AA927" s="12" t="n">
        <v>0</v>
      </c>
      <c r="AB927" s="14" t="n">
        <f aca="false">W927-0.02*P927</f>
        <v>-2113862.88</v>
      </c>
      <c r="AC927" s="16" t="n">
        <v>47</v>
      </c>
      <c r="AD927" s="13" t="n">
        <f aca="false">IFERROR(AC927/AC926-1,"")</f>
        <v>-0.0208333333333334</v>
      </c>
      <c r="AE927" s="17" t="n">
        <v>0.193</v>
      </c>
      <c r="AF927" s="17" t="n">
        <v>0.147</v>
      </c>
      <c r="AG927" s="13" t="n">
        <f aca="false">1-AF927</f>
        <v>0.853</v>
      </c>
      <c r="AH927" s="17" t="n">
        <v>0.849</v>
      </c>
      <c r="AI927" s="12" t="n">
        <v>84588</v>
      </c>
      <c r="AJ927" s="14" t="n">
        <f aca="false">IFERROR(AM927*U927*MIN(1/AE927,5),"")</f>
        <v>70193.0021434876</v>
      </c>
      <c r="AK927" s="18" t="n">
        <f aca="false">IFERROR(AJ927/AI927,"")</f>
        <v>0.829822222342266</v>
      </c>
      <c r="AL927" s="15" t="n">
        <f aca="false">IFERROR(AI927/(AM927*U927/12),"")</f>
        <v>72.304643554427</v>
      </c>
      <c r="AM927" s="12" t="n">
        <v>24480</v>
      </c>
      <c r="AN927" s="12" t="n">
        <v>277782</v>
      </c>
      <c r="AO927" s="12" t="n">
        <v>793483</v>
      </c>
      <c r="AP927" s="17" t="n">
        <v>0.319</v>
      </c>
      <c r="AQ927" s="16" t="n">
        <v>69</v>
      </c>
      <c r="AR927" s="16" t="n">
        <v>2</v>
      </c>
      <c r="AS927" s="13" t="n">
        <f aca="false">IFERROR(AR927/AR926-1,"")</f>
        <v>0</v>
      </c>
      <c r="AT927" s="11" t="s">
        <v>145</v>
      </c>
      <c r="AU927" s="14" t="n">
        <f aca="false">IFERROR(P927/AR927,"")</f>
        <v>95172</v>
      </c>
      <c r="AV927" s="12" t="n">
        <v>2219213</v>
      </c>
      <c r="AW927" s="12" t="n">
        <v>959067</v>
      </c>
      <c r="AX927" s="12" t="n">
        <v>673750</v>
      </c>
      <c r="AY927" s="16" t="n">
        <v>38601</v>
      </c>
      <c r="AZ927" s="13" t="n">
        <f aca="false">IFERROR(AY927/AY926-1,"")</f>
        <v>-0.0297843462524506</v>
      </c>
      <c r="BA927" s="17" t="n">
        <v>0.801</v>
      </c>
      <c r="BB927" s="11" t="s">
        <v>119</v>
      </c>
      <c r="BC927" s="11" t="s">
        <v>120</v>
      </c>
      <c r="BD927" s="11" t="s">
        <v>157</v>
      </c>
      <c r="BE927" s="12" t="n">
        <v>244203</v>
      </c>
      <c r="BF927" s="13" t="n">
        <f aca="false">IFERROR(P927/BE927-1,"")</f>
        <v>-0.22055011609194</v>
      </c>
      <c r="BG927" s="17" t="n">
        <v>0.227</v>
      </c>
      <c r="BH927" s="17" t="n">
        <v>0.215</v>
      </c>
      <c r="BI927" s="14" t="n">
        <f aca="false">P927*(1+IFERROR(Q927,0))^4</f>
        <v>159983.108093149</v>
      </c>
      <c r="BJ927" s="12" t="n">
        <v>-1496481</v>
      </c>
      <c r="BK927" s="11" t="s">
        <v>147</v>
      </c>
      <c r="BL927" s="11" t="s">
        <v>140</v>
      </c>
      <c r="BM927" s="14" t="n">
        <f aca="false">O927</f>
        <v>28496459</v>
      </c>
      <c r="BN927" s="11" t="s">
        <v>854</v>
      </c>
      <c r="BO927" s="13" t="n">
        <f aca="false">IFERROR(1-L927/M927,"")</f>
        <v>0.166848449254691</v>
      </c>
      <c r="BP927" s="11" t="s">
        <v>142</v>
      </c>
      <c r="BQ927" s="12" t="n">
        <v>2791108</v>
      </c>
      <c r="BR927" s="11" t="s">
        <v>88</v>
      </c>
      <c r="BS927" s="11" t="s">
        <v>89</v>
      </c>
      <c r="BT927" s="19" t="str">
        <f aca="false">IF(OR(Z927&lt;6,AH927&lt;0.9,S927&lt;0.02,AK927&lt;1),"REVIEW",IF(AND(S927&gt;0.25,AH927&gt;1.2),"ACCELERATING","STABLE"))</f>
        <v>REVIEW</v>
      </c>
    </row>
    <row r="928" customFormat="false" ht="15" hidden="false" customHeight="false" outlineLevel="0" collapsed="false">
      <c r="A928" s="11" t="s">
        <v>852</v>
      </c>
      <c r="B928" s="11" t="s">
        <v>92</v>
      </c>
      <c r="C928" s="11" t="s">
        <v>74</v>
      </c>
      <c r="D928" s="11" t="s">
        <v>210</v>
      </c>
      <c r="E928" s="11" t="s">
        <v>777</v>
      </c>
      <c r="F928" s="11" t="s">
        <v>853</v>
      </c>
      <c r="G928" s="11" t="s">
        <v>78</v>
      </c>
      <c r="H928" s="11" t="s">
        <v>644</v>
      </c>
      <c r="I928" s="11" t="s">
        <v>78</v>
      </c>
      <c r="J928" s="12" t="n">
        <v>5966000</v>
      </c>
      <c r="K928" s="13" t="n">
        <f aca="false">IFERROR(J928/M928,"")</f>
        <v>0.166848449254691</v>
      </c>
      <c r="L928" s="12" t="n">
        <v>29791000</v>
      </c>
      <c r="M928" s="14" t="n">
        <f aca="false">L928+J928</f>
        <v>35757000</v>
      </c>
      <c r="N928" s="12" t="n">
        <v>7600000</v>
      </c>
      <c r="O928" s="12" t="n">
        <v>28496459</v>
      </c>
      <c r="P928" s="12" t="n">
        <v>183257</v>
      </c>
      <c r="Q928" s="13" t="n">
        <f aca="false">IFERROR(P928/P927-1,"")</f>
        <v>-0.0372325894170554</v>
      </c>
      <c r="R928" s="12" t="n">
        <v>205228</v>
      </c>
      <c r="S928" s="13" t="n">
        <f aca="false">IFERROR(R928/R927-1,"")</f>
        <v>-0.0485974289674611</v>
      </c>
      <c r="T928" s="12" t="n">
        <v>103072</v>
      </c>
      <c r="U928" s="13" t="n">
        <f aca="false">IFERROR(T928/P928,"")</f>
        <v>0.562445090774159</v>
      </c>
      <c r="V928" s="14" t="n">
        <f aca="false">T928-AV928</f>
        <v>-2081991</v>
      </c>
      <c r="W928" s="14" t="n">
        <f aca="false">V928-AA928*0.1</f>
        <v>-2081991</v>
      </c>
      <c r="X928" s="12" t="n">
        <v>1464954</v>
      </c>
      <c r="Y928" s="12" t="n">
        <v>213380</v>
      </c>
      <c r="Z928" s="15" t="n">
        <f aca="false">IFERROR(X928/Y928,"")</f>
        <v>6.86547005342581</v>
      </c>
      <c r="AA928" s="12" t="n">
        <v>0</v>
      </c>
      <c r="AB928" s="14" t="n">
        <f aca="false">W928-0.02*P928</f>
        <v>-2085656.14</v>
      </c>
      <c r="AC928" s="16" t="n">
        <v>46</v>
      </c>
      <c r="AD928" s="13" t="n">
        <f aca="false">IFERROR(AC928/AC927-1,"")</f>
        <v>-0.0212765957446809</v>
      </c>
      <c r="AE928" s="17" t="n">
        <v>0.224</v>
      </c>
      <c r="AF928" s="17" t="n">
        <v>0.157</v>
      </c>
      <c r="AG928" s="13" t="n">
        <f aca="false">1-AF928</f>
        <v>0.843</v>
      </c>
      <c r="AH928" s="17" t="n">
        <v>0.809</v>
      </c>
      <c r="AI928" s="12" t="n">
        <v>92644</v>
      </c>
      <c r="AJ928" s="14" t="n">
        <f aca="false">IFERROR(AM928*U928*MIN(1/AE928,5),"")</f>
        <v>62672.4529719777</v>
      </c>
      <c r="AK928" s="18" t="n">
        <f aca="false">IFERROR(AJ928/AI928,"")</f>
        <v>0.676486906566833</v>
      </c>
      <c r="AL928" s="15" t="n">
        <f aca="false">IFERROR(AI928/(AM928*U928/12),"")</f>
        <v>79.1906362878526</v>
      </c>
      <c r="AM928" s="12" t="n">
        <v>24960</v>
      </c>
      <c r="AN928" s="12" t="n">
        <v>271409</v>
      </c>
      <c r="AO928" s="12" t="n">
        <v>671828</v>
      </c>
      <c r="AP928" s="17" t="n">
        <v>0.319</v>
      </c>
      <c r="AQ928" s="16" t="n">
        <v>69</v>
      </c>
      <c r="AR928" s="16" t="n">
        <v>2</v>
      </c>
      <c r="AS928" s="13" t="n">
        <f aca="false">IFERROR(AR928/AR927-1,"")</f>
        <v>0</v>
      </c>
      <c r="AT928" s="11" t="s">
        <v>145</v>
      </c>
      <c r="AU928" s="14" t="n">
        <f aca="false">IFERROR(P928/AR928,"")</f>
        <v>91628.5</v>
      </c>
      <c r="AV928" s="12" t="n">
        <v>2185063</v>
      </c>
      <c r="AW928" s="12" t="n">
        <v>685372</v>
      </c>
      <c r="AX928" s="12" t="n">
        <v>742024</v>
      </c>
      <c r="AY928" s="16" t="n">
        <v>37838</v>
      </c>
      <c r="AZ928" s="13" t="n">
        <f aca="false">IFERROR(AY928/AY927-1,"")</f>
        <v>-0.0197663272972203</v>
      </c>
      <c r="BA928" s="17" t="n">
        <v>0.794</v>
      </c>
      <c r="BB928" s="11" t="s">
        <v>119</v>
      </c>
      <c r="BC928" s="11" t="s">
        <v>120</v>
      </c>
      <c r="BD928" s="11" t="s">
        <v>157</v>
      </c>
      <c r="BE928" s="12" t="n">
        <v>306831</v>
      </c>
      <c r="BF928" s="13" t="n">
        <f aca="false">IFERROR(P928/BE928-1,"")</f>
        <v>-0.402742878001245</v>
      </c>
      <c r="BG928" s="17" t="n">
        <v>0.181</v>
      </c>
      <c r="BH928" s="17" t="n">
        <v>0.292</v>
      </c>
      <c r="BI928" s="14" t="n">
        <f aca="false">P928*(1+IFERROR(Q928,0))^4</f>
        <v>157451.244292847</v>
      </c>
      <c r="BJ928" s="12" t="n">
        <v>-2230447</v>
      </c>
      <c r="BK928" s="11" t="s">
        <v>147</v>
      </c>
      <c r="BL928" s="11" t="s">
        <v>140</v>
      </c>
      <c r="BM928" s="14" t="n">
        <f aca="false">O928</f>
        <v>28496459</v>
      </c>
      <c r="BN928" s="11" t="s">
        <v>854</v>
      </c>
      <c r="BO928" s="13" t="n">
        <f aca="false">IFERROR(1-L928/M928,"")</f>
        <v>0.166848449254691</v>
      </c>
      <c r="BP928" s="11" t="s">
        <v>142</v>
      </c>
      <c r="BQ928" s="12" t="n">
        <v>3287251</v>
      </c>
      <c r="BR928" s="11" t="s">
        <v>88</v>
      </c>
      <c r="BS928" s="11" t="s">
        <v>89</v>
      </c>
      <c r="BT928" s="19" t="str">
        <f aca="false">IF(OR(Z928&lt;6,AH928&lt;0.9,S928&lt;0.02,AK928&lt;1),"REVIEW",IF(AND(S928&gt;0.25,AH928&gt;1.2),"ACCELERATING","STABLE"))</f>
        <v>REVIEW</v>
      </c>
    </row>
    <row r="929" customFormat="false" ht="15" hidden="false" customHeight="false" outlineLevel="0" collapsed="false">
      <c r="A929" s="11" t="s">
        <v>852</v>
      </c>
      <c r="B929" s="11" t="s">
        <v>93</v>
      </c>
      <c r="C929" s="11" t="s">
        <v>74</v>
      </c>
      <c r="D929" s="11" t="s">
        <v>210</v>
      </c>
      <c r="E929" s="11" t="s">
        <v>777</v>
      </c>
      <c r="F929" s="11" t="s">
        <v>853</v>
      </c>
      <c r="G929" s="11" t="s">
        <v>78</v>
      </c>
      <c r="H929" s="11" t="s">
        <v>644</v>
      </c>
      <c r="I929" s="11" t="s">
        <v>78</v>
      </c>
      <c r="J929" s="12" t="n">
        <v>5966000</v>
      </c>
      <c r="K929" s="13" t="n">
        <f aca="false">IFERROR(J929/M929,"")</f>
        <v>0.166848449254691</v>
      </c>
      <c r="L929" s="12" t="n">
        <v>29791000</v>
      </c>
      <c r="M929" s="14" t="n">
        <f aca="false">L929+J929</f>
        <v>35757000</v>
      </c>
      <c r="N929" s="12" t="n">
        <v>7600000</v>
      </c>
      <c r="O929" s="12" t="n">
        <v>28496459</v>
      </c>
      <c r="P929" s="12" t="n">
        <v>180586</v>
      </c>
      <c r="Q929" s="13" t="n">
        <f aca="false">IFERROR(P929/P928-1,"")</f>
        <v>-0.0145751594754907</v>
      </c>
      <c r="R929" s="12" t="n">
        <v>202510</v>
      </c>
      <c r="S929" s="13" t="n">
        <f aca="false">IFERROR(R929/R928-1,"")</f>
        <v>-0.013243806887949</v>
      </c>
      <c r="T929" s="12" t="n">
        <v>99578</v>
      </c>
      <c r="U929" s="13" t="n">
        <f aca="false">IFERROR(T929/P929,"")</f>
        <v>0.551415945865128</v>
      </c>
      <c r="V929" s="14" t="n">
        <f aca="false">T929-AV929</f>
        <v>-2472682</v>
      </c>
      <c r="W929" s="14" t="n">
        <f aca="false">V929-AA929*0.1</f>
        <v>-2472682</v>
      </c>
      <c r="X929" s="12" t="n">
        <v>760800</v>
      </c>
      <c r="Y929" s="12" t="n">
        <v>227000</v>
      </c>
      <c r="Z929" s="15" t="n">
        <f aca="false">IFERROR(X929/Y929,"")</f>
        <v>3.35154185022026</v>
      </c>
      <c r="AA929" s="12" t="n">
        <v>0</v>
      </c>
      <c r="AB929" s="14" t="n">
        <f aca="false">W929-0.02*P929</f>
        <v>-2476293.72</v>
      </c>
      <c r="AC929" s="16" t="n">
        <v>44</v>
      </c>
      <c r="AD929" s="13" t="n">
        <f aca="false">IFERROR(AC929/AC928-1,"")</f>
        <v>-0.0434782608695652</v>
      </c>
      <c r="AE929" s="17" t="n">
        <v>0.254</v>
      </c>
      <c r="AF929" s="17" t="n">
        <v>0.259</v>
      </c>
      <c r="AG929" s="13" t="n">
        <f aca="false">1-AF929</f>
        <v>0.741</v>
      </c>
      <c r="AH929" s="17" t="n">
        <v>0.769</v>
      </c>
      <c r="AI929" s="12" t="n">
        <v>100700</v>
      </c>
      <c r="AJ929" s="14" t="n">
        <f aca="false">IFERROR(AM929*U929*MIN(1/AE929,5),"")</f>
        <v>55228.431743342</v>
      </c>
      <c r="AK929" s="18" t="n">
        <f aca="false">IFERROR(AJ929/AI929,"")</f>
        <v>0.548445201026236</v>
      </c>
      <c r="AL929" s="15" t="n">
        <f aca="false">IFERROR(AI929/(AM929*U929/12),"")</f>
        <v>86.1418686858543</v>
      </c>
      <c r="AM929" s="12" t="n">
        <v>25440</v>
      </c>
      <c r="AN929" s="12" t="n">
        <v>285786</v>
      </c>
      <c r="AO929" s="12" t="n">
        <v>307810</v>
      </c>
      <c r="AP929" s="17" t="n">
        <v>0.319</v>
      </c>
      <c r="AQ929" s="16" t="n">
        <v>69</v>
      </c>
      <c r="AR929" s="16" t="n">
        <v>2</v>
      </c>
      <c r="AS929" s="13" t="n">
        <f aca="false">IFERROR(AR929/AR928-1,"")</f>
        <v>0</v>
      </c>
      <c r="AT929" s="11" t="s">
        <v>145</v>
      </c>
      <c r="AU929" s="14" t="n">
        <f aca="false">IFERROR(P929/AR929,"")</f>
        <v>90293</v>
      </c>
      <c r="AV929" s="12" t="n">
        <v>2572260</v>
      </c>
      <c r="AW929" s="12" t="n">
        <v>825287</v>
      </c>
      <c r="AX929" s="12" t="n">
        <v>791167</v>
      </c>
      <c r="AY929" s="16" t="n">
        <v>36704</v>
      </c>
      <c r="AZ929" s="13" t="n">
        <f aca="false">IFERROR(AY929/AY928-1,"")</f>
        <v>-0.0299698715576934</v>
      </c>
      <c r="BA929" s="17" t="n">
        <v>0.811</v>
      </c>
      <c r="BB929" s="11" t="s">
        <v>119</v>
      </c>
      <c r="BC929" s="11" t="s">
        <v>120</v>
      </c>
      <c r="BD929" s="11" t="s">
        <v>157</v>
      </c>
      <c r="BE929" s="12" t="n">
        <v>258111</v>
      </c>
      <c r="BF929" s="13" t="n">
        <f aca="false">IFERROR(P929/BE929-1,"")</f>
        <v>-0.30035527350636</v>
      </c>
      <c r="BG929" s="17" t="n">
        <v>0.224</v>
      </c>
      <c r="BH929" s="17" t="n">
        <v>0.209</v>
      </c>
      <c r="BI929" s="14" t="n">
        <f aca="false">P929*(1+IFERROR(Q929,0))^4</f>
        <v>170285.669593683</v>
      </c>
      <c r="BJ929" s="12" t="n">
        <v>-2202165</v>
      </c>
      <c r="BK929" s="11" t="s">
        <v>147</v>
      </c>
      <c r="BL929" s="11" t="s">
        <v>140</v>
      </c>
      <c r="BM929" s="14" t="n">
        <f aca="false">O929</f>
        <v>28496459</v>
      </c>
      <c r="BN929" s="11" t="s">
        <v>854</v>
      </c>
      <c r="BO929" s="13" t="n">
        <f aca="false">IFERROR(1-L929/M929,"")</f>
        <v>0.166848449254691</v>
      </c>
      <c r="BP929" s="11" t="s">
        <v>142</v>
      </c>
      <c r="BQ929" s="12" t="n">
        <v>2838404</v>
      </c>
      <c r="BR929" s="11" t="s">
        <v>88</v>
      </c>
      <c r="BS929" s="11" t="s">
        <v>89</v>
      </c>
      <c r="BT929" s="19" t="str">
        <f aca="false">IF(OR(Z929&lt;6,AH929&lt;0.9,S929&lt;0.02,AK929&lt;1),"REVIEW",IF(AND(S929&gt;0.25,AH929&gt;1.2),"ACCELERATING","STABLE"))</f>
        <v>REVIEW</v>
      </c>
    </row>
    <row r="930" customFormat="false" ht="15" hidden="false" customHeight="false" outlineLevel="0" collapsed="false">
      <c r="A930" s="3" t="s">
        <v>855</v>
      </c>
      <c r="B930" s="3" t="s">
        <v>73</v>
      </c>
      <c r="C930" s="3" t="s">
        <v>74</v>
      </c>
      <c r="D930" s="3" t="s">
        <v>132</v>
      </c>
      <c r="E930" s="3" t="s">
        <v>105</v>
      </c>
      <c r="F930" s="3" t="s">
        <v>856</v>
      </c>
      <c r="G930" s="3" t="s">
        <v>78</v>
      </c>
      <c r="H930" s="3" t="s">
        <v>644</v>
      </c>
      <c r="I930" s="3" t="s">
        <v>78</v>
      </c>
      <c r="J930" s="4" t="n">
        <v>2974000</v>
      </c>
      <c r="K930" s="5" t="n">
        <f aca="false">IFERROR(J930/M930,"")</f>
        <v>0.159216232132341</v>
      </c>
      <c r="L930" s="4" t="n">
        <v>15705000</v>
      </c>
      <c r="M930" s="6" t="n">
        <f aca="false">L930+J930</f>
        <v>18679000</v>
      </c>
      <c r="N930" s="4" t="n">
        <v>6979000</v>
      </c>
      <c r="O930" s="4" t="n">
        <v>33546364</v>
      </c>
      <c r="P930" s="4" t="n">
        <v>598662</v>
      </c>
      <c r="Q930" s="7"/>
      <c r="R930" s="4" t="n">
        <v>619059</v>
      </c>
      <c r="S930" s="7"/>
      <c r="T930" s="4" t="n">
        <v>350763</v>
      </c>
      <c r="U930" s="5" t="n">
        <f aca="false">IFERROR(T930/P930,"")</f>
        <v>0.58591158282971</v>
      </c>
      <c r="V930" s="6" t="n">
        <f aca="false">T930-AV930</f>
        <v>-2119440</v>
      </c>
      <c r="W930" s="6" t="n">
        <f aca="false">V930-AA930*0.1</f>
        <v>-2242540</v>
      </c>
      <c r="X930" s="4" t="n">
        <v>1389150</v>
      </c>
      <c r="Y930" s="4" t="n">
        <v>225680</v>
      </c>
      <c r="Z930" s="8" t="n">
        <f aca="false">IFERROR(X930/Y930,"")</f>
        <v>6.15539702233251</v>
      </c>
      <c r="AA930" s="4" t="n">
        <v>1231000</v>
      </c>
      <c r="AB930" s="6" t="n">
        <f aca="false">W930-0.02*P930</f>
        <v>-2254513.24</v>
      </c>
      <c r="AC930" s="9" t="n">
        <v>22</v>
      </c>
      <c r="AD930" s="7"/>
      <c r="AE930" s="7" t="n">
        <v>0.057</v>
      </c>
      <c r="AF930" s="7" t="n">
        <v>0.04</v>
      </c>
      <c r="AG930" s="5" t="n">
        <f aca="false">1-AF930</f>
        <v>0.96</v>
      </c>
      <c r="AH930" s="7" t="n">
        <v>1.229</v>
      </c>
      <c r="AI930" s="4" t="n">
        <v>27984</v>
      </c>
      <c r="AJ930" s="6" t="n">
        <f aca="false">IFERROR(AM930*U930*MIN(1/AE930,5),"")</f>
        <v>128900.548222536</v>
      </c>
      <c r="AK930" s="10" t="n">
        <f aca="false">IFERROR(AJ930/AI930,"")</f>
        <v>4.6062231354537</v>
      </c>
      <c r="AL930" s="8" t="n">
        <f aca="false">IFERROR(AI930/(AM930*U930/12),"")</f>
        <v>13.025856159287</v>
      </c>
      <c r="AM930" s="4" t="n">
        <v>44000</v>
      </c>
      <c r="AN930" s="4" t="n">
        <v>853396</v>
      </c>
      <c r="AO930" s="4" t="n">
        <v>1230784</v>
      </c>
      <c r="AP930" s="7" t="n">
        <v>0.192</v>
      </c>
      <c r="AQ930" s="9" t="n">
        <v>62</v>
      </c>
      <c r="AR930" s="9" t="n">
        <v>2</v>
      </c>
      <c r="AS930" s="7"/>
      <c r="AT930" s="3" t="s">
        <v>80</v>
      </c>
      <c r="AU930" s="6" t="n">
        <f aca="false">IFERROR(P930/AR930,"")</f>
        <v>299331</v>
      </c>
      <c r="AV930" s="4" t="n">
        <v>2470203</v>
      </c>
      <c r="AW930" s="4" t="n">
        <v>1130844</v>
      </c>
      <c r="AX930" s="4" t="n">
        <v>766246</v>
      </c>
      <c r="AY930" s="9" t="n">
        <v>11480</v>
      </c>
      <c r="AZ930" s="7"/>
      <c r="BA930" s="7" t="n">
        <v>0.946</v>
      </c>
      <c r="BB930" s="3" t="s">
        <v>81</v>
      </c>
      <c r="BC930" s="3" t="s">
        <v>126</v>
      </c>
      <c r="BD930" s="3" t="s">
        <v>175</v>
      </c>
      <c r="BE930" s="4" t="n">
        <v>708905</v>
      </c>
      <c r="BF930" s="5" t="n">
        <f aca="false">IFERROR(P930/BE930-1,"")</f>
        <v>-0.155511669405633</v>
      </c>
      <c r="BG930" s="7" t="n">
        <v>-0.044</v>
      </c>
      <c r="BH930" s="7" t="n">
        <v>0.077</v>
      </c>
      <c r="BI930" s="6" t="n">
        <f aca="false">P930</f>
        <v>598662</v>
      </c>
      <c r="BJ930" s="4" t="n">
        <v>-1955299</v>
      </c>
      <c r="BK930" s="3" t="s">
        <v>192</v>
      </c>
      <c r="BL930" s="3" t="s">
        <v>111</v>
      </c>
      <c r="BM930" s="6" t="n">
        <f aca="false">O930</f>
        <v>33546364</v>
      </c>
      <c r="BN930" s="3" t="s">
        <v>857</v>
      </c>
      <c r="BO930" s="5" t="n">
        <f aca="false">IFERROR(1-L930/M930,"")</f>
        <v>0.159216232132341</v>
      </c>
      <c r="BP930" s="3" t="s">
        <v>142</v>
      </c>
      <c r="BQ930" s="4" t="n">
        <v>2937309</v>
      </c>
      <c r="BR930" s="3" t="s">
        <v>88</v>
      </c>
      <c r="BS930" s="3" t="s">
        <v>89</v>
      </c>
      <c r="BT930" s="3" t="s">
        <v>90</v>
      </c>
    </row>
    <row r="931" customFormat="false" ht="15" hidden="false" customHeight="false" outlineLevel="0" collapsed="false">
      <c r="A931" s="11" t="s">
        <v>855</v>
      </c>
      <c r="B931" s="11" t="s">
        <v>91</v>
      </c>
      <c r="C931" s="11" t="s">
        <v>74</v>
      </c>
      <c r="D931" s="11" t="s">
        <v>132</v>
      </c>
      <c r="E931" s="11" t="s">
        <v>105</v>
      </c>
      <c r="F931" s="11" t="s">
        <v>856</v>
      </c>
      <c r="G931" s="11" t="s">
        <v>78</v>
      </c>
      <c r="H931" s="11" t="s">
        <v>644</v>
      </c>
      <c r="I931" s="11" t="s">
        <v>78</v>
      </c>
      <c r="J931" s="12" t="n">
        <v>2974000</v>
      </c>
      <c r="K931" s="13" t="n">
        <f aca="false">IFERROR(J931/M931,"")</f>
        <v>0.159216232132341</v>
      </c>
      <c r="L931" s="12" t="n">
        <v>15705000</v>
      </c>
      <c r="M931" s="14" t="n">
        <f aca="false">L931+J931</f>
        <v>18679000</v>
      </c>
      <c r="N931" s="12" t="n">
        <v>6979000</v>
      </c>
      <c r="O931" s="12" t="n">
        <v>33546364</v>
      </c>
      <c r="P931" s="12" t="n">
        <v>818362</v>
      </c>
      <c r="Q931" s="13" t="n">
        <f aca="false">IFERROR(P931/P930-1,"")</f>
        <v>0.366985043313255</v>
      </c>
      <c r="R931" s="12" t="n">
        <v>806815</v>
      </c>
      <c r="S931" s="13" t="n">
        <f aca="false">IFERROR(R931/R930-1,"")</f>
        <v>0.30329257792876</v>
      </c>
      <c r="T931" s="12" t="n">
        <v>481430</v>
      </c>
      <c r="U931" s="13" t="n">
        <f aca="false">IFERROR(T931/P931,"")</f>
        <v>0.58828489103844</v>
      </c>
      <c r="V931" s="14" t="n">
        <f aca="false">T931-AV931</f>
        <v>-2482632</v>
      </c>
      <c r="W931" s="14" t="n">
        <f aca="false">V931-AA931*0.1</f>
        <v>-2605732</v>
      </c>
      <c r="X931" s="12" t="n">
        <v>1786050</v>
      </c>
      <c r="Y931" s="12" t="n">
        <v>233120</v>
      </c>
      <c r="Z931" s="15" t="n">
        <f aca="false">IFERROR(X931/Y931,"")</f>
        <v>7.66150480439259</v>
      </c>
      <c r="AA931" s="12" t="n">
        <v>1231000</v>
      </c>
      <c r="AB931" s="14" t="n">
        <f aca="false">W931-0.02*P931</f>
        <v>-2622099.24</v>
      </c>
      <c r="AC931" s="16" t="n">
        <v>28</v>
      </c>
      <c r="AD931" s="13" t="n">
        <f aca="false">IFERROR(AC931/AC930-1,"")</f>
        <v>0.272727272727273</v>
      </c>
      <c r="AE931" s="17" t="n">
        <v>0.055</v>
      </c>
      <c r="AF931" s="17" t="n">
        <v>0.041</v>
      </c>
      <c r="AG931" s="13" t="n">
        <f aca="false">1-AF931</f>
        <v>0.959</v>
      </c>
      <c r="AH931" s="17" t="n">
        <v>1.259</v>
      </c>
      <c r="AI931" s="12" t="n">
        <v>27456</v>
      </c>
      <c r="AJ931" s="14" t="n">
        <f aca="false">IFERROR(AM931*U931*MIN(1/AE931,5),"")</f>
        <v>132011.129549026</v>
      </c>
      <c r="AK931" s="18" t="n">
        <f aca="false">IFERROR(AJ931/AI931,"")</f>
        <v>4.8080976671411</v>
      </c>
      <c r="AL931" s="15" t="n">
        <f aca="false">IFERROR(AI931/(AM931*U931/12),"")</f>
        <v>12.478947840441</v>
      </c>
      <c r="AM931" s="12" t="n">
        <v>44880</v>
      </c>
      <c r="AN931" s="12" t="n">
        <v>968000</v>
      </c>
      <c r="AO931" s="12" t="n">
        <v>2502809</v>
      </c>
      <c r="AP931" s="17" t="n">
        <v>0.192</v>
      </c>
      <c r="AQ931" s="16" t="n">
        <v>62</v>
      </c>
      <c r="AR931" s="16" t="n">
        <v>2</v>
      </c>
      <c r="AS931" s="13" t="n">
        <f aca="false">IFERROR(AR931/AR930-1,"")</f>
        <v>0</v>
      </c>
      <c r="AT931" s="11" t="s">
        <v>80</v>
      </c>
      <c r="AU931" s="14" t="n">
        <f aca="false">IFERROR(P931/AR931,"")</f>
        <v>409181</v>
      </c>
      <c r="AV931" s="12" t="n">
        <v>2964062</v>
      </c>
      <c r="AW931" s="12" t="n">
        <v>912392</v>
      </c>
      <c r="AX931" s="12" t="n">
        <v>926129</v>
      </c>
      <c r="AY931" s="16" t="n">
        <v>15478</v>
      </c>
      <c r="AZ931" s="13" t="n">
        <f aca="false">IFERROR(AY931/AY930-1,"")</f>
        <v>0.348257839721254</v>
      </c>
      <c r="BA931" s="17" t="n">
        <v>0.954</v>
      </c>
      <c r="BB931" s="11" t="s">
        <v>81</v>
      </c>
      <c r="BC931" s="11" t="s">
        <v>126</v>
      </c>
      <c r="BD931" s="11" t="s">
        <v>175</v>
      </c>
      <c r="BE931" s="12" t="n">
        <v>974619</v>
      </c>
      <c r="BF931" s="13" t="n">
        <f aca="false">IFERROR(P931/BE931-1,"")</f>
        <v>-0.160326240305186</v>
      </c>
      <c r="BG931" s="17" t="n">
        <v>0.033</v>
      </c>
      <c r="BH931" s="17" t="n">
        <v>0.063</v>
      </c>
      <c r="BI931" s="14" t="n">
        <f aca="false">P931*(1+IFERROR(Q931,0))^4</f>
        <v>2857593.87487918</v>
      </c>
      <c r="BJ931" s="12" t="n">
        <v>-1565501</v>
      </c>
      <c r="BK931" s="11" t="s">
        <v>192</v>
      </c>
      <c r="BL931" s="11" t="s">
        <v>111</v>
      </c>
      <c r="BM931" s="14" t="n">
        <f aca="false">O931</f>
        <v>33546364</v>
      </c>
      <c r="BN931" s="11" t="s">
        <v>857</v>
      </c>
      <c r="BO931" s="13" t="n">
        <f aca="false">IFERROR(1-L931/M931,"")</f>
        <v>0.159216232132341</v>
      </c>
      <c r="BP931" s="11" t="s">
        <v>142</v>
      </c>
      <c r="BQ931" s="12" t="n">
        <v>3334054</v>
      </c>
      <c r="BR931" s="11" t="s">
        <v>88</v>
      </c>
      <c r="BS931" s="11" t="s">
        <v>89</v>
      </c>
      <c r="BT931" s="19" t="str">
        <f aca="false">IF(OR(Z931&lt;6,AH931&lt;0.9,S931&lt;0.02,AK931&lt;1),"REVIEW",IF(AND(S931&gt;0.25,AH931&gt;1.2),"ACCELERATING","STABLE"))</f>
        <v>ACCELERATING</v>
      </c>
    </row>
    <row r="932" customFormat="false" ht="15" hidden="false" customHeight="false" outlineLevel="0" collapsed="false">
      <c r="A932" s="11" t="s">
        <v>855</v>
      </c>
      <c r="B932" s="11" t="s">
        <v>92</v>
      </c>
      <c r="C932" s="11" t="s">
        <v>74</v>
      </c>
      <c r="D932" s="11" t="s">
        <v>132</v>
      </c>
      <c r="E932" s="11" t="s">
        <v>105</v>
      </c>
      <c r="F932" s="11" t="s">
        <v>856</v>
      </c>
      <c r="G932" s="11" t="s">
        <v>78</v>
      </c>
      <c r="H932" s="11" t="s">
        <v>644</v>
      </c>
      <c r="I932" s="11" t="s">
        <v>78</v>
      </c>
      <c r="J932" s="12" t="n">
        <v>2974000</v>
      </c>
      <c r="K932" s="13" t="n">
        <f aca="false">IFERROR(J932/M932,"")</f>
        <v>0.159216232132341</v>
      </c>
      <c r="L932" s="12" t="n">
        <v>15705000</v>
      </c>
      <c r="M932" s="14" t="n">
        <f aca="false">L932+J932</f>
        <v>18679000</v>
      </c>
      <c r="N932" s="12" t="n">
        <v>6979000</v>
      </c>
      <c r="O932" s="12" t="n">
        <v>33546364</v>
      </c>
      <c r="P932" s="12" t="n">
        <v>1110022</v>
      </c>
      <c r="Q932" s="13" t="n">
        <f aca="false">IFERROR(P932/P931-1,"")</f>
        <v>0.356394847268079</v>
      </c>
      <c r="R932" s="12" t="n">
        <v>1119892</v>
      </c>
      <c r="S932" s="13" t="n">
        <f aca="false">IFERROR(R932/R931-1,"")</f>
        <v>0.388040628892621</v>
      </c>
      <c r="T932" s="12" t="n">
        <v>655642</v>
      </c>
      <c r="U932" s="13" t="n">
        <f aca="false">IFERROR(T932/P932,"")</f>
        <v>0.590656761757875</v>
      </c>
      <c r="V932" s="14" t="n">
        <f aca="false">T932-AV932</f>
        <v>-2691163</v>
      </c>
      <c r="W932" s="14" t="n">
        <f aca="false">V932-AA932*0.1</f>
        <v>-2814263</v>
      </c>
      <c r="X932" s="12" t="n">
        <v>2182950</v>
      </c>
      <c r="Y932" s="12" t="n">
        <v>240560</v>
      </c>
      <c r="Z932" s="15" t="n">
        <f aca="false">IFERROR(X932/Y932,"")</f>
        <v>9.07445128034586</v>
      </c>
      <c r="AA932" s="12" t="n">
        <v>1231000</v>
      </c>
      <c r="AB932" s="14" t="n">
        <f aca="false">W932-0.02*P932</f>
        <v>-2836463.44</v>
      </c>
      <c r="AC932" s="16" t="n">
        <v>35</v>
      </c>
      <c r="AD932" s="13" t="n">
        <f aca="false">IFERROR(AC932/AC931-1,"")</f>
        <v>0.25</v>
      </c>
      <c r="AE932" s="17" t="n">
        <v>0.054</v>
      </c>
      <c r="AF932" s="17" t="n">
        <v>0.04</v>
      </c>
      <c r="AG932" s="13" t="n">
        <f aca="false">1-AF932</f>
        <v>0.96</v>
      </c>
      <c r="AH932" s="17" t="n">
        <v>1.289</v>
      </c>
      <c r="AI932" s="12" t="n">
        <v>26928</v>
      </c>
      <c r="AJ932" s="14" t="n">
        <f aca="false">IFERROR(AM932*U932*MIN(1/AE932,5),"")</f>
        <v>135142.267090202</v>
      </c>
      <c r="AK932" s="18" t="n">
        <f aca="false">IFERROR(AJ932/AI932,"")</f>
        <v>5.01865222408652</v>
      </c>
      <c r="AL932" s="15" t="n">
        <f aca="false">IFERROR(AI932/(AM932*U932/12),"")</f>
        <v>11.9554010361658</v>
      </c>
      <c r="AM932" s="12" t="n">
        <v>45760</v>
      </c>
      <c r="AN932" s="12" t="n">
        <v>1308518</v>
      </c>
      <c r="AO932" s="12" t="n">
        <v>3523875</v>
      </c>
      <c r="AP932" s="17" t="n">
        <v>0.192</v>
      </c>
      <c r="AQ932" s="16" t="n">
        <v>62</v>
      </c>
      <c r="AR932" s="16" t="n">
        <v>3</v>
      </c>
      <c r="AS932" s="13" t="n">
        <f aca="false">IFERROR(AR932/AR931-1,"")</f>
        <v>0.5</v>
      </c>
      <c r="AT932" s="11" t="s">
        <v>80</v>
      </c>
      <c r="AU932" s="14" t="n">
        <f aca="false">IFERROR(P932/AR932,"")</f>
        <v>370007.333333333</v>
      </c>
      <c r="AV932" s="12" t="n">
        <v>3346805</v>
      </c>
      <c r="AW932" s="12" t="n">
        <v>1556015</v>
      </c>
      <c r="AX932" s="12" t="n">
        <v>1010592</v>
      </c>
      <c r="AY932" s="16" t="n">
        <v>19646</v>
      </c>
      <c r="AZ932" s="13" t="n">
        <f aca="false">IFERROR(AY932/AY931-1,"")</f>
        <v>0.269285437395012</v>
      </c>
      <c r="BA932" s="17" t="n">
        <v>0.955</v>
      </c>
      <c r="BB932" s="11" t="s">
        <v>81</v>
      </c>
      <c r="BC932" s="11" t="s">
        <v>126</v>
      </c>
      <c r="BD932" s="11" t="s">
        <v>175</v>
      </c>
      <c r="BE932" s="12" t="n">
        <v>1243329</v>
      </c>
      <c r="BF932" s="13" t="n">
        <f aca="false">IFERROR(P932/BE932-1,"")</f>
        <v>-0.107217799954799</v>
      </c>
      <c r="BG932" s="17" t="n">
        <v>-0.016</v>
      </c>
      <c r="BH932" s="17" t="n">
        <v>-0.054</v>
      </c>
      <c r="BI932" s="14" t="n">
        <f aca="false">P932*(1+IFERROR(Q932,0))^4</f>
        <v>3757302.06775765</v>
      </c>
      <c r="BJ932" s="12" t="n">
        <v>-2157573</v>
      </c>
      <c r="BK932" s="11" t="s">
        <v>192</v>
      </c>
      <c r="BL932" s="11" t="s">
        <v>111</v>
      </c>
      <c r="BM932" s="14" t="n">
        <f aca="false">O932</f>
        <v>33546364</v>
      </c>
      <c r="BN932" s="11" t="s">
        <v>857</v>
      </c>
      <c r="BO932" s="13" t="n">
        <f aca="false">IFERROR(1-L932/M932,"")</f>
        <v>0.159216232132341</v>
      </c>
      <c r="BP932" s="11" t="s">
        <v>142</v>
      </c>
      <c r="BQ932" s="12" t="n">
        <v>4128640</v>
      </c>
      <c r="BR932" s="11" t="s">
        <v>88</v>
      </c>
      <c r="BS932" s="11" t="s">
        <v>89</v>
      </c>
      <c r="BT932" s="19" t="str">
        <f aca="false">IF(OR(Z932&lt;6,AH932&lt;0.9,S932&lt;0.02,AK932&lt;1),"REVIEW",IF(AND(S932&gt;0.25,AH932&gt;1.2),"ACCELERATING","STABLE"))</f>
        <v>ACCELERATING</v>
      </c>
    </row>
    <row r="933" customFormat="false" ht="15" hidden="false" customHeight="false" outlineLevel="0" collapsed="false">
      <c r="A933" s="11" t="s">
        <v>855</v>
      </c>
      <c r="B933" s="11" t="s">
        <v>93</v>
      </c>
      <c r="C933" s="11" t="s">
        <v>74</v>
      </c>
      <c r="D933" s="11" t="s">
        <v>132</v>
      </c>
      <c r="E933" s="11" t="s">
        <v>105</v>
      </c>
      <c r="F933" s="11" t="s">
        <v>856</v>
      </c>
      <c r="G933" s="11" t="s">
        <v>78</v>
      </c>
      <c r="H933" s="11" t="s">
        <v>644</v>
      </c>
      <c r="I933" s="11" t="s">
        <v>78</v>
      </c>
      <c r="J933" s="12" t="n">
        <v>2974000</v>
      </c>
      <c r="K933" s="13" t="n">
        <f aca="false">IFERROR(J933/M933,"")</f>
        <v>0.159216232132341</v>
      </c>
      <c r="L933" s="12" t="n">
        <v>15705000</v>
      </c>
      <c r="M933" s="14" t="n">
        <f aca="false">L933+J933</f>
        <v>18679000</v>
      </c>
      <c r="N933" s="12" t="n">
        <v>6979000</v>
      </c>
      <c r="O933" s="12" t="n">
        <v>33546364</v>
      </c>
      <c r="P933" s="12" t="n">
        <v>1396922</v>
      </c>
      <c r="Q933" s="13" t="n">
        <f aca="false">IFERROR(P933/P932-1,"")</f>
        <v>0.258463345771525</v>
      </c>
      <c r="R933" s="12" t="n">
        <v>1517850</v>
      </c>
      <c r="S933" s="13" t="n">
        <f aca="false">IFERROR(R933/R932-1,"")</f>
        <v>0.355353909126952</v>
      </c>
      <c r="T933" s="12" t="n">
        <v>828415</v>
      </c>
      <c r="U933" s="13" t="n">
        <f aca="false">IFERROR(T933/P933,"")</f>
        <v>0.593028816211643</v>
      </c>
      <c r="V933" s="14" t="n">
        <f aca="false">T933-AV933</f>
        <v>-2274131</v>
      </c>
      <c r="W933" s="14" t="n">
        <f aca="false">V933-AA933*0.1</f>
        <v>-2397231</v>
      </c>
      <c r="X933" s="12" t="n">
        <v>3969000</v>
      </c>
      <c r="Y933" s="12" t="n">
        <v>248000</v>
      </c>
      <c r="Z933" s="15" t="n">
        <f aca="false">IFERROR(X933/Y933,"")</f>
        <v>16.0040322580645</v>
      </c>
      <c r="AA933" s="12" t="n">
        <v>1231000</v>
      </c>
      <c r="AB933" s="14" t="n">
        <f aca="false">W933-0.02*P933</f>
        <v>-2425169.44</v>
      </c>
      <c r="AC933" s="16" t="n">
        <v>45</v>
      </c>
      <c r="AD933" s="13" t="n">
        <f aca="false">IFERROR(AC933/AC932-1,"")</f>
        <v>0.285714285714286</v>
      </c>
      <c r="AE933" s="17" t="n">
        <v>0.052</v>
      </c>
      <c r="AF933" s="17" t="n">
        <v>0.053</v>
      </c>
      <c r="AG933" s="13" t="n">
        <f aca="false">1-AF933</f>
        <v>0.947</v>
      </c>
      <c r="AH933" s="17" t="n">
        <v>1.319</v>
      </c>
      <c r="AI933" s="12" t="n">
        <v>26400</v>
      </c>
      <c r="AJ933" s="14" t="n">
        <f aca="false">IFERROR(AM933*U933*MIN(1/AE933,5),"")</f>
        <v>138294.319940555</v>
      </c>
      <c r="AK933" s="18" t="n">
        <f aca="false">IFERROR(AJ933/AI933,"")</f>
        <v>5.23842120986951</v>
      </c>
      <c r="AL933" s="15" t="n">
        <f aca="false">IFERROR(AI933/(AM933*U933/12),"")</f>
        <v>11.4538326713698</v>
      </c>
      <c r="AM933" s="12" t="n">
        <v>46640</v>
      </c>
      <c r="AN933" s="12" t="n">
        <v>1807774</v>
      </c>
      <c r="AO933" s="12" t="n">
        <v>5315057</v>
      </c>
      <c r="AP933" s="17" t="n">
        <v>0.192</v>
      </c>
      <c r="AQ933" s="16" t="n">
        <v>62</v>
      </c>
      <c r="AR933" s="16" t="n">
        <v>3</v>
      </c>
      <c r="AS933" s="13" t="n">
        <f aca="false">IFERROR(AR933/AR932-1,"")</f>
        <v>0</v>
      </c>
      <c r="AT933" s="11" t="s">
        <v>80</v>
      </c>
      <c r="AU933" s="14" t="n">
        <f aca="false">IFERROR(P933/AR933,"")</f>
        <v>465640.666666667</v>
      </c>
      <c r="AV933" s="12" t="n">
        <v>3102546</v>
      </c>
      <c r="AW933" s="12" t="n">
        <v>1487092</v>
      </c>
      <c r="AX933" s="12" t="n">
        <v>789341</v>
      </c>
      <c r="AY933" s="16" t="n">
        <v>25469</v>
      </c>
      <c r="AZ933" s="13" t="n">
        <f aca="false">IFERROR(AY933/AY932-1,"")</f>
        <v>0.296396212969561</v>
      </c>
      <c r="BA933" s="17" t="n">
        <v>0.945</v>
      </c>
      <c r="BB933" s="11" t="s">
        <v>81</v>
      </c>
      <c r="BC933" s="11" t="s">
        <v>126</v>
      </c>
      <c r="BD933" s="11" t="s">
        <v>175</v>
      </c>
      <c r="BE933" s="12" t="n">
        <v>1531879</v>
      </c>
      <c r="BF933" s="13" t="n">
        <f aca="false">IFERROR(P933/BE933-1,"")</f>
        <v>-0.0880989947639468</v>
      </c>
      <c r="BG933" s="17" t="n">
        <v>-0.049</v>
      </c>
      <c r="BH933" s="17" t="n">
        <v>-0.01</v>
      </c>
      <c r="BI933" s="14" t="n">
        <f aca="false">P933*(1+IFERROR(Q933,0))^4</f>
        <v>3503760.72374623</v>
      </c>
      <c r="BJ933" s="12" t="n">
        <v>-1950154</v>
      </c>
      <c r="BK933" s="11" t="s">
        <v>192</v>
      </c>
      <c r="BL933" s="11" t="s">
        <v>111</v>
      </c>
      <c r="BM933" s="14" t="n">
        <f aca="false">O933</f>
        <v>33546364</v>
      </c>
      <c r="BN933" s="11" t="s">
        <v>857</v>
      </c>
      <c r="BO933" s="13" t="n">
        <f aca="false">IFERROR(1-L933/M933,"")</f>
        <v>0.159216232132341</v>
      </c>
      <c r="BP933" s="11" t="s">
        <v>142</v>
      </c>
      <c r="BQ933" s="12" t="n">
        <v>3641887</v>
      </c>
      <c r="BR933" s="11" t="s">
        <v>88</v>
      </c>
      <c r="BS933" s="11" t="s">
        <v>89</v>
      </c>
      <c r="BT933" s="19" t="str">
        <f aca="false">IF(OR(Z933&lt;6,AH933&lt;0.9,S933&lt;0.02,AK933&lt;1),"REVIEW",IF(AND(S933&gt;0.25,AH933&gt;1.2),"ACCELERATING","STABLE"))</f>
        <v>ACCELERATING</v>
      </c>
    </row>
    <row r="934" customFormat="false" ht="15" hidden="false" customHeight="false" outlineLevel="0" collapsed="false">
      <c r="A934" s="3" t="s">
        <v>858</v>
      </c>
      <c r="B934" s="3" t="s">
        <v>73</v>
      </c>
      <c r="C934" s="3" t="s">
        <v>74</v>
      </c>
      <c r="D934" s="3" t="s">
        <v>132</v>
      </c>
      <c r="E934" s="3" t="s">
        <v>289</v>
      </c>
      <c r="F934" s="3" t="s">
        <v>859</v>
      </c>
      <c r="G934" s="3" t="s">
        <v>78</v>
      </c>
      <c r="H934" s="3" t="s">
        <v>644</v>
      </c>
      <c r="I934" s="3" t="s">
        <v>78</v>
      </c>
      <c r="J934" s="4" t="n">
        <v>2480000</v>
      </c>
      <c r="K934" s="5" t="n">
        <f aca="false">IFERROR(J934/M934,"")</f>
        <v>0.160010323246661</v>
      </c>
      <c r="L934" s="4" t="n">
        <v>13019000</v>
      </c>
      <c r="M934" s="6" t="n">
        <f aca="false">L934+J934</f>
        <v>15499000</v>
      </c>
      <c r="N934" s="4" t="n">
        <v>4039000</v>
      </c>
      <c r="O934" s="4" t="n">
        <v>20729779</v>
      </c>
      <c r="P934" s="4" t="n">
        <v>1078214</v>
      </c>
      <c r="Q934" s="7"/>
      <c r="R934" s="4" t="n">
        <v>1130773</v>
      </c>
      <c r="S934" s="7"/>
      <c r="T934" s="4" t="n">
        <v>743601</v>
      </c>
      <c r="U934" s="5" t="n">
        <f aca="false">IFERROR(T934/P934,"")</f>
        <v>0.689659937637612</v>
      </c>
      <c r="V934" s="6" t="n">
        <f aca="false">T934-AV934</f>
        <v>-1842210</v>
      </c>
      <c r="W934" s="6" t="n">
        <f aca="false">V934-AA934*0.1</f>
        <v>-1842210</v>
      </c>
      <c r="X934" s="4" t="n">
        <v>2875141</v>
      </c>
      <c r="Y934" s="4" t="n">
        <v>150150</v>
      </c>
      <c r="Z934" s="8" t="n">
        <f aca="false">IFERROR(X934/Y934,"")</f>
        <v>19.1484582084582</v>
      </c>
      <c r="AA934" s="4" t="n">
        <v>0</v>
      </c>
      <c r="AB934" s="6" t="n">
        <f aca="false">W934-0.02*P934</f>
        <v>-1863774.28</v>
      </c>
      <c r="AC934" s="9" t="n">
        <v>12</v>
      </c>
      <c r="AD934" s="7"/>
      <c r="AE934" s="7" t="n">
        <v>0.112</v>
      </c>
      <c r="AF934" s="7" t="n">
        <v>0.117</v>
      </c>
      <c r="AG934" s="5" t="n">
        <f aca="false">1-AF934</f>
        <v>0.883</v>
      </c>
      <c r="AH934" s="7" t="n">
        <v>1.049</v>
      </c>
      <c r="AI934" s="4" t="n">
        <v>61692</v>
      </c>
      <c r="AJ934" s="6" t="n">
        <f aca="false">IFERROR(AM934*U934*MIN(1/AE934,5),"")</f>
        <v>151725.186280275</v>
      </c>
      <c r="AK934" s="10" t="n">
        <f aca="false">IFERROR(AJ934/AI934,"")</f>
        <v>2.45939807884774</v>
      </c>
      <c r="AL934" s="8" t="n">
        <f aca="false">IFERROR(AI934/(AM934*U934/12),"")</f>
        <v>24.3962132507279</v>
      </c>
      <c r="AM934" s="4" t="n">
        <v>44000</v>
      </c>
      <c r="AN934" s="4" t="n">
        <v>1087848</v>
      </c>
      <c r="AO934" s="4" t="n">
        <v>3692343</v>
      </c>
      <c r="AP934" s="7" t="n">
        <v>0.343</v>
      </c>
      <c r="AQ934" s="9" t="n">
        <v>82</v>
      </c>
      <c r="AR934" s="9" t="n">
        <v>1</v>
      </c>
      <c r="AS934" s="7"/>
      <c r="AT934" s="3" t="s">
        <v>153</v>
      </c>
      <c r="AU934" s="6" t="n">
        <f aca="false">IFERROR(P934/AR934,"")</f>
        <v>1078214</v>
      </c>
      <c r="AV934" s="4" t="n">
        <v>2585811</v>
      </c>
      <c r="AW934" s="4" t="n">
        <v>961900</v>
      </c>
      <c r="AX934" s="4" t="n">
        <v>476010</v>
      </c>
      <c r="AY934" s="9" t="n">
        <v>15487</v>
      </c>
      <c r="AZ934" s="7"/>
      <c r="BA934" s="7" t="n">
        <v>0.899</v>
      </c>
      <c r="BB934" s="3" t="s">
        <v>81</v>
      </c>
      <c r="BC934" s="3" t="s">
        <v>126</v>
      </c>
      <c r="BD934" s="3" t="s">
        <v>109</v>
      </c>
      <c r="BE934" s="4" t="n">
        <v>1057183</v>
      </c>
      <c r="BF934" s="5" t="n">
        <f aca="false">IFERROR(P934/BE934-1,"")</f>
        <v>0.0198934337763661</v>
      </c>
      <c r="BG934" s="7" t="n">
        <v>0.074</v>
      </c>
      <c r="BH934" s="7" t="n">
        <v>0.025</v>
      </c>
      <c r="BI934" s="6" t="n">
        <f aca="false">P934</f>
        <v>1078214</v>
      </c>
      <c r="BJ934" s="4" t="n">
        <v>-1526700</v>
      </c>
      <c r="BK934" s="3" t="s">
        <v>110</v>
      </c>
      <c r="BL934" s="3" t="s">
        <v>111</v>
      </c>
      <c r="BM934" s="6" t="n">
        <f aca="false">O934</f>
        <v>20729779</v>
      </c>
      <c r="BN934" s="3" t="s">
        <v>860</v>
      </c>
      <c r="BO934" s="5" t="n">
        <f aca="false">IFERROR(1-L934/M934,"")</f>
        <v>0.160010323246661</v>
      </c>
      <c r="BP934" s="3" t="s">
        <v>142</v>
      </c>
      <c r="BQ934" s="4" t="n">
        <v>2434494</v>
      </c>
      <c r="BR934" s="3" t="s">
        <v>88</v>
      </c>
      <c r="BS934" s="3" t="s">
        <v>89</v>
      </c>
      <c r="BT934" s="3" t="s">
        <v>90</v>
      </c>
    </row>
    <row r="935" customFormat="false" ht="15" hidden="false" customHeight="false" outlineLevel="0" collapsed="false">
      <c r="A935" s="11" t="s">
        <v>858</v>
      </c>
      <c r="B935" s="11" t="s">
        <v>91</v>
      </c>
      <c r="C935" s="11" t="s">
        <v>74</v>
      </c>
      <c r="D935" s="11" t="s">
        <v>132</v>
      </c>
      <c r="E935" s="11" t="s">
        <v>289</v>
      </c>
      <c r="F935" s="11" t="s">
        <v>859</v>
      </c>
      <c r="G935" s="11" t="s">
        <v>78</v>
      </c>
      <c r="H935" s="11" t="s">
        <v>644</v>
      </c>
      <c r="I935" s="11" t="s">
        <v>78</v>
      </c>
      <c r="J935" s="12" t="n">
        <v>2480000</v>
      </c>
      <c r="K935" s="13" t="n">
        <f aca="false">IFERROR(J935/M935,"")</f>
        <v>0.160010323246661</v>
      </c>
      <c r="L935" s="12" t="n">
        <v>13019000</v>
      </c>
      <c r="M935" s="14" t="n">
        <f aca="false">L935+J935</f>
        <v>15499000</v>
      </c>
      <c r="N935" s="12" t="n">
        <v>4039000</v>
      </c>
      <c r="O935" s="12" t="n">
        <v>20729779</v>
      </c>
      <c r="P935" s="12" t="n">
        <v>1252176</v>
      </c>
      <c r="Q935" s="13" t="n">
        <f aca="false">IFERROR(P935/P934-1,"")</f>
        <v>0.161342739010994</v>
      </c>
      <c r="R935" s="12" t="n">
        <v>1346208</v>
      </c>
      <c r="S935" s="13" t="n">
        <f aca="false">IFERROR(R935/R934-1,"")</f>
        <v>0.190520113232276</v>
      </c>
      <c r="T935" s="12" t="n">
        <v>867072</v>
      </c>
      <c r="U935" s="13" t="n">
        <f aca="false">IFERROR(T935/P935,"")</f>
        <v>0.692452179246368</v>
      </c>
      <c r="V935" s="14" t="n">
        <f aca="false">T935-AV935</f>
        <v>-1475660</v>
      </c>
      <c r="W935" s="14" t="n">
        <f aca="false">V935-AA935*0.1</f>
        <v>-1475660</v>
      </c>
      <c r="X935" s="12" t="n">
        <v>2496466</v>
      </c>
      <c r="Y935" s="12" t="n">
        <v>155100</v>
      </c>
      <c r="Z935" s="15" t="n">
        <f aca="false">IFERROR(X935/Y935,"")</f>
        <v>16.0958478401032</v>
      </c>
      <c r="AA935" s="12" t="n">
        <v>0</v>
      </c>
      <c r="AB935" s="14" t="n">
        <f aca="false">W935-0.02*P935</f>
        <v>-1500703.52</v>
      </c>
      <c r="AC935" s="16" t="n">
        <v>13</v>
      </c>
      <c r="AD935" s="13" t="n">
        <f aca="false">IFERROR(AC935/AC934-1,"")</f>
        <v>0.0833333333333333</v>
      </c>
      <c r="AE935" s="17" t="n">
        <v>0.109</v>
      </c>
      <c r="AF935" s="17" t="n">
        <v>0.071</v>
      </c>
      <c r="AG935" s="13" t="n">
        <f aca="false">1-AF935</f>
        <v>0.929</v>
      </c>
      <c r="AH935" s="17" t="n">
        <v>1.044</v>
      </c>
      <c r="AI935" s="12" t="n">
        <v>60528</v>
      </c>
      <c r="AJ935" s="14" t="n">
        <f aca="false">IFERROR(AM935*U935*MIN(1/AE935,5),"")</f>
        <v>155386.269022885</v>
      </c>
      <c r="AK935" s="18" t="n">
        <f aca="false">IFERROR(AJ935/AI935,"")</f>
        <v>2.56717996667468</v>
      </c>
      <c r="AL935" s="15" t="n">
        <f aca="false">IFERROR(AI935/(AM935*U935/12),"")</f>
        <v>23.3719492902242</v>
      </c>
      <c r="AM935" s="12" t="n">
        <v>44880</v>
      </c>
      <c r="AN935" s="12" t="n">
        <v>1273728</v>
      </c>
      <c r="AO935" s="12" t="n">
        <v>4052112</v>
      </c>
      <c r="AP935" s="17" t="n">
        <v>0.343</v>
      </c>
      <c r="AQ935" s="16" t="n">
        <v>82</v>
      </c>
      <c r="AR935" s="16" t="n">
        <v>2</v>
      </c>
      <c r="AS935" s="13" t="n">
        <f aca="false">IFERROR(AR935/AR934-1,"")</f>
        <v>1</v>
      </c>
      <c r="AT935" s="11" t="s">
        <v>153</v>
      </c>
      <c r="AU935" s="14" t="n">
        <f aca="false">IFERROR(P935/AR935,"")</f>
        <v>626088</v>
      </c>
      <c r="AV935" s="12" t="n">
        <v>2342732</v>
      </c>
      <c r="AW935" s="12" t="n">
        <v>1069210</v>
      </c>
      <c r="AX935" s="12" t="n">
        <v>588502</v>
      </c>
      <c r="AY935" s="16" t="n">
        <v>18204</v>
      </c>
      <c r="AZ935" s="13" t="n">
        <f aca="false">IFERROR(AY935/AY934-1,"")</f>
        <v>0.175437463679215</v>
      </c>
      <c r="BA935" s="17" t="n">
        <v>0.89</v>
      </c>
      <c r="BB935" s="11" t="s">
        <v>81</v>
      </c>
      <c r="BC935" s="11" t="s">
        <v>126</v>
      </c>
      <c r="BD935" s="11" t="s">
        <v>109</v>
      </c>
      <c r="BE935" s="12" t="n">
        <v>1312686</v>
      </c>
      <c r="BF935" s="13" t="n">
        <f aca="false">IFERROR(P935/BE935-1,"")</f>
        <v>-0.0460963246351375</v>
      </c>
      <c r="BG935" s="17" t="n">
        <v>0.065</v>
      </c>
      <c r="BH935" s="17" t="n">
        <v>0.024</v>
      </c>
      <c r="BI935" s="14" t="n">
        <f aca="false">P935*(1+IFERROR(Q935,0))^4</f>
        <v>2277755.01460404</v>
      </c>
      <c r="BJ935" s="12" t="n">
        <v>-1024613</v>
      </c>
      <c r="BK935" s="11" t="s">
        <v>110</v>
      </c>
      <c r="BL935" s="11" t="s">
        <v>111</v>
      </c>
      <c r="BM935" s="14" t="n">
        <f aca="false">O935</f>
        <v>20729779</v>
      </c>
      <c r="BN935" s="11" t="s">
        <v>860</v>
      </c>
      <c r="BO935" s="13" t="n">
        <f aca="false">IFERROR(1-L935/M935,"")</f>
        <v>0.160010323246661</v>
      </c>
      <c r="BP935" s="11" t="s">
        <v>142</v>
      </c>
      <c r="BQ935" s="12" t="n">
        <v>2847339</v>
      </c>
      <c r="BR935" s="11" t="s">
        <v>88</v>
      </c>
      <c r="BS935" s="11" t="s">
        <v>89</v>
      </c>
      <c r="BT935" s="19" t="str">
        <f aca="false">IF(OR(Z935&lt;6,AH935&lt;0.9,S935&lt;0.02,AK935&lt;1),"REVIEW",IF(AND(S935&gt;0.25,AH935&gt;1.2),"ACCELERATING","STABLE"))</f>
        <v>STABLE</v>
      </c>
    </row>
    <row r="936" customFormat="false" ht="15" hidden="false" customHeight="false" outlineLevel="0" collapsed="false">
      <c r="A936" s="11" t="s">
        <v>858</v>
      </c>
      <c r="B936" s="11" t="s">
        <v>92</v>
      </c>
      <c r="C936" s="11" t="s">
        <v>74</v>
      </c>
      <c r="D936" s="11" t="s">
        <v>132</v>
      </c>
      <c r="E936" s="11" t="s">
        <v>289</v>
      </c>
      <c r="F936" s="11" t="s">
        <v>859</v>
      </c>
      <c r="G936" s="11" t="s">
        <v>78</v>
      </c>
      <c r="H936" s="11" t="s">
        <v>644</v>
      </c>
      <c r="I936" s="11" t="s">
        <v>78</v>
      </c>
      <c r="J936" s="12" t="n">
        <v>2480000</v>
      </c>
      <c r="K936" s="13" t="n">
        <f aca="false">IFERROR(J936/M936,"")</f>
        <v>0.160010323246661</v>
      </c>
      <c r="L936" s="12" t="n">
        <v>13019000</v>
      </c>
      <c r="M936" s="14" t="n">
        <f aca="false">L936+J936</f>
        <v>15499000</v>
      </c>
      <c r="N936" s="12" t="n">
        <v>4039000</v>
      </c>
      <c r="O936" s="12" t="n">
        <v>20729779</v>
      </c>
      <c r="P936" s="12" t="n">
        <v>1516287</v>
      </c>
      <c r="Q936" s="13" t="n">
        <f aca="false">IFERROR(P936/P935-1,"")</f>
        <v>0.210921627630621</v>
      </c>
      <c r="R936" s="12" t="n">
        <v>1576232</v>
      </c>
      <c r="S936" s="13" t="n">
        <f aca="false">IFERROR(R936/R935-1,"")</f>
        <v>0.1708680976491</v>
      </c>
      <c r="T936" s="12" t="n">
        <v>1054190</v>
      </c>
      <c r="U936" s="13" t="n">
        <f aca="false">IFERROR(T936/P936,"")</f>
        <v>0.695244369964261</v>
      </c>
      <c r="V936" s="14" t="n">
        <f aca="false">T936-AV936</f>
        <v>-1846596</v>
      </c>
      <c r="W936" s="14" t="n">
        <f aca="false">V936-AA936*0.1</f>
        <v>-1846596</v>
      </c>
      <c r="X936" s="12" t="n">
        <v>2091061</v>
      </c>
      <c r="Y936" s="12" t="n">
        <v>160050</v>
      </c>
      <c r="Z936" s="15" t="n">
        <f aca="false">IFERROR(X936/Y936,"")</f>
        <v>13.065048422368</v>
      </c>
      <c r="AA936" s="12" t="n">
        <v>0</v>
      </c>
      <c r="AB936" s="14" t="n">
        <f aca="false">W936-0.02*P936</f>
        <v>-1876921.74</v>
      </c>
      <c r="AC936" s="16" t="n">
        <v>16</v>
      </c>
      <c r="AD936" s="13" t="n">
        <f aca="false">IFERROR(AC936/AC935-1,"")</f>
        <v>0.230769230769231</v>
      </c>
      <c r="AE936" s="17" t="n">
        <v>0.106</v>
      </c>
      <c r="AF936" s="17" t="n">
        <v>0.075</v>
      </c>
      <c r="AG936" s="13" t="n">
        <f aca="false">1-AF936</f>
        <v>0.925</v>
      </c>
      <c r="AH936" s="17" t="n">
        <v>1.039</v>
      </c>
      <c r="AI936" s="12" t="n">
        <v>59364</v>
      </c>
      <c r="AJ936" s="14" t="n">
        <f aca="false">IFERROR(AM936*U936*MIN(1/AE936,5),"")</f>
        <v>159071.911847823</v>
      </c>
      <c r="AK936" s="18" t="n">
        <f aca="false">IFERROR(AJ936/AI936,"")</f>
        <v>2.67960231533965</v>
      </c>
      <c r="AL936" s="15" t="n">
        <f aca="false">IFERROR(AI936/(AM936*U936/12),"")</f>
        <v>22.3913823542113</v>
      </c>
      <c r="AM936" s="12" t="n">
        <v>45760</v>
      </c>
      <c r="AN936" s="12" t="n">
        <v>2329445</v>
      </c>
      <c r="AO936" s="12" t="n">
        <v>5669561</v>
      </c>
      <c r="AP936" s="17" t="n">
        <v>0.343</v>
      </c>
      <c r="AQ936" s="16" t="n">
        <v>82</v>
      </c>
      <c r="AR936" s="16" t="n">
        <v>2</v>
      </c>
      <c r="AS936" s="13" t="n">
        <f aca="false">IFERROR(AR936/AR935-1,"")</f>
        <v>0</v>
      </c>
      <c r="AT936" s="11" t="s">
        <v>153</v>
      </c>
      <c r="AU936" s="14" t="n">
        <f aca="false">IFERROR(P936/AR936,"")</f>
        <v>758143.5</v>
      </c>
      <c r="AV936" s="12" t="n">
        <v>2900786</v>
      </c>
      <c r="AW936" s="12" t="n">
        <v>1101316</v>
      </c>
      <c r="AX936" s="12" t="n">
        <v>539586</v>
      </c>
      <c r="AY936" s="16" t="n">
        <v>19795</v>
      </c>
      <c r="AZ936" s="13" t="n">
        <f aca="false">IFERROR(AY936/AY935-1,"")</f>
        <v>0.0873983739837398</v>
      </c>
      <c r="BA936" s="17" t="n">
        <v>0.896</v>
      </c>
      <c r="BB936" s="11" t="s">
        <v>81</v>
      </c>
      <c r="BC936" s="11" t="s">
        <v>126</v>
      </c>
      <c r="BD936" s="11" t="s">
        <v>109</v>
      </c>
      <c r="BE936" s="12" t="n">
        <v>1591933</v>
      </c>
      <c r="BF936" s="13" t="n">
        <f aca="false">IFERROR(P936/BE936-1,"")</f>
        <v>-0.0475183314875689</v>
      </c>
      <c r="BG936" s="17" t="n">
        <v>-0.02</v>
      </c>
      <c r="BH936" s="17" t="n">
        <v>0.02</v>
      </c>
      <c r="BI936" s="14" t="n">
        <f aca="false">P936*(1+IFERROR(Q936,0))^4</f>
        <v>3260209.85146367</v>
      </c>
      <c r="BJ936" s="12" t="n">
        <v>-1189608</v>
      </c>
      <c r="BK936" s="11" t="s">
        <v>110</v>
      </c>
      <c r="BL936" s="11" t="s">
        <v>111</v>
      </c>
      <c r="BM936" s="14" t="n">
        <f aca="false">O936</f>
        <v>20729779</v>
      </c>
      <c r="BN936" s="11" t="s">
        <v>860</v>
      </c>
      <c r="BO936" s="13" t="n">
        <f aca="false">IFERROR(1-L936/M936,"")</f>
        <v>0.160010323246661</v>
      </c>
      <c r="BP936" s="11" t="s">
        <v>142</v>
      </c>
      <c r="BQ936" s="12" t="n">
        <v>2926954</v>
      </c>
      <c r="BR936" s="11" t="s">
        <v>88</v>
      </c>
      <c r="BS936" s="11" t="s">
        <v>89</v>
      </c>
      <c r="BT936" s="19" t="str">
        <f aca="false">IF(OR(Z936&lt;6,AH936&lt;0.9,S936&lt;0.02,AK936&lt;1),"REVIEW",IF(AND(S936&gt;0.25,AH936&gt;1.2),"ACCELERATING","STABLE"))</f>
        <v>STABLE</v>
      </c>
    </row>
    <row r="937" customFormat="false" ht="15" hidden="false" customHeight="false" outlineLevel="0" collapsed="false">
      <c r="A937" s="11" t="s">
        <v>858</v>
      </c>
      <c r="B937" s="11" t="s">
        <v>93</v>
      </c>
      <c r="C937" s="11" t="s">
        <v>74</v>
      </c>
      <c r="D937" s="11" t="s">
        <v>132</v>
      </c>
      <c r="E937" s="11" t="s">
        <v>289</v>
      </c>
      <c r="F937" s="11" t="s">
        <v>859</v>
      </c>
      <c r="G937" s="11" t="s">
        <v>78</v>
      </c>
      <c r="H937" s="11" t="s">
        <v>644</v>
      </c>
      <c r="I937" s="11" t="s">
        <v>78</v>
      </c>
      <c r="J937" s="12" t="n">
        <v>2480000</v>
      </c>
      <c r="K937" s="13" t="n">
        <f aca="false">IFERROR(J937/M937,"")</f>
        <v>0.160010323246661</v>
      </c>
      <c r="L937" s="12" t="n">
        <v>13019000</v>
      </c>
      <c r="M937" s="14" t="n">
        <f aca="false">L937+J937</f>
        <v>15499000</v>
      </c>
      <c r="N937" s="12" t="n">
        <v>4039000</v>
      </c>
      <c r="O937" s="12" t="n">
        <v>20729779</v>
      </c>
      <c r="P937" s="12" t="n">
        <v>1660305</v>
      </c>
      <c r="Q937" s="13" t="n">
        <f aca="false">IFERROR(P937/P936-1,"")</f>
        <v>0.0949806995641327</v>
      </c>
      <c r="R937" s="12" t="n">
        <v>1803713</v>
      </c>
      <c r="S937" s="13" t="n">
        <f aca="false">IFERROR(R937/R936-1,"")</f>
        <v>0.14431949103939</v>
      </c>
      <c r="T937" s="12" t="n">
        <v>1158953</v>
      </c>
      <c r="U937" s="13" t="n">
        <f aca="false">IFERROR(T937/P937,"")</f>
        <v>0.698036204191399</v>
      </c>
      <c r="V937" s="14" t="n">
        <f aca="false">T937-AV937</f>
        <v>-2144805</v>
      </c>
      <c r="W937" s="14" t="n">
        <f aca="false">V937-AA937*0.1</f>
        <v>-2144805</v>
      </c>
      <c r="X937" s="12" t="n">
        <v>1658926</v>
      </c>
      <c r="Y937" s="12" t="n">
        <v>165000</v>
      </c>
      <c r="Z937" s="15" t="n">
        <f aca="false">IFERROR(X937/Y937,"")</f>
        <v>10.054096969697</v>
      </c>
      <c r="AA937" s="12" t="n">
        <v>0</v>
      </c>
      <c r="AB937" s="14" t="n">
        <f aca="false">W937-0.02*P937</f>
        <v>-2178011.1</v>
      </c>
      <c r="AC937" s="16" t="n">
        <v>17</v>
      </c>
      <c r="AD937" s="13" t="n">
        <f aca="false">IFERROR(AC937/AC936-1,"")</f>
        <v>0.0625</v>
      </c>
      <c r="AE937" s="17" t="n">
        <v>0.103</v>
      </c>
      <c r="AF937" s="17" t="n">
        <v>0.071</v>
      </c>
      <c r="AG937" s="13" t="n">
        <f aca="false">1-AF937</f>
        <v>0.929</v>
      </c>
      <c r="AH937" s="17" t="n">
        <v>1.034</v>
      </c>
      <c r="AI937" s="12" t="n">
        <v>58200</v>
      </c>
      <c r="AJ937" s="14" t="n">
        <f aca="false">IFERROR(AM937*U937*MIN(1/AE937,5),"")</f>
        <v>162782.042817434</v>
      </c>
      <c r="AK937" s="18" t="n">
        <f aca="false">IFERROR(AJ937/AI937,"")</f>
        <v>2.79694231645076</v>
      </c>
      <c r="AL937" s="15" t="n">
        <f aca="false">IFERROR(AI937/(AM937*U937/12),"")</f>
        <v>21.4519976501118</v>
      </c>
      <c r="AM937" s="12" t="n">
        <v>46640</v>
      </c>
      <c r="AN937" s="12" t="n">
        <v>2444425</v>
      </c>
      <c r="AO937" s="12" t="n">
        <v>3612384</v>
      </c>
      <c r="AP937" s="17" t="n">
        <v>0.343</v>
      </c>
      <c r="AQ937" s="16" t="n">
        <v>82</v>
      </c>
      <c r="AR937" s="16" t="n">
        <v>2</v>
      </c>
      <c r="AS937" s="13" t="n">
        <f aca="false">IFERROR(AR937/AR936-1,"")</f>
        <v>0</v>
      </c>
      <c r="AT937" s="11" t="s">
        <v>153</v>
      </c>
      <c r="AU937" s="14" t="n">
        <f aca="false">IFERROR(P937/AR937,"")</f>
        <v>830152.5</v>
      </c>
      <c r="AV937" s="12" t="n">
        <v>3303758</v>
      </c>
      <c r="AW937" s="12" t="n">
        <v>1095971</v>
      </c>
      <c r="AX937" s="12" t="n">
        <v>960067</v>
      </c>
      <c r="AY937" s="16" t="n">
        <v>22476</v>
      </c>
      <c r="AZ937" s="13" t="n">
        <f aca="false">IFERROR(AY937/AY936-1,"")</f>
        <v>0.135438241980298</v>
      </c>
      <c r="BA937" s="17" t="n">
        <v>0.888</v>
      </c>
      <c r="BB937" s="11" t="s">
        <v>81</v>
      </c>
      <c r="BC937" s="11" t="s">
        <v>126</v>
      </c>
      <c r="BD937" s="11" t="s">
        <v>109</v>
      </c>
      <c r="BE937" s="12" t="n">
        <v>1967075</v>
      </c>
      <c r="BF937" s="13" t="n">
        <f aca="false">IFERROR(P937/BE937-1,"")</f>
        <v>-0.15595236582235</v>
      </c>
      <c r="BG937" s="17" t="n">
        <v>-0.011</v>
      </c>
      <c r="BH937" s="17" t="n">
        <v>0.012</v>
      </c>
      <c r="BI937" s="14" t="n">
        <f aca="false">P937*(1+IFERROR(Q937,0))^4</f>
        <v>2386787.37945223</v>
      </c>
      <c r="BJ937" s="12" t="n">
        <v>-1091337</v>
      </c>
      <c r="BK937" s="11" t="s">
        <v>110</v>
      </c>
      <c r="BL937" s="11" t="s">
        <v>111</v>
      </c>
      <c r="BM937" s="14" t="n">
        <f aca="false">O937</f>
        <v>20729779</v>
      </c>
      <c r="BN937" s="11" t="s">
        <v>860</v>
      </c>
      <c r="BO937" s="13" t="n">
        <f aca="false">IFERROR(1-L937/M937,"")</f>
        <v>0.160010323246661</v>
      </c>
      <c r="BP937" s="11" t="s">
        <v>142</v>
      </c>
      <c r="BQ937" s="12" t="n">
        <v>2020778</v>
      </c>
      <c r="BR937" s="11" t="s">
        <v>88</v>
      </c>
      <c r="BS937" s="11" t="s">
        <v>89</v>
      </c>
      <c r="BT937" s="19" t="str">
        <f aca="false">IF(OR(Z937&lt;6,AH937&lt;0.9,S937&lt;0.02,AK937&lt;1),"REVIEW",IF(AND(S937&gt;0.25,AH937&gt;1.2),"ACCELERATING","STABLE"))</f>
        <v>STABLE</v>
      </c>
    </row>
    <row r="938" customFormat="false" ht="15" hidden="false" customHeight="false" outlineLevel="0" collapsed="false">
      <c r="A938" s="3" t="s">
        <v>861</v>
      </c>
      <c r="B938" s="3" t="s">
        <v>73</v>
      </c>
      <c r="C938" s="3" t="s">
        <v>74</v>
      </c>
      <c r="D938" s="3" t="s">
        <v>210</v>
      </c>
      <c r="E938" s="3" t="s">
        <v>862</v>
      </c>
      <c r="F938" s="3" t="s">
        <v>863</v>
      </c>
      <c r="G938" s="3" t="s">
        <v>78</v>
      </c>
      <c r="H938" s="3" t="s">
        <v>644</v>
      </c>
      <c r="I938" s="3" t="s">
        <v>78</v>
      </c>
      <c r="J938" s="4" t="n">
        <v>1702000</v>
      </c>
      <c r="K938" s="5" t="n">
        <f aca="false">IFERROR(J938/M938,"")</f>
        <v>0.0980866758875058</v>
      </c>
      <c r="L938" s="4" t="n">
        <v>15650000</v>
      </c>
      <c r="M938" s="6" t="n">
        <f aca="false">L938+J938</f>
        <v>17352000</v>
      </c>
      <c r="N938" s="4" t="n">
        <v>5747000</v>
      </c>
      <c r="O938" s="4" t="n">
        <v>22414168</v>
      </c>
      <c r="P938" s="4" t="n">
        <v>968950</v>
      </c>
      <c r="Q938" s="7"/>
      <c r="R938" s="4" t="n">
        <v>1010688</v>
      </c>
      <c r="S938" s="7"/>
      <c r="T938" s="4" t="n">
        <v>635196</v>
      </c>
      <c r="U938" s="5" t="n">
        <f aca="false">IFERROR(T938/P938,"")</f>
        <v>0.655550854017235</v>
      </c>
      <c r="V938" s="6" t="n">
        <f aca="false">T938-AV938</f>
        <v>-1349708</v>
      </c>
      <c r="W938" s="6" t="n">
        <f aca="false">V938-AA938*0.1</f>
        <v>-1349708</v>
      </c>
      <c r="X938" s="4" t="n">
        <v>3066731</v>
      </c>
      <c r="Y938" s="4" t="n">
        <v>146510</v>
      </c>
      <c r="Z938" s="8" t="n">
        <f aca="false">IFERROR(X938/Y938,"")</f>
        <v>20.9318886082861</v>
      </c>
      <c r="AA938" s="4" t="n">
        <v>0</v>
      </c>
      <c r="AB938" s="6" t="n">
        <f aca="false">W938-0.02*P938</f>
        <v>-1369087</v>
      </c>
      <c r="AC938" s="9" t="n">
        <v>28</v>
      </c>
      <c r="AD938" s="7"/>
      <c r="AE938" s="7" t="n">
        <v>0.076</v>
      </c>
      <c r="AF938" s="7" t="n">
        <v>0.077</v>
      </c>
      <c r="AG938" s="5" t="n">
        <f aca="false">1-AF938</f>
        <v>0.923</v>
      </c>
      <c r="AH938" s="7" t="n">
        <v>1.108</v>
      </c>
      <c r="AI938" s="4" t="n">
        <v>40598</v>
      </c>
      <c r="AJ938" s="6" t="n">
        <f aca="false">IFERROR(AM938*U938*MIN(1/AE938,5),"")</f>
        <v>95054.8738324991</v>
      </c>
      <c r="AK938" s="10" t="n">
        <f aca="false">IFERROR(AJ938/AI938,"")</f>
        <v>2.34136838840581</v>
      </c>
      <c r="AL938" s="8" t="n">
        <f aca="false">IFERROR(AI938/(AM938*U938/12),"")</f>
        <v>25.6260400102407</v>
      </c>
      <c r="AM938" s="4" t="n">
        <v>29000</v>
      </c>
      <c r="AN938" s="4" t="n">
        <v>1008905</v>
      </c>
      <c r="AO938" s="4" t="n">
        <v>3149361</v>
      </c>
      <c r="AP938" s="7" t="n">
        <v>0.127</v>
      </c>
      <c r="AQ938" s="9" t="n">
        <v>80</v>
      </c>
      <c r="AR938" s="9" t="n">
        <v>4</v>
      </c>
      <c r="AS938" s="7"/>
      <c r="AT938" s="3" t="s">
        <v>134</v>
      </c>
      <c r="AU938" s="6" t="n">
        <f aca="false">IFERROR(P938/AR938,"")</f>
        <v>242237.5</v>
      </c>
      <c r="AV938" s="4" t="n">
        <v>1984904</v>
      </c>
      <c r="AW938" s="4" t="n">
        <v>807209</v>
      </c>
      <c r="AX938" s="4" t="n">
        <v>653096</v>
      </c>
      <c r="AY938" s="9" t="n">
        <v>20732</v>
      </c>
      <c r="AZ938" s="7"/>
      <c r="BA938" s="7" t="n">
        <v>0.929</v>
      </c>
      <c r="BB938" s="3" t="s">
        <v>107</v>
      </c>
      <c r="BC938" s="3" t="s">
        <v>108</v>
      </c>
      <c r="BD938" s="3" t="s">
        <v>157</v>
      </c>
      <c r="BE938" s="4" t="n">
        <v>1118215</v>
      </c>
      <c r="BF938" s="5" t="n">
        <f aca="false">IFERROR(P938/BE938-1,"")</f>
        <v>-0.133485063248123</v>
      </c>
      <c r="BG938" s="7" t="n">
        <v>-0.034</v>
      </c>
      <c r="BH938" s="7" t="n">
        <v>-0.047</v>
      </c>
      <c r="BI938" s="6" t="n">
        <f aca="false">P938</f>
        <v>968950</v>
      </c>
      <c r="BJ938" s="4" t="n">
        <v>-1152605</v>
      </c>
      <c r="BK938" s="3" t="s">
        <v>102</v>
      </c>
      <c r="BL938" s="3" t="s">
        <v>111</v>
      </c>
      <c r="BM938" s="6" t="n">
        <f aca="false">O938</f>
        <v>22414168</v>
      </c>
      <c r="BN938" s="3" t="s">
        <v>864</v>
      </c>
      <c r="BO938" s="5" t="n">
        <f aca="false">IFERROR(1-L938/M938,"")</f>
        <v>0.0980866758875058</v>
      </c>
      <c r="BP938" s="3" t="s">
        <v>130</v>
      </c>
      <c r="BQ938" s="4" t="n">
        <v>2263518</v>
      </c>
      <c r="BR938" s="3" t="s">
        <v>88</v>
      </c>
      <c r="BS938" s="3" t="s">
        <v>89</v>
      </c>
      <c r="BT938" s="3" t="s">
        <v>90</v>
      </c>
    </row>
    <row r="939" customFormat="false" ht="15" hidden="false" customHeight="false" outlineLevel="0" collapsed="false">
      <c r="A939" s="11" t="s">
        <v>861</v>
      </c>
      <c r="B939" s="11" t="s">
        <v>91</v>
      </c>
      <c r="C939" s="11" t="s">
        <v>74</v>
      </c>
      <c r="D939" s="11" t="s">
        <v>210</v>
      </c>
      <c r="E939" s="11" t="s">
        <v>862</v>
      </c>
      <c r="F939" s="11" t="s">
        <v>863</v>
      </c>
      <c r="G939" s="11" t="s">
        <v>78</v>
      </c>
      <c r="H939" s="11" t="s">
        <v>644</v>
      </c>
      <c r="I939" s="11" t="s">
        <v>78</v>
      </c>
      <c r="J939" s="12" t="n">
        <v>1702000</v>
      </c>
      <c r="K939" s="13" t="n">
        <f aca="false">IFERROR(J939/M939,"")</f>
        <v>0.0980866758875058</v>
      </c>
      <c r="L939" s="12" t="n">
        <v>15650000</v>
      </c>
      <c r="M939" s="14" t="n">
        <f aca="false">L939+J939</f>
        <v>17352000</v>
      </c>
      <c r="N939" s="12" t="n">
        <v>5747000</v>
      </c>
      <c r="O939" s="12" t="n">
        <v>22414168</v>
      </c>
      <c r="P939" s="12" t="n">
        <v>1081162</v>
      </c>
      <c r="Q939" s="13" t="n">
        <f aca="false">IFERROR(P939/P938-1,"")</f>
        <v>0.115807833221528</v>
      </c>
      <c r="R939" s="12" t="n">
        <v>1203360</v>
      </c>
      <c r="S939" s="13" t="n">
        <f aca="false">IFERROR(R939/R938-1,"")</f>
        <v>0.190634498480243</v>
      </c>
      <c r="T939" s="12" t="n">
        <v>711626</v>
      </c>
      <c r="U939" s="13" t="n">
        <f aca="false">IFERROR(T939/P939,"")</f>
        <v>0.658204783371965</v>
      </c>
      <c r="V939" s="14" t="n">
        <f aca="false">T939-AV939</f>
        <v>-1634268</v>
      </c>
      <c r="W939" s="14" t="n">
        <f aca="false">V939-AA939*0.1</f>
        <v>-1634268</v>
      </c>
      <c r="X939" s="12" t="n">
        <v>2697236</v>
      </c>
      <c r="Y939" s="12" t="n">
        <v>151340</v>
      </c>
      <c r="Z939" s="15" t="n">
        <f aca="false">IFERROR(X939/Y939,"")</f>
        <v>17.8223602484472</v>
      </c>
      <c r="AA939" s="12" t="n">
        <v>0</v>
      </c>
      <c r="AB939" s="14" t="n">
        <f aca="false">W939-0.02*P939</f>
        <v>-1655891.24</v>
      </c>
      <c r="AC939" s="16" t="n">
        <v>31</v>
      </c>
      <c r="AD939" s="13" t="n">
        <f aca="false">IFERROR(AC939/AC938-1,"")</f>
        <v>0.107142857142857</v>
      </c>
      <c r="AE939" s="17" t="n">
        <v>0.074</v>
      </c>
      <c r="AF939" s="17" t="n">
        <v>0.052</v>
      </c>
      <c r="AG939" s="13" t="n">
        <f aca="false">1-AF939</f>
        <v>0.948</v>
      </c>
      <c r="AH939" s="17" t="n">
        <v>1.103</v>
      </c>
      <c r="AI939" s="12" t="n">
        <v>39832</v>
      </c>
      <c r="AJ939" s="14" t="n">
        <f aca="false">IFERROR(AM939*U939*MIN(1/AE939,5),"")</f>
        <v>97348.4874607136</v>
      </c>
      <c r="AK939" s="18" t="n">
        <f aca="false">IFERROR(AJ939/AI939,"")</f>
        <v>2.44397688945354</v>
      </c>
      <c r="AL939" s="15" t="n">
        <f aca="false">IFERROR(AI939/(AM939*U939/12),"")</f>
        <v>24.5501503139891</v>
      </c>
      <c r="AM939" s="12" t="n">
        <v>29580</v>
      </c>
      <c r="AN939" s="12" t="n">
        <v>1181005</v>
      </c>
      <c r="AO939" s="12" t="n">
        <v>4455329</v>
      </c>
      <c r="AP939" s="17" t="n">
        <v>0.127</v>
      </c>
      <c r="AQ939" s="16" t="n">
        <v>80</v>
      </c>
      <c r="AR939" s="16" t="n">
        <v>4</v>
      </c>
      <c r="AS939" s="13" t="n">
        <f aca="false">IFERROR(AR939/AR938-1,"")</f>
        <v>0</v>
      </c>
      <c r="AT939" s="11" t="s">
        <v>134</v>
      </c>
      <c r="AU939" s="14" t="n">
        <f aca="false">IFERROR(P939/AR939,"")</f>
        <v>270290.5</v>
      </c>
      <c r="AV939" s="12" t="n">
        <v>2345894</v>
      </c>
      <c r="AW939" s="12" t="n">
        <v>866663</v>
      </c>
      <c r="AX939" s="12" t="n">
        <v>607949</v>
      </c>
      <c r="AY939" s="16" t="n">
        <v>23217</v>
      </c>
      <c r="AZ939" s="13" t="n">
        <f aca="false">IFERROR(AY939/AY938-1,"")</f>
        <v>0.11986301369863</v>
      </c>
      <c r="BA939" s="17" t="n">
        <v>0.946</v>
      </c>
      <c r="BB939" s="11" t="s">
        <v>107</v>
      </c>
      <c r="BC939" s="11" t="s">
        <v>108</v>
      </c>
      <c r="BD939" s="11" t="s">
        <v>157</v>
      </c>
      <c r="BE939" s="12" t="n">
        <v>1219944</v>
      </c>
      <c r="BF939" s="13" t="n">
        <f aca="false">IFERROR(P939/BE939-1,"")</f>
        <v>-0.113760959519453</v>
      </c>
      <c r="BG939" s="17" t="n">
        <v>0.048</v>
      </c>
      <c r="BH939" s="17" t="n">
        <v>-0.042</v>
      </c>
      <c r="BI939" s="14" t="n">
        <f aca="false">P939*(1+IFERROR(Q939,0))^4</f>
        <v>1675901.14124434</v>
      </c>
      <c r="BJ939" s="12" t="n">
        <v>-1003219</v>
      </c>
      <c r="BK939" s="11" t="s">
        <v>102</v>
      </c>
      <c r="BL939" s="11" t="s">
        <v>111</v>
      </c>
      <c r="BM939" s="14" t="n">
        <f aca="false">O939</f>
        <v>22414168</v>
      </c>
      <c r="BN939" s="11" t="s">
        <v>864</v>
      </c>
      <c r="BO939" s="13" t="n">
        <f aca="false">IFERROR(1-L939/M939,"")</f>
        <v>0.0980866758875058</v>
      </c>
      <c r="BP939" s="11" t="s">
        <v>130</v>
      </c>
      <c r="BQ939" s="12" t="n">
        <v>2361796</v>
      </c>
      <c r="BR939" s="11" t="s">
        <v>88</v>
      </c>
      <c r="BS939" s="11" t="s">
        <v>89</v>
      </c>
      <c r="BT939" s="19" t="str">
        <f aca="false">IF(OR(Z939&lt;6,AH939&lt;0.9,S939&lt;0.02,AK939&lt;1),"REVIEW",IF(AND(S939&gt;0.25,AH939&gt;1.2),"ACCELERATING","STABLE"))</f>
        <v>STABLE</v>
      </c>
    </row>
    <row r="940" customFormat="false" ht="15" hidden="false" customHeight="false" outlineLevel="0" collapsed="false">
      <c r="A940" s="11" t="s">
        <v>861</v>
      </c>
      <c r="B940" s="11" t="s">
        <v>92</v>
      </c>
      <c r="C940" s="11" t="s">
        <v>74</v>
      </c>
      <c r="D940" s="11" t="s">
        <v>210</v>
      </c>
      <c r="E940" s="11" t="s">
        <v>862</v>
      </c>
      <c r="F940" s="11" t="s">
        <v>863</v>
      </c>
      <c r="G940" s="11" t="s">
        <v>78</v>
      </c>
      <c r="H940" s="11" t="s">
        <v>644</v>
      </c>
      <c r="I940" s="11" t="s">
        <v>78</v>
      </c>
      <c r="J940" s="12" t="n">
        <v>1702000</v>
      </c>
      <c r="K940" s="13" t="n">
        <f aca="false">IFERROR(J940/M940,"")</f>
        <v>0.0980866758875058</v>
      </c>
      <c r="L940" s="12" t="n">
        <v>15650000</v>
      </c>
      <c r="M940" s="14" t="n">
        <f aca="false">L940+J940</f>
        <v>17352000</v>
      </c>
      <c r="N940" s="12" t="n">
        <v>5747000</v>
      </c>
      <c r="O940" s="12" t="n">
        <v>22414168</v>
      </c>
      <c r="P940" s="12" t="n">
        <v>1238230</v>
      </c>
      <c r="Q940" s="13" t="n">
        <f aca="false">IFERROR(P940/P939-1,"")</f>
        <v>0.145277026014603</v>
      </c>
      <c r="R940" s="12" t="n">
        <v>1435669</v>
      </c>
      <c r="S940" s="13" t="n">
        <f aca="false">IFERROR(R940/R939-1,"")</f>
        <v>0.193050292514293</v>
      </c>
      <c r="T940" s="12" t="n">
        <v>818295</v>
      </c>
      <c r="U940" s="13" t="n">
        <f aca="false">IFERROR(T940/P940,"")</f>
        <v>0.660858645001333</v>
      </c>
      <c r="V940" s="14" t="n">
        <f aca="false">T940-AV940</f>
        <v>-2006251</v>
      </c>
      <c r="W940" s="14" t="n">
        <f aca="false">V940-AA940*0.1</f>
        <v>-2006251</v>
      </c>
      <c r="X940" s="12" t="n">
        <v>2301659</v>
      </c>
      <c r="Y940" s="12" t="n">
        <v>156170</v>
      </c>
      <c r="Z940" s="15" t="n">
        <f aca="false">IFERROR(X940/Y940,"")</f>
        <v>14.7381635397323</v>
      </c>
      <c r="AA940" s="12" t="n">
        <v>0</v>
      </c>
      <c r="AB940" s="14" t="n">
        <f aca="false">W940-0.02*P940</f>
        <v>-2031015.6</v>
      </c>
      <c r="AC940" s="16" t="n">
        <v>37</v>
      </c>
      <c r="AD940" s="13" t="n">
        <f aca="false">IFERROR(AC940/AC939-1,"")</f>
        <v>0.193548387096774</v>
      </c>
      <c r="AE940" s="17" t="n">
        <v>0.072</v>
      </c>
      <c r="AF940" s="17" t="n">
        <v>0.065</v>
      </c>
      <c r="AG940" s="13" t="n">
        <f aca="false">1-AF940</f>
        <v>0.935</v>
      </c>
      <c r="AH940" s="17" t="n">
        <v>1.098</v>
      </c>
      <c r="AI940" s="12" t="n">
        <v>39066</v>
      </c>
      <c r="AJ940" s="14" t="n">
        <f aca="false">IFERROR(AM940*U940*MIN(1/AE940,5),"")</f>
        <v>99657.483666201</v>
      </c>
      <c r="AK940" s="18" t="n">
        <f aca="false">IFERROR(AJ940/AI940,"")</f>
        <v>2.55100301198487</v>
      </c>
      <c r="AL940" s="15" t="n">
        <f aca="false">IFERROR(AI940/(AM940*U940/12),"")</f>
        <v>23.5201603910752</v>
      </c>
      <c r="AM940" s="12" t="n">
        <v>30160</v>
      </c>
      <c r="AN940" s="12" t="n">
        <v>2083725</v>
      </c>
      <c r="AO940" s="12" t="n">
        <v>4395817</v>
      </c>
      <c r="AP940" s="17" t="n">
        <v>0.127</v>
      </c>
      <c r="AQ940" s="16" t="n">
        <v>80</v>
      </c>
      <c r="AR940" s="16" t="n">
        <v>5</v>
      </c>
      <c r="AS940" s="13" t="n">
        <f aca="false">IFERROR(AR940/AR939-1,"")</f>
        <v>0.25</v>
      </c>
      <c r="AT940" s="11" t="s">
        <v>134</v>
      </c>
      <c r="AU940" s="14" t="n">
        <f aca="false">IFERROR(P940/AR940,"")</f>
        <v>247646</v>
      </c>
      <c r="AV940" s="12" t="n">
        <v>2824546</v>
      </c>
      <c r="AW940" s="12" t="n">
        <v>1392837</v>
      </c>
      <c r="AX940" s="12" t="n">
        <v>564829</v>
      </c>
      <c r="AY940" s="16" t="n">
        <v>27300</v>
      </c>
      <c r="AZ940" s="13" t="n">
        <f aca="false">IFERROR(AY940/AY939-1,"")</f>
        <v>0.175862514536762</v>
      </c>
      <c r="BA940" s="17" t="n">
        <v>0.927</v>
      </c>
      <c r="BB940" s="11" t="s">
        <v>107</v>
      </c>
      <c r="BC940" s="11" t="s">
        <v>108</v>
      </c>
      <c r="BD940" s="11" t="s">
        <v>157</v>
      </c>
      <c r="BE940" s="12" t="n">
        <v>1490602</v>
      </c>
      <c r="BF940" s="13" t="n">
        <f aca="false">IFERROR(P940/BE940-1,"")</f>
        <v>-0.169308775917381</v>
      </c>
      <c r="BG940" s="17" t="n">
        <v>0.052</v>
      </c>
      <c r="BH940" s="17" t="n">
        <v>0.015</v>
      </c>
      <c r="BI940" s="14" t="n">
        <f aca="false">P940*(1+IFERROR(Q940,0))^4</f>
        <v>2130313.4914341</v>
      </c>
      <c r="BJ940" s="12" t="n">
        <v>-1789264</v>
      </c>
      <c r="BK940" s="11" t="s">
        <v>102</v>
      </c>
      <c r="BL940" s="11" t="s">
        <v>111</v>
      </c>
      <c r="BM940" s="14" t="n">
        <f aca="false">O940</f>
        <v>22414168</v>
      </c>
      <c r="BN940" s="11" t="s">
        <v>864</v>
      </c>
      <c r="BO940" s="13" t="n">
        <f aca="false">IFERROR(1-L940/M940,"")</f>
        <v>0.0980866758875058</v>
      </c>
      <c r="BP940" s="11" t="s">
        <v>130</v>
      </c>
      <c r="BQ940" s="12" t="n">
        <v>2919452</v>
      </c>
      <c r="BR940" s="11" t="s">
        <v>88</v>
      </c>
      <c r="BS940" s="11" t="s">
        <v>89</v>
      </c>
      <c r="BT940" s="19" t="str">
        <f aca="false">IF(OR(Z940&lt;6,AH940&lt;0.9,S940&lt;0.02,AK940&lt;1),"REVIEW",IF(AND(S940&gt;0.25,AH940&gt;1.2),"ACCELERATING","STABLE"))</f>
        <v>STABLE</v>
      </c>
    </row>
    <row r="941" customFormat="false" ht="15" hidden="false" customHeight="false" outlineLevel="0" collapsed="false">
      <c r="A941" s="11" t="s">
        <v>861</v>
      </c>
      <c r="B941" s="11" t="s">
        <v>93</v>
      </c>
      <c r="C941" s="11" t="s">
        <v>74</v>
      </c>
      <c r="D941" s="11" t="s">
        <v>210</v>
      </c>
      <c r="E941" s="11" t="s">
        <v>862</v>
      </c>
      <c r="F941" s="11" t="s">
        <v>863</v>
      </c>
      <c r="G941" s="11" t="s">
        <v>78</v>
      </c>
      <c r="H941" s="11" t="s">
        <v>644</v>
      </c>
      <c r="I941" s="11" t="s">
        <v>78</v>
      </c>
      <c r="J941" s="12" t="n">
        <v>1702000</v>
      </c>
      <c r="K941" s="13" t="n">
        <f aca="false">IFERROR(J941/M941,"")</f>
        <v>0.0980866758875058</v>
      </c>
      <c r="L941" s="12" t="n">
        <v>15650000</v>
      </c>
      <c r="M941" s="14" t="n">
        <f aca="false">L941+J941</f>
        <v>17352000</v>
      </c>
      <c r="N941" s="12" t="n">
        <v>5747000</v>
      </c>
      <c r="O941" s="12" t="n">
        <v>22414168</v>
      </c>
      <c r="P941" s="12" t="n">
        <v>1614574</v>
      </c>
      <c r="Q941" s="13" t="n">
        <f aca="false">IFERROR(P941/P940-1,"")</f>
        <v>0.303937071464914</v>
      </c>
      <c r="R941" s="12" t="n">
        <v>1651068</v>
      </c>
      <c r="S941" s="13" t="n">
        <f aca="false">IFERROR(R941/R940-1,"")</f>
        <v>0.150033886641002</v>
      </c>
      <c r="T941" s="12" t="n">
        <v>1071291</v>
      </c>
      <c r="U941" s="13" t="n">
        <f aca="false">IFERROR(T941/P941,"")</f>
        <v>0.66351310004992</v>
      </c>
      <c r="V941" s="14" t="n">
        <f aca="false">T941-AV941</f>
        <v>-1774506</v>
      </c>
      <c r="W941" s="14" t="n">
        <f aca="false">V941-AA941*0.1</f>
        <v>-1774506</v>
      </c>
      <c r="X941" s="12" t="n">
        <v>1880000</v>
      </c>
      <c r="Y941" s="12" t="n">
        <v>161000</v>
      </c>
      <c r="Z941" s="15" t="n">
        <f aca="false">IFERROR(X941/Y941,"")</f>
        <v>11.6770186335404</v>
      </c>
      <c r="AA941" s="12" t="n">
        <v>0</v>
      </c>
      <c r="AB941" s="14" t="n">
        <f aca="false">W941-0.02*P941</f>
        <v>-1806797.48</v>
      </c>
      <c r="AC941" s="16" t="n">
        <v>41</v>
      </c>
      <c r="AD941" s="13" t="n">
        <f aca="false">IFERROR(AC941/AC940-1,"")</f>
        <v>0.108108108108108</v>
      </c>
      <c r="AE941" s="17" t="n">
        <v>0.07</v>
      </c>
      <c r="AF941" s="17" t="n">
        <v>0.051</v>
      </c>
      <c r="AG941" s="13" t="n">
        <f aca="false">1-AF941</f>
        <v>0.949</v>
      </c>
      <c r="AH941" s="17" t="n">
        <v>1.093</v>
      </c>
      <c r="AI941" s="12" t="n">
        <v>38300</v>
      </c>
      <c r="AJ941" s="14" t="n">
        <f aca="false">IFERROR(AM941*U941*MIN(1/AE941,5),"")</f>
        <v>101981.963477673</v>
      </c>
      <c r="AK941" s="18" t="n">
        <f aca="false">IFERROR(AJ941/AI941,"")</f>
        <v>2.66271445111417</v>
      </c>
      <c r="AL941" s="15" t="n">
        <f aca="false">IFERROR(AI941/(AM941*U941/12),"")</f>
        <v>22.5333963147622</v>
      </c>
      <c r="AM941" s="12" t="n">
        <v>30740</v>
      </c>
      <c r="AN941" s="12" t="n">
        <v>2345083</v>
      </c>
      <c r="AO941" s="12" t="n">
        <v>6488216</v>
      </c>
      <c r="AP941" s="17" t="n">
        <v>0.127</v>
      </c>
      <c r="AQ941" s="16" t="n">
        <v>80</v>
      </c>
      <c r="AR941" s="16" t="n">
        <v>5</v>
      </c>
      <c r="AS941" s="13" t="n">
        <f aca="false">IFERROR(AR941/AR940-1,"")</f>
        <v>0</v>
      </c>
      <c r="AT941" s="11" t="s">
        <v>134</v>
      </c>
      <c r="AU941" s="14" t="n">
        <f aca="false">IFERROR(P941/AR941,"")</f>
        <v>322914.8</v>
      </c>
      <c r="AV941" s="12" t="n">
        <v>2845797</v>
      </c>
      <c r="AW941" s="12" t="n">
        <v>1211182</v>
      </c>
      <c r="AX941" s="12" t="n">
        <v>664453</v>
      </c>
      <c r="AY941" s="16" t="n">
        <v>33002</v>
      </c>
      <c r="AZ941" s="13" t="n">
        <f aca="false">IFERROR(AY941/AY940-1,"")</f>
        <v>0.208864468864469</v>
      </c>
      <c r="BA941" s="17" t="n">
        <v>0.925</v>
      </c>
      <c r="BB941" s="11" t="s">
        <v>107</v>
      </c>
      <c r="BC941" s="11" t="s">
        <v>108</v>
      </c>
      <c r="BD941" s="11" t="s">
        <v>157</v>
      </c>
      <c r="BE941" s="12" t="n">
        <v>1470009</v>
      </c>
      <c r="BF941" s="13" t="n">
        <f aca="false">IFERROR(P941/BE941-1,"")</f>
        <v>0.098342935315362</v>
      </c>
      <c r="BG941" s="17" t="n">
        <v>-0.055</v>
      </c>
      <c r="BH941" s="17" t="n">
        <v>0.075</v>
      </c>
      <c r="BI941" s="14" t="n">
        <f aca="false">P941*(1+IFERROR(Q941,0))^4</f>
        <v>4667501.70550292</v>
      </c>
      <c r="BJ941" s="12" t="n">
        <v>-1098613</v>
      </c>
      <c r="BK941" s="11" t="s">
        <v>102</v>
      </c>
      <c r="BL941" s="11" t="s">
        <v>111</v>
      </c>
      <c r="BM941" s="14" t="n">
        <f aca="false">O941</f>
        <v>22414168</v>
      </c>
      <c r="BN941" s="11" t="s">
        <v>864</v>
      </c>
      <c r="BO941" s="13" t="n">
        <f aca="false">IFERROR(1-L941/M941,"")</f>
        <v>0.0980866758875058</v>
      </c>
      <c r="BP941" s="11" t="s">
        <v>130</v>
      </c>
      <c r="BQ941" s="12" t="n">
        <v>2718114</v>
      </c>
      <c r="BR941" s="11" t="s">
        <v>88</v>
      </c>
      <c r="BS941" s="11" t="s">
        <v>89</v>
      </c>
      <c r="BT941" s="19" t="str">
        <f aca="false">IF(OR(Z941&lt;6,AH941&lt;0.9,S941&lt;0.02,AK941&lt;1),"REVIEW",IF(AND(S941&gt;0.25,AH941&gt;1.2),"ACCELERATING","STABLE"))</f>
        <v>STABLE</v>
      </c>
    </row>
    <row r="942" customFormat="false" ht="15" hidden="false" customHeight="false" outlineLevel="0" collapsed="false">
      <c r="A942" s="3" t="s">
        <v>865</v>
      </c>
      <c r="B942" s="3" t="s">
        <v>73</v>
      </c>
      <c r="C942" s="3" t="s">
        <v>74</v>
      </c>
      <c r="D942" s="3" t="s">
        <v>210</v>
      </c>
      <c r="E942" s="3" t="s">
        <v>105</v>
      </c>
      <c r="F942" s="3" t="s">
        <v>866</v>
      </c>
      <c r="G942" s="3" t="s">
        <v>78</v>
      </c>
      <c r="H942" s="3" t="s">
        <v>644</v>
      </c>
      <c r="I942" s="3" t="s">
        <v>78</v>
      </c>
      <c r="J942" s="4" t="n">
        <v>2058000</v>
      </c>
      <c r="K942" s="5" t="n">
        <f aca="false">IFERROR(J942/M942,"")</f>
        <v>0.0955387400770623</v>
      </c>
      <c r="L942" s="4" t="n">
        <v>19483000</v>
      </c>
      <c r="M942" s="6" t="n">
        <f aca="false">L942+J942</f>
        <v>21541000</v>
      </c>
      <c r="N942" s="4" t="n">
        <v>3924000</v>
      </c>
      <c r="O942" s="4" t="n">
        <v>34725302</v>
      </c>
      <c r="P942" s="4" t="n">
        <v>420707</v>
      </c>
      <c r="Q942" s="7"/>
      <c r="R942" s="4" t="n">
        <v>463962</v>
      </c>
      <c r="S942" s="7"/>
      <c r="T942" s="4" t="n">
        <v>282103</v>
      </c>
      <c r="U942" s="5" t="n">
        <f aca="false">IFERROR(T942/P942,"")</f>
        <v>0.67054505867504</v>
      </c>
      <c r="V942" s="6" t="n">
        <f aca="false">T942-AV942</f>
        <v>-1211969</v>
      </c>
      <c r="W942" s="6" t="n">
        <f aca="false">V942-AA942*0.1</f>
        <v>-1211969</v>
      </c>
      <c r="X942" s="4" t="n">
        <v>4312795</v>
      </c>
      <c r="Y942" s="4" t="n">
        <v>131950</v>
      </c>
      <c r="Z942" s="8" t="n">
        <f aca="false">IFERROR(X942/Y942,"")</f>
        <v>32.6850701023115</v>
      </c>
      <c r="AA942" s="4" t="n">
        <v>0</v>
      </c>
      <c r="AB942" s="6" t="n">
        <f aca="false">W942-0.02*P942</f>
        <v>-1220383.14</v>
      </c>
      <c r="AC942" s="9" t="n">
        <v>19</v>
      </c>
      <c r="AD942" s="7"/>
      <c r="AE942" s="7" t="n">
        <v>0.136</v>
      </c>
      <c r="AF942" s="7" t="n">
        <v>0.123</v>
      </c>
      <c r="AG942" s="5" t="n">
        <f aca="false">1-AF942</f>
        <v>0.877</v>
      </c>
      <c r="AH942" s="7" t="n">
        <v>1.141</v>
      </c>
      <c r="AI942" s="4" t="n">
        <v>52682</v>
      </c>
      <c r="AJ942" s="6" t="n">
        <f aca="false">IFERROR(AM942*U942*MIN(1/AE942,5),"")</f>
        <v>164283.539375385</v>
      </c>
      <c r="AK942" s="10" t="n">
        <f aca="false">IFERROR(AJ942/AI942,"")</f>
        <v>3.11839982110369</v>
      </c>
      <c r="AL942" s="8" t="n">
        <f aca="false">IFERROR(AI942/(AM942*U942/12),"")</f>
        <v>19.2406373275009</v>
      </c>
      <c r="AM942" s="4" t="n">
        <v>49000</v>
      </c>
      <c r="AN942" s="4" t="n">
        <v>643441</v>
      </c>
      <c r="AO942" s="4" t="n">
        <v>1692308</v>
      </c>
      <c r="AP942" s="7" t="n">
        <v>0.416</v>
      </c>
      <c r="AQ942" s="9" t="n">
        <v>31</v>
      </c>
      <c r="AR942" s="9" t="n">
        <v>4</v>
      </c>
      <c r="AS942" s="7"/>
      <c r="AT942" s="3" t="s">
        <v>80</v>
      </c>
      <c r="AU942" s="6" t="n">
        <f aca="false">IFERROR(P942/AR942,"")</f>
        <v>105176.75</v>
      </c>
      <c r="AV942" s="4" t="n">
        <v>1494072</v>
      </c>
      <c r="AW942" s="4" t="n">
        <v>740237</v>
      </c>
      <c r="AX942" s="4" t="n">
        <v>417792</v>
      </c>
      <c r="AY942" s="9" t="n">
        <v>26130</v>
      </c>
      <c r="AZ942" s="7"/>
      <c r="BA942" s="7" t="n">
        <v>0.875</v>
      </c>
      <c r="BB942" s="3" t="s">
        <v>107</v>
      </c>
      <c r="BC942" s="3" t="s">
        <v>100</v>
      </c>
      <c r="BD942" s="3" t="s">
        <v>175</v>
      </c>
      <c r="BE942" s="4" t="n">
        <v>496873</v>
      </c>
      <c r="BF942" s="5" t="n">
        <f aca="false">IFERROR(P942/BE942-1,"")</f>
        <v>-0.153290679912171</v>
      </c>
      <c r="BG942" s="7" t="n">
        <v>-0.033</v>
      </c>
      <c r="BH942" s="7" t="n">
        <v>0.091</v>
      </c>
      <c r="BI942" s="6" t="n">
        <f aca="false">P942</f>
        <v>420707</v>
      </c>
      <c r="BJ942" s="4" t="n">
        <v>-1155705</v>
      </c>
      <c r="BK942" s="3" t="s">
        <v>192</v>
      </c>
      <c r="BL942" s="3" t="s">
        <v>85</v>
      </c>
      <c r="BM942" s="6" t="n">
        <f aca="false">O942</f>
        <v>34725302</v>
      </c>
      <c r="BN942" s="3" t="s">
        <v>867</v>
      </c>
      <c r="BO942" s="5" t="n">
        <f aca="false">IFERROR(1-L942/M942,"")</f>
        <v>0.0955387400770623</v>
      </c>
      <c r="BP942" s="3" t="s">
        <v>130</v>
      </c>
      <c r="BQ942" s="4" t="n">
        <v>2198586</v>
      </c>
      <c r="BR942" s="3" t="s">
        <v>88</v>
      </c>
      <c r="BS942" s="3" t="s">
        <v>89</v>
      </c>
      <c r="BT942" s="3" t="s">
        <v>90</v>
      </c>
    </row>
    <row r="943" customFormat="false" ht="15" hidden="false" customHeight="false" outlineLevel="0" collapsed="false">
      <c r="A943" s="11" t="s">
        <v>865</v>
      </c>
      <c r="B943" s="11" t="s">
        <v>91</v>
      </c>
      <c r="C943" s="11" t="s">
        <v>74</v>
      </c>
      <c r="D943" s="11" t="s">
        <v>210</v>
      </c>
      <c r="E943" s="11" t="s">
        <v>105</v>
      </c>
      <c r="F943" s="11" t="s">
        <v>866</v>
      </c>
      <c r="G943" s="11" t="s">
        <v>78</v>
      </c>
      <c r="H943" s="11" t="s">
        <v>644</v>
      </c>
      <c r="I943" s="11" t="s">
        <v>78</v>
      </c>
      <c r="J943" s="12" t="n">
        <v>2058000</v>
      </c>
      <c r="K943" s="13" t="n">
        <f aca="false">IFERROR(J943/M943,"")</f>
        <v>0.0955387400770623</v>
      </c>
      <c r="L943" s="12" t="n">
        <v>19483000</v>
      </c>
      <c r="M943" s="14" t="n">
        <f aca="false">L943+J943</f>
        <v>21541000</v>
      </c>
      <c r="N943" s="12" t="n">
        <v>3924000</v>
      </c>
      <c r="O943" s="12" t="n">
        <v>34725302</v>
      </c>
      <c r="P943" s="12" t="n">
        <v>459374</v>
      </c>
      <c r="Q943" s="13" t="n">
        <f aca="false">IFERROR(P943/P942-1,"")</f>
        <v>0.0919095712693157</v>
      </c>
      <c r="R943" s="12" t="n">
        <v>545963</v>
      </c>
      <c r="S943" s="13" t="n">
        <f aca="false">IFERROR(R943/R942-1,"")</f>
        <v>0.176740767562861</v>
      </c>
      <c r="T943" s="12" t="n">
        <v>309279</v>
      </c>
      <c r="U943" s="13" t="n">
        <f aca="false">IFERROR(T943/P943,"")</f>
        <v>0.673261873767344</v>
      </c>
      <c r="V943" s="14" t="n">
        <f aca="false">T943-AV943</f>
        <v>-1524699</v>
      </c>
      <c r="W943" s="14" t="n">
        <f aca="false">V943-AA943*0.1</f>
        <v>-1524699</v>
      </c>
      <c r="X943" s="12" t="n">
        <v>3980020</v>
      </c>
      <c r="Y943" s="12" t="n">
        <v>136300</v>
      </c>
      <c r="Z943" s="15" t="n">
        <f aca="false">IFERROR(X943/Y943,"")</f>
        <v>29.2004402054292</v>
      </c>
      <c r="AA943" s="12" t="n">
        <v>0</v>
      </c>
      <c r="AB943" s="14" t="n">
        <f aca="false">W943-0.02*P943</f>
        <v>-1533886.48</v>
      </c>
      <c r="AC943" s="16" t="n">
        <v>22</v>
      </c>
      <c r="AD943" s="13" t="n">
        <f aca="false">IFERROR(AC943/AC942-1,"")</f>
        <v>0.157894736842105</v>
      </c>
      <c r="AE943" s="17" t="n">
        <v>0.133</v>
      </c>
      <c r="AF943" s="17" t="n">
        <v>0.094</v>
      </c>
      <c r="AG943" s="13" t="n">
        <f aca="false">1-AF943</f>
        <v>0.906</v>
      </c>
      <c r="AH943" s="17" t="n">
        <v>1.136</v>
      </c>
      <c r="AI943" s="12" t="n">
        <v>51688</v>
      </c>
      <c r="AJ943" s="14" t="n">
        <f aca="false">IFERROR(AM943*U943*MIN(1/AE943,5),"")</f>
        <v>168248.142254459</v>
      </c>
      <c r="AK943" s="18" t="n">
        <f aca="false">IFERROR(AJ943/AI943,"")</f>
        <v>3.25507162696292</v>
      </c>
      <c r="AL943" s="15" t="n">
        <f aca="false">IFERROR(AI943/(AM943*U943/12),"")</f>
        <v>18.4327741064125</v>
      </c>
      <c r="AM943" s="12" t="n">
        <v>49980</v>
      </c>
      <c r="AN943" s="12" t="n">
        <v>523210</v>
      </c>
      <c r="AO943" s="12" t="n">
        <v>1224098</v>
      </c>
      <c r="AP943" s="17" t="n">
        <v>0.416</v>
      </c>
      <c r="AQ943" s="16" t="n">
        <v>31</v>
      </c>
      <c r="AR943" s="16" t="n">
        <v>5</v>
      </c>
      <c r="AS943" s="13" t="n">
        <f aca="false">IFERROR(AR943/AR942-1,"")</f>
        <v>0.25</v>
      </c>
      <c r="AT943" s="11" t="s">
        <v>80</v>
      </c>
      <c r="AU943" s="14" t="n">
        <f aca="false">IFERROR(P943/AR943,"")</f>
        <v>91874.8</v>
      </c>
      <c r="AV943" s="12" t="n">
        <v>1833978</v>
      </c>
      <c r="AW943" s="12" t="n">
        <v>859996</v>
      </c>
      <c r="AX943" s="12" t="n">
        <v>563137</v>
      </c>
      <c r="AY943" s="16" t="n">
        <v>29134</v>
      </c>
      <c r="AZ943" s="13" t="n">
        <f aca="false">IFERROR(AY943/AY942-1,"")</f>
        <v>0.114963643321852</v>
      </c>
      <c r="BA943" s="17" t="n">
        <v>0.855</v>
      </c>
      <c r="BB943" s="11" t="s">
        <v>107</v>
      </c>
      <c r="BC943" s="11" t="s">
        <v>100</v>
      </c>
      <c r="BD943" s="11" t="s">
        <v>175</v>
      </c>
      <c r="BE943" s="12" t="n">
        <v>560747</v>
      </c>
      <c r="BF943" s="13" t="n">
        <f aca="false">IFERROR(P943/BE943-1,"")</f>
        <v>-0.180782063925442</v>
      </c>
      <c r="BG943" s="17" t="n">
        <v>0.063</v>
      </c>
      <c r="BH943" s="17" t="n">
        <v>0.069</v>
      </c>
      <c r="BI943" s="14" t="n">
        <f aca="false">P943*(1+IFERROR(Q943,0))^4</f>
        <v>652999.881559429</v>
      </c>
      <c r="BJ943" s="12" t="n">
        <v>-1253468</v>
      </c>
      <c r="BK943" s="11" t="s">
        <v>192</v>
      </c>
      <c r="BL943" s="11" t="s">
        <v>85</v>
      </c>
      <c r="BM943" s="14" t="n">
        <f aca="false">O943</f>
        <v>34725302</v>
      </c>
      <c r="BN943" s="11" t="s">
        <v>867</v>
      </c>
      <c r="BO943" s="13" t="n">
        <f aca="false">IFERROR(1-L943/M943,"")</f>
        <v>0.0955387400770623</v>
      </c>
      <c r="BP943" s="11" t="s">
        <v>130</v>
      </c>
      <c r="BQ943" s="12" t="n">
        <v>1831971</v>
      </c>
      <c r="BR943" s="11" t="s">
        <v>88</v>
      </c>
      <c r="BS943" s="11" t="s">
        <v>89</v>
      </c>
      <c r="BT943" s="19" t="str">
        <f aca="false">IF(OR(Z943&lt;6,AH943&lt;0.9,S943&lt;0.02,AK943&lt;1),"REVIEW",IF(AND(S943&gt;0.25,AH943&gt;1.2),"ACCELERATING","STABLE"))</f>
        <v>STABLE</v>
      </c>
    </row>
    <row r="944" customFormat="false" ht="15" hidden="false" customHeight="false" outlineLevel="0" collapsed="false">
      <c r="A944" s="11" t="s">
        <v>865</v>
      </c>
      <c r="B944" s="11" t="s">
        <v>92</v>
      </c>
      <c r="C944" s="11" t="s">
        <v>74</v>
      </c>
      <c r="D944" s="11" t="s">
        <v>210</v>
      </c>
      <c r="E944" s="11" t="s">
        <v>105</v>
      </c>
      <c r="F944" s="11" t="s">
        <v>866</v>
      </c>
      <c r="G944" s="11" t="s">
        <v>78</v>
      </c>
      <c r="H944" s="11" t="s">
        <v>644</v>
      </c>
      <c r="I944" s="11" t="s">
        <v>78</v>
      </c>
      <c r="J944" s="12" t="n">
        <v>2058000</v>
      </c>
      <c r="K944" s="13" t="n">
        <f aca="false">IFERROR(J944/M944,"")</f>
        <v>0.0955387400770623</v>
      </c>
      <c r="L944" s="12" t="n">
        <v>19483000</v>
      </c>
      <c r="M944" s="14" t="n">
        <f aca="false">L944+J944</f>
        <v>21541000</v>
      </c>
      <c r="N944" s="12" t="n">
        <v>3924000</v>
      </c>
      <c r="O944" s="12" t="n">
        <v>34725302</v>
      </c>
      <c r="P944" s="12" t="n">
        <v>503192</v>
      </c>
      <c r="Q944" s="13" t="n">
        <f aca="false">IFERROR(P944/P943-1,"")</f>
        <v>0.0953863300926914</v>
      </c>
      <c r="R944" s="12" t="n">
        <v>598766</v>
      </c>
      <c r="S944" s="13" t="n">
        <f aca="false">IFERROR(R944/R943-1,"")</f>
        <v>0.096715345179069</v>
      </c>
      <c r="T944" s="12" t="n">
        <v>340146</v>
      </c>
      <c r="U944" s="13" t="n">
        <f aca="false">IFERROR(T944/P944,"")</f>
        <v>0.675976565605177</v>
      </c>
      <c r="V944" s="14" t="n">
        <f aca="false">T944-AV944</f>
        <v>-1379048</v>
      </c>
      <c r="W944" s="14" t="n">
        <f aca="false">V944-AA944*0.1</f>
        <v>-1379048</v>
      </c>
      <c r="X944" s="12" t="n">
        <v>3623755</v>
      </c>
      <c r="Y944" s="12" t="n">
        <v>140650</v>
      </c>
      <c r="Z944" s="15" t="n">
        <f aca="false">IFERROR(X944/Y944,"")</f>
        <v>25.7643441166015</v>
      </c>
      <c r="AA944" s="12" t="n">
        <v>0</v>
      </c>
      <c r="AB944" s="14" t="n">
        <f aca="false">W944-0.02*P944</f>
        <v>-1389111.84</v>
      </c>
      <c r="AC944" s="16" t="n">
        <v>23</v>
      </c>
      <c r="AD944" s="13" t="n">
        <f aca="false">IFERROR(AC944/AC943-1,"")</f>
        <v>0.0454545454545454</v>
      </c>
      <c r="AE944" s="17" t="n">
        <v>0.129</v>
      </c>
      <c r="AF944" s="17" t="n">
        <v>0.111</v>
      </c>
      <c r="AG944" s="13" t="n">
        <f aca="false">1-AF944</f>
        <v>0.889</v>
      </c>
      <c r="AH944" s="17" t="n">
        <v>1.131</v>
      </c>
      <c r="AI944" s="12" t="n">
        <v>50694</v>
      </c>
      <c r="AJ944" s="14" t="n">
        <f aca="false">IFERROR(AM944*U944*MIN(1/AE944,5),"")</f>
        <v>172238.828916199</v>
      </c>
      <c r="AK944" s="18" t="n">
        <f aca="false">IFERROR(AJ944/AI944,"")</f>
        <v>3.39761764540575</v>
      </c>
      <c r="AL944" s="15" t="n">
        <f aca="false">IFERROR(AI944/(AM944*U944/12),"")</f>
        <v>17.6594326560353</v>
      </c>
      <c r="AM944" s="12" t="n">
        <v>50960</v>
      </c>
      <c r="AN944" s="12" t="n">
        <v>546342</v>
      </c>
      <c r="AO944" s="12" t="n">
        <v>1604573</v>
      </c>
      <c r="AP944" s="17" t="n">
        <v>0.416</v>
      </c>
      <c r="AQ944" s="16" t="n">
        <v>31</v>
      </c>
      <c r="AR944" s="16" t="n">
        <v>5</v>
      </c>
      <c r="AS944" s="13" t="n">
        <f aca="false">IFERROR(AR944/AR943-1,"")</f>
        <v>0</v>
      </c>
      <c r="AT944" s="11" t="s">
        <v>80</v>
      </c>
      <c r="AU944" s="14" t="n">
        <f aca="false">IFERROR(P944/AR944,"")</f>
        <v>100638.4</v>
      </c>
      <c r="AV944" s="12" t="n">
        <v>1719194</v>
      </c>
      <c r="AW944" s="12" t="n">
        <v>837153</v>
      </c>
      <c r="AX944" s="12" t="n">
        <v>543139</v>
      </c>
      <c r="AY944" s="16" t="n">
        <v>32049</v>
      </c>
      <c r="AZ944" s="13" t="n">
        <f aca="false">IFERROR(AY944/AY943-1,"")</f>
        <v>0.100054918651747</v>
      </c>
      <c r="BA944" s="17" t="n">
        <v>0.861</v>
      </c>
      <c r="BB944" s="11" t="s">
        <v>107</v>
      </c>
      <c r="BC944" s="11" t="s">
        <v>100</v>
      </c>
      <c r="BD944" s="11" t="s">
        <v>175</v>
      </c>
      <c r="BE944" s="12" t="n">
        <v>496917</v>
      </c>
      <c r="BF944" s="13" t="n">
        <f aca="false">IFERROR(P944/BE944-1,"")</f>
        <v>0.0126278634057599</v>
      </c>
      <c r="BG944" s="17" t="n">
        <v>0.009</v>
      </c>
      <c r="BH944" s="17" t="n">
        <v>0.002</v>
      </c>
      <c r="BI944" s="14" t="n">
        <f aca="false">P944*(1+IFERROR(Q944,0))^4</f>
        <v>724440.956312889</v>
      </c>
      <c r="BJ944" s="12" t="n">
        <v>-1288549</v>
      </c>
      <c r="BK944" s="11" t="s">
        <v>192</v>
      </c>
      <c r="BL944" s="11" t="s">
        <v>85</v>
      </c>
      <c r="BM944" s="14" t="n">
        <f aca="false">O944</f>
        <v>34725302</v>
      </c>
      <c r="BN944" s="11" t="s">
        <v>867</v>
      </c>
      <c r="BO944" s="13" t="n">
        <f aca="false">IFERROR(1-L944/M944,"")</f>
        <v>0.0955387400770623</v>
      </c>
      <c r="BP944" s="11" t="s">
        <v>130</v>
      </c>
      <c r="BQ944" s="12" t="n">
        <v>2661383</v>
      </c>
      <c r="BR944" s="11" t="s">
        <v>88</v>
      </c>
      <c r="BS944" s="11" t="s">
        <v>89</v>
      </c>
      <c r="BT944" s="19" t="str">
        <f aca="false">IF(OR(Z944&lt;6,AH944&lt;0.9,S944&lt;0.02,AK944&lt;1),"REVIEW",IF(AND(S944&gt;0.25,AH944&gt;1.2),"ACCELERATING","STABLE"))</f>
        <v>STABLE</v>
      </c>
    </row>
    <row r="945" customFormat="false" ht="15" hidden="false" customHeight="false" outlineLevel="0" collapsed="false">
      <c r="A945" s="11" t="s">
        <v>865</v>
      </c>
      <c r="B945" s="11" t="s">
        <v>93</v>
      </c>
      <c r="C945" s="11" t="s">
        <v>74</v>
      </c>
      <c r="D945" s="11" t="s">
        <v>210</v>
      </c>
      <c r="E945" s="11" t="s">
        <v>105</v>
      </c>
      <c r="F945" s="11" t="s">
        <v>866</v>
      </c>
      <c r="G945" s="11" t="s">
        <v>78</v>
      </c>
      <c r="H945" s="11" t="s">
        <v>644</v>
      </c>
      <c r="I945" s="11" t="s">
        <v>78</v>
      </c>
      <c r="J945" s="12" t="n">
        <v>2058000</v>
      </c>
      <c r="K945" s="13" t="n">
        <f aca="false">IFERROR(J945/M945,"")</f>
        <v>0.0955387400770623</v>
      </c>
      <c r="L945" s="12" t="n">
        <v>19483000</v>
      </c>
      <c r="M945" s="14" t="n">
        <f aca="false">L945+J945</f>
        <v>21541000</v>
      </c>
      <c r="N945" s="12" t="n">
        <v>3924000</v>
      </c>
      <c r="O945" s="12" t="n">
        <v>34725302</v>
      </c>
      <c r="P945" s="12" t="n">
        <v>607941</v>
      </c>
      <c r="Q945" s="13" t="n">
        <f aca="false">IFERROR(P945/P944-1,"")</f>
        <v>0.208169048792509</v>
      </c>
      <c r="R945" s="12" t="n">
        <v>665937</v>
      </c>
      <c r="S945" s="13" t="n">
        <f aca="false">IFERROR(R945/R944-1,"")</f>
        <v>0.11218238844557</v>
      </c>
      <c r="T945" s="12" t="n">
        <v>412604</v>
      </c>
      <c r="U945" s="13" t="n">
        <f aca="false">IFERROR(T945/P945,"")</f>
        <v>0.67869085980383</v>
      </c>
      <c r="V945" s="14" t="n">
        <f aca="false">T945-AV945</f>
        <v>-1356544</v>
      </c>
      <c r="W945" s="14" t="n">
        <f aca="false">V945-AA945*0.1</f>
        <v>-1356544</v>
      </c>
      <c r="X945" s="12" t="n">
        <v>3244000</v>
      </c>
      <c r="Y945" s="12" t="n">
        <v>145000</v>
      </c>
      <c r="Z945" s="15" t="n">
        <f aca="false">IFERROR(X945/Y945,"")</f>
        <v>22.3724137931034</v>
      </c>
      <c r="AA945" s="12" t="n">
        <v>0</v>
      </c>
      <c r="AB945" s="14" t="n">
        <f aca="false">W945-0.02*P945</f>
        <v>-1368702.82</v>
      </c>
      <c r="AC945" s="16" t="n">
        <v>28</v>
      </c>
      <c r="AD945" s="13" t="n">
        <f aca="false">IFERROR(AC945/AC944-1,"")</f>
        <v>0.217391304347826</v>
      </c>
      <c r="AE945" s="17" t="n">
        <v>0.125</v>
      </c>
      <c r="AF945" s="17" t="n">
        <v>0.128</v>
      </c>
      <c r="AG945" s="13" t="n">
        <f aca="false">1-AF945</f>
        <v>0.872</v>
      </c>
      <c r="AH945" s="17" t="n">
        <v>1.126</v>
      </c>
      <c r="AI945" s="12" t="n">
        <v>49700</v>
      </c>
      <c r="AJ945" s="14" t="n">
        <f aca="false">IFERROR(AM945*U945*MIN(1/AE945,5),"")</f>
        <v>176256.016291055</v>
      </c>
      <c r="AK945" s="18" t="n">
        <f aca="false">IFERROR(AJ945/AI945,"")</f>
        <v>3.54639871812987</v>
      </c>
      <c r="AL945" s="15" t="n">
        <f aca="false">IFERROR(AI945/(AM945*U945/12),"")</f>
        <v>16.9185714209935</v>
      </c>
      <c r="AM945" s="12" t="n">
        <v>51940</v>
      </c>
      <c r="AN945" s="12" t="n">
        <v>701659</v>
      </c>
      <c r="AO945" s="12" t="n">
        <v>2469211</v>
      </c>
      <c r="AP945" s="17" t="n">
        <v>0.416</v>
      </c>
      <c r="AQ945" s="16" t="n">
        <v>31</v>
      </c>
      <c r="AR945" s="16" t="n">
        <v>6</v>
      </c>
      <c r="AS945" s="13" t="n">
        <f aca="false">IFERROR(AR945/AR944-1,"")</f>
        <v>0.2</v>
      </c>
      <c r="AT945" s="11" t="s">
        <v>80</v>
      </c>
      <c r="AU945" s="14" t="n">
        <f aca="false">IFERROR(P945/AR945,"")</f>
        <v>101323.5</v>
      </c>
      <c r="AV945" s="12" t="n">
        <v>1769148</v>
      </c>
      <c r="AW945" s="12" t="n">
        <v>573465</v>
      </c>
      <c r="AX945" s="12" t="n">
        <v>548477</v>
      </c>
      <c r="AY945" s="16" t="n">
        <v>38437</v>
      </c>
      <c r="AZ945" s="13" t="n">
        <f aca="false">IFERROR(AY945/AY944-1,"")</f>
        <v>0.19931979156916</v>
      </c>
      <c r="BA945" s="17" t="n">
        <v>0.874</v>
      </c>
      <c r="BB945" s="11" t="s">
        <v>107</v>
      </c>
      <c r="BC945" s="11" t="s">
        <v>100</v>
      </c>
      <c r="BD945" s="11" t="s">
        <v>175</v>
      </c>
      <c r="BE945" s="12" t="n">
        <v>728024</v>
      </c>
      <c r="BF945" s="13" t="n">
        <f aca="false">IFERROR(P945/BE945-1,"")</f>
        <v>-0.164943738118524</v>
      </c>
      <c r="BG945" s="17" t="n">
        <v>-0.008</v>
      </c>
      <c r="BH945" s="17" t="n">
        <v>0.033</v>
      </c>
      <c r="BI945" s="14" t="n">
        <f aca="false">P945*(1+IFERROR(Q945,0))^4</f>
        <v>1295305.63890445</v>
      </c>
      <c r="BJ945" s="12" t="n">
        <v>-1336797</v>
      </c>
      <c r="BK945" s="11" t="s">
        <v>192</v>
      </c>
      <c r="BL945" s="11" t="s">
        <v>85</v>
      </c>
      <c r="BM945" s="14" t="n">
        <f aca="false">O945</f>
        <v>34725302</v>
      </c>
      <c r="BN945" s="11" t="s">
        <v>867</v>
      </c>
      <c r="BO945" s="13" t="n">
        <f aca="false">IFERROR(1-L945/M945,"")</f>
        <v>0.0955387400770623</v>
      </c>
      <c r="BP945" s="11" t="s">
        <v>130</v>
      </c>
      <c r="BQ945" s="12" t="n">
        <v>1772655</v>
      </c>
      <c r="BR945" s="11" t="s">
        <v>88</v>
      </c>
      <c r="BS945" s="11" t="s">
        <v>89</v>
      </c>
      <c r="BT945" s="19" t="str">
        <f aca="false">IF(OR(Z945&lt;6,AH945&lt;0.9,S945&lt;0.02,AK945&lt;1),"REVIEW",IF(AND(S945&gt;0.25,AH945&gt;1.2),"ACCELERATING","STABLE"))</f>
        <v>STABLE</v>
      </c>
    </row>
    <row r="946" customFormat="false" ht="15" hidden="false" customHeight="false" outlineLevel="0" collapsed="false">
      <c r="A946" s="3" t="s">
        <v>868</v>
      </c>
      <c r="B946" s="3" t="s">
        <v>73</v>
      </c>
      <c r="C946" s="3" t="s">
        <v>74</v>
      </c>
      <c r="D946" s="3" t="s">
        <v>95</v>
      </c>
      <c r="E946" s="3" t="s">
        <v>869</v>
      </c>
      <c r="F946" s="3" t="s">
        <v>870</v>
      </c>
      <c r="G946" s="3" t="s">
        <v>78</v>
      </c>
      <c r="H946" s="3" t="s">
        <v>644</v>
      </c>
      <c r="I946" s="3" t="s">
        <v>78</v>
      </c>
      <c r="J946" s="4" t="n">
        <v>5674000</v>
      </c>
      <c r="K946" s="5" t="n">
        <f aca="false">IFERROR(J946/M946,"")</f>
        <v>0.182473066409391</v>
      </c>
      <c r="L946" s="4" t="n">
        <v>25421000</v>
      </c>
      <c r="M946" s="6" t="n">
        <f aca="false">L946+J946</f>
        <v>31095000</v>
      </c>
      <c r="N946" s="4" t="n">
        <v>6665000</v>
      </c>
      <c r="O946" s="4" t="n">
        <v>26654812</v>
      </c>
      <c r="P946" s="4" t="n">
        <v>439510</v>
      </c>
      <c r="Q946" s="7"/>
      <c r="R946" s="4" t="n">
        <v>444403</v>
      </c>
      <c r="S946" s="7"/>
      <c r="T946" s="4" t="n">
        <v>259388</v>
      </c>
      <c r="U946" s="5" t="n">
        <f aca="false">IFERROR(T946/P946,"")</f>
        <v>0.590175422629747</v>
      </c>
      <c r="V946" s="6" t="n">
        <f aca="false">T946-AV946</f>
        <v>-2158796</v>
      </c>
      <c r="W946" s="6" t="n">
        <f aca="false">V946-AA946*0.1</f>
        <v>-2158796</v>
      </c>
      <c r="X946" s="4" t="n">
        <v>3967232</v>
      </c>
      <c r="Y946" s="4" t="n">
        <v>174720</v>
      </c>
      <c r="Z946" s="8" t="n">
        <f aca="false">IFERROR(X946/Y946,"")</f>
        <v>22.7062271062271</v>
      </c>
      <c r="AA946" s="4" t="n">
        <v>0</v>
      </c>
      <c r="AB946" s="6" t="n">
        <f aca="false">W946-0.02*P946</f>
        <v>-2167586.2</v>
      </c>
      <c r="AC946" s="9" t="n">
        <v>26</v>
      </c>
      <c r="AD946" s="7"/>
      <c r="AE946" s="7" t="n">
        <v>0.058</v>
      </c>
      <c r="AF946" s="7" t="n">
        <v>0.05</v>
      </c>
      <c r="AG946" s="5" t="n">
        <f aca="false">1-AF946</f>
        <v>0.95</v>
      </c>
      <c r="AH946" s="7" t="n">
        <v>1.103</v>
      </c>
      <c r="AI946" s="4" t="n">
        <v>33390</v>
      </c>
      <c r="AJ946" s="6" t="n">
        <f aca="false">IFERROR(AM946*U946*MIN(1/AE946,5),"")</f>
        <v>94428.0676207595</v>
      </c>
      <c r="AK946" s="10" t="n">
        <f aca="false">IFERROR(AJ946/AI946,"")</f>
        <v>2.82803437019346</v>
      </c>
      <c r="AL946" s="8" t="n">
        <f aca="false">IFERROR(AI946/(AM946*U946/12),"")</f>
        <v>21.2161495038321</v>
      </c>
      <c r="AM946" s="4" t="n">
        <v>32000</v>
      </c>
      <c r="AN946" s="4" t="n">
        <v>424291</v>
      </c>
      <c r="AO946" s="4" t="n">
        <v>1208724</v>
      </c>
      <c r="AP946" s="7" t="n">
        <v>0.405</v>
      </c>
      <c r="AQ946" s="9" t="n">
        <v>66</v>
      </c>
      <c r="AR946" s="9" t="n">
        <v>2</v>
      </c>
      <c r="AS946" s="7"/>
      <c r="AT946" s="3" t="s">
        <v>201</v>
      </c>
      <c r="AU946" s="6" t="n">
        <f aca="false">IFERROR(P946/AR946,"")</f>
        <v>219755</v>
      </c>
      <c r="AV946" s="4" t="n">
        <v>2418184</v>
      </c>
      <c r="AW946" s="4" t="n">
        <v>790624</v>
      </c>
      <c r="AX946" s="4" t="n">
        <v>598880</v>
      </c>
      <c r="AY946" s="9" t="n">
        <v>15893</v>
      </c>
      <c r="AZ946" s="7"/>
      <c r="BA946" s="7" t="n">
        <v>0.948</v>
      </c>
      <c r="BB946" s="3" t="s">
        <v>81</v>
      </c>
      <c r="BC946" s="3" t="s">
        <v>126</v>
      </c>
      <c r="BD946" s="3" t="s">
        <v>157</v>
      </c>
      <c r="BE946" s="4" t="n">
        <v>500965</v>
      </c>
      <c r="BF946" s="5" t="n">
        <f aca="false">IFERROR(P946/BE946-1,"")</f>
        <v>-0.122673240645554</v>
      </c>
      <c r="BG946" s="7" t="n">
        <v>0.006</v>
      </c>
      <c r="BH946" s="7" t="n">
        <v>0.017</v>
      </c>
      <c r="BI946" s="6" t="n">
        <f aca="false">P946</f>
        <v>439510</v>
      </c>
      <c r="BJ946" s="4" t="n">
        <v>-1234082</v>
      </c>
      <c r="BK946" s="3" t="s">
        <v>127</v>
      </c>
      <c r="BL946" s="3" t="s">
        <v>162</v>
      </c>
      <c r="BM946" s="6" t="n">
        <f aca="false">O946</f>
        <v>26654812</v>
      </c>
      <c r="BN946" s="3" t="s">
        <v>871</v>
      </c>
      <c r="BO946" s="5" t="n">
        <f aca="false">IFERROR(1-L946/M946,"")</f>
        <v>0.182473066409391</v>
      </c>
      <c r="BP946" s="3" t="s">
        <v>142</v>
      </c>
      <c r="BQ946" s="4" t="n">
        <v>2498038</v>
      </c>
      <c r="BR946" s="3" t="s">
        <v>88</v>
      </c>
      <c r="BS946" s="3" t="s">
        <v>89</v>
      </c>
      <c r="BT946" s="3" t="s">
        <v>90</v>
      </c>
    </row>
    <row r="947" customFormat="false" ht="15" hidden="false" customHeight="false" outlineLevel="0" collapsed="false">
      <c r="A947" s="11" t="s">
        <v>868</v>
      </c>
      <c r="B947" s="11" t="s">
        <v>91</v>
      </c>
      <c r="C947" s="11" t="s">
        <v>74</v>
      </c>
      <c r="D947" s="11" t="s">
        <v>95</v>
      </c>
      <c r="E947" s="11" t="s">
        <v>869</v>
      </c>
      <c r="F947" s="11" t="s">
        <v>870</v>
      </c>
      <c r="G947" s="11" t="s">
        <v>78</v>
      </c>
      <c r="H947" s="11" t="s">
        <v>644</v>
      </c>
      <c r="I947" s="11" t="s">
        <v>78</v>
      </c>
      <c r="J947" s="12" t="n">
        <v>5674000</v>
      </c>
      <c r="K947" s="13" t="n">
        <f aca="false">IFERROR(J947/M947,"")</f>
        <v>0.182473066409391</v>
      </c>
      <c r="L947" s="12" t="n">
        <v>25421000</v>
      </c>
      <c r="M947" s="14" t="n">
        <f aca="false">L947+J947</f>
        <v>31095000</v>
      </c>
      <c r="N947" s="12" t="n">
        <v>6665000</v>
      </c>
      <c r="O947" s="12" t="n">
        <v>26654812</v>
      </c>
      <c r="P947" s="12" t="n">
        <v>528937</v>
      </c>
      <c r="Q947" s="13" t="n">
        <f aca="false">IFERROR(P947/P946-1,"")</f>
        <v>0.20346977315647</v>
      </c>
      <c r="R947" s="12" t="n">
        <v>529804</v>
      </c>
      <c r="S947" s="13" t="n">
        <f aca="false">IFERROR(R947/R946-1,"")</f>
        <v>0.19217016986834</v>
      </c>
      <c r="T947" s="12" t="n">
        <v>313428</v>
      </c>
      <c r="U947" s="13" t="n">
        <f aca="false">IFERROR(T947/P947,"")</f>
        <v>0.59256206315686</v>
      </c>
      <c r="V947" s="14" t="n">
        <f aca="false">T947-AV947</f>
        <v>-2325809</v>
      </c>
      <c r="W947" s="14" t="n">
        <f aca="false">V947-AA947*0.1</f>
        <v>-2325809</v>
      </c>
      <c r="X947" s="12" t="n">
        <v>3526592</v>
      </c>
      <c r="Y947" s="12" t="n">
        <v>180480</v>
      </c>
      <c r="Z947" s="15" t="n">
        <f aca="false">IFERROR(X947/Y947,"")</f>
        <v>19.5400709219858</v>
      </c>
      <c r="AA947" s="12" t="n">
        <v>0</v>
      </c>
      <c r="AB947" s="14" t="n">
        <f aca="false">W947-0.02*P947</f>
        <v>-2336387.74</v>
      </c>
      <c r="AC947" s="16" t="n">
        <v>28</v>
      </c>
      <c r="AD947" s="13" t="n">
        <f aca="false">IFERROR(AC947/AC946-1,"")</f>
        <v>0.0769230769230769</v>
      </c>
      <c r="AE947" s="17" t="n">
        <v>0.056</v>
      </c>
      <c r="AF947" s="17" t="n">
        <v>0.034</v>
      </c>
      <c r="AG947" s="13" t="n">
        <f aca="false">1-AF947</f>
        <v>0.966</v>
      </c>
      <c r="AH947" s="17" t="n">
        <v>1.098</v>
      </c>
      <c r="AI947" s="12" t="n">
        <v>32760</v>
      </c>
      <c r="AJ947" s="14" t="n">
        <f aca="false">IFERROR(AM947*U947*MIN(1/AE947,5),"")</f>
        <v>96706.1287071995</v>
      </c>
      <c r="AK947" s="18" t="n">
        <f aca="false">IFERROR(AJ947/AI947,"")</f>
        <v>2.9519575307448</v>
      </c>
      <c r="AL947" s="15" t="n">
        <f aca="false">IFERROR(AI947/(AM947*U947/12),"")</f>
        <v>20.3254956668911</v>
      </c>
      <c r="AM947" s="12" t="n">
        <v>32640</v>
      </c>
      <c r="AN947" s="12" t="n">
        <v>514731</v>
      </c>
      <c r="AO947" s="12" t="n">
        <v>887961</v>
      </c>
      <c r="AP947" s="17" t="n">
        <v>0.405</v>
      </c>
      <c r="AQ947" s="16" t="n">
        <v>66</v>
      </c>
      <c r="AR947" s="16" t="n">
        <v>2</v>
      </c>
      <c r="AS947" s="13" t="n">
        <f aca="false">IFERROR(AR947/AR946-1,"")</f>
        <v>0</v>
      </c>
      <c r="AT947" s="11" t="s">
        <v>201</v>
      </c>
      <c r="AU947" s="14" t="n">
        <f aca="false">IFERROR(P947/AR947,"")</f>
        <v>264468.5</v>
      </c>
      <c r="AV947" s="12" t="n">
        <v>2639237</v>
      </c>
      <c r="AW947" s="12" t="n">
        <v>923979</v>
      </c>
      <c r="AX947" s="12" t="n">
        <v>682969</v>
      </c>
      <c r="AY947" s="16" t="n">
        <v>19756</v>
      </c>
      <c r="AZ947" s="13" t="n">
        <f aca="false">IFERROR(AY947/AY946-1,"")</f>
        <v>0.243062983703517</v>
      </c>
      <c r="BA947" s="17" t="n">
        <v>0.952</v>
      </c>
      <c r="BB947" s="11" t="s">
        <v>81</v>
      </c>
      <c r="BC947" s="11" t="s">
        <v>126</v>
      </c>
      <c r="BD947" s="11" t="s">
        <v>157</v>
      </c>
      <c r="BE947" s="12" t="n">
        <v>627483</v>
      </c>
      <c r="BF947" s="13" t="n">
        <f aca="false">IFERROR(P947/BE947-1,"")</f>
        <v>-0.157049673058872</v>
      </c>
      <c r="BG947" s="17" t="n">
        <v>-0.016</v>
      </c>
      <c r="BH947" s="17" t="n">
        <v>0.017</v>
      </c>
      <c r="BI947" s="14" t="n">
        <f aca="false">P947*(1+IFERROR(Q947,0))^4</f>
        <v>1109544.42342826</v>
      </c>
      <c r="BJ947" s="12" t="n">
        <v>-2131653</v>
      </c>
      <c r="BK947" s="11" t="s">
        <v>127</v>
      </c>
      <c r="BL947" s="11" t="s">
        <v>162</v>
      </c>
      <c r="BM947" s="14" t="n">
        <f aca="false">O947</f>
        <v>26654812</v>
      </c>
      <c r="BN947" s="11" t="s">
        <v>871</v>
      </c>
      <c r="BO947" s="13" t="n">
        <f aca="false">IFERROR(1-L947/M947,"")</f>
        <v>0.182473066409391</v>
      </c>
      <c r="BP947" s="11" t="s">
        <v>142</v>
      </c>
      <c r="BQ947" s="12" t="n">
        <v>3033767</v>
      </c>
      <c r="BR947" s="11" t="s">
        <v>88</v>
      </c>
      <c r="BS947" s="11" t="s">
        <v>89</v>
      </c>
      <c r="BT947" s="19" t="str">
        <f aca="false">IF(OR(Z947&lt;6,AH947&lt;0.9,S947&lt;0.02,AK947&lt;1),"REVIEW",IF(AND(S947&gt;0.25,AH947&gt;1.2),"ACCELERATING","STABLE"))</f>
        <v>STABLE</v>
      </c>
    </row>
    <row r="948" customFormat="false" ht="15" hidden="false" customHeight="false" outlineLevel="0" collapsed="false">
      <c r="A948" s="11" t="s">
        <v>868</v>
      </c>
      <c r="B948" s="11" t="s">
        <v>92</v>
      </c>
      <c r="C948" s="11" t="s">
        <v>74</v>
      </c>
      <c r="D948" s="11" t="s">
        <v>95</v>
      </c>
      <c r="E948" s="11" t="s">
        <v>869</v>
      </c>
      <c r="F948" s="11" t="s">
        <v>870</v>
      </c>
      <c r="G948" s="11" t="s">
        <v>78</v>
      </c>
      <c r="H948" s="11" t="s">
        <v>644</v>
      </c>
      <c r="I948" s="11" t="s">
        <v>78</v>
      </c>
      <c r="J948" s="12" t="n">
        <v>5674000</v>
      </c>
      <c r="K948" s="13" t="n">
        <f aca="false">IFERROR(J948/M948,"")</f>
        <v>0.182473066409391</v>
      </c>
      <c r="L948" s="12" t="n">
        <v>25421000</v>
      </c>
      <c r="M948" s="14" t="n">
        <f aca="false">L948+J948</f>
        <v>31095000</v>
      </c>
      <c r="N948" s="12" t="n">
        <v>6665000</v>
      </c>
      <c r="O948" s="12" t="n">
        <v>26654812</v>
      </c>
      <c r="P948" s="12" t="n">
        <v>647140</v>
      </c>
      <c r="Q948" s="13" t="n">
        <f aca="false">IFERROR(P948/P947-1,"")</f>
        <v>0.223472738719356</v>
      </c>
      <c r="R948" s="12" t="n">
        <v>650663</v>
      </c>
      <c r="S948" s="13" t="n">
        <f aca="false">IFERROR(R948/R947-1,"")</f>
        <v>0.228120210492937</v>
      </c>
      <c r="T948" s="12" t="n">
        <v>385018</v>
      </c>
      <c r="U948" s="13" t="n">
        <f aca="false">IFERROR(T948/P948,"")</f>
        <v>0.59495317860123</v>
      </c>
      <c r="V948" s="14" t="n">
        <f aca="false">T948-AV948</f>
        <v>-2177495</v>
      </c>
      <c r="W948" s="14" t="n">
        <f aca="false">V948-AA948*0.1</f>
        <v>-2177495</v>
      </c>
      <c r="X948" s="12" t="n">
        <v>3054848</v>
      </c>
      <c r="Y948" s="12" t="n">
        <v>186240</v>
      </c>
      <c r="Z948" s="15" t="n">
        <f aca="false">IFERROR(X948/Y948,"")</f>
        <v>16.4027491408935</v>
      </c>
      <c r="AA948" s="12" t="n">
        <v>0</v>
      </c>
      <c r="AB948" s="14" t="n">
        <f aca="false">W948-0.02*P948</f>
        <v>-2190437.8</v>
      </c>
      <c r="AC948" s="16" t="n">
        <v>35</v>
      </c>
      <c r="AD948" s="13" t="n">
        <f aca="false">IFERROR(AC948/AC947-1,"")</f>
        <v>0.25</v>
      </c>
      <c r="AE948" s="17" t="n">
        <v>0.055</v>
      </c>
      <c r="AF948" s="17" t="n">
        <v>0.048</v>
      </c>
      <c r="AG948" s="13" t="n">
        <f aca="false">1-AF948</f>
        <v>0.952</v>
      </c>
      <c r="AH948" s="17" t="n">
        <v>1.093</v>
      </c>
      <c r="AI948" s="12" t="n">
        <v>32130</v>
      </c>
      <c r="AJ948" s="14" t="n">
        <f aca="false">IFERROR(AM948*U948*MIN(1/AE948,5),"")</f>
        <v>99000.2089192447</v>
      </c>
      <c r="AK948" s="18" t="n">
        <f aca="false">IFERROR(AJ948/AI948,"")</f>
        <v>3.08123899530796</v>
      </c>
      <c r="AL948" s="15" t="n">
        <f aca="false">IFERROR(AI948/(AM948*U948/12),"")</f>
        <v>19.4726861796072</v>
      </c>
      <c r="AM948" s="12" t="n">
        <v>33280</v>
      </c>
      <c r="AN948" s="12" t="n">
        <v>886852</v>
      </c>
      <c r="AO948" s="12" t="n">
        <v>1781004</v>
      </c>
      <c r="AP948" s="17" t="n">
        <v>0.405</v>
      </c>
      <c r="AQ948" s="16" t="n">
        <v>66</v>
      </c>
      <c r="AR948" s="16" t="n">
        <v>2</v>
      </c>
      <c r="AS948" s="13" t="n">
        <f aca="false">IFERROR(AR948/AR947-1,"")</f>
        <v>0</v>
      </c>
      <c r="AT948" s="11" t="s">
        <v>201</v>
      </c>
      <c r="AU948" s="14" t="n">
        <f aca="false">IFERROR(P948/AR948,"")</f>
        <v>323570</v>
      </c>
      <c r="AV948" s="12" t="n">
        <v>2562513</v>
      </c>
      <c r="AW948" s="12" t="n">
        <v>821643</v>
      </c>
      <c r="AX948" s="12" t="n">
        <v>637119</v>
      </c>
      <c r="AY948" s="16" t="n">
        <v>22800</v>
      </c>
      <c r="AZ948" s="13" t="n">
        <f aca="false">IFERROR(AY948/AY947-1,"")</f>
        <v>0.154079773233448</v>
      </c>
      <c r="BA948" s="17" t="n">
        <v>0.947</v>
      </c>
      <c r="BB948" s="11" t="s">
        <v>81</v>
      </c>
      <c r="BC948" s="11" t="s">
        <v>126</v>
      </c>
      <c r="BD948" s="11" t="s">
        <v>157</v>
      </c>
      <c r="BE948" s="12" t="n">
        <v>693375</v>
      </c>
      <c r="BF948" s="13" t="n">
        <f aca="false">IFERROR(P948/BE948-1,"")</f>
        <v>-0.0666810888768704</v>
      </c>
      <c r="BG948" s="17" t="n">
        <v>-0.016</v>
      </c>
      <c r="BH948" s="17" t="n">
        <v>0.053</v>
      </c>
      <c r="BI948" s="14" t="n">
        <f aca="false">P948*(1+IFERROR(Q948,0))^4</f>
        <v>1450024.80686418</v>
      </c>
      <c r="BJ948" s="12" t="n">
        <v>-1792195</v>
      </c>
      <c r="BK948" s="11" t="s">
        <v>127</v>
      </c>
      <c r="BL948" s="11" t="s">
        <v>162</v>
      </c>
      <c r="BM948" s="14" t="n">
        <f aca="false">O948</f>
        <v>26654812</v>
      </c>
      <c r="BN948" s="11" t="s">
        <v>871</v>
      </c>
      <c r="BO948" s="13" t="n">
        <f aca="false">IFERROR(1-L948/M948,"")</f>
        <v>0.182473066409391</v>
      </c>
      <c r="BP948" s="11" t="s">
        <v>142</v>
      </c>
      <c r="BQ948" s="12" t="n">
        <v>3298197</v>
      </c>
      <c r="BR948" s="11" t="s">
        <v>88</v>
      </c>
      <c r="BS948" s="11" t="s">
        <v>89</v>
      </c>
      <c r="BT948" s="19" t="str">
        <f aca="false">IF(OR(Z948&lt;6,AH948&lt;0.9,S948&lt;0.02,AK948&lt;1),"REVIEW",IF(AND(S948&gt;0.25,AH948&gt;1.2),"ACCELERATING","STABLE"))</f>
        <v>STABLE</v>
      </c>
    </row>
    <row r="949" customFormat="false" ht="15" hidden="false" customHeight="false" outlineLevel="0" collapsed="false">
      <c r="A949" s="11" t="s">
        <v>868</v>
      </c>
      <c r="B949" s="11" t="s">
        <v>93</v>
      </c>
      <c r="C949" s="11" t="s">
        <v>74</v>
      </c>
      <c r="D949" s="11" t="s">
        <v>95</v>
      </c>
      <c r="E949" s="11" t="s">
        <v>869</v>
      </c>
      <c r="F949" s="11" t="s">
        <v>870</v>
      </c>
      <c r="G949" s="11" t="s">
        <v>78</v>
      </c>
      <c r="H949" s="11" t="s">
        <v>644</v>
      </c>
      <c r="I949" s="11" t="s">
        <v>78</v>
      </c>
      <c r="J949" s="12" t="n">
        <v>5674000</v>
      </c>
      <c r="K949" s="13" t="n">
        <f aca="false">IFERROR(J949/M949,"")</f>
        <v>0.182473066409391</v>
      </c>
      <c r="L949" s="12" t="n">
        <v>25421000</v>
      </c>
      <c r="M949" s="14" t="n">
        <f aca="false">L949+J949</f>
        <v>31095000</v>
      </c>
      <c r="N949" s="12" t="n">
        <v>6665000</v>
      </c>
      <c r="O949" s="12" t="n">
        <v>26654812</v>
      </c>
      <c r="P949" s="12" t="n">
        <v>750026</v>
      </c>
      <c r="Q949" s="13" t="n">
        <f aca="false">IFERROR(P949/P948-1,"")</f>
        <v>0.158985690886053</v>
      </c>
      <c r="R949" s="12" t="n">
        <v>832234</v>
      </c>
      <c r="S949" s="13" t="n">
        <f aca="false">IFERROR(R949/R948-1,"")</f>
        <v>0.2790553635292</v>
      </c>
      <c r="T949" s="12" t="n">
        <v>448022</v>
      </c>
      <c r="U949" s="13" t="n">
        <f aca="false">IFERROR(T949/P949,"")</f>
        <v>0.597341958812095</v>
      </c>
      <c r="V949" s="14" t="n">
        <f aca="false">T949-AV949</f>
        <v>-1961336</v>
      </c>
      <c r="W949" s="14" t="n">
        <f aca="false">V949-AA949*0.1</f>
        <v>-1961336</v>
      </c>
      <c r="X949" s="12" t="n">
        <v>2552000</v>
      </c>
      <c r="Y949" s="12" t="n">
        <v>192000</v>
      </c>
      <c r="Z949" s="15" t="n">
        <f aca="false">IFERROR(X949/Y949,"")</f>
        <v>13.2916666666667</v>
      </c>
      <c r="AA949" s="12" t="n">
        <v>0</v>
      </c>
      <c r="AB949" s="14" t="n">
        <f aca="false">W949-0.02*P949</f>
        <v>-1976336.52</v>
      </c>
      <c r="AC949" s="16" t="n">
        <v>40</v>
      </c>
      <c r="AD949" s="13" t="n">
        <f aca="false">IFERROR(AC949/AC948-1,"")</f>
        <v>0.142857142857143</v>
      </c>
      <c r="AE949" s="17" t="n">
        <v>0.053</v>
      </c>
      <c r="AF949" s="17" t="n">
        <v>0.034</v>
      </c>
      <c r="AG949" s="13" t="n">
        <f aca="false">1-AF949</f>
        <v>0.966</v>
      </c>
      <c r="AH949" s="17" t="n">
        <v>1.088</v>
      </c>
      <c r="AI949" s="12" t="n">
        <v>31500</v>
      </c>
      <c r="AJ949" s="14" t="n">
        <f aca="false">IFERROR(AM949*U949*MIN(1/AE949,5),"")</f>
        <v>101309.196214531</v>
      </c>
      <c r="AK949" s="18" t="n">
        <f aca="false">IFERROR(AJ949/AI949,"")</f>
        <v>3.21616495919147</v>
      </c>
      <c r="AL949" s="15" t="n">
        <f aca="false">IFERROR(AI949/(AM949*U949/12),"")</f>
        <v>18.6557595027973</v>
      </c>
      <c r="AM949" s="12" t="n">
        <v>33920</v>
      </c>
      <c r="AN949" s="12" t="n">
        <v>813034</v>
      </c>
      <c r="AO949" s="12" t="n">
        <v>2946434</v>
      </c>
      <c r="AP949" s="17" t="n">
        <v>0.405</v>
      </c>
      <c r="AQ949" s="16" t="n">
        <v>66</v>
      </c>
      <c r="AR949" s="16" t="n">
        <v>2</v>
      </c>
      <c r="AS949" s="13" t="n">
        <f aca="false">IFERROR(AR949/AR948-1,"")</f>
        <v>0</v>
      </c>
      <c r="AT949" s="11" t="s">
        <v>201</v>
      </c>
      <c r="AU949" s="14" t="n">
        <f aca="false">IFERROR(P949/AR949,"")</f>
        <v>375013</v>
      </c>
      <c r="AV949" s="12" t="n">
        <v>2409358</v>
      </c>
      <c r="AW949" s="12" t="n">
        <v>1084172</v>
      </c>
      <c r="AX949" s="12" t="n">
        <v>555098</v>
      </c>
      <c r="AY949" s="16" t="n">
        <v>26194</v>
      </c>
      <c r="AZ949" s="13" t="n">
        <f aca="false">IFERROR(AY949/AY948-1,"")</f>
        <v>0.148859649122807</v>
      </c>
      <c r="BA949" s="17" t="n">
        <v>0.95</v>
      </c>
      <c r="BB949" s="11" t="s">
        <v>81</v>
      </c>
      <c r="BC949" s="11" t="s">
        <v>126</v>
      </c>
      <c r="BD949" s="11" t="s">
        <v>157</v>
      </c>
      <c r="BE949" s="12" t="n">
        <v>723921</v>
      </c>
      <c r="BF949" s="13" t="n">
        <f aca="false">IFERROR(P949/BE949-1,"")</f>
        <v>0.0360605646196202</v>
      </c>
      <c r="BG949" s="17" t="n">
        <v>0.041</v>
      </c>
      <c r="BH949" s="17" t="n">
        <v>0.097</v>
      </c>
      <c r="BI949" s="14" t="n">
        <f aca="false">P949*(1+IFERROR(Q949,0))^4</f>
        <v>1353282.96516516</v>
      </c>
      <c r="BJ949" s="12" t="n">
        <v>-1268488</v>
      </c>
      <c r="BK949" s="11" t="s">
        <v>127</v>
      </c>
      <c r="BL949" s="11" t="s">
        <v>162</v>
      </c>
      <c r="BM949" s="14" t="n">
        <f aca="false">O949</f>
        <v>26654812</v>
      </c>
      <c r="BN949" s="11" t="s">
        <v>871</v>
      </c>
      <c r="BO949" s="13" t="n">
        <f aca="false">IFERROR(1-L949/M949,"")</f>
        <v>0.182473066409391</v>
      </c>
      <c r="BP949" s="11" t="s">
        <v>142</v>
      </c>
      <c r="BQ949" s="12" t="n">
        <v>2432111</v>
      </c>
      <c r="BR949" s="11" t="s">
        <v>88</v>
      </c>
      <c r="BS949" s="11" t="s">
        <v>89</v>
      </c>
      <c r="BT949" s="19" t="str">
        <f aca="false">IF(OR(Z949&lt;6,AH949&lt;0.9,S949&lt;0.02,AK949&lt;1),"REVIEW",IF(AND(S949&gt;0.25,AH949&gt;1.2),"ACCELERATING","STABLE"))</f>
        <v>STABLE</v>
      </c>
    </row>
    <row r="950" customFormat="false" ht="15" hidden="false" customHeight="false" outlineLevel="0" collapsed="false">
      <c r="A950" s="3" t="s">
        <v>872</v>
      </c>
      <c r="B950" s="3" t="s">
        <v>73</v>
      </c>
      <c r="C950" s="3" t="s">
        <v>74</v>
      </c>
      <c r="D950" s="3" t="s">
        <v>151</v>
      </c>
      <c r="E950" s="3" t="s">
        <v>105</v>
      </c>
      <c r="F950" s="3" t="s">
        <v>873</v>
      </c>
      <c r="G950" s="3" t="s">
        <v>78</v>
      </c>
      <c r="H950" s="3" t="s">
        <v>644</v>
      </c>
      <c r="I950" s="3" t="s">
        <v>78</v>
      </c>
      <c r="J950" s="4" t="n">
        <v>2256000</v>
      </c>
      <c r="K950" s="5" t="n">
        <f aca="false">IFERROR(J950/M950,"")</f>
        <v>0.151776103336921</v>
      </c>
      <c r="L950" s="4" t="n">
        <v>12608000</v>
      </c>
      <c r="M950" s="6" t="n">
        <f aca="false">L950+J950</f>
        <v>14864000</v>
      </c>
      <c r="N950" s="4" t="n">
        <v>6160000</v>
      </c>
      <c r="O950" s="4" t="n">
        <v>13564574</v>
      </c>
      <c r="P950" s="4" t="n">
        <v>1354356</v>
      </c>
      <c r="Q950" s="7"/>
      <c r="R950" s="4" t="n">
        <v>1385831</v>
      </c>
      <c r="S950" s="7"/>
      <c r="T950" s="4" t="n">
        <v>747710</v>
      </c>
      <c r="U950" s="5" t="n">
        <f aca="false">IFERROR(T950/P950,"")</f>
        <v>0.552077887940837</v>
      </c>
      <c r="V950" s="6" t="n">
        <f aca="false">T950-AV950</f>
        <v>-786842</v>
      </c>
      <c r="W950" s="6" t="n">
        <f aca="false">V950-AA950*0.1</f>
        <v>-877442</v>
      </c>
      <c r="X950" s="4" t="n">
        <v>2760648</v>
      </c>
      <c r="Y950" s="4" t="n">
        <v>80080</v>
      </c>
      <c r="Z950" s="8" t="n">
        <f aca="false">IFERROR(X950/Y950,"")</f>
        <v>34.4736263736264</v>
      </c>
      <c r="AA950" s="4" t="n">
        <v>906000</v>
      </c>
      <c r="AB950" s="6" t="n">
        <f aca="false">W950-0.02*P950</f>
        <v>-904529.12</v>
      </c>
      <c r="AC950" s="9" t="n">
        <v>44</v>
      </c>
      <c r="AD950" s="7"/>
      <c r="AE950" s="7" t="n">
        <v>0.153</v>
      </c>
      <c r="AF950" s="7" t="n">
        <v>0.125</v>
      </c>
      <c r="AG950" s="5" t="n">
        <f aca="false">1-AF950</f>
        <v>0.875</v>
      </c>
      <c r="AH950" s="7" t="n">
        <v>1.056</v>
      </c>
      <c r="AI950" s="4" t="n">
        <v>43778</v>
      </c>
      <c r="AJ950" s="6" t="n">
        <f aca="false">IFERROR(AM950*U950*MIN(1/AE950,5),"")</f>
        <v>124217.524786688</v>
      </c>
      <c r="AK950" s="10" t="n">
        <f aca="false">IFERROR(AJ950/AI950,"")</f>
        <v>2.83744174669214</v>
      </c>
      <c r="AL950" s="8" t="n">
        <f aca="false">IFERROR(AI950/(AM950*U950/12),"")</f>
        <v>21.1458085685627</v>
      </c>
      <c r="AM950" s="4" t="n">
        <v>45000</v>
      </c>
      <c r="AN950" s="4" t="n">
        <v>1640270</v>
      </c>
      <c r="AO950" s="4" t="n">
        <v>2950287</v>
      </c>
      <c r="AP950" s="7" t="n">
        <v>0.275</v>
      </c>
      <c r="AQ950" s="9" t="n">
        <v>38</v>
      </c>
      <c r="AR950" s="9" t="n">
        <v>3</v>
      </c>
      <c r="AS950" s="7"/>
      <c r="AT950" s="3" t="s">
        <v>80</v>
      </c>
      <c r="AU950" s="6" t="n">
        <f aca="false">IFERROR(P950/AR950,"")</f>
        <v>451452</v>
      </c>
      <c r="AV950" s="4" t="n">
        <v>1534552</v>
      </c>
      <c r="AW950" s="4" t="n">
        <v>707715</v>
      </c>
      <c r="AX950" s="4" t="n">
        <v>313589</v>
      </c>
      <c r="AY950" s="9" t="n">
        <v>8941</v>
      </c>
      <c r="AZ950" s="7"/>
      <c r="BA950" s="7" t="n">
        <v>0.849</v>
      </c>
      <c r="BB950" s="3" t="s">
        <v>107</v>
      </c>
      <c r="BC950" s="3" t="s">
        <v>108</v>
      </c>
      <c r="BD950" s="3" t="s">
        <v>109</v>
      </c>
      <c r="BE950" s="4" t="n">
        <v>1322386</v>
      </c>
      <c r="BF950" s="5" t="n">
        <f aca="false">IFERROR(P950/BE950-1,"")</f>
        <v>0.024175997023562</v>
      </c>
      <c r="BG950" s="7" t="n">
        <v>0.002</v>
      </c>
      <c r="BH950" s="7" t="n">
        <v>0.095</v>
      </c>
      <c r="BI950" s="6" t="n">
        <f aca="false">P950</f>
        <v>1354356</v>
      </c>
      <c r="BJ950" s="4" t="n">
        <v>-594980</v>
      </c>
      <c r="BK950" s="3" t="s">
        <v>192</v>
      </c>
      <c r="BL950" s="3" t="s">
        <v>128</v>
      </c>
      <c r="BM950" s="6" t="n">
        <f aca="false">O950</f>
        <v>13564574</v>
      </c>
      <c r="BN950" s="3" t="s">
        <v>874</v>
      </c>
      <c r="BO950" s="5" t="n">
        <f aca="false">IFERROR(1-L950/M950,"")</f>
        <v>0.151776103336921</v>
      </c>
      <c r="BP950" s="3" t="s">
        <v>130</v>
      </c>
      <c r="BQ950" s="4" t="n">
        <v>1213374</v>
      </c>
      <c r="BR950" s="3" t="s">
        <v>88</v>
      </c>
      <c r="BS950" s="3" t="s">
        <v>89</v>
      </c>
      <c r="BT950" s="3" t="s">
        <v>90</v>
      </c>
    </row>
    <row r="951" customFormat="false" ht="15" hidden="false" customHeight="false" outlineLevel="0" collapsed="false">
      <c r="A951" s="11" t="s">
        <v>872</v>
      </c>
      <c r="B951" s="11" t="s">
        <v>91</v>
      </c>
      <c r="C951" s="11" t="s">
        <v>74</v>
      </c>
      <c r="D951" s="11" t="s">
        <v>151</v>
      </c>
      <c r="E951" s="11" t="s">
        <v>105</v>
      </c>
      <c r="F951" s="11" t="s">
        <v>873</v>
      </c>
      <c r="G951" s="11" t="s">
        <v>78</v>
      </c>
      <c r="H951" s="11" t="s">
        <v>644</v>
      </c>
      <c r="I951" s="11" t="s">
        <v>78</v>
      </c>
      <c r="J951" s="12" t="n">
        <v>2256000</v>
      </c>
      <c r="K951" s="13" t="n">
        <f aca="false">IFERROR(J951/M951,"")</f>
        <v>0.151776103336921</v>
      </c>
      <c r="L951" s="12" t="n">
        <v>12608000</v>
      </c>
      <c r="M951" s="14" t="n">
        <f aca="false">L951+J951</f>
        <v>14864000</v>
      </c>
      <c r="N951" s="12" t="n">
        <v>6160000</v>
      </c>
      <c r="O951" s="12" t="n">
        <v>13564574</v>
      </c>
      <c r="P951" s="12" t="n">
        <v>1606665</v>
      </c>
      <c r="Q951" s="13" t="n">
        <f aca="false">IFERROR(P951/P950-1,"")</f>
        <v>0.186294445478146</v>
      </c>
      <c r="R951" s="12" t="n">
        <v>1668134</v>
      </c>
      <c r="S951" s="13" t="n">
        <f aca="false">IFERROR(R951/R950-1,"")</f>
        <v>0.203706656872303</v>
      </c>
      <c r="T951" s="12" t="n">
        <v>890595</v>
      </c>
      <c r="U951" s="13" t="n">
        <f aca="false">IFERROR(T951/P951,"")</f>
        <v>0.554312815677195</v>
      </c>
      <c r="V951" s="14" t="n">
        <f aca="false">T951-AV951</f>
        <v>-775148</v>
      </c>
      <c r="W951" s="14" t="n">
        <f aca="false">V951-AA951*0.1</f>
        <v>-865748</v>
      </c>
      <c r="X951" s="12" t="n">
        <v>2558688</v>
      </c>
      <c r="Y951" s="12" t="n">
        <v>82720</v>
      </c>
      <c r="Z951" s="15" t="n">
        <f aca="false">IFERROR(X951/Y951,"")</f>
        <v>30.931914893617</v>
      </c>
      <c r="AA951" s="12" t="n">
        <v>906000</v>
      </c>
      <c r="AB951" s="14" t="n">
        <f aca="false">W951-0.02*P951</f>
        <v>-897881.3</v>
      </c>
      <c r="AC951" s="16" t="n">
        <v>53</v>
      </c>
      <c r="AD951" s="13" t="n">
        <f aca="false">IFERROR(AC951/AC950-1,"")</f>
        <v>0.204545454545455</v>
      </c>
      <c r="AE951" s="17" t="n">
        <v>0.148</v>
      </c>
      <c r="AF951" s="17" t="n">
        <v>0.119</v>
      </c>
      <c r="AG951" s="13" t="n">
        <f aca="false">1-AF951</f>
        <v>0.881</v>
      </c>
      <c r="AH951" s="17" t="n">
        <v>1.051</v>
      </c>
      <c r="AI951" s="12" t="n">
        <v>42952</v>
      </c>
      <c r="AJ951" s="14" t="n">
        <f aca="false">IFERROR(AM951*U951*MIN(1/AE951,5),"")</f>
        <v>127214.791197916</v>
      </c>
      <c r="AK951" s="18" t="n">
        <f aca="false">IFERROR(AJ951/AI951,"")</f>
        <v>2.96178970008186</v>
      </c>
      <c r="AL951" s="15" t="n">
        <f aca="false">IFERROR(AI951/(AM951*U951/12),"")</f>
        <v>20.2580216949035</v>
      </c>
      <c r="AM951" s="12" t="n">
        <v>45900</v>
      </c>
      <c r="AN951" s="12" t="n">
        <v>1687567</v>
      </c>
      <c r="AO951" s="12" t="n">
        <v>5779884</v>
      </c>
      <c r="AP951" s="17" t="n">
        <v>0.275</v>
      </c>
      <c r="AQ951" s="16" t="n">
        <v>38</v>
      </c>
      <c r="AR951" s="16" t="n">
        <v>3</v>
      </c>
      <c r="AS951" s="13" t="n">
        <f aca="false">IFERROR(AR951/AR950-1,"")</f>
        <v>0</v>
      </c>
      <c r="AT951" s="11" t="s">
        <v>80</v>
      </c>
      <c r="AU951" s="14" t="n">
        <f aca="false">IFERROR(P951/AR951,"")</f>
        <v>535555</v>
      </c>
      <c r="AV951" s="12" t="n">
        <v>1665743</v>
      </c>
      <c r="AW951" s="12" t="n">
        <v>752691</v>
      </c>
      <c r="AX951" s="12" t="n">
        <v>313155</v>
      </c>
      <c r="AY951" s="16" t="n">
        <v>11347</v>
      </c>
      <c r="AZ951" s="13" t="n">
        <f aca="false">IFERROR(AY951/AY950-1,"")</f>
        <v>0.269097416396376</v>
      </c>
      <c r="BA951" s="17" t="n">
        <v>0.856</v>
      </c>
      <c r="BB951" s="11" t="s">
        <v>107</v>
      </c>
      <c r="BC951" s="11" t="s">
        <v>108</v>
      </c>
      <c r="BD951" s="11" t="s">
        <v>109</v>
      </c>
      <c r="BE951" s="12" t="n">
        <v>1742305</v>
      </c>
      <c r="BF951" s="13" t="n">
        <f aca="false">IFERROR(P951/BE951-1,"")</f>
        <v>-0.0778508929263246</v>
      </c>
      <c r="BG951" s="17" t="n">
        <v>0.084</v>
      </c>
      <c r="BH951" s="17" t="n">
        <v>0.082</v>
      </c>
      <c r="BI951" s="14" t="n">
        <f aca="false">P951*(1+IFERROR(Q951,0))^4</f>
        <v>3181964.43159696</v>
      </c>
      <c r="BJ951" s="12" t="n">
        <v>-818006</v>
      </c>
      <c r="BK951" s="11" t="s">
        <v>192</v>
      </c>
      <c r="BL951" s="11" t="s">
        <v>128</v>
      </c>
      <c r="BM951" s="14" t="n">
        <f aca="false">O951</f>
        <v>13564574</v>
      </c>
      <c r="BN951" s="11" t="s">
        <v>874</v>
      </c>
      <c r="BO951" s="13" t="n">
        <f aca="false">IFERROR(1-L951/M951,"")</f>
        <v>0.151776103336921</v>
      </c>
      <c r="BP951" s="11" t="s">
        <v>130</v>
      </c>
      <c r="BQ951" s="12" t="n">
        <v>1050790</v>
      </c>
      <c r="BR951" s="11" t="s">
        <v>88</v>
      </c>
      <c r="BS951" s="11" t="s">
        <v>89</v>
      </c>
      <c r="BT951" s="19" t="str">
        <f aca="false">IF(OR(Z951&lt;6,AH951&lt;0.9,S951&lt;0.02,AK951&lt;1),"REVIEW",IF(AND(S951&gt;0.25,AH951&gt;1.2),"ACCELERATING","STABLE"))</f>
        <v>STABLE</v>
      </c>
    </row>
    <row r="952" customFormat="false" ht="15" hidden="false" customHeight="false" outlineLevel="0" collapsed="false">
      <c r="A952" s="11" t="s">
        <v>872</v>
      </c>
      <c r="B952" s="11" t="s">
        <v>92</v>
      </c>
      <c r="C952" s="11" t="s">
        <v>74</v>
      </c>
      <c r="D952" s="11" t="s">
        <v>151</v>
      </c>
      <c r="E952" s="11" t="s">
        <v>105</v>
      </c>
      <c r="F952" s="11" t="s">
        <v>873</v>
      </c>
      <c r="G952" s="11" t="s">
        <v>78</v>
      </c>
      <c r="H952" s="11" t="s">
        <v>644</v>
      </c>
      <c r="I952" s="11" t="s">
        <v>78</v>
      </c>
      <c r="J952" s="12" t="n">
        <v>2256000</v>
      </c>
      <c r="K952" s="13" t="n">
        <f aca="false">IFERROR(J952/M952,"")</f>
        <v>0.151776103336921</v>
      </c>
      <c r="L952" s="12" t="n">
        <v>12608000</v>
      </c>
      <c r="M952" s="14" t="n">
        <f aca="false">L952+J952</f>
        <v>14864000</v>
      </c>
      <c r="N952" s="12" t="n">
        <v>6160000</v>
      </c>
      <c r="O952" s="12" t="n">
        <v>13564574</v>
      </c>
      <c r="P952" s="12" t="n">
        <v>1890657</v>
      </c>
      <c r="Q952" s="13" t="n">
        <f aca="false">IFERROR(P952/P951-1,"")</f>
        <v>0.176758689583703</v>
      </c>
      <c r="R952" s="12" t="n">
        <v>1894468</v>
      </c>
      <c r="S952" s="13" t="n">
        <f aca="false">IFERROR(R952/R951-1,"")</f>
        <v>0.135680946494706</v>
      </c>
      <c r="T952" s="12" t="n">
        <v>1052242</v>
      </c>
      <c r="U952" s="13" t="n">
        <f aca="false">IFERROR(T952/P952,"")</f>
        <v>0.556548332140626</v>
      </c>
      <c r="V952" s="14" t="n">
        <f aca="false">T952-AV952</f>
        <v>-808010</v>
      </c>
      <c r="W952" s="14" t="n">
        <f aca="false">V952-AA952*0.1</f>
        <v>-898610</v>
      </c>
      <c r="X952" s="12" t="n">
        <v>2342472</v>
      </c>
      <c r="Y952" s="12" t="n">
        <v>85360</v>
      </c>
      <c r="Z952" s="15" t="n">
        <f aca="false">IFERROR(X952/Y952,"")</f>
        <v>27.4422680412371</v>
      </c>
      <c r="AA952" s="12" t="n">
        <v>906000</v>
      </c>
      <c r="AB952" s="14" t="n">
        <f aca="false">W952-0.02*P952</f>
        <v>-936423.14</v>
      </c>
      <c r="AC952" s="16" t="n">
        <v>60</v>
      </c>
      <c r="AD952" s="13" t="n">
        <f aca="false">IFERROR(AC952/AC951-1,"")</f>
        <v>0.132075471698113</v>
      </c>
      <c r="AE952" s="17" t="n">
        <v>0.144</v>
      </c>
      <c r="AF952" s="17" t="n">
        <v>0.126</v>
      </c>
      <c r="AG952" s="13" t="n">
        <f aca="false">1-AF952</f>
        <v>0.874</v>
      </c>
      <c r="AH952" s="17" t="n">
        <v>1.046</v>
      </c>
      <c r="AI952" s="12" t="n">
        <v>42126</v>
      </c>
      <c r="AJ952" s="14" t="n">
        <f aca="false">IFERROR(AM952*U952*MIN(1/AE952,5),"")</f>
        <v>130232.309720907</v>
      </c>
      <c r="AK952" s="18" t="n">
        <f aca="false">IFERROR(AJ952/AI952,"")</f>
        <v>3.09149479468515</v>
      </c>
      <c r="AL952" s="15" t="n">
        <f aca="false">IFERROR(AI952/(AM952*U952/12),"")</f>
        <v>19.4080870209295</v>
      </c>
      <c r="AM952" s="12" t="n">
        <v>46800</v>
      </c>
      <c r="AN952" s="12" t="n">
        <v>2690191</v>
      </c>
      <c r="AO952" s="12" t="n">
        <v>6170261</v>
      </c>
      <c r="AP952" s="17" t="n">
        <v>0.275</v>
      </c>
      <c r="AQ952" s="16" t="n">
        <v>38</v>
      </c>
      <c r="AR952" s="16" t="n">
        <v>3</v>
      </c>
      <c r="AS952" s="13" t="n">
        <f aca="false">IFERROR(AR952/AR951-1,"")</f>
        <v>0</v>
      </c>
      <c r="AT952" s="11" t="s">
        <v>80</v>
      </c>
      <c r="AU952" s="14" t="n">
        <f aca="false">IFERROR(P952/AR952,"")</f>
        <v>630219</v>
      </c>
      <c r="AV952" s="12" t="n">
        <v>1860252</v>
      </c>
      <c r="AW952" s="12" t="n">
        <v>732521</v>
      </c>
      <c r="AX952" s="12" t="n">
        <v>453679</v>
      </c>
      <c r="AY952" s="16" t="n">
        <v>13650</v>
      </c>
      <c r="AZ952" s="13" t="n">
        <f aca="false">IFERROR(AY952/AY951-1,"")</f>
        <v>0.202961135101789</v>
      </c>
      <c r="BA952" s="17" t="n">
        <v>0.876</v>
      </c>
      <c r="BB952" s="11" t="s">
        <v>107</v>
      </c>
      <c r="BC952" s="11" t="s">
        <v>108</v>
      </c>
      <c r="BD952" s="11" t="s">
        <v>109</v>
      </c>
      <c r="BE952" s="12" t="n">
        <v>1772298</v>
      </c>
      <c r="BF952" s="13" t="n">
        <f aca="false">IFERROR(P952/BE952-1,"")</f>
        <v>0.0667827870933668</v>
      </c>
      <c r="BG952" s="17" t="n">
        <v>0.006</v>
      </c>
      <c r="BH952" s="17" t="n">
        <v>0.091</v>
      </c>
      <c r="BI952" s="14" t="n">
        <f aca="false">P952*(1+IFERROR(Q952,0))^4</f>
        <v>3625454.03091273</v>
      </c>
      <c r="BJ952" s="12" t="n">
        <v>-581768</v>
      </c>
      <c r="BK952" s="11" t="s">
        <v>192</v>
      </c>
      <c r="BL952" s="11" t="s">
        <v>128</v>
      </c>
      <c r="BM952" s="14" t="n">
        <f aca="false">O952</f>
        <v>13564574</v>
      </c>
      <c r="BN952" s="11" t="s">
        <v>874</v>
      </c>
      <c r="BO952" s="13" t="n">
        <f aca="false">IFERROR(1-L952/M952,"")</f>
        <v>0.151776103336921</v>
      </c>
      <c r="BP952" s="11" t="s">
        <v>130</v>
      </c>
      <c r="BQ952" s="12" t="n">
        <v>1428184</v>
      </c>
      <c r="BR952" s="11" t="s">
        <v>88</v>
      </c>
      <c r="BS952" s="11" t="s">
        <v>89</v>
      </c>
      <c r="BT952" s="19" t="str">
        <f aca="false">IF(OR(Z952&lt;6,AH952&lt;0.9,S952&lt;0.02,AK952&lt;1),"REVIEW",IF(AND(S952&gt;0.25,AH952&gt;1.2),"ACCELERATING","STABLE"))</f>
        <v>STABLE</v>
      </c>
    </row>
    <row r="953" customFormat="false" ht="15" hidden="false" customHeight="false" outlineLevel="0" collapsed="false">
      <c r="A953" s="11" t="s">
        <v>872</v>
      </c>
      <c r="B953" s="11" t="s">
        <v>93</v>
      </c>
      <c r="C953" s="11" t="s">
        <v>74</v>
      </c>
      <c r="D953" s="11" t="s">
        <v>151</v>
      </c>
      <c r="E953" s="11" t="s">
        <v>105</v>
      </c>
      <c r="F953" s="11" t="s">
        <v>873</v>
      </c>
      <c r="G953" s="11" t="s">
        <v>78</v>
      </c>
      <c r="H953" s="11" t="s">
        <v>644</v>
      </c>
      <c r="I953" s="11" t="s">
        <v>78</v>
      </c>
      <c r="J953" s="12" t="n">
        <v>2256000</v>
      </c>
      <c r="K953" s="13" t="n">
        <f aca="false">IFERROR(J953/M953,"")</f>
        <v>0.151776103336921</v>
      </c>
      <c r="L953" s="12" t="n">
        <v>12608000</v>
      </c>
      <c r="M953" s="14" t="n">
        <f aca="false">L953+J953</f>
        <v>14864000</v>
      </c>
      <c r="N953" s="12" t="n">
        <v>6160000</v>
      </c>
      <c r="O953" s="12" t="n">
        <v>13564574</v>
      </c>
      <c r="P953" s="12" t="n">
        <v>2436969</v>
      </c>
      <c r="Q953" s="13" t="n">
        <f aca="false">IFERROR(P953/P952-1,"")</f>
        <v>0.288953522505669</v>
      </c>
      <c r="R953" s="12" t="n">
        <v>2450160</v>
      </c>
      <c r="S953" s="13" t="n">
        <f aca="false">IFERROR(R953/R952-1,"")</f>
        <v>0.293323508235557</v>
      </c>
      <c r="T953" s="12" t="n">
        <v>1361737</v>
      </c>
      <c r="U953" s="13" t="n">
        <f aca="false">IFERROR(T953/P953,"")</f>
        <v>0.558783062074241</v>
      </c>
      <c r="V953" s="14" t="n">
        <f aca="false">T953-AV953</f>
        <v>-1134674</v>
      </c>
      <c r="W953" s="14" t="n">
        <f aca="false">V953-AA953*0.1</f>
        <v>-1225274</v>
      </c>
      <c r="X953" s="12" t="n">
        <v>2112000</v>
      </c>
      <c r="Y953" s="12" t="n">
        <v>88000</v>
      </c>
      <c r="Z953" s="15" t="n">
        <f aca="false">IFERROR(X953/Y953,"")</f>
        <v>24</v>
      </c>
      <c r="AA953" s="12" t="n">
        <v>906000</v>
      </c>
      <c r="AB953" s="14" t="n">
        <f aca="false">W953-0.02*P953</f>
        <v>-1274013.38</v>
      </c>
      <c r="AC953" s="16" t="n">
        <v>74</v>
      </c>
      <c r="AD953" s="13" t="n">
        <f aca="false">IFERROR(AC953/AC952-1,"")</f>
        <v>0.233333333333333</v>
      </c>
      <c r="AE953" s="17" t="n">
        <v>0.14</v>
      </c>
      <c r="AF953" s="17" t="n">
        <v>0.149</v>
      </c>
      <c r="AG953" s="13" t="n">
        <f aca="false">1-AF953</f>
        <v>0.851</v>
      </c>
      <c r="AH953" s="17" t="n">
        <v>1.041</v>
      </c>
      <c r="AI953" s="12" t="n">
        <v>41300</v>
      </c>
      <c r="AJ953" s="14" t="n">
        <f aca="false">IFERROR(AM953*U953*MIN(1/AE953,5),"")</f>
        <v>133269.760304706</v>
      </c>
      <c r="AK953" s="18" t="n">
        <f aca="false">IFERROR(AJ953/AI953,"")</f>
        <v>3.22687070955706</v>
      </c>
      <c r="AL953" s="15" t="n">
        <f aca="false">IFERROR(AI953/(AM953*U953/12),"")</f>
        <v>18.5938655125839</v>
      </c>
      <c r="AM953" s="12" t="n">
        <v>47700</v>
      </c>
      <c r="AN953" s="12" t="n">
        <v>3202166</v>
      </c>
      <c r="AO953" s="12" t="n">
        <v>7400143</v>
      </c>
      <c r="AP953" s="17" t="n">
        <v>0.275</v>
      </c>
      <c r="AQ953" s="16" t="n">
        <v>38</v>
      </c>
      <c r="AR953" s="16" t="n">
        <v>3</v>
      </c>
      <c r="AS953" s="13" t="n">
        <f aca="false">IFERROR(AR953/AR952-1,"")</f>
        <v>0</v>
      </c>
      <c r="AT953" s="11" t="s">
        <v>80</v>
      </c>
      <c r="AU953" s="14" t="n">
        <f aca="false">IFERROR(P953/AR953,"")</f>
        <v>812323</v>
      </c>
      <c r="AV953" s="12" t="n">
        <v>2496411</v>
      </c>
      <c r="AW953" s="12" t="n">
        <v>1122142</v>
      </c>
      <c r="AX953" s="12" t="n">
        <v>649115</v>
      </c>
      <c r="AY953" s="16" t="n">
        <v>16255</v>
      </c>
      <c r="AZ953" s="13" t="n">
        <f aca="false">IFERROR(AY953/AY952-1,"")</f>
        <v>0.190842490842491</v>
      </c>
      <c r="BA953" s="17" t="n">
        <v>0.892</v>
      </c>
      <c r="BB953" s="11" t="s">
        <v>107</v>
      </c>
      <c r="BC953" s="11" t="s">
        <v>108</v>
      </c>
      <c r="BD953" s="11" t="s">
        <v>109</v>
      </c>
      <c r="BE953" s="12" t="n">
        <v>2318552</v>
      </c>
      <c r="BF953" s="13" t="n">
        <f aca="false">IFERROR(P953/BE953-1,"")</f>
        <v>0.0510736873703932</v>
      </c>
      <c r="BG953" s="17" t="n">
        <v>-0.008</v>
      </c>
      <c r="BH953" s="17" t="n">
        <v>0.07</v>
      </c>
      <c r="BI953" s="14" t="n">
        <f aca="false">P953*(1+IFERROR(Q953,0))^4</f>
        <v>6726653.16564454</v>
      </c>
      <c r="BJ953" s="12" t="n">
        <v>-889442</v>
      </c>
      <c r="BK953" s="11" t="s">
        <v>192</v>
      </c>
      <c r="BL953" s="11" t="s">
        <v>128</v>
      </c>
      <c r="BM953" s="14" t="n">
        <f aca="false">O953</f>
        <v>13564574</v>
      </c>
      <c r="BN953" s="11" t="s">
        <v>874</v>
      </c>
      <c r="BO953" s="13" t="n">
        <f aca="false">IFERROR(1-L953/M953,"")</f>
        <v>0.151776103336921</v>
      </c>
      <c r="BP953" s="11" t="s">
        <v>130</v>
      </c>
      <c r="BQ953" s="12" t="n">
        <v>1734703</v>
      </c>
      <c r="BR953" s="11" t="s">
        <v>88</v>
      </c>
      <c r="BS953" s="11" t="s">
        <v>89</v>
      </c>
      <c r="BT953" s="19" t="str">
        <f aca="false">IF(OR(Z953&lt;6,AH953&lt;0.9,S953&lt;0.02,AK953&lt;1),"REVIEW",IF(AND(S953&gt;0.25,AH953&gt;1.2),"ACCELERATING","STABLE"))</f>
        <v>STABLE</v>
      </c>
    </row>
    <row r="954" customFormat="false" ht="15" hidden="false" customHeight="false" outlineLevel="0" collapsed="false">
      <c r="A954" s="3" t="s">
        <v>875</v>
      </c>
      <c r="B954" s="3" t="s">
        <v>73</v>
      </c>
      <c r="C954" s="3" t="s">
        <v>74</v>
      </c>
      <c r="D954" s="3" t="s">
        <v>165</v>
      </c>
      <c r="E954" s="3" t="s">
        <v>105</v>
      </c>
      <c r="F954" s="3" t="s">
        <v>876</v>
      </c>
      <c r="G954" s="3" t="s">
        <v>78</v>
      </c>
      <c r="H954" s="3" t="s">
        <v>644</v>
      </c>
      <c r="I954" s="3" t="s">
        <v>78</v>
      </c>
      <c r="J954" s="4" t="n">
        <v>2849000</v>
      </c>
      <c r="K954" s="5" t="n">
        <f aca="false">IFERROR(J954/M954,"")</f>
        <v>0.150525704020711</v>
      </c>
      <c r="L954" s="4" t="n">
        <v>16078000</v>
      </c>
      <c r="M954" s="6" t="n">
        <f aca="false">L954+J954</f>
        <v>18927000</v>
      </c>
      <c r="N954" s="4" t="n">
        <v>4572000</v>
      </c>
      <c r="O954" s="4" t="n">
        <v>32077862</v>
      </c>
      <c r="P954" s="4" t="n">
        <v>403253</v>
      </c>
      <c r="Q954" s="7"/>
      <c r="R954" s="4" t="n">
        <v>460160</v>
      </c>
      <c r="S954" s="7"/>
      <c r="T954" s="4" t="n">
        <v>322892</v>
      </c>
      <c r="U954" s="5" t="n">
        <f aca="false">IFERROR(T954/P954,"")</f>
        <v>0.800718159567319</v>
      </c>
      <c r="V954" s="6" t="n">
        <f aca="false">T954-AV954</f>
        <v>-2330020</v>
      </c>
      <c r="W954" s="6" t="n">
        <f aca="false">V954-AA954*0.1</f>
        <v>-2330020</v>
      </c>
      <c r="X954" s="4" t="n">
        <v>4263310</v>
      </c>
      <c r="Y954" s="4" t="n">
        <v>212030</v>
      </c>
      <c r="Z954" s="8" t="n">
        <f aca="false">IFERROR(X954/Y954,"")</f>
        <v>20.1071074847899</v>
      </c>
      <c r="AA954" s="4" t="n">
        <v>0</v>
      </c>
      <c r="AB954" s="6" t="n">
        <f aca="false">W954-0.02*P954</f>
        <v>-2338085.06</v>
      </c>
      <c r="AC954" s="9" t="n">
        <v>15</v>
      </c>
      <c r="AD954" s="7"/>
      <c r="AE954" s="7" t="n">
        <v>0.11</v>
      </c>
      <c r="AF954" s="7" t="n">
        <v>0.094</v>
      </c>
      <c r="AG954" s="5" t="n">
        <f aca="false">1-AF954</f>
        <v>0.906</v>
      </c>
      <c r="AH954" s="7" t="n">
        <v>1.132</v>
      </c>
      <c r="AI954" s="4" t="n">
        <v>20246</v>
      </c>
      <c r="AJ954" s="6" t="n">
        <f aca="false">IFERROR(AM954*U954*MIN(1/AE954,5),"")</f>
        <v>40035.9079783659</v>
      </c>
      <c r="AK954" s="10" t="n">
        <f aca="false">IFERROR(AJ954/AI954,"")</f>
        <v>1.97747248732421</v>
      </c>
      <c r="AL954" s="8" t="n">
        <f aca="false">IFERROR(AI954/(AM954*U954/12),"")</f>
        <v>30.3417622164687</v>
      </c>
      <c r="AM954" s="4" t="n">
        <v>10000</v>
      </c>
      <c r="AN954" s="4" t="n">
        <v>436157</v>
      </c>
      <c r="AO954" s="4" t="n">
        <v>1463270</v>
      </c>
      <c r="AP954" s="7" t="n">
        <v>0.25</v>
      </c>
      <c r="AQ954" s="9" t="n">
        <v>22</v>
      </c>
      <c r="AR954" s="9" t="n">
        <v>2</v>
      </c>
      <c r="AS954" s="7"/>
      <c r="AT954" s="3" t="s">
        <v>80</v>
      </c>
      <c r="AU954" s="6" t="n">
        <f aca="false">IFERROR(P954/AR954,"")</f>
        <v>201626.5</v>
      </c>
      <c r="AV954" s="4" t="n">
        <v>2652912</v>
      </c>
      <c r="AW954" s="4" t="n">
        <v>878656</v>
      </c>
      <c r="AX954" s="4" t="n">
        <v>547556</v>
      </c>
      <c r="AY954" s="9" t="n">
        <v>20187</v>
      </c>
      <c r="AZ954" s="7"/>
      <c r="BA954" s="7" t="n">
        <v>0.912</v>
      </c>
      <c r="BB954" s="3" t="s">
        <v>81</v>
      </c>
      <c r="BC954" s="3" t="s">
        <v>126</v>
      </c>
      <c r="BD954" s="3" t="s">
        <v>175</v>
      </c>
      <c r="BE954" s="4" t="n">
        <v>394823</v>
      </c>
      <c r="BF954" s="5" t="n">
        <f aca="false">IFERROR(P954/BE954-1,"")</f>
        <v>0.0213513397142517</v>
      </c>
      <c r="BG954" s="7" t="n">
        <v>-0.015</v>
      </c>
      <c r="BH954" s="7" t="n">
        <v>-0.038</v>
      </c>
      <c r="BI954" s="6" t="n">
        <f aca="false">P954</f>
        <v>403253</v>
      </c>
      <c r="BJ954" s="4" t="n">
        <v>-2534483</v>
      </c>
      <c r="BK954" s="3" t="s">
        <v>110</v>
      </c>
      <c r="BL954" s="3" t="s">
        <v>111</v>
      </c>
      <c r="BM954" s="6" t="n">
        <f aca="false">O954</f>
        <v>32077862</v>
      </c>
      <c r="BN954" s="3" t="s">
        <v>877</v>
      </c>
      <c r="BO954" s="5" t="n">
        <f aca="false">IFERROR(1-L954/M954,"")</f>
        <v>0.150525704020711</v>
      </c>
      <c r="BP954" s="3" t="s">
        <v>142</v>
      </c>
      <c r="BQ954" s="4" t="n">
        <v>3914068</v>
      </c>
      <c r="BR954" s="3" t="s">
        <v>88</v>
      </c>
      <c r="BS954" s="3" t="s">
        <v>89</v>
      </c>
      <c r="BT954" s="3" t="s">
        <v>90</v>
      </c>
    </row>
    <row r="955" customFormat="false" ht="15" hidden="false" customHeight="false" outlineLevel="0" collapsed="false">
      <c r="A955" s="11" t="s">
        <v>875</v>
      </c>
      <c r="B955" s="11" t="s">
        <v>91</v>
      </c>
      <c r="C955" s="11" t="s">
        <v>74</v>
      </c>
      <c r="D955" s="11" t="s">
        <v>165</v>
      </c>
      <c r="E955" s="11" t="s">
        <v>105</v>
      </c>
      <c r="F955" s="11" t="s">
        <v>876</v>
      </c>
      <c r="G955" s="11" t="s">
        <v>78</v>
      </c>
      <c r="H955" s="11" t="s">
        <v>644</v>
      </c>
      <c r="I955" s="11" t="s">
        <v>78</v>
      </c>
      <c r="J955" s="12" t="n">
        <v>2849000</v>
      </c>
      <c r="K955" s="13" t="n">
        <f aca="false">IFERROR(J955/M955,"")</f>
        <v>0.150525704020711</v>
      </c>
      <c r="L955" s="12" t="n">
        <v>16078000</v>
      </c>
      <c r="M955" s="14" t="n">
        <f aca="false">L955+J955</f>
        <v>18927000</v>
      </c>
      <c r="N955" s="12" t="n">
        <v>4572000</v>
      </c>
      <c r="O955" s="12" t="n">
        <v>32077862</v>
      </c>
      <c r="P955" s="12" t="n">
        <v>446691</v>
      </c>
      <c r="Q955" s="13" t="n">
        <f aca="false">IFERROR(P955/P954-1,"")</f>
        <v>0.107718975432297</v>
      </c>
      <c r="R955" s="12" t="n">
        <v>544666</v>
      </c>
      <c r="S955" s="13" t="n">
        <f aca="false">IFERROR(R955/R954-1,"")</f>
        <v>0.183644819193324</v>
      </c>
      <c r="T955" s="12" t="n">
        <v>359122</v>
      </c>
      <c r="U955" s="13" t="n">
        <f aca="false">IFERROR(T955/P955,"")</f>
        <v>0.803960679754013</v>
      </c>
      <c r="V955" s="14" t="n">
        <f aca="false">T955-AV955</f>
        <v>-2207748</v>
      </c>
      <c r="W955" s="14" t="n">
        <f aca="false">V955-AA955*0.1</f>
        <v>-2207748</v>
      </c>
      <c r="X955" s="12" t="n">
        <v>3728575</v>
      </c>
      <c r="Y955" s="12" t="n">
        <v>219020</v>
      </c>
      <c r="Z955" s="15" t="n">
        <f aca="false">IFERROR(X955/Y955,"")</f>
        <v>17.0239019267647</v>
      </c>
      <c r="AA955" s="12" t="n">
        <v>0</v>
      </c>
      <c r="AB955" s="14" t="n">
        <f aca="false">W955-0.02*P955</f>
        <v>-2216681.82</v>
      </c>
      <c r="AC955" s="16" t="n">
        <v>18</v>
      </c>
      <c r="AD955" s="13" t="n">
        <f aca="false">IFERROR(AC955/AC954-1,"")</f>
        <v>0.2</v>
      </c>
      <c r="AE955" s="17" t="n">
        <v>0.107</v>
      </c>
      <c r="AF955" s="17" t="n">
        <v>0.069</v>
      </c>
      <c r="AG955" s="13" t="n">
        <f aca="false">1-AF955</f>
        <v>0.931</v>
      </c>
      <c r="AH955" s="17" t="n">
        <v>1.127</v>
      </c>
      <c r="AI955" s="12" t="n">
        <v>19864</v>
      </c>
      <c r="AJ955" s="14" t="n">
        <f aca="false">IFERROR(AM955*U955*MIN(1/AE955,5),"")</f>
        <v>41001.9946674547</v>
      </c>
      <c r="AK955" s="18" t="n">
        <f aca="false">IFERROR(AJ955/AI955,"")</f>
        <v>2.06413585720171</v>
      </c>
      <c r="AL955" s="15" t="n">
        <f aca="false">IFERROR(AI955/(AM955*U955/12),"")</f>
        <v>29.0678541292047</v>
      </c>
      <c r="AM955" s="12" t="n">
        <v>10200</v>
      </c>
      <c r="AN955" s="12" t="n">
        <v>697964</v>
      </c>
      <c r="AO955" s="12" t="n">
        <v>1370537</v>
      </c>
      <c r="AP955" s="17" t="n">
        <v>0.25</v>
      </c>
      <c r="AQ955" s="16" t="n">
        <v>22</v>
      </c>
      <c r="AR955" s="16" t="n">
        <v>2</v>
      </c>
      <c r="AS955" s="13" t="n">
        <f aca="false">IFERROR(AR955/AR954-1,"")</f>
        <v>0</v>
      </c>
      <c r="AT955" s="11" t="s">
        <v>80</v>
      </c>
      <c r="AU955" s="14" t="n">
        <f aca="false">IFERROR(P955/AR955,"")</f>
        <v>223345.5</v>
      </c>
      <c r="AV955" s="12" t="n">
        <v>2566870</v>
      </c>
      <c r="AW955" s="12" t="n">
        <v>848266</v>
      </c>
      <c r="AX955" s="12" t="n">
        <v>868870</v>
      </c>
      <c r="AY955" s="16" t="n">
        <v>21662</v>
      </c>
      <c r="AZ955" s="13" t="n">
        <f aca="false">IFERROR(AY955/AY954-1,"")</f>
        <v>0.0730668251845248</v>
      </c>
      <c r="BA955" s="17" t="n">
        <v>0.89</v>
      </c>
      <c r="BB955" s="11" t="s">
        <v>81</v>
      </c>
      <c r="BC955" s="11" t="s">
        <v>126</v>
      </c>
      <c r="BD955" s="11" t="s">
        <v>175</v>
      </c>
      <c r="BE955" s="12" t="n">
        <v>419501</v>
      </c>
      <c r="BF955" s="13" t="n">
        <f aca="false">IFERROR(P955/BE955-1,"")</f>
        <v>0.0648151017518432</v>
      </c>
      <c r="BG955" s="17" t="n">
        <v>-0.006</v>
      </c>
      <c r="BH955" s="17" t="n">
        <v>0.052</v>
      </c>
      <c r="BI955" s="14" t="n">
        <f aca="false">P955*(1+IFERROR(Q955,0))^4</f>
        <v>672551.55880121</v>
      </c>
      <c r="BJ955" s="12" t="n">
        <v>-1330433</v>
      </c>
      <c r="BK955" s="11" t="s">
        <v>110</v>
      </c>
      <c r="BL955" s="11" t="s">
        <v>111</v>
      </c>
      <c r="BM955" s="14" t="n">
        <f aca="false">O955</f>
        <v>32077862</v>
      </c>
      <c r="BN955" s="11" t="s">
        <v>877</v>
      </c>
      <c r="BO955" s="13" t="n">
        <f aca="false">IFERROR(1-L955/M955,"")</f>
        <v>0.150525704020711</v>
      </c>
      <c r="BP955" s="11" t="s">
        <v>142</v>
      </c>
      <c r="BQ955" s="12" t="n">
        <v>3213630</v>
      </c>
      <c r="BR955" s="11" t="s">
        <v>88</v>
      </c>
      <c r="BS955" s="11" t="s">
        <v>89</v>
      </c>
      <c r="BT955" s="19" t="str">
        <f aca="false">IF(OR(Z955&lt;6,AH955&lt;0.9,S955&lt;0.02,AK955&lt;1),"REVIEW",IF(AND(S955&gt;0.25,AH955&gt;1.2),"ACCELERATING","STABLE"))</f>
        <v>STABLE</v>
      </c>
    </row>
    <row r="956" customFormat="false" ht="15" hidden="false" customHeight="false" outlineLevel="0" collapsed="false">
      <c r="A956" s="11" t="s">
        <v>875</v>
      </c>
      <c r="B956" s="11" t="s">
        <v>92</v>
      </c>
      <c r="C956" s="11" t="s">
        <v>74</v>
      </c>
      <c r="D956" s="11" t="s">
        <v>165</v>
      </c>
      <c r="E956" s="11" t="s">
        <v>105</v>
      </c>
      <c r="F956" s="11" t="s">
        <v>876</v>
      </c>
      <c r="G956" s="11" t="s">
        <v>78</v>
      </c>
      <c r="H956" s="11" t="s">
        <v>644</v>
      </c>
      <c r="I956" s="11" t="s">
        <v>78</v>
      </c>
      <c r="J956" s="12" t="n">
        <v>2849000</v>
      </c>
      <c r="K956" s="13" t="n">
        <f aca="false">IFERROR(J956/M956,"")</f>
        <v>0.150525704020711</v>
      </c>
      <c r="L956" s="12" t="n">
        <v>16078000</v>
      </c>
      <c r="M956" s="14" t="n">
        <f aca="false">L956+J956</f>
        <v>18927000</v>
      </c>
      <c r="N956" s="12" t="n">
        <v>4572000</v>
      </c>
      <c r="O956" s="12" t="n">
        <v>32077862</v>
      </c>
      <c r="P956" s="12" t="n">
        <v>566120</v>
      </c>
      <c r="Q956" s="13" t="n">
        <f aca="false">IFERROR(P956/P955-1,"")</f>
        <v>0.267363792868</v>
      </c>
      <c r="R956" s="12" t="n">
        <v>663796</v>
      </c>
      <c r="S956" s="13" t="n">
        <f aca="false">IFERROR(R956/R955-1,"")</f>
        <v>0.218721197945163</v>
      </c>
      <c r="T956" s="12" t="n">
        <v>456973</v>
      </c>
      <c r="U956" s="13" t="n">
        <f aca="false">IFERROR(T956/P956,"")</f>
        <v>0.807201653359712</v>
      </c>
      <c r="V956" s="14" t="n">
        <f aca="false">T956-AV956</f>
        <v>-2383734</v>
      </c>
      <c r="W956" s="14" t="n">
        <f aca="false">V956-AA956*0.1</f>
        <v>-2383734</v>
      </c>
      <c r="X956" s="12" t="n">
        <v>3156094</v>
      </c>
      <c r="Y956" s="12" t="n">
        <v>226010</v>
      </c>
      <c r="Z956" s="15" t="n">
        <f aca="false">IFERROR(X956/Y956,"")</f>
        <v>13.9643998053184</v>
      </c>
      <c r="AA956" s="12" t="n">
        <v>0</v>
      </c>
      <c r="AB956" s="14" t="n">
        <f aca="false">W956-0.02*P956</f>
        <v>-2395056.4</v>
      </c>
      <c r="AC956" s="16" t="n">
        <v>21</v>
      </c>
      <c r="AD956" s="13" t="n">
        <f aca="false">IFERROR(AC956/AC955-1,"")</f>
        <v>0.166666666666667</v>
      </c>
      <c r="AE956" s="17" t="n">
        <v>0.104</v>
      </c>
      <c r="AF956" s="17" t="n">
        <v>0.067</v>
      </c>
      <c r="AG956" s="13" t="n">
        <f aca="false">1-AF956</f>
        <v>0.933</v>
      </c>
      <c r="AH956" s="17" t="n">
        <v>1.122</v>
      </c>
      <c r="AI956" s="12" t="n">
        <v>19482</v>
      </c>
      <c r="AJ956" s="14" t="n">
        <f aca="false">IFERROR(AM956*U956*MIN(1/AE956,5),"")</f>
        <v>41974.485974705</v>
      </c>
      <c r="AK956" s="18" t="n">
        <f aca="false">IFERROR(AJ956/AI956,"")</f>
        <v>2.15452653601812</v>
      </c>
      <c r="AL956" s="15" t="n">
        <f aca="false">IFERROR(AI956/(AM956*U956/12),"")</f>
        <v>27.8483457952153</v>
      </c>
      <c r="AM956" s="12" t="n">
        <v>10400</v>
      </c>
      <c r="AN956" s="12" t="n">
        <v>771163</v>
      </c>
      <c r="AO956" s="12" t="n">
        <v>1311085</v>
      </c>
      <c r="AP956" s="17" t="n">
        <v>0.25</v>
      </c>
      <c r="AQ956" s="16" t="n">
        <v>22</v>
      </c>
      <c r="AR956" s="16" t="n">
        <v>3</v>
      </c>
      <c r="AS956" s="13" t="n">
        <f aca="false">IFERROR(AR956/AR955-1,"")</f>
        <v>0.5</v>
      </c>
      <c r="AT956" s="11" t="s">
        <v>80</v>
      </c>
      <c r="AU956" s="14" t="n">
        <f aca="false">IFERROR(P956/AR956,"")</f>
        <v>188706.666666667</v>
      </c>
      <c r="AV956" s="12" t="n">
        <v>2840707</v>
      </c>
      <c r="AW956" s="12" t="n">
        <v>1047937</v>
      </c>
      <c r="AX956" s="12" t="n">
        <v>912625</v>
      </c>
      <c r="AY956" s="16" t="n">
        <v>25116</v>
      </c>
      <c r="AZ956" s="13" t="n">
        <f aca="false">IFERROR(AY956/AY955-1,"")</f>
        <v>0.159449727633644</v>
      </c>
      <c r="BA956" s="17" t="n">
        <v>0.891</v>
      </c>
      <c r="BB956" s="11" t="s">
        <v>81</v>
      </c>
      <c r="BC956" s="11" t="s">
        <v>126</v>
      </c>
      <c r="BD956" s="11" t="s">
        <v>175</v>
      </c>
      <c r="BE956" s="12" t="n">
        <v>597692</v>
      </c>
      <c r="BF956" s="13" t="n">
        <f aca="false">IFERROR(P956/BE956-1,"")</f>
        <v>-0.0528231932165731</v>
      </c>
      <c r="BG956" s="17" t="n">
        <v>0.009</v>
      </c>
      <c r="BH956" s="17" t="n">
        <v>-0.046</v>
      </c>
      <c r="BI956" s="14" t="n">
        <f aca="false">P956*(1+IFERROR(Q956,0))^4</f>
        <v>1460540.75710737</v>
      </c>
      <c r="BJ956" s="12" t="n">
        <v>-2507059</v>
      </c>
      <c r="BK956" s="11" t="s">
        <v>110</v>
      </c>
      <c r="BL956" s="11" t="s">
        <v>111</v>
      </c>
      <c r="BM956" s="14" t="n">
        <f aca="false">O956</f>
        <v>32077862</v>
      </c>
      <c r="BN956" s="11" t="s">
        <v>877</v>
      </c>
      <c r="BO956" s="13" t="n">
        <f aca="false">IFERROR(1-L956/M956,"")</f>
        <v>0.150525704020711</v>
      </c>
      <c r="BP956" s="11" t="s">
        <v>142</v>
      </c>
      <c r="BQ956" s="12" t="n">
        <v>3392941</v>
      </c>
      <c r="BR956" s="11" t="s">
        <v>88</v>
      </c>
      <c r="BS956" s="11" t="s">
        <v>89</v>
      </c>
      <c r="BT956" s="19" t="str">
        <f aca="false">IF(OR(Z956&lt;6,AH956&lt;0.9,S956&lt;0.02,AK956&lt;1),"REVIEW",IF(AND(S956&gt;0.25,AH956&gt;1.2),"ACCELERATING","STABLE"))</f>
        <v>STABLE</v>
      </c>
    </row>
    <row r="957" customFormat="false" ht="15" hidden="false" customHeight="false" outlineLevel="0" collapsed="false">
      <c r="A957" s="11" t="s">
        <v>875</v>
      </c>
      <c r="B957" s="11" t="s">
        <v>93</v>
      </c>
      <c r="C957" s="11" t="s">
        <v>74</v>
      </c>
      <c r="D957" s="11" t="s">
        <v>165</v>
      </c>
      <c r="E957" s="11" t="s">
        <v>105</v>
      </c>
      <c r="F957" s="11" t="s">
        <v>876</v>
      </c>
      <c r="G957" s="11" t="s">
        <v>78</v>
      </c>
      <c r="H957" s="11" t="s">
        <v>644</v>
      </c>
      <c r="I957" s="11" t="s">
        <v>78</v>
      </c>
      <c r="J957" s="12" t="n">
        <v>2849000</v>
      </c>
      <c r="K957" s="13" t="n">
        <f aca="false">IFERROR(J957/M957,"")</f>
        <v>0.150525704020711</v>
      </c>
      <c r="L957" s="12" t="n">
        <v>16078000</v>
      </c>
      <c r="M957" s="14" t="n">
        <f aca="false">L957+J957</f>
        <v>18927000</v>
      </c>
      <c r="N957" s="12" t="n">
        <v>4572000</v>
      </c>
      <c r="O957" s="12" t="n">
        <v>32077862</v>
      </c>
      <c r="P957" s="12" t="n">
        <v>635251</v>
      </c>
      <c r="Q957" s="13" t="n">
        <f aca="false">IFERROR(P957/P956-1,"")</f>
        <v>0.12211368614428</v>
      </c>
      <c r="R957" s="12" t="n">
        <v>782845</v>
      </c>
      <c r="S957" s="13" t="n">
        <f aca="false">IFERROR(R957/R956-1,"")</f>
        <v>0.179345762854853</v>
      </c>
      <c r="T957" s="12" t="n">
        <v>514835</v>
      </c>
      <c r="U957" s="13" t="n">
        <f aca="false">IFERROR(T957/P957,"")</f>
        <v>0.810443431021754</v>
      </c>
      <c r="V957" s="14" t="n">
        <f aca="false">T957-AV957</f>
        <v>-2541070</v>
      </c>
      <c r="W957" s="14" t="n">
        <f aca="false">V957-AA957*0.1</f>
        <v>-2541070</v>
      </c>
      <c r="X957" s="12" t="n">
        <v>2545867</v>
      </c>
      <c r="Y957" s="12" t="n">
        <v>233000</v>
      </c>
      <c r="Z957" s="15" t="n">
        <f aca="false">IFERROR(X957/Y957,"")</f>
        <v>10.9264678111588</v>
      </c>
      <c r="AA957" s="12" t="n">
        <v>0</v>
      </c>
      <c r="AB957" s="14" t="n">
        <f aca="false">W957-0.02*P957</f>
        <v>-2553775.02</v>
      </c>
      <c r="AC957" s="16" t="n">
        <v>22</v>
      </c>
      <c r="AD957" s="13" t="n">
        <f aca="false">IFERROR(AC957/AC956-1,"")</f>
        <v>0.0476190476190477</v>
      </c>
      <c r="AE957" s="17" t="n">
        <v>0.101</v>
      </c>
      <c r="AF957" s="17" t="n">
        <v>0.091</v>
      </c>
      <c r="AG957" s="13" t="n">
        <f aca="false">1-AF957</f>
        <v>0.909</v>
      </c>
      <c r="AH957" s="17" t="n">
        <v>1.117</v>
      </c>
      <c r="AI957" s="12" t="n">
        <v>19100</v>
      </c>
      <c r="AJ957" s="14" t="n">
        <f aca="false">IFERROR(AM957*U957*MIN(1/AE957,5),"")</f>
        <v>42953.5018441529</v>
      </c>
      <c r="AK957" s="18" t="n">
        <f aca="false">IFERROR(AJ957/AI957,"")</f>
        <v>2.24887444210225</v>
      </c>
      <c r="AL957" s="15" t="n">
        <f aca="false">IFERROR(AI957/(AM957*U957/12),"")</f>
        <v>26.6800132887419</v>
      </c>
      <c r="AM957" s="12" t="n">
        <v>10600</v>
      </c>
      <c r="AN957" s="12" t="n">
        <v>1061577</v>
      </c>
      <c r="AO957" s="12" t="n">
        <v>3028478</v>
      </c>
      <c r="AP957" s="17" t="n">
        <v>0.25</v>
      </c>
      <c r="AQ957" s="16" t="n">
        <v>22</v>
      </c>
      <c r="AR957" s="16" t="n">
        <v>3</v>
      </c>
      <c r="AS957" s="13" t="n">
        <f aca="false">IFERROR(AR957/AR956-1,"")</f>
        <v>0</v>
      </c>
      <c r="AT957" s="11" t="s">
        <v>80</v>
      </c>
      <c r="AU957" s="14" t="n">
        <f aca="false">IFERROR(P957/AR957,"")</f>
        <v>211750.333333333</v>
      </c>
      <c r="AV957" s="12" t="n">
        <v>3055905</v>
      </c>
      <c r="AW957" s="12" t="n">
        <v>1208193</v>
      </c>
      <c r="AX957" s="12" t="n">
        <v>1032170</v>
      </c>
      <c r="AY957" s="16" t="n">
        <v>30032</v>
      </c>
      <c r="AZ957" s="13" t="n">
        <f aca="false">IFERROR(AY957/AY956-1,"")</f>
        <v>0.195731804427457</v>
      </c>
      <c r="BA957" s="17" t="n">
        <v>0.898</v>
      </c>
      <c r="BB957" s="11" t="s">
        <v>81</v>
      </c>
      <c r="BC957" s="11" t="s">
        <v>126</v>
      </c>
      <c r="BD957" s="11" t="s">
        <v>175</v>
      </c>
      <c r="BE957" s="12" t="n">
        <v>778639</v>
      </c>
      <c r="BF957" s="13" t="n">
        <f aca="false">IFERROR(P957/BE957-1,"")</f>
        <v>-0.184152091020357</v>
      </c>
      <c r="BG957" s="17" t="n">
        <v>-0.005</v>
      </c>
      <c r="BH957" s="17" t="n">
        <v>0.046</v>
      </c>
      <c r="BI957" s="14" t="n">
        <f aca="false">P957*(1+IFERROR(Q957,0))^4</f>
        <v>1007146.84110431</v>
      </c>
      <c r="BJ957" s="12" t="n">
        <v>-2432887</v>
      </c>
      <c r="BK957" s="11" t="s">
        <v>110</v>
      </c>
      <c r="BL957" s="11" t="s">
        <v>111</v>
      </c>
      <c r="BM957" s="14" t="n">
        <f aca="false">O957</f>
        <v>32077862</v>
      </c>
      <c r="BN957" s="11" t="s">
        <v>877</v>
      </c>
      <c r="BO957" s="13" t="n">
        <f aca="false">IFERROR(1-L957/M957,"")</f>
        <v>0.150525704020711</v>
      </c>
      <c r="BP957" s="11" t="s">
        <v>142</v>
      </c>
      <c r="BQ957" s="12" t="n">
        <v>3442517</v>
      </c>
      <c r="BR957" s="11" t="s">
        <v>88</v>
      </c>
      <c r="BS957" s="11" t="s">
        <v>89</v>
      </c>
      <c r="BT957" s="19" t="str">
        <f aca="false">IF(OR(Z957&lt;6,AH957&lt;0.9,S957&lt;0.02,AK957&lt;1),"REVIEW",IF(AND(S957&gt;0.25,AH957&gt;1.2),"ACCELERATING","STABLE"))</f>
        <v>STABLE</v>
      </c>
    </row>
    <row r="958" customFormat="false" ht="15" hidden="false" customHeight="false" outlineLevel="0" collapsed="false">
      <c r="A958" s="3" t="s">
        <v>878</v>
      </c>
      <c r="B958" s="3" t="s">
        <v>73</v>
      </c>
      <c r="C958" s="3" t="s">
        <v>74</v>
      </c>
      <c r="D958" s="3" t="s">
        <v>210</v>
      </c>
      <c r="E958" s="3" t="s">
        <v>879</v>
      </c>
      <c r="F958" s="3" t="s">
        <v>880</v>
      </c>
      <c r="G958" s="3" t="s">
        <v>78</v>
      </c>
      <c r="H958" s="3" t="s">
        <v>644</v>
      </c>
      <c r="I958" s="3" t="s">
        <v>78</v>
      </c>
      <c r="J958" s="4" t="n">
        <v>1267000</v>
      </c>
      <c r="K958" s="5" t="n">
        <f aca="false">IFERROR(J958/M958,"")</f>
        <v>0.124557609123083</v>
      </c>
      <c r="L958" s="4" t="n">
        <v>8905000</v>
      </c>
      <c r="M958" s="6" t="n">
        <f aca="false">L958+J958</f>
        <v>10172000</v>
      </c>
      <c r="N958" s="4" t="n">
        <v>6250000</v>
      </c>
      <c r="O958" s="4" t="n">
        <v>7855162</v>
      </c>
      <c r="P958" s="4" t="n">
        <v>1425402</v>
      </c>
      <c r="Q958" s="7"/>
      <c r="R958" s="4" t="n">
        <v>1603340</v>
      </c>
      <c r="S958" s="7"/>
      <c r="T958" s="4" t="n">
        <v>835645</v>
      </c>
      <c r="U958" s="5" t="n">
        <f aca="false">IFERROR(T958/P958,"")</f>
        <v>0.586252159040046</v>
      </c>
      <c r="V958" s="6" t="n">
        <f aca="false">T958-AV958</f>
        <v>-1500501</v>
      </c>
      <c r="W958" s="6" t="n">
        <f aca="false">V958-AA958*0.1</f>
        <v>-1500501</v>
      </c>
      <c r="X958" s="4" t="n">
        <v>2256826</v>
      </c>
      <c r="Y958" s="4" t="n">
        <v>158260</v>
      </c>
      <c r="Z958" s="8" t="n">
        <f aca="false">IFERROR(X958/Y958,"")</f>
        <v>14.2602426386958</v>
      </c>
      <c r="AA958" s="4" t="n">
        <v>0</v>
      </c>
      <c r="AB958" s="6" t="n">
        <f aca="false">W958-0.02*P958</f>
        <v>-1529009.04</v>
      </c>
      <c r="AC958" s="9" t="n">
        <v>66</v>
      </c>
      <c r="AD958" s="7"/>
      <c r="AE958" s="7" t="n">
        <v>0.234</v>
      </c>
      <c r="AF958" s="7" t="n">
        <v>0.202</v>
      </c>
      <c r="AG958" s="5" t="n">
        <f aca="false">1-AF958</f>
        <v>0.798</v>
      </c>
      <c r="AH958" s="7" t="n">
        <v>0.931</v>
      </c>
      <c r="AI958" s="4" t="n">
        <v>28880</v>
      </c>
      <c r="AJ958" s="6" t="n">
        <f aca="false">IFERROR(AM958*U958*MIN(1/AE958,5),"")</f>
        <v>45096.3199261574</v>
      </c>
      <c r="AK958" s="10" t="n">
        <f aca="false">IFERROR(AJ958/AI958,"")</f>
        <v>1.56150692265088</v>
      </c>
      <c r="AL958" s="8" t="n">
        <f aca="false">IFERROR(AI958/(AM958*U958/12),"")</f>
        <v>32.8413858037803</v>
      </c>
      <c r="AM958" s="4" t="n">
        <v>18000</v>
      </c>
      <c r="AN958" s="4" t="n">
        <v>1658245</v>
      </c>
      <c r="AO958" s="4" t="n">
        <v>3533300</v>
      </c>
      <c r="AP958" s="7" t="n">
        <v>0.383</v>
      </c>
      <c r="AQ958" s="9" t="n">
        <v>76</v>
      </c>
      <c r="AR958" s="9" t="n">
        <v>1</v>
      </c>
      <c r="AS958" s="7"/>
      <c r="AT958" s="3" t="s">
        <v>170</v>
      </c>
      <c r="AU958" s="6" t="n">
        <f aca="false">IFERROR(P958/AR958,"")</f>
        <v>1425402</v>
      </c>
      <c r="AV958" s="4" t="n">
        <v>2336146</v>
      </c>
      <c r="AW958" s="4" t="n">
        <v>993794</v>
      </c>
      <c r="AX958" s="4" t="n">
        <v>582881</v>
      </c>
      <c r="AY958" s="9" t="n">
        <v>17782</v>
      </c>
      <c r="AZ958" s="7"/>
      <c r="BA958" s="7" t="n">
        <v>0.812</v>
      </c>
      <c r="BB958" s="3" t="s">
        <v>171</v>
      </c>
      <c r="BC958" s="3" t="s">
        <v>120</v>
      </c>
      <c r="BD958" s="3" t="s">
        <v>101</v>
      </c>
      <c r="BE958" s="4" t="n">
        <v>2254663</v>
      </c>
      <c r="BF958" s="5" t="n">
        <f aca="false">IFERROR(P958/BE958-1,"")</f>
        <v>-0.36779820310175</v>
      </c>
      <c r="BG958" s="7" t="n">
        <v>0.201</v>
      </c>
      <c r="BH958" s="7" t="n">
        <v>0.2</v>
      </c>
      <c r="BI958" s="6" t="n">
        <f aca="false">P958</f>
        <v>1425402</v>
      </c>
      <c r="BJ958" s="4" t="n">
        <v>-1207445</v>
      </c>
      <c r="BK958" s="3" t="s">
        <v>147</v>
      </c>
      <c r="BL958" s="3" t="s">
        <v>140</v>
      </c>
      <c r="BM958" s="6" t="n">
        <f aca="false">O958</f>
        <v>7855162</v>
      </c>
      <c r="BN958" s="3" t="s">
        <v>881</v>
      </c>
      <c r="BO958" s="5" t="n">
        <f aca="false">IFERROR(1-L958/M958,"")</f>
        <v>0.124557609123083</v>
      </c>
      <c r="BP958" s="3" t="s">
        <v>113</v>
      </c>
      <c r="BQ958" s="4" t="n">
        <v>2266383</v>
      </c>
      <c r="BR958" s="3" t="s">
        <v>88</v>
      </c>
      <c r="BS958" s="3" t="s">
        <v>89</v>
      </c>
      <c r="BT958" s="3" t="s">
        <v>90</v>
      </c>
    </row>
    <row r="959" customFormat="false" ht="15" hidden="false" customHeight="false" outlineLevel="0" collapsed="false">
      <c r="A959" s="11" t="s">
        <v>878</v>
      </c>
      <c r="B959" s="11" t="s">
        <v>91</v>
      </c>
      <c r="C959" s="11" t="s">
        <v>74</v>
      </c>
      <c r="D959" s="11" t="s">
        <v>210</v>
      </c>
      <c r="E959" s="11" t="s">
        <v>879</v>
      </c>
      <c r="F959" s="11" t="s">
        <v>880</v>
      </c>
      <c r="G959" s="11" t="s">
        <v>78</v>
      </c>
      <c r="H959" s="11" t="s">
        <v>644</v>
      </c>
      <c r="I959" s="11" t="s">
        <v>78</v>
      </c>
      <c r="J959" s="12" t="n">
        <v>1267000</v>
      </c>
      <c r="K959" s="13" t="n">
        <f aca="false">IFERROR(J959/M959,"")</f>
        <v>0.124557609123083</v>
      </c>
      <c r="L959" s="12" t="n">
        <v>8905000</v>
      </c>
      <c r="M959" s="14" t="n">
        <f aca="false">L959+J959</f>
        <v>10172000</v>
      </c>
      <c r="N959" s="12" t="n">
        <v>6250000</v>
      </c>
      <c r="O959" s="12" t="n">
        <v>7855162</v>
      </c>
      <c r="P959" s="12" t="n">
        <v>1292632</v>
      </c>
      <c r="Q959" s="13" t="n">
        <f aca="false">IFERROR(P959/P958-1,"")</f>
        <v>-0.0931456529456252</v>
      </c>
      <c r="R959" s="12" t="n">
        <v>1490669</v>
      </c>
      <c r="S959" s="13" t="n">
        <f aca="false">IFERROR(R959/R958-1,"")</f>
        <v>-0.0702726807788741</v>
      </c>
      <c r="T959" s="12" t="n">
        <v>743510</v>
      </c>
      <c r="U959" s="13" t="n">
        <f aca="false">IFERROR(T959/P959,"")</f>
        <v>0.575190773553494</v>
      </c>
      <c r="V959" s="14" t="n">
        <f aca="false">T959-AV959</f>
        <v>-1565765</v>
      </c>
      <c r="W959" s="14" t="n">
        <f aca="false">V959-AA959*0.1</f>
        <v>-1565765</v>
      </c>
      <c r="X959" s="12" t="n">
        <v>1810996</v>
      </c>
      <c r="Y959" s="12" t="n">
        <v>169840</v>
      </c>
      <c r="Z959" s="15" t="n">
        <f aca="false">IFERROR(X959/Y959,"")</f>
        <v>10.6629533678756</v>
      </c>
      <c r="AA959" s="12" t="n">
        <v>0</v>
      </c>
      <c r="AB959" s="14" t="n">
        <f aca="false">W959-0.02*P959</f>
        <v>-1591617.64</v>
      </c>
      <c r="AC959" s="16" t="n">
        <v>61</v>
      </c>
      <c r="AD959" s="13" t="n">
        <f aca="false">IFERROR(AC959/AC958-1,"")</f>
        <v>-0.0757575757575758</v>
      </c>
      <c r="AE959" s="17" t="n">
        <v>0.278</v>
      </c>
      <c r="AF959" s="17" t="n">
        <v>0.209</v>
      </c>
      <c r="AG959" s="13" t="n">
        <f aca="false">1-AF959</f>
        <v>0.791</v>
      </c>
      <c r="AH959" s="17" t="n">
        <v>0.891</v>
      </c>
      <c r="AI959" s="12" t="n">
        <v>31920</v>
      </c>
      <c r="AJ959" s="14" t="n">
        <f aca="false">IFERROR(AM959*U959*MIN(1/AE959,5),"")</f>
        <v>37987.4194332451</v>
      </c>
      <c r="AK959" s="18" t="n">
        <f aca="false">IFERROR(AJ959/AI959,"")</f>
        <v>1.19008206244502</v>
      </c>
      <c r="AL959" s="15" t="n">
        <f aca="false">IFERROR(AI959/(AM959*U959/12),"")</f>
        <v>36.2710009570398</v>
      </c>
      <c r="AM959" s="12" t="n">
        <v>18360</v>
      </c>
      <c r="AN959" s="12" t="n">
        <v>2094481</v>
      </c>
      <c r="AO959" s="12" t="n">
        <v>3708427</v>
      </c>
      <c r="AP959" s="17" t="n">
        <v>0.383</v>
      </c>
      <c r="AQ959" s="16" t="n">
        <v>76</v>
      </c>
      <c r="AR959" s="16" t="n">
        <v>1</v>
      </c>
      <c r="AS959" s="13" t="n">
        <f aca="false">IFERROR(AR959/AR958-1,"")</f>
        <v>0</v>
      </c>
      <c r="AT959" s="11" t="s">
        <v>170</v>
      </c>
      <c r="AU959" s="14" t="n">
        <f aca="false">IFERROR(P959/AR959,"")</f>
        <v>1292632</v>
      </c>
      <c r="AV959" s="12" t="n">
        <v>2309275</v>
      </c>
      <c r="AW959" s="12" t="n">
        <v>811533</v>
      </c>
      <c r="AX959" s="12" t="n">
        <v>625787</v>
      </c>
      <c r="AY959" s="16" t="n">
        <v>16229</v>
      </c>
      <c r="AZ959" s="13" t="n">
        <f aca="false">IFERROR(AY959/AY958-1,"")</f>
        <v>-0.0873355078168935</v>
      </c>
      <c r="BA959" s="17" t="n">
        <v>0.776</v>
      </c>
      <c r="BB959" s="11" t="s">
        <v>171</v>
      </c>
      <c r="BC959" s="11" t="s">
        <v>120</v>
      </c>
      <c r="BD959" s="11" t="s">
        <v>101</v>
      </c>
      <c r="BE959" s="12" t="n">
        <v>1802521</v>
      </c>
      <c r="BF959" s="13" t="n">
        <f aca="false">IFERROR(P959/BE959-1,"")</f>
        <v>-0.282875483836249</v>
      </c>
      <c r="BG959" s="17" t="n">
        <v>0.224</v>
      </c>
      <c r="BH959" s="17" t="n">
        <v>0.261</v>
      </c>
      <c r="BI959" s="14" t="n">
        <f aca="false">P959*(1+IFERROR(Q959,0))^4</f>
        <v>874228.699566629</v>
      </c>
      <c r="BJ959" s="12" t="n">
        <v>-1708573</v>
      </c>
      <c r="BK959" s="11" t="s">
        <v>147</v>
      </c>
      <c r="BL959" s="11" t="s">
        <v>140</v>
      </c>
      <c r="BM959" s="14" t="n">
        <f aca="false">O959</f>
        <v>7855162</v>
      </c>
      <c r="BN959" s="11" t="s">
        <v>881</v>
      </c>
      <c r="BO959" s="13" t="n">
        <f aca="false">IFERROR(1-L959/M959,"")</f>
        <v>0.124557609123083</v>
      </c>
      <c r="BP959" s="11" t="s">
        <v>113</v>
      </c>
      <c r="BQ959" s="12" t="n">
        <v>2230068</v>
      </c>
      <c r="BR959" s="11" t="s">
        <v>88</v>
      </c>
      <c r="BS959" s="11" t="s">
        <v>89</v>
      </c>
      <c r="BT959" s="19" t="str">
        <f aca="false">IF(OR(Z959&lt;6,AH959&lt;0.9,S959&lt;0.02,AK959&lt;1),"REVIEW",IF(AND(S959&gt;0.25,AH959&gt;1.2),"ACCELERATING","STABLE"))</f>
        <v>REVIEW</v>
      </c>
    </row>
    <row r="960" customFormat="false" ht="15" hidden="false" customHeight="false" outlineLevel="0" collapsed="false">
      <c r="A960" s="11" t="s">
        <v>878</v>
      </c>
      <c r="B960" s="11" t="s">
        <v>92</v>
      </c>
      <c r="C960" s="11" t="s">
        <v>74</v>
      </c>
      <c r="D960" s="11" t="s">
        <v>210</v>
      </c>
      <c r="E960" s="11" t="s">
        <v>879</v>
      </c>
      <c r="F960" s="11" t="s">
        <v>880</v>
      </c>
      <c r="G960" s="11" t="s">
        <v>78</v>
      </c>
      <c r="H960" s="11" t="s">
        <v>644</v>
      </c>
      <c r="I960" s="11" t="s">
        <v>78</v>
      </c>
      <c r="J960" s="12" t="n">
        <v>1267000</v>
      </c>
      <c r="K960" s="13" t="n">
        <f aca="false">IFERROR(J960/M960,"")</f>
        <v>0.124557609123083</v>
      </c>
      <c r="L960" s="12" t="n">
        <v>8905000</v>
      </c>
      <c r="M960" s="14" t="n">
        <f aca="false">L960+J960</f>
        <v>10172000</v>
      </c>
      <c r="N960" s="12" t="n">
        <v>6250000</v>
      </c>
      <c r="O960" s="12" t="n">
        <v>7855162</v>
      </c>
      <c r="P960" s="12" t="n">
        <v>1206776</v>
      </c>
      <c r="Q960" s="13" t="n">
        <f aca="false">IFERROR(P960/P959-1,"")</f>
        <v>-0.0664195223389178</v>
      </c>
      <c r="R960" s="12" t="n">
        <v>1340211</v>
      </c>
      <c r="S960" s="13" t="n">
        <f aca="false">IFERROR(R960/R959-1,"")</f>
        <v>-0.100933205158221</v>
      </c>
      <c r="T960" s="12" t="n">
        <v>680778</v>
      </c>
      <c r="U960" s="13" t="n">
        <f aca="false">IFERROR(T960/P960,"")</f>
        <v>0.5641295484829</v>
      </c>
      <c r="V960" s="14" t="n">
        <f aca="false">T960-AV960</f>
        <v>-2048984</v>
      </c>
      <c r="W960" s="14" t="n">
        <f aca="false">V960-AA960*0.1</f>
        <v>-2048984</v>
      </c>
      <c r="X960" s="12" t="n">
        <v>1288738</v>
      </c>
      <c r="Y960" s="12" t="n">
        <v>181420</v>
      </c>
      <c r="Z960" s="15" t="n">
        <f aca="false">IFERROR(X960/Y960,"")</f>
        <v>7.10361591886231</v>
      </c>
      <c r="AA960" s="12" t="n">
        <v>0</v>
      </c>
      <c r="AB960" s="14" t="n">
        <f aca="false">W960-0.02*P960</f>
        <v>-2073119.52</v>
      </c>
      <c r="AC960" s="16" t="n">
        <v>58</v>
      </c>
      <c r="AD960" s="13" t="n">
        <f aca="false">IFERROR(AC960/AC959-1,"")</f>
        <v>-0.0491803278688525</v>
      </c>
      <c r="AE960" s="17" t="n">
        <v>0.322</v>
      </c>
      <c r="AF960" s="17" t="n">
        <v>0.321</v>
      </c>
      <c r="AG960" s="13" t="n">
        <f aca="false">1-AF960</f>
        <v>0.679</v>
      </c>
      <c r="AH960" s="17" t="n">
        <v>0.851</v>
      </c>
      <c r="AI960" s="12" t="n">
        <v>34960</v>
      </c>
      <c r="AJ960" s="14" t="n">
        <f aca="false">IFERROR(AM960*U960*MIN(1/AE960,5),"")</f>
        <v>32796.5998372667</v>
      </c>
      <c r="AK960" s="18" t="n">
        <f aca="false">IFERROR(AJ960/AI960,"")</f>
        <v>0.93811784431541</v>
      </c>
      <c r="AL960" s="15" t="n">
        <f aca="false">IFERROR(AI960/(AM960*U960/12),"")</f>
        <v>39.7253724264644</v>
      </c>
      <c r="AM960" s="12" t="n">
        <v>18720</v>
      </c>
      <c r="AN960" s="12" t="n">
        <v>1537584</v>
      </c>
      <c r="AO960" s="12" t="n">
        <v>3090549</v>
      </c>
      <c r="AP960" s="17" t="n">
        <v>0.383</v>
      </c>
      <c r="AQ960" s="16" t="n">
        <v>76</v>
      </c>
      <c r="AR960" s="16" t="n">
        <v>1</v>
      </c>
      <c r="AS960" s="13" t="n">
        <f aca="false">IFERROR(AR960/AR959-1,"")</f>
        <v>0</v>
      </c>
      <c r="AT960" s="11" t="s">
        <v>170</v>
      </c>
      <c r="AU960" s="14" t="n">
        <f aca="false">IFERROR(P960/AR960,"")</f>
        <v>1206776</v>
      </c>
      <c r="AV960" s="12" t="n">
        <v>2729762</v>
      </c>
      <c r="AW960" s="12" t="n">
        <v>1170068</v>
      </c>
      <c r="AX960" s="12" t="n">
        <v>610084</v>
      </c>
      <c r="AY960" s="16" t="n">
        <v>15107</v>
      </c>
      <c r="AZ960" s="13" t="n">
        <f aca="false">IFERROR(AY960/AY959-1,"")</f>
        <v>-0.0691354981822663</v>
      </c>
      <c r="BA960" s="17" t="n">
        <v>0.772</v>
      </c>
      <c r="BB960" s="11" t="s">
        <v>171</v>
      </c>
      <c r="BC960" s="11" t="s">
        <v>120</v>
      </c>
      <c r="BD960" s="11" t="s">
        <v>101</v>
      </c>
      <c r="BE960" s="12" t="n">
        <v>1849195</v>
      </c>
      <c r="BF960" s="13" t="n">
        <f aca="false">IFERROR(P960/BE960-1,"")</f>
        <v>-0.347404681496543</v>
      </c>
      <c r="BG960" s="17" t="n">
        <v>0.148</v>
      </c>
      <c r="BH960" s="17" t="n">
        <v>0.218</v>
      </c>
      <c r="BI960" s="14" t="n">
        <f aca="false">P960*(1+IFERROR(Q960,0))^4</f>
        <v>916713.676011727</v>
      </c>
      <c r="BJ960" s="12" t="n">
        <v>-1243131</v>
      </c>
      <c r="BK960" s="11" t="s">
        <v>147</v>
      </c>
      <c r="BL960" s="11" t="s">
        <v>140</v>
      </c>
      <c r="BM960" s="14" t="n">
        <f aca="false">O960</f>
        <v>7855162</v>
      </c>
      <c r="BN960" s="11" t="s">
        <v>881</v>
      </c>
      <c r="BO960" s="13" t="n">
        <f aca="false">IFERROR(1-L960/M960,"")</f>
        <v>0.124557609123083</v>
      </c>
      <c r="BP960" s="11" t="s">
        <v>113</v>
      </c>
      <c r="BQ960" s="12" t="n">
        <v>2758035</v>
      </c>
      <c r="BR960" s="11" t="s">
        <v>88</v>
      </c>
      <c r="BS960" s="11" t="s">
        <v>89</v>
      </c>
      <c r="BT960" s="19" t="str">
        <f aca="false">IF(OR(Z960&lt;6,AH960&lt;0.9,S960&lt;0.02,AK960&lt;1),"REVIEW",IF(AND(S960&gt;0.25,AH960&gt;1.2),"ACCELERATING","STABLE"))</f>
        <v>REVIEW</v>
      </c>
    </row>
    <row r="961" customFormat="false" ht="15" hidden="false" customHeight="false" outlineLevel="0" collapsed="false">
      <c r="A961" s="11" t="s">
        <v>878</v>
      </c>
      <c r="B961" s="11" t="s">
        <v>93</v>
      </c>
      <c r="C961" s="11" t="s">
        <v>74</v>
      </c>
      <c r="D961" s="11" t="s">
        <v>210</v>
      </c>
      <c r="E961" s="11" t="s">
        <v>879</v>
      </c>
      <c r="F961" s="11" t="s">
        <v>880</v>
      </c>
      <c r="G961" s="11" t="s">
        <v>78</v>
      </c>
      <c r="H961" s="11" t="s">
        <v>644</v>
      </c>
      <c r="I961" s="11" t="s">
        <v>78</v>
      </c>
      <c r="J961" s="12" t="n">
        <v>1267000</v>
      </c>
      <c r="K961" s="13" t="n">
        <f aca="false">IFERROR(J961/M961,"")</f>
        <v>0.124557609123083</v>
      </c>
      <c r="L961" s="12" t="n">
        <v>8905000</v>
      </c>
      <c r="M961" s="14" t="n">
        <f aca="false">L961+J961</f>
        <v>10172000</v>
      </c>
      <c r="N961" s="12" t="n">
        <v>6250000</v>
      </c>
      <c r="O961" s="12" t="n">
        <v>7855162</v>
      </c>
      <c r="P961" s="12" t="n">
        <v>1102670</v>
      </c>
      <c r="Q961" s="13" t="n">
        <f aca="false">IFERROR(P961/P960-1,"")</f>
        <v>-0.0862678740710786</v>
      </c>
      <c r="R961" s="12" t="n">
        <v>1233962</v>
      </c>
      <c r="S961" s="13" t="n">
        <f aca="false">IFERROR(R961/R960-1,"")</f>
        <v>-0.0792778152096946</v>
      </c>
      <c r="T961" s="12" t="n">
        <v>609852</v>
      </c>
      <c r="U961" s="13" t="n">
        <f aca="false">IFERROR(T961/P961,"")</f>
        <v>0.553068461098969</v>
      </c>
      <c r="V961" s="14" t="n">
        <f aca="false">T961-AV961</f>
        <v>-2051650</v>
      </c>
      <c r="W961" s="14" t="n">
        <f aca="false">V961-AA961*0.1</f>
        <v>-2051650</v>
      </c>
      <c r="X961" s="12" t="n">
        <v>690052</v>
      </c>
      <c r="Y961" s="12" t="n">
        <v>193000</v>
      </c>
      <c r="Z961" s="15" t="n">
        <f aca="false">IFERROR(X961/Y961,"")</f>
        <v>3.57539896373057</v>
      </c>
      <c r="AA961" s="12" t="n">
        <v>0</v>
      </c>
      <c r="AB961" s="14" t="n">
        <f aca="false">W961-0.02*P961</f>
        <v>-2073703.4</v>
      </c>
      <c r="AC961" s="16" t="n">
        <v>53</v>
      </c>
      <c r="AD961" s="13" t="n">
        <f aca="false">IFERROR(AC961/AC960-1,"")</f>
        <v>-0.0862068965517241</v>
      </c>
      <c r="AE961" s="17" t="n">
        <v>0.366</v>
      </c>
      <c r="AF961" s="17" t="n">
        <v>0.287</v>
      </c>
      <c r="AG961" s="13" t="n">
        <f aca="false">1-AF961</f>
        <v>0.713</v>
      </c>
      <c r="AH961" s="17" t="n">
        <v>0.811</v>
      </c>
      <c r="AI961" s="12" t="n">
        <v>38000</v>
      </c>
      <c r="AJ961" s="14" t="n">
        <f aca="false">IFERROR(AM961*U961*MIN(1/AE961,5),"")</f>
        <v>28832.0935458151</v>
      </c>
      <c r="AK961" s="18" t="n">
        <f aca="false">IFERROR(AJ961/AI961,"")</f>
        <v>0.758739303837239</v>
      </c>
      <c r="AL961" s="15" t="n">
        <f aca="false">IFERROR(AI961/(AM961*U961/12),"")</f>
        <v>43.2123195412253</v>
      </c>
      <c r="AM961" s="12" t="n">
        <v>19080</v>
      </c>
      <c r="AN961" s="12" t="n">
        <v>1684754</v>
      </c>
      <c r="AO961" s="12" t="n">
        <v>4624706</v>
      </c>
      <c r="AP961" s="17" t="n">
        <v>0.383</v>
      </c>
      <c r="AQ961" s="16" t="n">
        <v>76</v>
      </c>
      <c r="AR961" s="16" t="n">
        <v>1</v>
      </c>
      <c r="AS961" s="13" t="n">
        <f aca="false">IFERROR(AR961/AR960-1,"")</f>
        <v>0</v>
      </c>
      <c r="AT961" s="11" t="s">
        <v>170</v>
      </c>
      <c r="AU961" s="14" t="n">
        <f aca="false">IFERROR(P961/AR961,"")</f>
        <v>1102670</v>
      </c>
      <c r="AV961" s="12" t="n">
        <v>2661502</v>
      </c>
      <c r="AW961" s="12" t="n">
        <v>868031</v>
      </c>
      <c r="AX961" s="12" t="n">
        <v>587363</v>
      </c>
      <c r="AY961" s="16" t="n">
        <v>13739</v>
      </c>
      <c r="AZ961" s="13" t="n">
        <f aca="false">IFERROR(AY961/AY960-1,"")</f>
        <v>-0.0905540477924142</v>
      </c>
      <c r="BA961" s="17" t="n">
        <v>0.712</v>
      </c>
      <c r="BB961" s="11" t="s">
        <v>171</v>
      </c>
      <c r="BC961" s="11" t="s">
        <v>120</v>
      </c>
      <c r="BD961" s="11" t="s">
        <v>101</v>
      </c>
      <c r="BE961" s="12" t="n">
        <v>1705948</v>
      </c>
      <c r="BF961" s="13" t="n">
        <f aca="false">IFERROR(P961/BE961-1,"")</f>
        <v>-0.353632115398594</v>
      </c>
      <c r="BG961" s="17" t="n">
        <v>0.231</v>
      </c>
      <c r="BH961" s="17" t="n">
        <v>0.242</v>
      </c>
      <c r="BI961" s="14" t="n">
        <f aca="false">P961*(1+IFERROR(Q961,0))^4</f>
        <v>768636.736091285</v>
      </c>
      <c r="BJ961" s="12" t="n">
        <v>-1545363</v>
      </c>
      <c r="BK961" s="11" t="s">
        <v>147</v>
      </c>
      <c r="BL961" s="11" t="s">
        <v>140</v>
      </c>
      <c r="BM961" s="14" t="n">
        <f aca="false">O961</f>
        <v>7855162</v>
      </c>
      <c r="BN961" s="11" t="s">
        <v>881</v>
      </c>
      <c r="BO961" s="13" t="n">
        <f aca="false">IFERROR(1-L961/M961,"")</f>
        <v>0.124557609123083</v>
      </c>
      <c r="BP961" s="11" t="s">
        <v>113</v>
      </c>
      <c r="BQ961" s="12" t="n">
        <v>2500980</v>
      </c>
      <c r="BR961" s="11" t="s">
        <v>88</v>
      </c>
      <c r="BS961" s="11" t="s">
        <v>89</v>
      </c>
      <c r="BT961" s="19" t="str">
        <f aca="false">IF(OR(Z961&lt;6,AH961&lt;0.9,S961&lt;0.02,AK961&lt;1),"REVIEW",IF(AND(S961&gt;0.25,AH961&gt;1.2),"ACCELERATING","STABLE"))</f>
        <v>REVIEW</v>
      </c>
    </row>
    <row r="962" customFormat="false" ht="15" hidden="false" customHeight="false" outlineLevel="0" collapsed="false">
      <c r="A962" s="3" t="s">
        <v>882</v>
      </c>
      <c r="B962" s="3" t="s">
        <v>73</v>
      </c>
      <c r="C962" s="3" t="s">
        <v>74</v>
      </c>
      <c r="D962" s="3" t="s">
        <v>210</v>
      </c>
      <c r="E962" s="3" t="s">
        <v>289</v>
      </c>
      <c r="F962" s="3" t="s">
        <v>883</v>
      </c>
      <c r="G962" s="3" t="s">
        <v>78</v>
      </c>
      <c r="H962" s="3" t="s">
        <v>644</v>
      </c>
      <c r="I962" s="3" t="s">
        <v>78</v>
      </c>
      <c r="J962" s="4" t="n">
        <v>3656000</v>
      </c>
      <c r="K962" s="5" t="n">
        <f aca="false">IFERROR(J962/M962,"")</f>
        <v>0.112637870478773</v>
      </c>
      <c r="L962" s="4" t="n">
        <v>28802000</v>
      </c>
      <c r="M962" s="6" t="n">
        <f aca="false">L962+J962</f>
        <v>32458000</v>
      </c>
      <c r="N962" s="4" t="n">
        <v>3656000</v>
      </c>
      <c r="O962" s="4" t="n">
        <v>63319363</v>
      </c>
      <c r="P962" s="4" t="n">
        <v>1246516</v>
      </c>
      <c r="Q962" s="7"/>
      <c r="R962" s="4" t="n">
        <v>1455933</v>
      </c>
      <c r="S962" s="7"/>
      <c r="T962" s="4" t="n">
        <v>726061</v>
      </c>
      <c r="U962" s="5" t="n">
        <f aca="false">IFERROR(T962/P962,"")</f>
        <v>0.582472266701751</v>
      </c>
      <c r="V962" s="6" t="n">
        <f aca="false">T962-AV962</f>
        <v>-1082365</v>
      </c>
      <c r="W962" s="6" t="n">
        <f aca="false">V962-AA962*0.1</f>
        <v>-1082365</v>
      </c>
      <c r="X962" s="4" t="n">
        <v>2091955</v>
      </c>
      <c r="Y962" s="4" t="n">
        <v>95550</v>
      </c>
      <c r="Z962" s="8" t="n">
        <f aca="false">IFERROR(X962/Y962,"")</f>
        <v>21.8938252223967</v>
      </c>
      <c r="AA962" s="4" t="n">
        <v>0</v>
      </c>
      <c r="AB962" s="6" t="n">
        <f aca="false">W962-0.02*P962</f>
        <v>-1107295.32</v>
      </c>
      <c r="AC962" s="9" t="n">
        <v>53</v>
      </c>
      <c r="AD962" s="7"/>
      <c r="AE962" s="7" t="n">
        <v>0.096</v>
      </c>
      <c r="AF962" s="7" t="n">
        <v>0.096</v>
      </c>
      <c r="AG962" s="5" t="n">
        <f aca="false">1-AF962</f>
        <v>0.904</v>
      </c>
      <c r="AH962" s="7" t="n">
        <v>1.053</v>
      </c>
      <c r="AI962" s="4" t="n">
        <v>33390</v>
      </c>
      <c r="AJ962" s="6" t="n">
        <f aca="false">IFERROR(AM962*U962*MIN(1/AE962,5),"")</f>
        <v>66984.3106707014</v>
      </c>
      <c r="AK962" s="10" t="n">
        <f aca="false">IFERROR(AJ962/AI962,"")</f>
        <v>2.00611891796051</v>
      </c>
      <c r="AL962" s="8" t="n">
        <f aca="false">IFERROR(AI962/(AM962*U962/12),"")</f>
        <v>29.9084961827677</v>
      </c>
      <c r="AM962" s="4" t="n">
        <v>23000</v>
      </c>
      <c r="AN962" s="4" t="n">
        <v>1549316</v>
      </c>
      <c r="AO962" s="4" t="n">
        <v>4623722</v>
      </c>
      <c r="AP962" s="7" t="n">
        <v>0.183</v>
      </c>
      <c r="AQ962" s="9" t="n">
        <v>47</v>
      </c>
      <c r="AR962" s="9" t="n">
        <v>4</v>
      </c>
      <c r="AS962" s="7"/>
      <c r="AT962" s="3" t="s">
        <v>80</v>
      </c>
      <c r="AU962" s="6" t="n">
        <f aca="false">IFERROR(P962/AR962,"")</f>
        <v>311629</v>
      </c>
      <c r="AV962" s="4" t="n">
        <v>1808426</v>
      </c>
      <c r="AW962" s="4" t="n">
        <v>687118</v>
      </c>
      <c r="AX962" s="4" t="n">
        <v>387651</v>
      </c>
      <c r="AY962" s="9" t="n">
        <v>23389</v>
      </c>
      <c r="AZ962" s="7"/>
      <c r="BA962" s="7" t="n">
        <v>0.898</v>
      </c>
      <c r="BB962" s="3" t="s">
        <v>107</v>
      </c>
      <c r="BC962" s="3" t="s">
        <v>108</v>
      </c>
      <c r="BD962" s="3" t="s">
        <v>101</v>
      </c>
      <c r="BE962" s="4" t="n">
        <v>1155909</v>
      </c>
      <c r="BF962" s="5" t="n">
        <f aca="false">IFERROR(P962/BE962-1,"")</f>
        <v>0.0783859283040447</v>
      </c>
      <c r="BG962" s="7" t="n">
        <v>-0.007</v>
      </c>
      <c r="BH962" s="7" t="n">
        <v>0.031</v>
      </c>
      <c r="BI962" s="6" t="n">
        <f aca="false">P962</f>
        <v>1246516</v>
      </c>
      <c r="BJ962" s="4" t="n">
        <v>-683401</v>
      </c>
      <c r="BK962" s="3" t="s">
        <v>102</v>
      </c>
      <c r="BL962" s="3" t="s">
        <v>162</v>
      </c>
      <c r="BM962" s="6" t="n">
        <f aca="false">O962</f>
        <v>63319363</v>
      </c>
      <c r="BN962" s="3" t="s">
        <v>884</v>
      </c>
      <c r="BO962" s="5" t="n">
        <f aca="false">IFERROR(1-L962/M962,"")</f>
        <v>0.112637870478773</v>
      </c>
      <c r="BP962" s="3" t="s">
        <v>87</v>
      </c>
      <c r="BQ962" s="4" t="n">
        <v>1460107</v>
      </c>
      <c r="BR962" s="3" t="s">
        <v>88</v>
      </c>
      <c r="BS962" s="3" t="s">
        <v>89</v>
      </c>
      <c r="BT962" s="3" t="s">
        <v>90</v>
      </c>
    </row>
    <row r="963" customFormat="false" ht="15" hidden="false" customHeight="false" outlineLevel="0" collapsed="false">
      <c r="A963" s="11" t="s">
        <v>882</v>
      </c>
      <c r="B963" s="11" t="s">
        <v>91</v>
      </c>
      <c r="C963" s="11" t="s">
        <v>74</v>
      </c>
      <c r="D963" s="11" t="s">
        <v>210</v>
      </c>
      <c r="E963" s="11" t="s">
        <v>289</v>
      </c>
      <c r="F963" s="11" t="s">
        <v>883</v>
      </c>
      <c r="G963" s="11" t="s">
        <v>78</v>
      </c>
      <c r="H963" s="11" t="s">
        <v>644</v>
      </c>
      <c r="I963" s="11" t="s">
        <v>78</v>
      </c>
      <c r="J963" s="12" t="n">
        <v>3656000</v>
      </c>
      <c r="K963" s="13" t="n">
        <f aca="false">IFERROR(J963/M963,"")</f>
        <v>0.112637870478773</v>
      </c>
      <c r="L963" s="12" t="n">
        <v>28802000</v>
      </c>
      <c r="M963" s="14" t="n">
        <f aca="false">L963+J963</f>
        <v>32458000</v>
      </c>
      <c r="N963" s="12" t="n">
        <v>3656000</v>
      </c>
      <c r="O963" s="12" t="n">
        <v>63319363</v>
      </c>
      <c r="P963" s="12" t="n">
        <v>1441959</v>
      </c>
      <c r="Q963" s="13" t="n">
        <f aca="false">IFERROR(P963/P962-1,"")</f>
        <v>0.156791409015207</v>
      </c>
      <c r="R963" s="12" t="n">
        <v>1733586</v>
      </c>
      <c r="S963" s="13" t="n">
        <f aca="false">IFERROR(R963/R962-1,"")</f>
        <v>0.190704517309519</v>
      </c>
      <c r="T963" s="12" t="n">
        <v>843302</v>
      </c>
      <c r="U963" s="13" t="n">
        <f aca="false">IFERROR(T963/P963,"")</f>
        <v>0.584830775354917</v>
      </c>
      <c r="V963" s="14" t="n">
        <f aca="false">T963-AV963</f>
        <v>-1040575</v>
      </c>
      <c r="W963" s="14" t="n">
        <f aca="false">V963-AA963*0.1</f>
        <v>-1040575</v>
      </c>
      <c r="X963" s="12" t="n">
        <v>1850980</v>
      </c>
      <c r="Y963" s="12" t="n">
        <v>98700</v>
      </c>
      <c r="Z963" s="15" t="n">
        <f aca="false">IFERROR(X963/Y963,"")</f>
        <v>18.7535967578521</v>
      </c>
      <c r="AA963" s="12" t="n">
        <v>0</v>
      </c>
      <c r="AB963" s="14" t="n">
        <f aca="false">W963-0.02*P963</f>
        <v>-1069414.18</v>
      </c>
      <c r="AC963" s="16" t="n">
        <v>61</v>
      </c>
      <c r="AD963" s="13" t="n">
        <f aca="false">IFERROR(AC963/AC962-1,"")</f>
        <v>0.150943396226415</v>
      </c>
      <c r="AE963" s="17" t="n">
        <v>0.093</v>
      </c>
      <c r="AF963" s="17" t="n">
        <v>0.098</v>
      </c>
      <c r="AG963" s="13" t="n">
        <f aca="false">1-AF963</f>
        <v>0.902</v>
      </c>
      <c r="AH963" s="17" t="n">
        <v>1.048</v>
      </c>
      <c r="AI963" s="12" t="n">
        <v>32760</v>
      </c>
      <c r="AJ963" s="14" t="n">
        <f aca="false">IFERROR(AM963*U963*MIN(1/AE963,5),"")</f>
        <v>68600.6499491317</v>
      </c>
      <c r="AK963" s="18" t="n">
        <f aca="false">IFERROR(AJ963/AI963,"")</f>
        <v>2.09403693373418</v>
      </c>
      <c r="AL963" s="15" t="n">
        <f aca="false">IFERROR(AI963/(AM963*U963/12),"")</f>
        <v>28.6527897542883</v>
      </c>
      <c r="AM963" s="12" t="n">
        <v>23460</v>
      </c>
      <c r="AN963" s="12" t="n">
        <v>2546952</v>
      </c>
      <c r="AO963" s="12" t="n">
        <v>6746351</v>
      </c>
      <c r="AP963" s="17" t="n">
        <v>0.183</v>
      </c>
      <c r="AQ963" s="16" t="n">
        <v>47</v>
      </c>
      <c r="AR963" s="16" t="n">
        <v>5</v>
      </c>
      <c r="AS963" s="13" t="n">
        <f aca="false">IFERROR(AR963/AR962-1,"")</f>
        <v>0.25</v>
      </c>
      <c r="AT963" s="11" t="s">
        <v>80</v>
      </c>
      <c r="AU963" s="14" t="n">
        <f aca="false">IFERROR(P963/AR963,"")</f>
        <v>288391.8</v>
      </c>
      <c r="AV963" s="12" t="n">
        <v>1883877</v>
      </c>
      <c r="AW963" s="12" t="n">
        <v>800372</v>
      </c>
      <c r="AX963" s="12" t="n">
        <v>617658</v>
      </c>
      <c r="AY963" s="16" t="n">
        <v>24987</v>
      </c>
      <c r="AZ963" s="13" t="n">
        <f aca="false">IFERROR(AY963/AY962-1,"")</f>
        <v>0.0683227158065758</v>
      </c>
      <c r="BA963" s="17" t="n">
        <v>0.932</v>
      </c>
      <c r="BB963" s="11" t="s">
        <v>107</v>
      </c>
      <c r="BC963" s="11" t="s">
        <v>108</v>
      </c>
      <c r="BD963" s="11" t="s">
        <v>101</v>
      </c>
      <c r="BE963" s="12" t="n">
        <v>1661929</v>
      </c>
      <c r="BF963" s="13" t="n">
        <f aca="false">IFERROR(P963/BE963-1,"")</f>
        <v>-0.132358241537394</v>
      </c>
      <c r="BG963" s="17" t="n">
        <v>-0.057</v>
      </c>
      <c r="BH963" s="17" t="n">
        <v>0.009</v>
      </c>
      <c r="BI963" s="14" t="n">
        <f aca="false">P963*(1+IFERROR(Q963,0))^4</f>
        <v>2582100.43361415</v>
      </c>
      <c r="BJ963" s="12" t="n">
        <v>-835368</v>
      </c>
      <c r="BK963" s="11" t="s">
        <v>102</v>
      </c>
      <c r="BL963" s="11" t="s">
        <v>162</v>
      </c>
      <c r="BM963" s="14" t="n">
        <f aca="false">O963</f>
        <v>63319363</v>
      </c>
      <c r="BN963" s="11" t="s">
        <v>884</v>
      </c>
      <c r="BO963" s="13" t="n">
        <f aca="false">IFERROR(1-L963/M963,"")</f>
        <v>0.112637870478773</v>
      </c>
      <c r="BP963" s="11" t="s">
        <v>87</v>
      </c>
      <c r="BQ963" s="12" t="n">
        <v>1909496</v>
      </c>
      <c r="BR963" s="11" t="s">
        <v>88</v>
      </c>
      <c r="BS963" s="11" t="s">
        <v>89</v>
      </c>
      <c r="BT963" s="19" t="str">
        <f aca="false">IF(OR(Z963&lt;6,AH963&lt;0.9,S963&lt;0.02,AK963&lt;1),"REVIEW",IF(AND(S963&gt;0.25,AH963&gt;1.2),"ACCELERATING","STABLE"))</f>
        <v>STABLE</v>
      </c>
    </row>
    <row r="964" customFormat="false" ht="15" hidden="false" customHeight="false" outlineLevel="0" collapsed="false">
      <c r="A964" s="11" t="s">
        <v>882</v>
      </c>
      <c r="B964" s="11" t="s">
        <v>92</v>
      </c>
      <c r="C964" s="11" t="s">
        <v>74</v>
      </c>
      <c r="D964" s="11" t="s">
        <v>210</v>
      </c>
      <c r="E964" s="11" t="s">
        <v>289</v>
      </c>
      <c r="F964" s="11" t="s">
        <v>883</v>
      </c>
      <c r="G964" s="11" t="s">
        <v>78</v>
      </c>
      <c r="H964" s="11" t="s">
        <v>644</v>
      </c>
      <c r="I964" s="11" t="s">
        <v>78</v>
      </c>
      <c r="J964" s="12" t="n">
        <v>3656000</v>
      </c>
      <c r="K964" s="13" t="n">
        <f aca="false">IFERROR(J964/M964,"")</f>
        <v>0.112637870478773</v>
      </c>
      <c r="L964" s="12" t="n">
        <v>28802000</v>
      </c>
      <c r="M964" s="14" t="n">
        <f aca="false">L964+J964</f>
        <v>32458000</v>
      </c>
      <c r="N964" s="12" t="n">
        <v>3656000</v>
      </c>
      <c r="O964" s="12" t="n">
        <v>63319363</v>
      </c>
      <c r="P964" s="12" t="n">
        <v>1567990</v>
      </c>
      <c r="Q964" s="13" t="n">
        <f aca="false">IFERROR(P964/P963-1,"")</f>
        <v>0.0874026237916612</v>
      </c>
      <c r="R964" s="12" t="n">
        <v>1869665</v>
      </c>
      <c r="S964" s="13" t="n">
        <f aca="false">IFERROR(R964/R963-1,"")</f>
        <v>0.0784956731307245</v>
      </c>
      <c r="T964" s="12" t="n">
        <v>920706</v>
      </c>
      <c r="U964" s="13" t="n">
        <f aca="false">IFERROR(T964/P964,"")</f>
        <v>0.587188693805445</v>
      </c>
      <c r="V964" s="14" t="n">
        <f aca="false">T964-AV964</f>
        <v>-1000785</v>
      </c>
      <c r="W964" s="14" t="n">
        <f aca="false">V964-AA964*0.1</f>
        <v>-1000785</v>
      </c>
      <c r="X964" s="12" t="n">
        <v>1592995</v>
      </c>
      <c r="Y964" s="12" t="n">
        <v>101850</v>
      </c>
      <c r="Z964" s="15" t="n">
        <f aca="false">IFERROR(X964/Y964,"")</f>
        <v>15.6405989199804</v>
      </c>
      <c r="AA964" s="12" t="n">
        <v>0</v>
      </c>
      <c r="AB964" s="14" t="n">
        <f aca="false">W964-0.02*P964</f>
        <v>-1032144.8</v>
      </c>
      <c r="AC964" s="16" t="n">
        <v>67</v>
      </c>
      <c r="AD964" s="13" t="n">
        <f aca="false">IFERROR(AC964/AC963-1,"")</f>
        <v>0.098360655737705</v>
      </c>
      <c r="AE964" s="17" t="n">
        <v>0.091</v>
      </c>
      <c r="AF964" s="17" t="n">
        <v>0.094</v>
      </c>
      <c r="AG964" s="13" t="n">
        <f aca="false">1-AF964</f>
        <v>0.906</v>
      </c>
      <c r="AH964" s="17" t="n">
        <v>1.043</v>
      </c>
      <c r="AI964" s="12" t="n">
        <v>32130</v>
      </c>
      <c r="AJ964" s="14" t="n">
        <f aca="false">IFERROR(AM964*U964*MIN(1/AE964,5),"")</f>
        <v>70227.7677791312</v>
      </c>
      <c r="AK964" s="18" t="n">
        <f aca="false">IFERROR(AJ964/AI964,"")</f>
        <v>2.18573818173455</v>
      </c>
      <c r="AL964" s="15" t="n">
        <f aca="false">IFERROR(AI964/(AM964*U964/12),"")</f>
        <v>27.4506802788179</v>
      </c>
      <c r="AM964" s="12" t="n">
        <v>23920</v>
      </c>
      <c r="AN964" s="12" t="n">
        <v>2635938</v>
      </c>
      <c r="AO964" s="12" t="n">
        <v>3983926</v>
      </c>
      <c r="AP964" s="17" t="n">
        <v>0.183</v>
      </c>
      <c r="AQ964" s="16" t="n">
        <v>47</v>
      </c>
      <c r="AR964" s="16" t="n">
        <v>5</v>
      </c>
      <c r="AS964" s="13" t="n">
        <f aca="false">IFERROR(AR964/AR963-1,"")</f>
        <v>0</v>
      </c>
      <c r="AT964" s="11" t="s">
        <v>80</v>
      </c>
      <c r="AU964" s="14" t="n">
        <f aca="false">IFERROR(P964/AR964,"")</f>
        <v>313598</v>
      </c>
      <c r="AV964" s="12" t="n">
        <v>1921491</v>
      </c>
      <c r="AW964" s="12" t="n">
        <v>753964</v>
      </c>
      <c r="AX964" s="12" t="n">
        <v>512097</v>
      </c>
      <c r="AY964" s="16" t="n">
        <v>28623</v>
      </c>
      <c r="AZ964" s="13" t="n">
        <f aca="false">IFERROR(AY964/AY963-1,"")</f>
        <v>0.145515668147437</v>
      </c>
      <c r="BA964" s="17" t="n">
        <v>0.93</v>
      </c>
      <c r="BB964" s="11" t="s">
        <v>107</v>
      </c>
      <c r="BC964" s="11" t="s">
        <v>108</v>
      </c>
      <c r="BD964" s="11" t="s">
        <v>101</v>
      </c>
      <c r="BE964" s="12" t="n">
        <v>1650531</v>
      </c>
      <c r="BF964" s="13" t="n">
        <f aca="false">IFERROR(P964/BE964-1,"")</f>
        <v>-0.0500087547583171</v>
      </c>
      <c r="BG964" s="17" t="n">
        <v>-0.044</v>
      </c>
      <c r="BH964" s="17" t="n">
        <v>-0.079</v>
      </c>
      <c r="BI964" s="14" t="n">
        <f aca="false">P964*(1+IFERROR(Q964,0))^4</f>
        <v>2192324.28609284</v>
      </c>
      <c r="BJ964" s="12" t="n">
        <v>-1033002</v>
      </c>
      <c r="BK964" s="11" t="s">
        <v>102</v>
      </c>
      <c r="BL964" s="11" t="s">
        <v>162</v>
      </c>
      <c r="BM964" s="14" t="n">
        <f aca="false">O964</f>
        <v>63319363</v>
      </c>
      <c r="BN964" s="11" t="s">
        <v>884</v>
      </c>
      <c r="BO964" s="13" t="n">
        <f aca="false">IFERROR(1-L964/M964,"")</f>
        <v>0.112637870478773</v>
      </c>
      <c r="BP964" s="11" t="s">
        <v>87</v>
      </c>
      <c r="BQ964" s="12" t="n">
        <v>1302489</v>
      </c>
      <c r="BR964" s="11" t="s">
        <v>88</v>
      </c>
      <c r="BS964" s="11" t="s">
        <v>89</v>
      </c>
      <c r="BT964" s="19" t="str">
        <f aca="false">IF(OR(Z964&lt;6,AH964&lt;0.9,S964&lt;0.02,AK964&lt;1),"REVIEW",IF(AND(S964&gt;0.25,AH964&gt;1.2),"ACCELERATING","STABLE"))</f>
        <v>STABLE</v>
      </c>
    </row>
    <row r="965" customFormat="false" ht="15" hidden="false" customHeight="false" outlineLevel="0" collapsed="false">
      <c r="A965" s="11" t="s">
        <v>882</v>
      </c>
      <c r="B965" s="11" t="s">
        <v>93</v>
      </c>
      <c r="C965" s="11" t="s">
        <v>74</v>
      </c>
      <c r="D965" s="11" t="s">
        <v>210</v>
      </c>
      <c r="E965" s="11" t="s">
        <v>289</v>
      </c>
      <c r="F965" s="11" t="s">
        <v>883</v>
      </c>
      <c r="G965" s="11" t="s">
        <v>78</v>
      </c>
      <c r="H965" s="11" t="s">
        <v>644</v>
      </c>
      <c r="I965" s="11" t="s">
        <v>78</v>
      </c>
      <c r="J965" s="12" t="n">
        <v>3656000</v>
      </c>
      <c r="K965" s="13" t="n">
        <f aca="false">IFERROR(J965/M965,"")</f>
        <v>0.112637870478773</v>
      </c>
      <c r="L965" s="12" t="n">
        <v>28802000</v>
      </c>
      <c r="M965" s="14" t="n">
        <f aca="false">L965+J965</f>
        <v>32458000</v>
      </c>
      <c r="N965" s="12" t="n">
        <v>3656000</v>
      </c>
      <c r="O965" s="12" t="n">
        <v>63319363</v>
      </c>
      <c r="P965" s="12" t="n">
        <v>1831856</v>
      </c>
      <c r="Q965" s="13" t="n">
        <f aca="false">IFERROR(P965/P964-1,"")</f>
        <v>0.168282960988272</v>
      </c>
      <c r="R965" s="12" t="n">
        <v>2028433</v>
      </c>
      <c r="S965" s="13" t="n">
        <f aca="false">IFERROR(R965/R964-1,"")</f>
        <v>0.084917886359321</v>
      </c>
      <c r="T965" s="12" t="n">
        <v>1079965</v>
      </c>
      <c r="U965" s="13" t="n">
        <f aca="false">IFERROR(T965/P965,"")</f>
        <v>0.589546885781415</v>
      </c>
      <c r="V965" s="14" t="n">
        <f aca="false">T965-AV965</f>
        <v>-1151587</v>
      </c>
      <c r="W965" s="14" t="n">
        <f aca="false">V965-AA965*0.1</f>
        <v>-1151587</v>
      </c>
      <c r="X965" s="12" t="n">
        <v>1318000</v>
      </c>
      <c r="Y965" s="12" t="n">
        <v>105000</v>
      </c>
      <c r="Z965" s="15" t="n">
        <f aca="false">IFERROR(X965/Y965,"")</f>
        <v>12.552380952381</v>
      </c>
      <c r="AA965" s="12" t="n">
        <v>0</v>
      </c>
      <c r="AB965" s="14" t="n">
        <f aca="false">W965-0.02*P965</f>
        <v>-1188224.12</v>
      </c>
      <c r="AC965" s="16" t="n">
        <v>73</v>
      </c>
      <c r="AD965" s="13" t="n">
        <f aca="false">IFERROR(AC965/AC964-1,"")</f>
        <v>0.0895522388059702</v>
      </c>
      <c r="AE965" s="17" t="n">
        <v>0.088</v>
      </c>
      <c r="AF965" s="17" t="n">
        <v>0.059</v>
      </c>
      <c r="AG965" s="13" t="n">
        <f aca="false">1-AF965</f>
        <v>0.941</v>
      </c>
      <c r="AH965" s="17" t="n">
        <v>1.038</v>
      </c>
      <c r="AI965" s="12" t="n">
        <v>31500</v>
      </c>
      <c r="AJ965" s="14" t="n">
        <f aca="false">IFERROR(AM965*U965*MIN(1/AE965,5),"")</f>
        <v>71865.7653767545</v>
      </c>
      <c r="AK965" s="18" t="n">
        <f aca="false">IFERROR(AJ965/AI965,"")</f>
        <v>2.28145286910332</v>
      </c>
      <c r="AL965" s="15" t="n">
        <f aca="false">IFERROR(AI965/(AM965*U965/12),"")</f>
        <v>26.2990311185266</v>
      </c>
      <c r="AM965" s="12" t="n">
        <v>24380</v>
      </c>
      <c r="AN965" s="12" t="n">
        <v>2377173</v>
      </c>
      <c r="AO965" s="12" t="n">
        <v>5387661</v>
      </c>
      <c r="AP965" s="17" t="n">
        <v>0.183</v>
      </c>
      <c r="AQ965" s="16" t="n">
        <v>47</v>
      </c>
      <c r="AR965" s="16" t="n">
        <v>6</v>
      </c>
      <c r="AS965" s="13" t="n">
        <f aca="false">IFERROR(AR965/AR964-1,"")</f>
        <v>0.2</v>
      </c>
      <c r="AT965" s="11" t="s">
        <v>80</v>
      </c>
      <c r="AU965" s="14" t="n">
        <f aca="false">IFERROR(P965/AR965,"")</f>
        <v>305309.333333333</v>
      </c>
      <c r="AV965" s="12" t="n">
        <v>2231552</v>
      </c>
      <c r="AW965" s="12" t="n">
        <v>717329</v>
      </c>
      <c r="AX965" s="12" t="n">
        <v>728407</v>
      </c>
      <c r="AY965" s="16" t="n">
        <v>34291</v>
      </c>
      <c r="AZ965" s="13" t="n">
        <f aca="false">IFERROR(AY965/AY964-1,"")</f>
        <v>0.198022569262481</v>
      </c>
      <c r="BA965" s="17" t="n">
        <v>0.937</v>
      </c>
      <c r="BB965" s="11" t="s">
        <v>107</v>
      </c>
      <c r="BC965" s="11" t="s">
        <v>108</v>
      </c>
      <c r="BD965" s="11" t="s">
        <v>101</v>
      </c>
      <c r="BE965" s="12" t="n">
        <v>2010238</v>
      </c>
      <c r="BF965" s="13" t="n">
        <f aca="false">IFERROR(P965/BE965-1,"")</f>
        <v>-0.0887367565432551</v>
      </c>
      <c r="BG965" s="17" t="n">
        <v>-0.059</v>
      </c>
      <c r="BH965" s="17" t="n">
        <v>-0.05</v>
      </c>
      <c r="BI965" s="14" t="n">
        <f aca="false">P965*(1+IFERROR(Q965,0))^4</f>
        <v>3412585.1933547</v>
      </c>
      <c r="BJ965" s="12" t="n">
        <v>-737222</v>
      </c>
      <c r="BK965" s="11" t="s">
        <v>102</v>
      </c>
      <c r="BL965" s="11" t="s">
        <v>162</v>
      </c>
      <c r="BM965" s="14" t="n">
        <f aca="false">O965</f>
        <v>63319363</v>
      </c>
      <c r="BN965" s="11" t="s">
        <v>884</v>
      </c>
      <c r="BO965" s="13" t="n">
        <f aca="false">IFERROR(1-L965/M965,"")</f>
        <v>0.112637870478773</v>
      </c>
      <c r="BP965" s="11" t="s">
        <v>87</v>
      </c>
      <c r="BQ965" s="12" t="n">
        <v>2089563</v>
      </c>
      <c r="BR965" s="11" t="s">
        <v>88</v>
      </c>
      <c r="BS965" s="11" t="s">
        <v>89</v>
      </c>
      <c r="BT965" s="19" t="str">
        <f aca="false">IF(OR(Z965&lt;6,AH965&lt;0.9,S965&lt;0.02,AK965&lt;1),"REVIEW",IF(AND(S965&gt;0.25,AH965&gt;1.2),"ACCELERATING","STABLE"))</f>
        <v>STABLE</v>
      </c>
    </row>
    <row r="966" customFormat="false" ht="15" hidden="false" customHeight="false" outlineLevel="0" collapsed="false">
      <c r="A966" s="3" t="s">
        <v>885</v>
      </c>
      <c r="B966" s="3" t="s">
        <v>73</v>
      </c>
      <c r="C966" s="3" t="s">
        <v>74</v>
      </c>
      <c r="D966" s="3" t="s">
        <v>115</v>
      </c>
      <c r="E966" s="3" t="s">
        <v>105</v>
      </c>
      <c r="F966" s="3" t="s">
        <v>886</v>
      </c>
      <c r="G966" s="3" t="s">
        <v>78</v>
      </c>
      <c r="H966" s="3" t="s">
        <v>644</v>
      </c>
      <c r="I966" s="3" t="s">
        <v>78</v>
      </c>
      <c r="J966" s="4" t="n">
        <v>3434000</v>
      </c>
      <c r="K966" s="5" t="n">
        <f aca="false">IFERROR(J966/M966,"")</f>
        <v>0.112893681372871</v>
      </c>
      <c r="L966" s="4" t="n">
        <v>26984000</v>
      </c>
      <c r="M966" s="6" t="n">
        <f aca="false">L966+J966</f>
        <v>30418000</v>
      </c>
      <c r="N966" s="4" t="n">
        <v>3434000</v>
      </c>
      <c r="O966" s="4" t="n">
        <v>52155809</v>
      </c>
      <c r="P966" s="4" t="n">
        <v>492198</v>
      </c>
      <c r="Q966" s="7"/>
      <c r="R966" s="4" t="n">
        <v>626549</v>
      </c>
      <c r="S966" s="7"/>
      <c r="T966" s="4" t="n">
        <v>393252</v>
      </c>
      <c r="U966" s="5" t="n">
        <f aca="false">IFERROR(T966/P966,"")</f>
        <v>0.798971145758414</v>
      </c>
      <c r="V966" s="6" t="n">
        <f aca="false">T966-AV966</f>
        <v>-1145513</v>
      </c>
      <c r="W966" s="6" t="n">
        <f aca="false">V966-AA966*0.1</f>
        <v>-1145513</v>
      </c>
      <c r="X966" s="4" t="n">
        <v>3137100</v>
      </c>
      <c r="Y966" s="4" t="n">
        <v>91000</v>
      </c>
      <c r="Z966" s="8" t="n">
        <f aca="false">IFERROR(X966/Y966,"")</f>
        <v>34.4736263736264</v>
      </c>
      <c r="AA966" s="4" t="n">
        <v>0</v>
      </c>
      <c r="AB966" s="6" t="n">
        <f aca="false">W966-0.02*P966</f>
        <v>-1155356.96</v>
      </c>
      <c r="AC966" s="9" t="n">
        <v>28</v>
      </c>
      <c r="AD966" s="7"/>
      <c r="AE966" s="7" t="n">
        <v>0.125</v>
      </c>
      <c r="AF966" s="7" t="n">
        <v>0.117</v>
      </c>
      <c r="AG966" s="5" t="n">
        <f aca="false">1-AF966</f>
        <v>0.883</v>
      </c>
      <c r="AH966" s="7" t="n">
        <v>1.169</v>
      </c>
      <c r="AI966" s="4" t="n">
        <v>60420</v>
      </c>
      <c r="AJ966" s="6" t="n">
        <f aca="false">IFERROR(AM966*U966*MIN(1/AE966,5),"")</f>
        <v>107861.104677386</v>
      </c>
      <c r="AK966" s="10" t="n">
        <f aca="false">IFERROR(AJ966/AI966,"")</f>
        <v>1.78518875665981</v>
      </c>
      <c r="AL966" s="8" t="n">
        <f aca="false">IFERROR(AI966/(AM966*U966/12),"")</f>
        <v>33.6098912656515</v>
      </c>
      <c r="AM966" s="4" t="n">
        <v>27000</v>
      </c>
      <c r="AN966" s="4" t="n">
        <v>734905</v>
      </c>
      <c r="AO966" s="4" t="n">
        <v>2261793</v>
      </c>
      <c r="AP966" s="7" t="n">
        <v>0.194</v>
      </c>
      <c r="AQ966" s="9" t="n">
        <v>55</v>
      </c>
      <c r="AR966" s="9" t="n">
        <v>4</v>
      </c>
      <c r="AS966" s="7"/>
      <c r="AT966" s="3" t="s">
        <v>201</v>
      </c>
      <c r="AU966" s="6" t="n">
        <f aca="false">IFERROR(P966/AR966,"")</f>
        <v>123049.5</v>
      </c>
      <c r="AV966" s="4" t="n">
        <v>1538765</v>
      </c>
      <c r="AW966" s="4" t="n">
        <v>693973</v>
      </c>
      <c r="AX966" s="4" t="n">
        <v>469484</v>
      </c>
      <c r="AY966" s="9" t="n">
        <v>3630</v>
      </c>
      <c r="AZ966" s="7"/>
      <c r="BA966" s="7" t="n">
        <v>0.882</v>
      </c>
      <c r="BB966" s="3" t="s">
        <v>107</v>
      </c>
      <c r="BC966" s="3" t="s">
        <v>100</v>
      </c>
      <c r="BD966" s="3" t="s">
        <v>101</v>
      </c>
      <c r="BE966" s="4" t="n">
        <v>567257</v>
      </c>
      <c r="BF966" s="5" t="n">
        <f aca="false">IFERROR(P966/BE966-1,"")</f>
        <v>-0.132319213337165</v>
      </c>
      <c r="BG966" s="7" t="n">
        <v>0.084</v>
      </c>
      <c r="BH966" s="7" t="n">
        <v>0.007</v>
      </c>
      <c r="BI966" s="6" t="n">
        <f aca="false">P966</f>
        <v>492198</v>
      </c>
      <c r="BJ966" s="4" t="n">
        <v>-914019</v>
      </c>
      <c r="BK966" s="3" t="s">
        <v>102</v>
      </c>
      <c r="BL966" s="3" t="s">
        <v>111</v>
      </c>
      <c r="BM966" s="6" t="n">
        <f aca="false">O966</f>
        <v>52155809</v>
      </c>
      <c r="BN966" s="3" t="s">
        <v>887</v>
      </c>
      <c r="BO966" s="5" t="n">
        <f aca="false">IFERROR(1-L966/M966,"")</f>
        <v>0.112893681372871</v>
      </c>
      <c r="BP966" s="3" t="s">
        <v>113</v>
      </c>
      <c r="BQ966" s="4" t="n">
        <v>1596551</v>
      </c>
      <c r="BR966" s="3" t="s">
        <v>88</v>
      </c>
      <c r="BS966" s="3" t="s">
        <v>89</v>
      </c>
      <c r="BT966" s="3" t="s">
        <v>90</v>
      </c>
    </row>
    <row r="967" customFormat="false" ht="15" hidden="false" customHeight="false" outlineLevel="0" collapsed="false">
      <c r="A967" s="11" t="s">
        <v>885</v>
      </c>
      <c r="B967" s="11" t="s">
        <v>91</v>
      </c>
      <c r="C967" s="11" t="s">
        <v>74</v>
      </c>
      <c r="D967" s="11" t="s">
        <v>115</v>
      </c>
      <c r="E967" s="11" t="s">
        <v>105</v>
      </c>
      <c r="F967" s="11" t="s">
        <v>886</v>
      </c>
      <c r="G967" s="11" t="s">
        <v>78</v>
      </c>
      <c r="H967" s="11" t="s">
        <v>644</v>
      </c>
      <c r="I967" s="11" t="s">
        <v>78</v>
      </c>
      <c r="J967" s="12" t="n">
        <v>3434000</v>
      </c>
      <c r="K967" s="13" t="n">
        <f aca="false">IFERROR(J967/M967,"")</f>
        <v>0.112893681372871</v>
      </c>
      <c r="L967" s="12" t="n">
        <v>26984000</v>
      </c>
      <c r="M967" s="14" t="n">
        <f aca="false">L967+J967</f>
        <v>30418000</v>
      </c>
      <c r="N967" s="12" t="n">
        <v>3434000</v>
      </c>
      <c r="O967" s="12" t="n">
        <v>52155809</v>
      </c>
      <c r="P967" s="12" t="n">
        <v>609408</v>
      </c>
      <c r="Q967" s="13" t="n">
        <f aca="false">IFERROR(P967/P966-1,"")</f>
        <v>0.238135872149013</v>
      </c>
      <c r="R967" s="12" t="n">
        <v>785977</v>
      </c>
      <c r="S967" s="13" t="n">
        <f aca="false">IFERROR(R967/R966-1,"")</f>
        <v>0.254454160807854</v>
      </c>
      <c r="T967" s="12" t="n">
        <v>488870</v>
      </c>
      <c r="U967" s="13" t="n">
        <f aca="false">IFERROR(T967/P967,"")</f>
        <v>0.802204762654905</v>
      </c>
      <c r="V967" s="14" t="n">
        <f aca="false">T967-AV967</f>
        <v>-1102369</v>
      </c>
      <c r="W967" s="14" t="n">
        <f aca="false">V967-AA967*0.1</f>
        <v>-1102369</v>
      </c>
      <c r="X967" s="12" t="n">
        <v>2907600</v>
      </c>
      <c r="Y967" s="12" t="n">
        <v>94000</v>
      </c>
      <c r="Z967" s="15" t="n">
        <f aca="false">IFERROR(X967/Y967,"")</f>
        <v>30.931914893617</v>
      </c>
      <c r="AA967" s="12" t="n">
        <v>0</v>
      </c>
      <c r="AB967" s="14" t="n">
        <f aca="false">W967-0.02*P967</f>
        <v>-1114557.16</v>
      </c>
      <c r="AC967" s="16" t="n">
        <v>31</v>
      </c>
      <c r="AD967" s="13" t="n">
        <f aca="false">IFERROR(AC967/AC966-1,"")</f>
        <v>0.107142857142857</v>
      </c>
      <c r="AE967" s="17" t="n">
        <v>0.122</v>
      </c>
      <c r="AF967" s="17" t="n">
        <v>0.089</v>
      </c>
      <c r="AG967" s="13" t="n">
        <f aca="false">1-AF967</f>
        <v>0.911</v>
      </c>
      <c r="AH967" s="17" t="n">
        <v>1.164</v>
      </c>
      <c r="AI967" s="12" t="n">
        <v>59280</v>
      </c>
      <c r="AJ967" s="14" t="n">
        <f aca="false">IFERROR(AM967*U967*MIN(1/AE967,5),"")</f>
        <v>110463.59581758</v>
      </c>
      <c r="AK967" s="18" t="n">
        <f aca="false">IFERROR(AJ967/AI967,"")</f>
        <v>1.86342098207794</v>
      </c>
      <c r="AL967" s="15" t="n">
        <f aca="false">IFERROR(AI967/(AM967*U967/12),"")</f>
        <v>32.1988431905992</v>
      </c>
      <c r="AM967" s="12" t="n">
        <v>27540</v>
      </c>
      <c r="AN967" s="12" t="n">
        <v>1038389</v>
      </c>
      <c r="AO967" s="12" t="n">
        <v>2296757</v>
      </c>
      <c r="AP967" s="17" t="n">
        <v>0.194</v>
      </c>
      <c r="AQ967" s="16" t="n">
        <v>55</v>
      </c>
      <c r="AR967" s="16" t="n">
        <v>4</v>
      </c>
      <c r="AS967" s="13" t="n">
        <f aca="false">IFERROR(AR967/AR966-1,"")</f>
        <v>0</v>
      </c>
      <c r="AT967" s="11" t="s">
        <v>201</v>
      </c>
      <c r="AU967" s="14" t="n">
        <f aca="false">IFERROR(P967/AR967,"")</f>
        <v>152352</v>
      </c>
      <c r="AV967" s="12" t="n">
        <v>1591239</v>
      </c>
      <c r="AW967" s="12" t="n">
        <v>700648</v>
      </c>
      <c r="AX967" s="12" t="n">
        <v>535656</v>
      </c>
      <c r="AY967" s="16" t="n">
        <v>4527</v>
      </c>
      <c r="AZ967" s="13" t="n">
        <f aca="false">IFERROR(AY967/AY966-1,"")</f>
        <v>0.247107438016529</v>
      </c>
      <c r="BA967" s="17" t="n">
        <v>0.872</v>
      </c>
      <c r="BB967" s="11" t="s">
        <v>107</v>
      </c>
      <c r="BC967" s="11" t="s">
        <v>100</v>
      </c>
      <c r="BD967" s="11" t="s">
        <v>101</v>
      </c>
      <c r="BE967" s="12" t="n">
        <v>595223</v>
      </c>
      <c r="BF967" s="13" t="n">
        <f aca="false">IFERROR(P967/BE967-1,"")</f>
        <v>0.0238314043644148</v>
      </c>
      <c r="BG967" s="17" t="n">
        <v>-0.021</v>
      </c>
      <c r="BH967" s="17" t="n">
        <v>-0.078</v>
      </c>
      <c r="BI967" s="14" t="n">
        <f aca="false">P967*(1+IFERROR(Q967,0))^4</f>
        <v>1432126.48684279</v>
      </c>
      <c r="BJ967" s="12" t="n">
        <v>-986742</v>
      </c>
      <c r="BK967" s="11" t="s">
        <v>102</v>
      </c>
      <c r="BL967" s="11" t="s">
        <v>111</v>
      </c>
      <c r="BM967" s="14" t="n">
        <f aca="false">O967</f>
        <v>52155809</v>
      </c>
      <c r="BN967" s="11" t="s">
        <v>887</v>
      </c>
      <c r="BO967" s="13" t="n">
        <f aca="false">IFERROR(1-L967/M967,"")</f>
        <v>0.112893681372871</v>
      </c>
      <c r="BP967" s="11" t="s">
        <v>113</v>
      </c>
      <c r="BQ967" s="12" t="n">
        <v>1848787</v>
      </c>
      <c r="BR967" s="11" t="s">
        <v>88</v>
      </c>
      <c r="BS967" s="11" t="s">
        <v>89</v>
      </c>
      <c r="BT967" s="19" t="str">
        <f aca="false">IF(OR(Z967&lt;6,AH967&lt;0.9,S967&lt;0.02,AK967&lt;1),"REVIEW",IF(AND(S967&gt;0.25,AH967&gt;1.2),"ACCELERATING","STABLE"))</f>
        <v>STABLE</v>
      </c>
    </row>
    <row r="968" customFormat="false" ht="15" hidden="false" customHeight="false" outlineLevel="0" collapsed="false">
      <c r="A968" s="11" t="s">
        <v>885</v>
      </c>
      <c r="B968" s="11" t="s">
        <v>92</v>
      </c>
      <c r="C968" s="11" t="s">
        <v>74</v>
      </c>
      <c r="D968" s="11" t="s">
        <v>115</v>
      </c>
      <c r="E968" s="11" t="s">
        <v>105</v>
      </c>
      <c r="F968" s="11" t="s">
        <v>886</v>
      </c>
      <c r="G968" s="11" t="s">
        <v>78</v>
      </c>
      <c r="H968" s="11" t="s">
        <v>644</v>
      </c>
      <c r="I968" s="11" t="s">
        <v>78</v>
      </c>
      <c r="J968" s="12" t="n">
        <v>3434000</v>
      </c>
      <c r="K968" s="13" t="n">
        <f aca="false">IFERROR(J968/M968,"")</f>
        <v>0.112893681372871</v>
      </c>
      <c r="L968" s="12" t="n">
        <v>26984000</v>
      </c>
      <c r="M968" s="14" t="n">
        <f aca="false">L968+J968</f>
        <v>30418000</v>
      </c>
      <c r="N968" s="12" t="n">
        <v>3434000</v>
      </c>
      <c r="O968" s="12" t="n">
        <v>52155809</v>
      </c>
      <c r="P968" s="12" t="n">
        <v>750520</v>
      </c>
      <c r="Q968" s="13" t="n">
        <f aca="false">IFERROR(P968/P967-1,"")</f>
        <v>0.231555870615417</v>
      </c>
      <c r="R968" s="12" t="n">
        <v>969174</v>
      </c>
      <c r="S968" s="13" t="n">
        <f aca="false">IFERROR(R968/R967-1,"")</f>
        <v>0.233081884075488</v>
      </c>
      <c r="T968" s="12" t="n">
        <v>604499</v>
      </c>
      <c r="U968" s="13" t="n">
        <f aca="false">IFERROR(T968/P968,"")</f>
        <v>0.805440228108512</v>
      </c>
      <c r="V968" s="14" t="n">
        <f aca="false">T968-AV968</f>
        <v>-1167216</v>
      </c>
      <c r="W968" s="14" t="n">
        <f aca="false">V968-AA968*0.1</f>
        <v>-1167216</v>
      </c>
      <c r="X968" s="12" t="n">
        <v>2661900</v>
      </c>
      <c r="Y968" s="12" t="n">
        <v>97000</v>
      </c>
      <c r="Z968" s="15" t="n">
        <f aca="false">IFERROR(X968/Y968,"")</f>
        <v>27.4422680412371</v>
      </c>
      <c r="AA968" s="12" t="n">
        <v>0</v>
      </c>
      <c r="AB968" s="14" t="n">
        <f aca="false">W968-0.02*P968</f>
        <v>-1182226.4</v>
      </c>
      <c r="AC968" s="16" t="n">
        <v>37</v>
      </c>
      <c r="AD968" s="13" t="n">
        <f aca="false">IFERROR(AC968/AC967-1,"")</f>
        <v>0.193548387096774</v>
      </c>
      <c r="AE968" s="17" t="n">
        <v>0.118</v>
      </c>
      <c r="AF968" s="17" t="n">
        <v>0.129</v>
      </c>
      <c r="AG968" s="13" t="n">
        <f aca="false">1-AF968</f>
        <v>0.871</v>
      </c>
      <c r="AH968" s="17" t="n">
        <v>1.159</v>
      </c>
      <c r="AI968" s="12" t="n">
        <v>58140</v>
      </c>
      <c r="AJ968" s="14" t="n">
        <f aca="false">IFERROR(AM968*U968*MIN(1/AE968,5),"")</f>
        <v>113083.808026435</v>
      </c>
      <c r="AK968" s="18" t="n">
        <f aca="false">IFERROR(AJ968/AI968,"")</f>
        <v>1.94502593784718</v>
      </c>
      <c r="AL968" s="15" t="n">
        <f aca="false">IFERROR(AI968/(AM968*U968/12),"")</f>
        <v>30.8479176716841</v>
      </c>
      <c r="AM968" s="12" t="n">
        <v>28080</v>
      </c>
      <c r="AN968" s="12" t="n">
        <v>991015</v>
      </c>
      <c r="AO968" s="12" t="n">
        <v>3079801</v>
      </c>
      <c r="AP968" s="17" t="n">
        <v>0.194</v>
      </c>
      <c r="AQ968" s="16" t="n">
        <v>55</v>
      </c>
      <c r="AR968" s="16" t="n">
        <v>5</v>
      </c>
      <c r="AS968" s="13" t="n">
        <f aca="false">IFERROR(AR968/AR967-1,"")</f>
        <v>0.25</v>
      </c>
      <c r="AT968" s="11" t="s">
        <v>201</v>
      </c>
      <c r="AU968" s="14" t="n">
        <f aca="false">IFERROR(P968/AR968,"")</f>
        <v>150104</v>
      </c>
      <c r="AV968" s="12" t="n">
        <v>1771715</v>
      </c>
      <c r="AW968" s="12" t="n">
        <v>762827</v>
      </c>
      <c r="AX968" s="12" t="n">
        <v>563021</v>
      </c>
      <c r="AY968" s="16" t="n">
        <v>5315</v>
      </c>
      <c r="AZ968" s="13" t="n">
        <f aca="false">IFERROR(AY968/AY967-1,"")</f>
        <v>0.174066710846035</v>
      </c>
      <c r="BA968" s="17" t="n">
        <v>0.895</v>
      </c>
      <c r="BB968" s="11" t="s">
        <v>107</v>
      </c>
      <c r="BC968" s="11" t="s">
        <v>100</v>
      </c>
      <c r="BD968" s="11" t="s">
        <v>101</v>
      </c>
      <c r="BE968" s="12" t="n">
        <v>719099</v>
      </c>
      <c r="BF968" s="13" t="n">
        <f aca="false">IFERROR(P968/BE968-1,"")</f>
        <v>0.0436949571616703</v>
      </c>
      <c r="BG968" s="17" t="n">
        <v>-0.002</v>
      </c>
      <c r="BH968" s="17" t="n">
        <v>-0.008</v>
      </c>
      <c r="BI968" s="14" t="n">
        <f aca="false">P968*(1+IFERROR(Q968,0))^4</f>
        <v>1726548.35085688</v>
      </c>
      <c r="BJ968" s="12" t="n">
        <v>-1020031</v>
      </c>
      <c r="BK968" s="11" t="s">
        <v>102</v>
      </c>
      <c r="BL968" s="11" t="s">
        <v>111</v>
      </c>
      <c r="BM968" s="14" t="n">
        <f aca="false">O968</f>
        <v>52155809</v>
      </c>
      <c r="BN968" s="11" t="s">
        <v>887</v>
      </c>
      <c r="BO968" s="13" t="n">
        <f aca="false">IFERROR(1-L968/M968,"")</f>
        <v>0.112893681372871</v>
      </c>
      <c r="BP968" s="11" t="s">
        <v>113</v>
      </c>
      <c r="BQ968" s="12" t="n">
        <v>1605352</v>
      </c>
      <c r="BR968" s="11" t="s">
        <v>88</v>
      </c>
      <c r="BS968" s="11" t="s">
        <v>89</v>
      </c>
      <c r="BT968" s="19" t="str">
        <f aca="false">IF(OR(Z968&lt;6,AH968&lt;0.9,S968&lt;0.02,AK968&lt;1),"REVIEW",IF(AND(S968&gt;0.25,AH968&gt;1.2),"ACCELERATING","STABLE"))</f>
        <v>STABLE</v>
      </c>
    </row>
    <row r="969" customFormat="false" ht="15" hidden="false" customHeight="false" outlineLevel="0" collapsed="false">
      <c r="A969" s="11" t="s">
        <v>885</v>
      </c>
      <c r="B969" s="11" t="s">
        <v>93</v>
      </c>
      <c r="C969" s="11" t="s">
        <v>74</v>
      </c>
      <c r="D969" s="11" t="s">
        <v>115</v>
      </c>
      <c r="E969" s="11" t="s">
        <v>105</v>
      </c>
      <c r="F969" s="11" t="s">
        <v>886</v>
      </c>
      <c r="G969" s="11" t="s">
        <v>78</v>
      </c>
      <c r="H969" s="11" t="s">
        <v>644</v>
      </c>
      <c r="I969" s="11" t="s">
        <v>78</v>
      </c>
      <c r="J969" s="12" t="n">
        <v>3434000</v>
      </c>
      <c r="K969" s="13" t="n">
        <f aca="false">IFERROR(J969/M969,"")</f>
        <v>0.112893681372871</v>
      </c>
      <c r="L969" s="12" t="n">
        <v>26984000</v>
      </c>
      <c r="M969" s="14" t="n">
        <f aca="false">L969+J969</f>
        <v>30418000</v>
      </c>
      <c r="N969" s="12" t="n">
        <v>3434000</v>
      </c>
      <c r="O969" s="12" t="n">
        <v>52155809</v>
      </c>
      <c r="P969" s="12" t="n">
        <v>975458</v>
      </c>
      <c r="Q969" s="13" t="n">
        <f aca="false">IFERROR(P969/P968-1,"")</f>
        <v>0.299709534722592</v>
      </c>
      <c r="R969" s="12" t="n">
        <v>1146791</v>
      </c>
      <c r="S969" s="13" t="n">
        <f aca="false">IFERROR(R969/R968-1,"")</f>
        <v>0.183266369093682</v>
      </c>
      <c r="T969" s="12" t="n">
        <v>788828</v>
      </c>
      <c r="U969" s="13" t="n">
        <f aca="false">IFERROR(T969/P969,"")</f>
        <v>0.808674489316813</v>
      </c>
      <c r="V969" s="14" t="n">
        <f aca="false">T969-AV969</f>
        <v>-905431</v>
      </c>
      <c r="W969" s="14" t="n">
        <f aca="false">V969-AA969*0.1</f>
        <v>-905431</v>
      </c>
      <c r="X969" s="12" t="n">
        <v>2400000</v>
      </c>
      <c r="Y969" s="12" t="n">
        <v>100000</v>
      </c>
      <c r="Z969" s="15" t="n">
        <f aca="false">IFERROR(X969/Y969,"")</f>
        <v>24</v>
      </c>
      <c r="AA969" s="12" t="n">
        <v>0</v>
      </c>
      <c r="AB969" s="14" t="n">
        <f aca="false">W969-0.02*P969</f>
        <v>-924940.16</v>
      </c>
      <c r="AC969" s="16" t="n">
        <v>47</v>
      </c>
      <c r="AD969" s="13" t="n">
        <f aca="false">IFERROR(AC969/AC968-1,"")</f>
        <v>0.27027027027027</v>
      </c>
      <c r="AE969" s="17" t="n">
        <v>0.115</v>
      </c>
      <c r="AF969" s="17" t="n">
        <v>0.097</v>
      </c>
      <c r="AG969" s="13" t="n">
        <f aca="false">1-AF969</f>
        <v>0.903</v>
      </c>
      <c r="AH969" s="17" t="n">
        <v>1.154</v>
      </c>
      <c r="AI969" s="12" t="n">
        <v>57000</v>
      </c>
      <c r="AJ969" s="14" t="n">
        <f aca="false">IFERROR(AM969*U969*MIN(1/AE969,5),"")</f>
        <v>115721.319421236</v>
      </c>
      <c r="AK969" s="18" t="n">
        <f aca="false">IFERROR(AJ969/AI969,"")</f>
        <v>2.03019858633747</v>
      </c>
      <c r="AL969" s="15" t="n">
        <f aca="false">IFERROR(AI969/(AM969*U969/12),"")</f>
        <v>29.5537591267076</v>
      </c>
      <c r="AM969" s="12" t="n">
        <v>28620</v>
      </c>
      <c r="AN969" s="12" t="n">
        <v>1178772</v>
      </c>
      <c r="AO969" s="12" t="n">
        <v>2888885</v>
      </c>
      <c r="AP969" s="17" t="n">
        <v>0.194</v>
      </c>
      <c r="AQ969" s="16" t="n">
        <v>55</v>
      </c>
      <c r="AR969" s="16" t="n">
        <v>5</v>
      </c>
      <c r="AS969" s="13" t="n">
        <f aca="false">IFERROR(AR969/AR968-1,"")</f>
        <v>0</v>
      </c>
      <c r="AT969" s="11" t="s">
        <v>201</v>
      </c>
      <c r="AU969" s="14" t="n">
        <f aca="false">IFERROR(P969/AR969,"")</f>
        <v>195091.6</v>
      </c>
      <c r="AV969" s="12" t="n">
        <v>1694259</v>
      </c>
      <c r="AW969" s="12" t="n">
        <v>571984</v>
      </c>
      <c r="AX969" s="12" t="n">
        <v>542693</v>
      </c>
      <c r="AY969" s="16" t="n">
        <v>6694</v>
      </c>
      <c r="AZ969" s="13" t="n">
        <f aca="false">IFERROR(AY969/AY968-1,"")</f>
        <v>0.259454374412041</v>
      </c>
      <c r="BA969" s="17" t="n">
        <v>0.918</v>
      </c>
      <c r="BB969" s="11" t="s">
        <v>107</v>
      </c>
      <c r="BC969" s="11" t="s">
        <v>100</v>
      </c>
      <c r="BD969" s="11" t="s">
        <v>101</v>
      </c>
      <c r="BE969" s="12" t="n">
        <v>1024918</v>
      </c>
      <c r="BF969" s="13" t="n">
        <f aca="false">IFERROR(P969/BE969-1,"")</f>
        <v>-0.0482575191381164</v>
      </c>
      <c r="BG969" s="17" t="n">
        <v>-0.004</v>
      </c>
      <c r="BH969" s="17" t="n">
        <v>0.088</v>
      </c>
      <c r="BI969" s="14" t="n">
        <f aca="false">P969*(1+IFERROR(Q969,0))^4</f>
        <v>2783516.46546103</v>
      </c>
      <c r="BJ969" s="12" t="n">
        <v>-653136</v>
      </c>
      <c r="BK969" s="11" t="s">
        <v>102</v>
      </c>
      <c r="BL969" s="11" t="s">
        <v>111</v>
      </c>
      <c r="BM969" s="14" t="n">
        <f aca="false">O969</f>
        <v>52155809</v>
      </c>
      <c r="BN969" s="11" t="s">
        <v>887</v>
      </c>
      <c r="BO969" s="13" t="n">
        <f aca="false">IFERROR(1-L969/M969,"")</f>
        <v>0.112893681372871</v>
      </c>
      <c r="BP969" s="11" t="s">
        <v>113</v>
      </c>
      <c r="BQ969" s="12" t="n">
        <v>1426611</v>
      </c>
      <c r="BR969" s="11" t="s">
        <v>88</v>
      </c>
      <c r="BS969" s="11" t="s">
        <v>89</v>
      </c>
      <c r="BT969" s="19" t="str">
        <f aca="false">IF(OR(Z969&lt;6,AH969&lt;0.9,S969&lt;0.02,AK969&lt;1),"REVIEW",IF(AND(S969&gt;0.25,AH969&gt;1.2),"ACCELERATING","STABLE"))</f>
        <v>STABLE</v>
      </c>
    </row>
    <row r="970" customFormat="false" ht="15" hidden="false" customHeight="false" outlineLevel="0" collapsed="false">
      <c r="A970" s="3" t="s">
        <v>888</v>
      </c>
      <c r="B970" s="3" t="s">
        <v>73</v>
      </c>
      <c r="C970" s="3" t="s">
        <v>74</v>
      </c>
      <c r="D970" s="3" t="s">
        <v>210</v>
      </c>
      <c r="E970" s="3" t="s">
        <v>365</v>
      </c>
      <c r="F970" s="3" t="s">
        <v>889</v>
      </c>
      <c r="G970" s="3" t="s">
        <v>78</v>
      </c>
      <c r="H970" s="3" t="s">
        <v>644</v>
      </c>
      <c r="I970" s="3" t="s">
        <v>78</v>
      </c>
      <c r="J970" s="4" t="n">
        <v>2758000</v>
      </c>
      <c r="K970" s="5" t="n">
        <f aca="false">IFERROR(J970/M970,"")</f>
        <v>0.0909240760887482</v>
      </c>
      <c r="L970" s="4" t="n">
        <v>27575000</v>
      </c>
      <c r="M970" s="6" t="n">
        <f aca="false">L970+J970</f>
        <v>30333000</v>
      </c>
      <c r="N970" s="4" t="n">
        <v>2758000</v>
      </c>
      <c r="O970" s="4" t="n">
        <v>41712237</v>
      </c>
      <c r="P970" s="4" t="n">
        <v>1074573</v>
      </c>
      <c r="Q970" s="7"/>
      <c r="R970" s="4" t="n">
        <v>1167259</v>
      </c>
      <c r="S970" s="7"/>
      <c r="T970" s="4" t="n">
        <v>656917</v>
      </c>
      <c r="U970" s="5" t="n">
        <f aca="false">IFERROR(T970/P970,"")</f>
        <v>0.611328406725276</v>
      </c>
      <c r="V970" s="6" t="n">
        <f aca="false">T970-AV970</f>
        <v>-1295995</v>
      </c>
      <c r="W970" s="6" t="n">
        <f aca="false">V970-AA970*0.1</f>
        <v>-1295995</v>
      </c>
      <c r="X970" s="4" t="n">
        <v>3076743</v>
      </c>
      <c r="Y970" s="4" t="n">
        <v>131950</v>
      </c>
      <c r="Z970" s="8" t="n">
        <f aca="false">IFERROR(X970/Y970,"")</f>
        <v>23.3174914740432</v>
      </c>
      <c r="AA970" s="4" t="n">
        <v>0</v>
      </c>
      <c r="AB970" s="6" t="n">
        <f aca="false">W970-0.02*P970</f>
        <v>-1317486.46</v>
      </c>
      <c r="AC970" s="9" t="n">
        <v>48</v>
      </c>
      <c r="AD970" s="7"/>
      <c r="AE970" s="7" t="n">
        <v>0.081</v>
      </c>
      <c r="AF970" s="7" t="n">
        <v>0.064</v>
      </c>
      <c r="AG970" s="5" t="n">
        <f aca="false">1-AF970</f>
        <v>0.936</v>
      </c>
      <c r="AH970" s="7" t="n">
        <v>1.174</v>
      </c>
      <c r="AI970" s="4" t="n">
        <v>49396</v>
      </c>
      <c r="AJ970" s="6" t="n">
        <f aca="false">IFERROR(AM970*U970*MIN(1/AE970,5),"")</f>
        <v>131435.607445934</v>
      </c>
      <c r="AK970" s="10" t="n">
        <f aca="false">IFERROR(AJ970/AI970,"")</f>
        <v>2.66085528070966</v>
      </c>
      <c r="AL970" s="8" t="n">
        <f aca="false">IFERROR(AI970/(AM970*U970/12),"")</f>
        <v>22.5491406597648</v>
      </c>
      <c r="AM970" s="4" t="n">
        <v>43000</v>
      </c>
      <c r="AN970" s="4" t="n">
        <v>1151047</v>
      </c>
      <c r="AO970" s="4" t="n">
        <v>1969112</v>
      </c>
      <c r="AP970" s="7" t="n">
        <v>0.225</v>
      </c>
      <c r="AQ970" s="9" t="n">
        <v>81</v>
      </c>
      <c r="AR970" s="9" t="n">
        <v>3</v>
      </c>
      <c r="AS970" s="7"/>
      <c r="AT970" s="3" t="s">
        <v>201</v>
      </c>
      <c r="AU970" s="6" t="n">
        <f aca="false">IFERROR(P970/AR970,"")</f>
        <v>358191</v>
      </c>
      <c r="AV970" s="4" t="n">
        <v>1952912</v>
      </c>
      <c r="AW970" s="4" t="n">
        <v>909932</v>
      </c>
      <c r="AX970" s="4" t="n">
        <v>622195</v>
      </c>
      <c r="AY970" s="9" t="n">
        <v>21450</v>
      </c>
      <c r="AZ970" s="7"/>
      <c r="BA970" s="7" t="n">
        <v>0.942</v>
      </c>
      <c r="BB970" s="3" t="s">
        <v>99</v>
      </c>
      <c r="BC970" s="3" t="s">
        <v>108</v>
      </c>
      <c r="BD970" s="3" t="s">
        <v>83</v>
      </c>
      <c r="BE970" s="4" t="n">
        <v>1121057</v>
      </c>
      <c r="BF970" s="5" t="n">
        <f aca="false">IFERROR(P970/BE970-1,"")</f>
        <v>-0.0414644393639217</v>
      </c>
      <c r="BG970" s="7" t="n">
        <v>-0.053</v>
      </c>
      <c r="BH970" s="7" t="n">
        <v>-0.031</v>
      </c>
      <c r="BI970" s="6" t="n">
        <f aca="false">P970</f>
        <v>1074573</v>
      </c>
      <c r="BJ970" s="4" t="n">
        <v>-1258481</v>
      </c>
      <c r="BK970" s="3" t="s">
        <v>102</v>
      </c>
      <c r="BL970" s="3" t="s">
        <v>128</v>
      </c>
      <c r="BM970" s="6" t="n">
        <f aca="false">O970</f>
        <v>41712237</v>
      </c>
      <c r="BN970" s="3" t="s">
        <v>890</v>
      </c>
      <c r="BO970" s="5" t="n">
        <f aca="false">IFERROR(1-L970/M970,"")</f>
        <v>0.0909240760887482</v>
      </c>
      <c r="BP970" s="3" t="s">
        <v>113</v>
      </c>
      <c r="BQ970" s="4" t="n">
        <v>1768725</v>
      </c>
      <c r="BR970" s="3" t="s">
        <v>735</v>
      </c>
      <c r="BS970" s="3" t="s">
        <v>89</v>
      </c>
      <c r="BT970" s="3" t="s">
        <v>90</v>
      </c>
    </row>
    <row r="971" customFormat="false" ht="15" hidden="false" customHeight="false" outlineLevel="0" collapsed="false">
      <c r="A971" s="11" t="s">
        <v>888</v>
      </c>
      <c r="B971" s="11" t="s">
        <v>91</v>
      </c>
      <c r="C971" s="11" t="s">
        <v>74</v>
      </c>
      <c r="D971" s="11" t="s">
        <v>210</v>
      </c>
      <c r="E971" s="11" t="s">
        <v>365</v>
      </c>
      <c r="F971" s="11" t="s">
        <v>889</v>
      </c>
      <c r="G971" s="11" t="s">
        <v>78</v>
      </c>
      <c r="H971" s="11" t="s">
        <v>644</v>
      </c>
      <c r="I971" s="11" t="s">
        <v>78</v>
      </c>
      <c r="J971" s="12" t="n">
        <v>2758000</v>
      </c>
      <c r="K971" s="13" t="n">
        <f aca="false">IFERROR(J971/M971,"")</f>
        <v>0.0909240760887482</v>
      </c>
      <c r="L971" s="12" t="n">
        <v>27575000</v>
      </c>
      <c r="M971" s="14" t="n">
        <f aca="false">L971+J971</f>
        <v>30333000</v>
      </c>
      <c r="N971" s="12" t="n">
        <v>2758000</v>
      </c>
      <c r="O971" s="12" t="n">
        <v>41712237</v>
      </c>
      <c r="P971" s="12" t="n">
        <v>1088954</v>
      </c>
      <c r="Q971" s="13" t="n">
        <f aca="false">IFERROR(P971/P970-1,"")</f>
        <v>0.0133829902668317</v>
      </c>
      <c r="R971" s="12" t="n">
        <v>1292809</v>
      </c>
      <c r="S971" s="13" t="n">
        <f aca="false">IFERROR(R971/R970-1,"")</f>
        <v>0.107559676130148</v>
      </c>
      <c r="T971" s="12" t="n">
        <v>668403</v>
      </c>
      <c r="U971" s="13" t="n">
        <f aca="false">IFERROR(T971/P971,"")</f>
        <v>0.61380278689458</v>
      </c>
      <c r="V971" s="14" t="n">
        <f aca="false">T971-AV971</f>
        <v>-1611898</v>
      </c>
      <c r="W971" s="14" t="n">
        <f aca="false">V971-AA971*0.1</f>
        <v>-1611898</v>
      </c>
      <c r="X971" s="12" t="n">
        <v>2743968</v>
      </c>
      <c r="Y971" s="12" t="n">
        <v>136300</v>
      </c>
      <c r="Z971" s="15" t="n">
        <f aca="false">IFERROR(X971/Y971,"")</f>
        <v>20.1318268525312</v>
      </c>
      <c r="AA971" s="12" t="n">
        <v>0</v>
      </c>
      <c r="AB971" s="14" t="n">
        <f aca="false">W971-0.02*P971</f>
        <v>-1633677.08</v>
      </c>
      <c r="AC971" s="16" t="n">
        <v>52</v>
      </c>
      <c r="AD971" s="13" t="n">
        <f aca="false">IFERROR(AC971/AC970-1,"")</f>
        <v>0.0833333333333333</v>
      </c>
      <c r="AE971" s="17" t="n">
        <v>0.078</v>
      </c>
      <c r="AF971" s="17" t="n">
        <v>0.07</v>
      </c>
      <c r="AG971" s="13" t="n">
        <f aca="false">1-AF971</f>
        <v>0.93</v>
      </c>
      <c r="AH971" s="17" t="n">
        <v>1.169</v>
      </c>
      <c r="AI971" s="12" t="n">
        <v>48464</v>
      </c>
      <c r="AJ971" s="14" t="n">
        <f aca="false">IFERROR(AM971*U971*MIN(1/AE971,5),"")</f>
        <v>134606.951165981</v>
      </c>
      <c r="AK971" s="18" t="n">
        <f aca="false">IFERROR(AJ971/AI971,"")</f>
        <v>2.77746267674937</v>
      </c>
      <c r="AL971" s="15" t="n">
        <f aca="false">IFERROR(AI971/(AM971*U971/12),"")</f>
        <v>21.6024505035732</v>
      </c>
      <c r="AM971" s="12" t="n">
        <v>43860</v>
      </c>
      <c r="AN971" s="12" t="n">
        <v>1281605</v>
      </c>
      <c r="AO971" s="12" t="n">
        <v>2054292</v>
      </c>
      <c r="AP971" s="17" t="n">
        <v>0.225</v>
      </c>
      <c r="AQ971" s="16" t="n">
        <v>81</v>
      </c>
      <c r="AR971" s="16" t="n">
        <v>3</v>
      </c>
      <c r="AS971" s="13" t="n">
        <f aca="false">IFERROR(AR971/AR970-1,"")</f>
        <v>0</v>
      </c>
      <c r="AT971" s="11" t="s">
        <v>201</v>
      </c>
      <c r="AU971" s="14" t="n">
        <f aca="false">IFERROR(P971/AR971,"")</f>
        <v>362984.666666667</v>
      </c>
      <c r="AV971" s="12" t="n">
        <v>2280301</v>
      </c>
      <c r="AW971" s="12" t="n">
        <v>715734</v>
      </c>
      <c r="AX971" s="12" t="n">
        <v>692052</v>
      </c>
      <c r="AY971" s="16" t="n">
        <v>23201</v>
      </c>
      <c r="AZ971" s="13" t="n">
        <f aca="false">IFERROR(AY971/AY970-1,"")</f>
        <v>0.0816317016317016</v>
      </c>
      <c r="BA971" s="17" t="n">
        <v>0.941</v>
      </c>
      <c r="BB971" s="11" t="s">
        <v>99</v>
      </c>
      <c r="BC971" s="11" t="s">
        <v>108</v>
      </c>
      <c r="BD971" s="11" t="s">
        <v>83</v>
      </c>
      <c r="BE971" s="12" t="n">
        <v>1063443</v>
      </c>
      <c r="BF971" s="13" t="n">
        <f aca="false">IFERROR(P971/BE971-1,"")</f>
        <v>0.0239890619431413</v>
      </c>
      <c r="BG971" s="17" t="n">
        <v>0.036</v>
      </c>
      <c r="BH971" s="17" t="n">
        <v>0.017</v>
      </c>
      <c r="BI971" s="14" t="n">
        <f aca="false">P971*(1+IFERROR(Q971,0))^4</f>
        <v>1148428.53765235</v>
      </c>
      <c r="BJ971" s="12" t="n">
        <v>-1054190</v>
      </c>
      <c r="BK971" s="11" t="s">
        <v>102</v>
      </c>
      <c r="BL971" s="11" t="s">
        <v>128</v>
      </c>
      <c r="BM971" s="14" t="n">
        <f aca="false">O971</f>
        <v>41712237</v>
      </c>
      <c r="BN971" s="11" t="s">
        <v>890</v>
      </c>
      <c r="BO971" s="13" t="n">
        <f aca="false">IFERROR(1-L971/M971,"")</f>
        <v>0.0909240760887482</v>
      </c>
      <c r="BP971" s="11" t="s">
        <v>113</v>
      </c>
      <c r="BQ971" s="12" t="n">
        <v>2527903</v>
      </c>
      <c r="BR971" s="11" t="s">
        <v>735</v>
      </c>
      <c r="BS971" s="11" t="s">
        <v>89</v>
      </c>
      <c r="BT971" s="19" t="str">
        <f aca="false">IF(OR(Z971&lt;6,AH971&lt;0.9,S971&lt;0.02,AK971&lt;1),"REVIEW",IF(AND(S971&gt;0.25,AH971&gt;1.2),"ACCELERATING","STABLE"))</f>
        <v>STABLE</v>
      </c>
    </row>
    <row r="972" customFormat="false" ht="15" hidden="false" customHeight="false" outlineLevel="0" collapsed="false">
      <c r="A972" s="11" t="s">
        <v>888</v>
      </c>
      <c r="B972" s="11" t="s">
        <v>92</v>
      </c>
      <c r="C972" s="11" t="s">
        <v>74</v>
      </c>
      <c r="D972" s="11" t="s">
        <v>210</v>
      </c>
      <c r="E972" s="11" t="s">
        <v>365</v>
      </c>
      <c r="F972" s="11" t="s">
        <v>889</v>
      </c>
      <c r="G972" s="11" t="s">
        <v>78</v>
      </c>
      <c r="H972" s="11" t="s">
        <v>644</v>
      </c>
      <c r="I972" s="11" t="s">
        <v>78</v>
      </c>
      <c r="J972" s="12" t="n">
        <v>2758000</v>
      </c>
      <c r="K972" s="13" t="n">
        <f aca="false">IFERROR(J972/M972,"")</f>
        <v>0.0909240760887482</v>
      </c>
      <c r="L972" s="12" t="n">
        <v>27575000</v>
      </c>
      <c r="M972" s="14" t="n">
        <f aca="false">L972+J972</f>
        <v>30333000</v>
      </c>
      <c r="N972" s="12" t="n">
        <v>2758000</v>
      </c>
      <c r="O972" s="12" t="n">
        <v>41712237</v>
      </c>
      <c r="P972" s="12" t="n">
        <v>1279244</v>
      </c>
      <c r="Q972" s="13" t="n">
        <f aca="false">IFERROR(P972/P971-1,"")</f>
        <v>0.17474567337096</v>
      </c>
      <c r="R972" s="12" t="n">
        <v>1466570</v>
      </c>
      <c r="S972" s="13" t="n">
        <f aca="false">IFERROR(R972/R971-1,"")</f>
        <v>0.134405778425119</v>
      </c>
      <c r="T972" s="12" t="n">
        <v>788370</v>
      </c>
      <c r="U972" s="13" t="n">
        <f aca="false">IFERROR(T972/P972,"")</f>
        <v>0.6162780517243</v>
      </c>
      <c r="V972" s="14" t="n">
        <f aca="false">T972-AV972</f>
        <v>-1416684</v>
      </c>
      <c r="W972" s="14" t="n">
        <f aca="false">V972-AA972*0.1</f>
        <v>-1416684</v>
      </c>
      <c r="X972" s="12" t="n">
        <v>2387703</v>
      </c>
      <c r="Y972" s="12" t="n">
        <v>140650</v>
      </c>
      <c r="Z972" s="15" t="n">
        <f aca="false">IFERROR(X972/Y972,"")</f>
        <v>16.9762033416282</v>
      </c>
      <c r="AA972" s="12" t="n">
        <v>0</v>
      </c>
      <c r="AB972" s="14" t="n">
        <f aca="false">W972-0.02*P972</f>
        <v>-1442268.88</v>
      </c>
      <c r="AC972" s="16" t="n">
        <v>56</v>
      </c>
      <c r="AD972" s="13" t="n">
        <f aca="false">IFERROR(AC972/AC971-1,"")</f>
        <v>0.0769230769230769</v>
      </c>
      <c r="AE972" s="17" t="n">
        <v>0.076</v>
      </c>
      <c r="AF972" s="17" t="n">
        <v>0.075</v>
      </c>
      <c r="AG972" s="13" t="n">
        <f aca="false">1-AF972</f>
        <v>0.925</v>
      </c>
      <c r="AH972" s="17" t="n">
        <v>1.164</v>
      </c>
      <c r="AI972" s="12" t="n">
        <v>47532</v>
      </c>
      <c r="AJ972" s="14" t="n">
        <f aca="false">IFERROR(AM972*U972*MIN(1/AE972,5),"")</f>
        <v>137799.772365553</v>
      </c>
      <c r="AK972" s="18" t="n">
        <f aca="false">IFERROR(AJ972/AI972,"")</f>
        <v>2.89909476490687</v>
      </c>
      <c r="AL972" s="15" t="n">
        <f aca="false">IFERROR(AI972/(AM972*U972/12),"")</f>
        <v>20.696115465521</v>
      </c>
      <c r="AM972" s="12" t="n">
        <v>44720</v>
      </c>
      <c r="AN972" s="12" t="n">
        <v>1648868</v>
      </c>
      <c r="AO972" s="12" t="n">
        <v>4544791</v>
      </c>
      <c r="AP972" s="17" t="n">
        <v>0.225</v>
      </c>
      <c r="AQ972" s="16" t="n">
        <v>81</v>
      </c>
      <c r="AR972" s="16" t="n">
        <v>3</v>
      </c>
      <c r="AS972" s="13" t="n">
        <f aca="false">IFERROR(AR972/AR971-1,"")</f>
        <v>0</v>
      </c>
      <c r="AT972" s="11" t="s">
        <v>201</v>
      </c>
      <c r="AU972" s="14" t="n">
        <f aca="false">IFERROR(P972/AR972,"")</f>
        <v>426414.666666667</v>
      </c>
      <c r="AV972" s="12" t="n">
        <v>2205054</v>
      </c>
      <c r="AW972" s="12" t="n">
        <v>963627</v>
      </c>
      <c r="AX972" s="12" t="n">
        <v>489026</v>
      </c>
      <c r="AY972" s="16" t="n">
        <v>25248</v>
      </c>
      <c r="AZ972" s="13" t="n">
        <f aca="false">IFERROR(AY972/AY971-1,"")</f>
        <v>0.0882289556484635</v>
      </c>
      <c r="BA972" s="17" t="n">
        <v>0.944</v>
      </c>
      <c r="BB972" s="11" t="s">
        <v>99</v>
      </c>
      <c r="BC972" s="11" t="s">
        <v>108</v>
      </c>
      <c r="BD972" s="11" t="s">
        <v>83</v>
      </c>
      <c r="BE972" s="12" t="n">
        <v>1483655</v>
      </c>
      <c r="BF972" s="13" t="n">
        <f aca="false">IFERROR(P972/BE972-1,"")</f>
        <v>-0.137775291425567</v>
      </c>
      <c r="BG972" s="17" t="n">
        <v>0.059</v>
      </c>
      <c r="BH972" s="17" t="n">
        <v>0.089</v>
      </c>
      <c r="BI972" s="14" t="n">
        <f aca="false">P972*(1+IFERROR(Q972,0))^4</f>
        <v>2436289.00588277</v>
      </c>
      <c r="BJ972" s="12" t="n">
        <v>-1593376</v>
      </c>
      <c r="BK972" s="11" t="s">
        <v>102</v>
      </c>
      <c r="BL972" s="11" t="s">
        <v>128</v>
      </c>
      <c r="BM972" s="14" t="n">
        <f aca="false">O972</f>
        <v>41712237</v>
      </c>
      <c r="BN972" s="11" t="s">
        <v>890</v>
      </c>
      <c r="BO972" s="13" t="n">
        <f aca="false">IFERROR(1-L972/M972,"")</f>
        <v>0.0909240760887482</v>
      </c>
      <c r="BP972" s="11" t="s">
        <v>113</v>
      </c>
      <c r="BQ972" s="12" t="n">
        <v>2799620</v>
      </c>
      <c r="BR972" s="11" t="s">
        <v>735</v>
      </c>
      <c r="BS972" s="11" t="s">
        <v>89</v>
      </c>
      <c r="BT972" s="19" t="str">
        <f aca="false">IF(OR(Z972&lt;6,AH972&lt;0.9,S972&lt;0.02,AK972&lt;1),"REVIEW",IF(AND(S972&gt;0.25,AH972&gt;1.2),"ACCELERATING","STABLE"))</f>
        <v>STABLE</v>
      </c>
    </row>
    <row r="973" customFormat="false" ht="15" hidden="false" customHeight="false" outlineLevel="0" collapsed="false">
      <c r="A973" s="11" t="s">
        <v>888</v>
      </c>
      <c r="B973" s="11" t="s">
        <v>93</v>
      </c>
      <c r="C973" s="11" t="s">
        <v>74</v>
      </c>
      <c r="D973" s="11" t="s">
        <v>210</v>
      </c>
      <c r="E973" s="11" t="s">
        <v>365</v>
      </c>
      <c r="F973" s="11" t="s">
        <v>889</v>
      </c>
      <c r="G973" s="11" t="s">
        <v>78</v>
      </c>
      <c r="H973" s="11" t="s">
        <v>644</v>
      </c>
      <c r="I973" s="11" t="s">
        <v>78</v>
      </c>
      <c r="J973" s="12" t="n">
        <v>2758000</v>
      </c>
      <c r="K973" s="13" t="n">
        <f aca="false">IFERROR(J973/M973,"")</f>
        <v>0.0909240760887482</v>
      </c>
      <c r="L973" s="12" t="n">
        <v>27575000</v>
      </c>
      <c r="M973" s="14" t="n">
        <f aca="false">L973+J973</f>
        <v>30333000</v>
      </c>
      <c r="N973" s="12" t="n">
        <v>2758000</v>
      </c>
      <c r="O973" s="12" t="n">
        <v>41712237</v>
      </c>
      <c r="P973" s="12" t="n">
        <v>1350854</v>
      </c>
      <c r="Q973" s="13" t="n">
        <f aca="false">IFERROR(P973/P972-1,"")</f>
        <v>0.0559783747275735</v>
      </c>
      <c r="R973" s="12" t="n">
        <v>1523362</v>
      </c>
      <c r="S973" s="13" t="n">
        <f aca="false">IFERROR(R973/R972-1,"")</f>
        <v>0.0387243704698719</v>
      </c>
      <c r="T973" s="12" t="n">
        <v>835845</v>
      </c>
      <c r="U973" s="13" t="n">
        <f aca="false">IFERROR(T973/P973,"")</f>
        <v>0.618753025863639</v>
      </c>
      <c r="V973" s="14" t="n">
        <f aca="false">T973-AV973</f>
        <v>-1456861</v>
      </c>
      <c r="W973" s="14" t="n">
        <f aca="false">V973-AA973*0.1</f>
        <v>-1456861</v>
      </c>
      <c r="X973" s="12" t="n">
        <v>2007948</v>
      </c>
      <c r="Y973" s="12" t="n">
        <v>145000</v>
      </c>
      <c r="Z973" s="15" t="n">
        <f aca="false">IFERROR(X973/Y973,"")</f>
        <v>13.8479172413793</v>
      </c>
      <c r="AA973" s="12" t="n">
        <v>0</v>
      </c>
      <c r="AB973" s="14" t="n">
        <f aca="false">W973-0.02*P973</f>
        <v>-1483878.08</v>
      </c>
      <c r="AC973" s="16" t="n">
        <v>56</v>
      </c>
      <c r="AD973" s="13" t="n">
        <f aca="false">IFERROR(AC973/AC972-1,"")</f>
        <v>0</v>
      </c>
      <c r="AE973" s="17" t="n">
        <v>0.074</v>
      </c>
      <c r="AF973" s="17" t="n">
        <v>0.056</v>
      </c>
      <c r="AG973" s="13" t="n">
        <f aca="false">1-AF973</f>
        <v>0.944</v>
      </c>
      <c r="AH973" s="17" t="n">
        <v>1.159</v>
      </c>
      <c r="AI973" s="12" t="n">
        <v>46600</v>
      </c>
      <c r="AJ973" s="14" t="n">
        <f aca="false">IFERROR(AM973*U973*MIN(1/AE973,5),"")</f>
        <v>141013.814594323</v>
      </c>
      <c r="AK973" s="18" t="n">
        <f aca="false">IFERROR(AJ973/AI973,"")</f>
        <v>3.02604752348333</v>
      </c>
      <c r="AL973" s="15" t="n">
        <f aca="false">IFERROR(AI973/(AM973*U973/12),"")</f>
        <v>19.8278445841898</v>
      </c>
      <c r="AM973" s="12" t="n">
        <v>45580</v>
      </c>
      <c r="AN973" s="12" t="n">
        <v>2172089</v>
      </c>
      <c r="AO973" s="12" t="n">
        <v>5065424</v>
      </c>
      <c r="AP973" s="17" t="n">
        <v>0.225</v>
      </c>
      <c r="AQ973" s="16" t="n">
        <v>81</v>
      </c>
      <c r="AR973" s="16" t="n">
        <v>3</v>
      </c>
      <c r="AS973" s="13" t="n">
        <f aca="false">IFERROR(AR973/AR972-1,"")</f>
        <v>0</v>
      </c>
      <c r="AT973" s="11" t="s">
        <v>201</v>
      </c>
      <c r="AU973" s="14" t="n">
        <f aca="false">IFERROR(P973/AR973,"")</f>
        <v>450284.666666667</v>
      </c>
      <c r="AV973" s="12" t="n">
        <v>2292706</v>
      </c>
      <c r="AW973" s="12" t="n">
        <v>1093415</v>
      </c>
      <c r="AX973" s="12" t="n">
        <v>495962</v>
      </c>
      <c r="AY973" s="16" t="n">
        <v>27693</v>
      </c>
      <c r="AZ973" s="13" t="n">
        <f aca="false">IFERROR(AY973/AY972-1,"")</f>
        <v>0.0968393536121672</v>
      </c>
      <c r="BA973" s="17" t="n">
        <v>0.932</v>
      </c>
      <c r="BB973" s="11" t="s">
        <v>99</v>
      </c>
      <c r="BC973" s="11" t="s">
        <v>108</v>
      </c>
      <c r="BD973" s="11" t="s">
        <v>83</v>
      </c>
      <c r="BE973" s="12" t="n">
        <v>1525980</v>
      </c>
      <c r="BF973" s="13" t="n">
        <f aca="false">IFERROR(P973/BE973-1,"")</f>
        <v>-0.114762971991769</v>
      </c>
      <c r="BG973" s="17" t="n">
        <v>0.056</v>
      </c>
      <c r="BH973" s="17" t="n">
        <v>0.097</v>
      </c>
      <c r="BI973" s="14" t="n">
        <f aca="false">P973*(1+IFERROR(Q973,0))^4</f>
        <v>1679687.57931377</v>
      </c>
      <c r="BJ973" s="12" t="n">
        <v>-967563</v>
      </c>
      <c r="BK973" s="11" t="s">
        <v>102</v>
      </c>
      <c r="BL973" s="11" t="s">
        <v>128</v>
      </c>
      <c r="BM973" s="14" t="n">
        <f aca="false">O973</f>
        <v>41712237</v>
      </c>
      <c r="BN973" s="11" t="s">
        <v>890</v>
      </c>
      <c r="BO973" s="13" t="n">
        <f aca="false">IFERROR(1-L973/M973,"")</f>
        <v>0.0909240760887482</v>
      </c>
      <c r="BP973" s="11" t="s">
        <v>113</v>
      </c>
      <c r="BQ973" s="12" t="n">
        <v>2718838</v>
      </c>
      <c r="BR973" s="11" t="s">
        <v>735</v>
      </c>
      <c r="BS973" s="11" t="s">
        <v>89</v>
      </c>
      <c r="BT973" s="19" t="str">
        <f aca="false">IF(OR(Z973&lt;6,AH973&lt;0.9,S973&lt;0.02,AK973&lt;1),"REVIEW",IF(AND(S973&gt;0.25,AH973&gt;1.2),"ACCELERATING","STABLE"))</f>
        <v>STABLE</v>
      </c>
    </row>
    <row r="974" customFormat="false" ht="15" hidden="false" customHeight="false" outlineLevel="0" collapsed="false">
      <c r="A974" s="3" t="s">
        <v>891</v>
      </c>
      <c r="B974" s="3" t="s">
        <v>73</v>
      </c>
      <c r="C974" s="3" t="s">
        <v>74</v>
      </c>
      <c r="D974" s="3" t="s">
        <v>115</v>
      </c>
      <c r="E974" s="3" t="s">
        <v>187</v>
      </c>
      <c r="F974" s="3" t="s">
        <v>892</v>
      </c>
      <c r="G974" s="3" t="s">
        <v>78</v>
      </c>
      <c r="H974" s="3" t="s">
        <v>644</v>
      </c>
      <c r="I974" s="3" t="s">
        <v>78</v>
      </c>
      <c r="J974" s="4" t="n">
        <v>2147000</v>
      </c>
      <c r="K974" s="5" t="n">
        <f aca="false">IFERROR(J974/M974,"")</f>
        <v>0.131912017694765</v>
      </c>
      <c r="L974" s="4" t="n">
        <v>14129000</v>
      </c>
      <c r="M974" s="6" t="n">
        <f aca="false">L974+J974</f>
        <v>16276000</v>
      </c>
      <c r="N974" s="4" t="n">
        <v>3600000</v>
      </c>
      <c r="O974" s="4" t="n">
        <v>32279366</v>
      </c>
      <c r="P974" s="4" t="n">
        <v>612195</v>
      </c>
      <c r="Q974" s="7"/>
      <c r="R974" s="4" t="n">
        <v>639425</v>
      </c>
      <c r="S974" s="7"/>
      <c r="T974" s="4" t="n">
        <v>333780</v>
      </c>
      <c r="U974" s="5" t="n">
        <f aca="false">IFERROR(T974/P974,"")</f>
        <v>0.545218435302477</v>
      </c>
      <c r="V974" s="6" t="n">
        <f aca="false">T974-AV974</f>
        <v>-1190129</v>
      </c>
      <c r="W974" s="6" t="n">
        <f aca="false">V974-AA974*0.1</f>
        <v>-1278129</v>
      </c>
      <c r="X974" s="4" t="n">
        <v>3168471</v>
      </c>
      <c r="Y974" s="4" t="n">
        <v>91910</v>
      </c>
      <c r="Z974" s="8" t="n">
        <f aca="false">IFERROR(X974/Y974,"")</f>
        <v>34.4736263736264</v>
      </c>
      <c r="AA974" s="4" t="n">
        <v>880000</v>
      </c>
      <c r="AB974" s="6" t="n">
        <f aca="false">W974-0.02*P974</f>
        <v>-1290372.9</v>
      </c>
      <c r="AC974" s="9" t="n">
        <v>43</v>
      </c>
      <c r="AD974" s="7"/>
      <c r="AE974" s="7" t="n">
        <v>0.121</v>
      </c>
      <c r="AF974" s="7" t="n">
        <v>0.099</v>
      </c>
      <c r="AG974" s="5" t="n">
        <f aca="false">1-AF974</f>
        <v>0.901</v>
      </c>
      <c r="AH974" s="7" t="n">
        <v>1.162</v>
      </c>
      <c r="AI974" s="4" t="n">
        <v>9328</v>
      </c>
      <c r="AJ974" s="6" t="n">
        <f aca="false">IFERROR(AM974*U974*MIN(1/AE974,5),"")</f>
        <v>27260.9217651239</v>
      </c>
      <c r="AK974" s="10" t="n">
        <f aca="false">IFERROR(AJ974/AI974,"")</f>
        <v>2.92248303656988</v>
      </c>
      <c r="AL974" s="8" t="n">
        <f aca="false">IFERROR(AI974/(AM974*U974/12),"")</f>
        <v>20.5304870034154</v>
      </c>
      <c r="AM974" s="4" t="n">
        <v>10000</v>
      </c>
      <c r="AN974" s="4" t="n">
        <v>872358</v>
      </c>
      <c r="AO974" s="4" t="n">
        <v>2099056</v>
      </c>
      <c r="AP974" s="7" t="n">
        <v>0.345</v>
      </c>
      <c r="AQ974" s="9" t="n">
        <v>44</v>
      </c>
      <c r="AR974" s="9" t="n">
        <v>4</v>
      </c>
      <c r="AS974" s="7"/>
      <c r="AT974" s="3" t="s">
        <v>153</v>
      </c>
      <c r="AU974" s="6" t="n">
        <f aca="false">IFERROR(P974/AR974,"")</f>
        <v>153048.75</v>
      </c>
      <c r="AV974" s="4" t="n">
        <v>1523909</v>
      </c>
      <c r="AW974" s="4" t="n">
        <v>672567</v>
      </c>
      <c r="AX974" s="4" t="n">
        <v>359605</v>
      </c>
      <c r="AY974" s="9" t="n">
        <v>3011</v>
      </c>
      <c r="AZ974" s="7"/>
      <c r="BA974" s="7" t="n">
        <v>0.908</v>
      </c>
      <c r="BB974" s="3" t="s">
        <v>107</v>
      </c>
      <c r="BC974" s="3" t="s">
        <v>100</v>
      </c>
      <c r="BD974" s="3" t="s">
        <v>109</v>
      </c>
      <c r="BE974" s="4" t="n">
        <v>634337</v>
      </c>
      <c r="BF974" s="5" t="n">
        <f aca="false">IFERROR(P974/BE974-1,"")</f>
        <v>-0.0349057362253817</v>
      </c>
      <c r="BG974" s="7" t="n">
        <v>-0.059</v>
      </c>
      <c r="BH974" s="7" t="n">
        <v>-0.021</v>
      </c>
      <c r="BI974" s="6" t="n">
        <f aca="false">P974</f>
        <v>612195</v>
      </c>
      <c r="BJ974" s="4" t="n">
        <v>-690877</v>
      </c>
      <c r="BK974" s="3" t="s">
        <v>192</v>
      </c>
      <c r="BL974" s="3" t="s">
        <v>162</v>
      </c>
      <c r="BM974" s="6" t="n">
        <f aca="false">O974</f>
        <v>32279366</v>
      </c>
      <c r="BN974" s="3" t="s">
        <v>893</v>
      </c>
      <c r="BO974" s="5" t="n">
        <f aca="false">IFERROR(1-L974/M974,"")</f>
        <v>0.131912017694765</v>
      </c>
      <c r="BP974" s="3" t="s">
        <v>142</v>
      </c>
      <c r="BQ974" s="4" t="n">
        <v>1618759</v>
      </c>
      <c r="BR974" s="3" t="s">
        <v>88</v>
      </c>
      <c r="BS974" s="3" t="s">
        <v>89</v>
      </c>
      <c r="BT974" s="3" t="s">
        <v>90</v>
      </c>
    </row>
    <row r="975" customFormat="false" ht="15" hidden="false" customHeight="false" outlineLevel="0" collapsed="false">
      <c r="A975" s="11" t="s">
        <v>891</v>
      </c>
      <c r="B975" s="11" t="s">
        <v>91</v>
      </c>
      <c r="C975" s="11" t="s">
        <v>74</v>
      </c>
      <c r="D975" s="11" t="s">
        <v>115</v>
      </c>
      <c r="E975" s="11" t="s">
        <v>187</v>
      </c>
      <c r="F975" s="11" t="s">
        <v>892</v>
      </c>
      <c r="G975" s="11" t="s">
        <v>78</v>
      </c>
      <c r="H975" s="11" t="s">
        <v>644</v>
      </c>
      <c r="I975" s="11" t="s">
        <v>78</v>
      </c>
      <c r="J975" s="12" t="n">
        <v>2147000</v>
      </c>
      <c r="K975" s="13" t="n">
        <f aca="false">IFERROR(J975/M975,"")</f>
        <v>0.131912017694765</v>
      </c>
      <c r="L975" s="12" t="n">
        <v>14129000</v>
      </c>
      <c r="M975" s="14" t="n">
        <f aca="false">L975+J975</f>
        <v>16276000</v>
      </c>
      <c r="N975" s="12" t="n">
        <v>3600000</v>
      </c>
      <c r="O975" s="12" t="n">
        <v>32279366</v>
      </c>
      <c r="P975" s="12" t="n">
        <v>689064</v>
      </c>
      <c r="Q975" s="13" t="n">
        <f aca="false">IFERROR(P975/P974-1,"")</f>
        <v>0.12556293337907</v>
      </c>
      <c r="R975" s="12" t="n">
        <v>710069</v>
      </c>
      <c r="S975" s="13" t="n">
        <f aca="false">IFERROR(R975/R974-1,"")</f>
        <v>0.110480509833053</v>
      </c>
      <c r="T975" s="12" t="n">
        <v>377212</v>
      </c>
      <c r="U975" s="13" t="n">
        <f aca="false">IFERROR(T975/P975,"")</f>
        <v>0.547426654127919</v>
      </c>
      <c r="V975" s="14" t="n">
        <f aca="false">T975-AV975</f>
        <v>-1159720</v>
      </c>
      <c r="W975" s="14" t="n">
        <f aca="false">V975-AA975*0.1</f>
        <v>-1247720</v>
      </c>
      <c r="X975" s="12" t="n">
        <v>2936676</v>
      </c>
      <c r="Y975" s="12" t="n">
        <v>94940</v>
      </c>
      <c r="Z975" s="15" t="n">
        <f aca="false">IFERROR(X975/Y975,"")</f>
        <v>30.931914893617</v>
      </c>
      <c r="AA975" s="12" t="n">
        <v>880000</v>
      </c>
      <c r="AB975" s="14" t="n">
        <f aca="false">W975-0.02*P975</f>
        <v>-1261501.28</v>
      </c>
      <c r="AC975" s="16" t="n">
        <v>49</v>
      </c>
      <c r="AD975" s="13" t="n">
        <f aca="false">IFERROR(AC975/AC974-1,"")</f>
        <v>0.13953488372093</v>
      </c>
      <c r="AE975" s="17" t="n">
        <v>0.118</v>
      </c>
      <c r="AF975" s="17" t="n">
        <v>0.125</v>
      </c>
      <c r="AG975" s="13" t="n">
        <f aca="false">1-AF975</f>
        <v>0.875</v>
      </c>
      <c r="AH975" s="17" t="n">
        <v>1.157</v>
      </c>
      <c r="AI975" s="12" t="n">
        <v>9152</v>
      </c>
      <c r="AJ975" s="14" t="n">
        <f aca="false">IFERROR(AM975*U975*MIN(1/AE975,5),"")</f>
        <v>27918.7593605238</v>
      </c>
      <c r="AK975" s="18" t="n">
        <f aca="false">IFERROR(AJ975/AI975,"")</f>
        <v>3.05056374131598</v>
      </c>
      <c r="AL975" s="15" t="n">
        <f aca="false">IFERROR(AI975/(AM975*U975/12),"")</f>
        <v>19.6684957561702</v>
      </c>
      <c r="AM975" s="12" t="n">
        <v>10200</v>
      </c>
      <c r="AN975" s="12" t="n">
        <v>1016337</v>
      </c>
      <c r="AO975" s="12" t="n">
        <v>2090932</v>
      </c>
      <c r="AP975" s="17" t="n">
        <v>0.345</v>
      </c>
      <c r="AQ975" s="16" t="n">
        <v>44</v>
      </c>
      <c r="AR975" s="16" t="n">
        <v>4</v>
      </c>
      <c r="AS975" s="13" t="n">
        <f aca="false">IFERROR(AR975/AR974-1,"")</f>
        <v>0</v>
      </c>
      <c r="AT975" s="11" t="s">
        <v>153</v>
      </c>
      <c r="AU975" s="14" t="n">
        <f aca="false">IFERROR(P975/AR975,"")</f>
        <v>172266</v>
      </c>
      <c r="AV975" s="12" t="n">
        <v>1536932</v>
      </c>
      <c r="AW975" s="12" t="n">
        <v>608458</v>
      </c>
      <c r="AX975" s="12" t="n">
        <v>395268</v>
      </c>
      <c r="AY975" s="16" t="n">
        <v>3477</v>
      </c>
      <c r="AZ975" s="13" t="n">
        <f aca="false">IFERROR(AY975/AY974-1,"")</f>
        <v>0.154765858518765</v>
      </c>
      <c r="BA975" s="17" t="n">
        <v>0.889</v>
      </c>
      <c r="BB975" s="11" t="s">
        <v>107</v>
      </c>
      <c r="BC975" s="11" t="s">
        <v>100</v>
      </c>
      <c r="BD975" s="11" t="s">
        <v>109</v>
      </c>
      <c r="BE975" s="12" t="n">
        <v>847440</v>
      </c>
      <c r="BF975" s="13" t="n">
        <f aca="false">IFERROR(P975/BE975-1,"")</f>
        <v>-0.186887567261399</v>
      </c>
      <c r="BG975" s="17" t="n">
        <v>0.087</v>
      </c>
      <c r="BH975" s="17" t="n">
        <v>0.073</v>
      </c>
      <c r="BI975" s="14" t="n">
        <f aca="false">P975*(1+IFERROR(Q975,0))^4</f>
        <v>1105958.14509186</v>
      </c>
      <c r="BJ975" s="12" t="n">
        <v>-1042170</v>
      </c>
      <c r="BK975" s="11" t="s">
        <v>192</v>
      </c>
      <c r="BL975" s="11" t="s">
        <v>162</v>
      </c>
      <c r="BM975" s="14" t="n">
        <f aca="false">O975</f>
        <v>32279366</v>
      </c>
      <c r="BN975" s="11" t="s">
        <v>893</v>
      </c>
      <c r="BO975" s="13" t="n">
        <f aca="false">IFERROR(1-L975/M975,"")</f>
        <v>0.131912017694765</v>
      </c>
      <c r="BP975" s="11" t="s">
        <v>142</v>
      </c>
      <c r="BQ975" s="12" t="n">
        <v>1304477</v>
      </c>
      <c r="BR975" s="11" t="s">
        <v>88</v>
      </c>
      <c r="BS975" s="11" t="s">
        <v>89</v>
      </c>
      <c r="BT975" s="19" t="str">
        <f aca="false">IF(OR(Z975&lt;6,AH975&lt;0.9,S975&lt;0.02,AK975&lt;1),"REVIEW",IF(AND(S975&gt;0.25,AH975&gt;1.2),"ACCELERATING","STABLE"))</f>
        <v>STABLE</v>
      </c>
    </row>
    <row r="976" customFormat="false" ht="15" hidden="false" customHeight="false" outlineLevel="0" collapsed="false">
      <c r="A976" s="11" t="s">
        <v>891</v>
      </c>
      <c r="B976" s="11" t="s">
        <v>92</v>
      </c>
      <c r="C976" s="11" t="s">
        <v>74</v>
      </c>
      <c r="D976" s="11" t="s">
        <v>115</v>
      </c>
      <c r="E976" s="11" t="s">
        <v>187</v>
      </c>
      <c r="F976" s="11" t="s">
        <v>892</v>
      </c>
      <c r="G976" s="11" t="s">
        <v>78</v>
      </c>
      <c r="H976" s="11" t="s">
        <v>644</v>
      </c>
      <c r="I976" s="11" t="s">
        <v>78</v>
      </c>
      <c r="J976" s="12" t="n">
        <v>2147000</v>
      </c>
      <c r="K976" s="13" t="n">
        <f aca="false">IFERROR(J976/M976,"")</f>
        <v>0.131912017694765</v>
      </c>
      <c r="L976" s="12" t="n">
        <v>14129000</v>
      </c>
      <c r="M976" s="14" t="n">
        <f aca="false">L976+J976</f>
        <v>16276000</v>
      </c>
      <c r="N976" s="12" t="n">
        <v>3600000</v>
      </c>
      <c r="O976" s="12" t="n">
        <v>32279366</v>
      </c>
      <c r="P976" s="12" t="n">
        <v>764992</v>
      </c>
      <c r="Q976" s="13" t="n">
        <f aca="false">IFERROR(P976/P975-1,"")</f>
        <v>0.110190054915073</v>
      </c>
      <c r="R976" s="12" t="n">
        <v>766195</v>
      </c>
      <c r="S976" s="13" t="n">
        <f aca="false">IFERROR(R976/R975-1,"")</f>
        <v>0.0790430225794958</v>
      </c>
      <c r="T976" s="12" t="n">
        <v>420465</v>
      </c>
      <c r="U976" s="13" t="n">
        <f aca="false">IFERROR(T976/P976,"")</f>
        <v>0.549633198778549</v>
      </c>
      <c r="V976" s="14" t="n">
        <f aca="false">T976-AV976</f>
        <v>-961470</v>
      </c>
      <c r="W976" s="14" t="n">
        <f aca="false">V976-AA976*0.1</f>
        <v>-1049470</v>
      </c>
      <c r="X976" s="12" t="n">
        <v>2688519</v>
      </c>
      <c r="Y976" s="12" t="n">
        <v>97970</v>
      </c>
      <c r="Z976" s="15" t="n">
        <f aca="false">IFERROR(X976/Y976,"")</f>
        <v>27.4422680412371</v>
      </c>
      <c r="AA976" s="12" t="n">
        <v>880000</v>
      </c>
      <c r="AB976" s="14" t="n">
        <f aca="false">W976-0.02*P976</f>
        <v>-1064769.84</v>
      </c>
      <c r="AC976" s="16" t="n">
        <v>54</v>
      </c>
      <c r="AD976" s="13" t="n">
        <f aca="false">IFERROR(AC976/AC975-1,"")</f>
        <v>0.102040816326531</v>
      </c>
      <c r="AE976" s="17" t="n">
        <v>0.114</v>
      </c>
      <c r="AF976" s="17" t="n">
        <v>0.079</v>
      </c>
      <c r="AG976" s="13" t="n">
        <f aca="false">1-AF976</f>
        <v>0.921</v>
      </c>
      <c r="AH976" s="17" t="n">
        <v>1.152</v>
      </c>
      <c r="AI976" s="12" t="n">
        <v>8976</v>
      </c>
      <c r="AJ976" s="14" t="n">
        <f aca="false">IFERROR(AM976*U976*MIN(1/AE976,5),"")</f>
        <v>28580.9263364846</v>
      </c>
      <c r="AK976" s="18" t="n">
        <f aca="false">IFERROR(AJ976/AI976,"")</f>
        <v>3.18414954729106</v>
      </c>
      <c r="AL976" s="15" t="n">
        <f aca="false">IFERROR(AI976/(AM976*U976/12),"")</f>
        <v>18.8433360647415</v>
      </c>
      <c r="AM976" s="12" t="n">
        <v>10400</v>
      </c>
      <c r="AN976" s="12" t="n">
        <v>881298</v>
      </c>
      <c r="AO976" s="12" t="n">
        <v>1499682</v>
      </c>
      <c r="AP976" s="17" t="n">
        <v>0.345</v>
      </c>
      <c r="AQ976" s="16" t="n">
        <v>44</v>
      </c>
      <c r="AR976" s="16" t="n">
        <v>5</v>
      </c>
      <c r="AS976" s="13" t="n">
        <f aca="false">IFERROR(AR976/AR975-1,"")</f>
        <v>0.25</v>
      </c>
      <c r="AT976" s="11" t="s">
        <v>153</v>
      </c>
      <c r="AU976" s="14" t="n">
        <f aca="false">IFERROR(P976/AR976,"")</f>
        <v>152998.4</v>
      </c>
      <c r="AV976" s="12" t="n">
        <v>1381935</v>
      </c>
      <c r="AW976" s="12" t="n">
        <v>576564</v>
      </c>
      <c r="AX976" s="12" t="n">
        <v>265026</v>
      </c>
      <c r="AY976" s="16" t="n">
        <v>3766</v>
      </c>
      <c r="AZ976" s="13" t="n">
        <f aca="false">IFERROR(AY976/AY975-1,"")</f>
        <v>0.083117630140926</v>
      </c>
      <c r="BA976" s="17" t="n">
        <v>0.898</v>
      </c>
      <c r="BB976" s="11" t="s">
        <v>107</v>
      </c>
      <c r="BC976" s="11" t="s">
        <v>100</v>
      </c>
      <c r="BD976" s="11" t="s">
        <v>109</v>
      </c>
      <c r="BE976" s="12" t="n">
        <v>882777</v>
      </c>
      <c r="BF976" s="13" t="n">
        <f aca="false">IFERROR(P976/BE976-1,"")</f>
        <v>-0.133425542351013</v>
      </c>
      <c r="BG976" s="17" t="n">
        <v>-0.032</v>
      </c>
      <c r="BH976" s="17" t="n">
        <v>0.052</v>
      </c>
      <c r="BI976" s="14" t="n">
        <f aca="false">P976*(1+IFERROR(Q976,0))^4</f>
        <v>1162107.28554635</v>
      </c>
      <c r="BJ976" s="12" t="n">
        <v>-1067017</v>
      </c>
      <c r="BK976" s="11" t="s">
        <v>192</v>
      </c>
      <c r="BL976" s="11" t="s">
        <v>162</v>
      </c>
      <c r="BM976" s="14" t="n">
        <f aca="false">O976</f>
        <v>32279366</v>
      </c>
      <c r="BN976" s="11" t="s">
        <v>893</v>
      </c>
      <c r="BO976" s="13" t="n">
        <f aca="false">IFERROR(1-L976/M976,"")</f>
        <v>0.131912017694765</v>
      </c>
      <c r="BP976" s="11" t="s">
        <v>142</v>
      </c>
      <c r="BQ976" s="12" t="n">
        <v>1431757</v>
      </c>
      <c r="BR976" s="11" t="s">
        <v>88</v>
      </c>
      <c r="BS976" s="11" t="s">
        <v>89</v>
      </c>
      <c r="BT976" s="19" t="str">
        <f aca="false">IF(OR(Z976&lt;6,AH976&lt;0.9,S976&lt;0.02,AK976&lt;1),"REVIEW",IF(AND(S976&gt;0.25,AH976&gt;1.2),"ACCELERATING","STABLE"))</f>
        <v>STABLE</v>
      </c>
    </row>
    <row r="977" customFormat="false" ht="15" hidden="false" customHeight="false" outlineLevel="0" collapsed="false">
      <c r="A977" s="11" t="s">
        <v>891</v>
      </c>
      <c r="B977" s="11" t="s">
        <v>93</v>
      </c>
      <c r="C977" s="11" t="s">
        <v>74</v>
      </c>
      <c r="D977" s="11" t="s">
        <v>115</v>
      </c>
      <c r="E977" s="11" t="s">
        <v>187</v>
      </c>
      <c r="F977" s="11" t="s">
        <v>892</v>
      </c>
      <c r="G977" s="11" t="s">
        <v>78</v>
      </c>
      <c r="H977" s="11" t="s">
        <v>644</v>
      </c>
      <c r="I977" s="11" t="s">
        <v>78</v>
      </c>
      <c r="J977" s="12" t="n">
        <v>2147000</v>
      </c>
      <c r="K977" s="13" t="n">
        <f aca="false">IFERROR(J977/M977,"")</f>
        <v>0.131912017694765</v>
      </c>
      <c r="L977" s="12" t="n">
        <v>14129000</v>
      </c>
      <c r="M977" s="14" t="n">
        <f aca="false">L977+J977</f>
        <v>16276000</v>
      </c>
      <c r="N977" s="12" t="n">
        <v>3600000</v>
      </c>
      <c r="O977" s="12" t="n">
        <v>32279366</v>
      </c>
      <c r="P977" s="12" t="n">
        <v>807807</v>
      </c>
      <c r="Q977" s="13" t="n">
        <f aca="false">IFERROR(P977/P976-1,"")</f>
        <v>0.0559679055467246</v>
      </c>
      <c r="R977" s="12" t="n">
        <v>871364</v>
      </c>
      <c r="S977" s="13" t="n">
        <f aca="false">IFERROR(R977/R976-1,"")</f>
        <v>0.13726140212348</v>
      </c>
      <c r="T977" s="12" t="n">
        <v>445782</v>
      </c>
      <c r="U977" s="13" t="n">
        <f aca="false">IFERROR(T977/P977,"")</f>
        <v>0.551842209834775</v>
      </c>
      <c r="V977" s="14" t="n">
        <f aca="false">T977-AV977</f>
        <v>-959663</v>
      </c>
      <c r="W977" s="14" t="n">
        <f aca="false">V977-AA977*0.1</f>
        <v>-1047663</v>
      </c>
      <c r="X977" s="12" t="n">
        <v>2424000</v>
      </c>
      <c r="Y977" s="12" t="n">
        <v>101000</v>
      </c>
      <c r="Z977" s="15" t="n">
        <f aca="false">IFERROR(X977/Y977,"")</f>
        <v>24</v>
      </c>
      <c r="AA977" s="12" t="n">
        <v>880000</v>
      </c>
      <c r="AB977" s="14" t="n">
        <f aca="false">W977-0.02*P977</f>
        <v>-1063819.14</v>
      </c>
      <c r="AC977" s="16" t="n">
        <v>59</v>
      </c>
      <c r="AD977" s="13" t="n">
        <f aca="false">IFERROR(AC977/AC976-1,"")</f>
        <v>0.0925925925925926</v>
      </c>
      <c r="AE977" s="17" t="n">
        <v>0.111</v>
      </c>
      <c r="AF977" s="17" t="n">
        <v>0.102</v>
      </c>
      <c r="AG977" s="13" t="n">
        <f aca="false">1-AF977</f>
        <v>0.898</v>
      </c>
      <c r="AH977" s="17" t="n">
        <v>1.147</v>
      </c>
      <c r="AI977" s="12" t="n">
        <v>8800</v>
      </c>
      <c r="AJ977" s="14" t="n">
        <f aca="false">IFERROR(AM977*U977*MIN(1/AE977,5),"")</f>
        <v>29247.6371212431</v>
      </c>
      <c r="AK977" s="18" t="n">
        <f aca="false">IFERROR(AJ977/AI977,"")</f>
        <v>3.32359512741399</v>
      </c>
      <c r="AL977" s="15" t="n">
        <f aca="false">IFERROR(AI977/(AM977*U977/12),"")</f>
        <v>18.0527403910008</v>
      </c>
      <c r="AM977" s="12" t="n">
        <v>10600</v>
      </c>
      <c r="AN977" s="12" t="n">
        <v>791829</v>
      </c>
      <c r="AO977" s="12" t="n">
        <v>3280302</v>
      </c>
      <c r="AP977" s="17" t="n">
        <v>0.345</v>
      </c>
      <c r="AQ977" s="16" t="n">
        <v>44</v>
      </c>
      <c r="AR977" s="16" t="n">
        <v>5</v>
      </c>
      <c r="AS977" s="13" t="n">
        <f aca="false">IFERROR(AR977/AR976-1,"")</f>
        <v>0</v>
      </c>
      <c r="AT977" s="11" t="s">
        <v>153</v>
      </c>
      <c r="AU977" s="14" t="n">
        <f aca="false">IFERROR(P977/AR977,"")</f>
        <v>161561.4</v>
      </c>
      <c r="AV977" s="12" t="n">
        <v>1405445</v>
      </c>
      <c r="AW977" s="12" t="n">
        <v>678516</v>
      </c>
      <c r="AX977" s="12" t="n">
        <v>267658</v>
      </c>
      <c r="AY977" s="16" t="n">
        <v>4468</v>
      </c>
      <c r="AZ977" s="13" t="n">
        <f aca="false">IFERROR(AY977/AY976-1,"")</f>
        <v>0.186404673393521</v>
      </c>
      <c r="BA977" s="17" t="n">
        <v>0.917</v>
      </c>
      <c r="BB977" s="11" t="s">
        <v>107</v>
      </c>
      <c r="BC977" s="11" t="s">
        <v>100</v>
      </c>
      <c r="BD977" s="11" t="s">
        <v>109</v>
      </c>
      <c r="BE977" s="12" t="n">
        <v>865973</v>
      </c>
      <c r="BF977" s="13" t="n">
        <f aca="false">IFERROR(P977/BE977-1,"")</f>
        <v>-0.0671683759193416</v>
      </c>
      <c r="BG977" s="17" t="n">
        <v>-0.031</v>
      </c>
      <c r="BH977" s="17" t="n">
        <v>0.063</v>
      </c>
      <c r="BI977" s="14" t="n">
        <f aca="false">P977*(1+IFERROR(Q977,0))^4</f>
        <v>1004408.7490749</v>
      </c>
      <c r="BJ977" s="12" t="n">
        <v>-988552</v>
      </c>
      <c r="BK977" s="11" t="s">
        <v>192</v>
      </c>
      <c r="BL977" s="11" t="s">
        <v>162</v>
      </c>
      <c r="BM977" s="14" t="n">
        <f aca="false">O977</f>
        <v>32279366</v>
      </c>
      <c r="BN977" s="11" t="s">
        <v>893</v>
      </c>
      <c r="BO977" s="13" t="n">
        <f aca="false">IFERROR(1-L977/M977,"")</f>
        <v>0.131912017694765</v>
      </c>
      <c r="BP977" s="11" t="s">
        <v>142</v>
      </c>
      <c r="BQ977" s="12" t="n">
        <v>1494973</v>
      </c>
      <c r="BR977" s="11" t="s">
        <v>88</v>
      </c>
      <c r="BS977" s="11" t="s">
        <v>89</v>
      </c>
      <c r="BT977" s="19" t="str">
        <f aca="false">IF(OR(Z977&lt;6,AH977&lt;0.9,S977&lt;0.02,AK977&lt;1),"REVIEW",IF(AND(S977&gt;0.25,AH977&gt;1.2),"ACCELERATING","STABLE"))</f>
        <v>STABLE</v>
      </c>
    </row>
    <row r="978" customFormat="false" ht="15" hidden="false" customHeight="false" outlineLevel="0" collapsed="false">
      <c r="A978" s="3" t="s">
        <v>894</v>
      </c>
      <c r="B978" s="3" t="s">
        <v>73</v>
      </c>
      <c r="C978" s="3" t="s">
        <v>74</v>
      </c>
      <c r="D978" s="3" t="s">
        <v>151</v>
      </c>
      <c r="E978" s="3" t="s">
        <v>289</v>
      </c>
      <c r="F978" s="3" t="s">
        <v>895</v>
      </c>
      <c r="G978" s="3" t="s">
        <v>78</v>
      </c>
      <c r="H978" s="3" t="s">
        <v>644</v>
      </c>
      <c r="I978" s="3" t="s">
        <v>78</v>
      </c>
      <c r="J978" s="4" t="n">
        <v>1362000</v>
      </c>
      <c r="K978" s="5" t="n">
        <f aca="false">IFERROR(J978/M978,"")</f>
        <v>0.142052565707134</v>
      </c>
      <c r="L978" s="4" t="n">
        <v>8226000</v>
      </c>
      <c r="M978" s="6" t="n">
        <f aca="false">L978+J978</f>
        <v>9588000</v>
      </c>
      <c r="N978" s="4" t="n">
        <v>6123000</v>
      </c>
      <c r="O978" s="4" t="n">
        <v>11727090</v>
      </c>
      <c r="P978" s="4" t="n">
        <v>248103</v>
      </c>
      <c r="Q978" s="7"/>
      <c r="R978" s="4" t="n">
        <v>251422</v>
      </c>
      <c r="S978" s="7"/>
      <c r="T978" s="4" t="n">
        <v>165738</v>
      </c>
      <c r="U978" s="5" t="n">
        <f aca="false">IFERROR(T978/P978,"")</f>
        <v>0.668020942914838</v>
      </c>
      <c r="V978" s="6" t="n">
        <f aca="false">T978-AV978</f>
        <v>-1223187</v>
      </c>
      <c r="W978" s="6" t="n">
        <f aca="false">V978-AA978*0.1</f>
        <v>-1223187</v>
      </c>
      <c r="X978" s="4" t="n">
        <v>1201200</v>
      </c>
      <c r="Y978" s="4" t="n">
        <v>130130</v>
      </c>
      <c r="Z978" s="8" t="n">
        <f aca="false">IFERROR(X978/Y978,"")</f>
        <v>9.23076923076923</v>
      </c>
      <c r="AA978" s="4" t="n">
        <v>0</v>
      </c>
      <c r="AB978" s="6" t="n">
        <f aca="false">W978-0.02*P978</f>
        <v>-1228149.06</v>
      </c>
      <c r="AC978" s="9" t="n">
        <v>18</v>
      </c>
      <c r="AD978" s="7"/>
      <c r="AE978" s="7" t="n">
        <v>0.044</v>
      </c>
      <c r="AF978" s="7" t="n">
        <v>0.029</v>
      </c>
      <c r="AG978" s="5" t="n">
        <f aca="false">1-AF978</f>
        <v>0.971</v>
      </c>
      <c r="AH978" s="7" t="n">
        <v>1.141</v>
      </c>
      <c r="AI978" s="4" t="n">
        <v>37948</v>
      </c>
      <c r="AJ978" s="6" t="n">
        <f aca="false">IFERROR(AM978*U978*MIN(1/AE978,5),"")</f>
        <v>183705.75930158</v>
      </c>
      <c r="AK978" s="10" t="n">
        <f aca="false">IFERROR(AJ978/AI978,"")</f>
        <v>4.8409865948556</v>
      </c>
      <c r="AL978" s="8" t="n">
        <f aca="false">IFERROR(AI978/(AM978*U978/12),"")</f>
        <v>12.3941677640175</v>
      </c>
      <c r="AM978" s="4" t="n">
        <v>55000</v>
      </c>
      <c r="AN978" s="4" t="n">
        <v>294808</v>
      </c>
      <c r="AO978" s="4" t="n">
        <v>966453</v>
      </c>
      <c r="AP978" s="7" t="n">
        <v>0.206</v>
      </c>
      <c r="AQ978" s="9" t="n">
        <v>38</v>
      </c>
      <c r="AR978" s="9" t="n">
        <v>1</v>
      </c>
      <c r="AS978" s="7"/>
      <c r="AT978" s="3" t="s">
        <v>134</v>
      </c>
      <c r="AU978" s="6" t="n">
        <f aca="false">IFERROR(P978/AR978,"")</f>
        <v>248103</v>
      </c>
      <c r="AV978" s="4" t="n">
        <v>1388925</v>
      </c>
      <c r="AW978" s="4" t="n">
        <v>575698</v>
      </c>
      <c r="AX978" s="4" t="n">
        <v>374421</v>
      </c>
      <c r="AY978" s="9" t="n">
        <v>15598</v>
      </c>
      <c r="AZ978" s="7"/>
      <c r="BA978" s="7" t="n">
        <v>0.955</v>
      </c>
      <c r="BB978" s="3" t="s">
        <v>161</v>
      </c>
      <c r="BC978" s="3" t="s">
        <v>126</v>
      </c>
      <c r="BD978" s="3" t="s">
        <v>109</v>
      </c>
      <c r="BE978" s="4" t="n">
        <v>293594</v>
      </c>
      <c r="BF978" s="5" t="n">
        <f aca="false">IFERROR(P978/BE978-1,"")</f>
        <v>-0.154945264549003</v>
      </c>
      <c r="BG978" s="7" t="n">
        <v>-0.017</v>
      </c>
      <c r="BH978" s="7" t="n">
        <v>0.06</v>
      </c>
      <c r="BI978" s="6" t="n">
        <f aca="false">P978</f>
        <v>248103</v>
      </c>
      <c r="BJ978" s="4" t="n">
        <v>-1139583</v>
      </c>
      <c r="BK978" s="3" t="s">
        <v>102</v>
      </c>
      <c r="BL978" s="3" t="s">
        <v>128</v>
      </c>
      <c r="BM978" s="6" t="n">
        <f aca="false">O978</f>
        <v>11727090</v>
      </c>
      <c r="BN978" s="3" t="s">
        <v>896</v>
      </c>
      <c r="BO978" s="5" t="n">
        <f aca="false">IFERROR(1-L978/M978,"")</f>
        <v>0.142052565707134</v>
      </c>
      <c r="BP978" s="3" t="s">
        <v>142</v>
      </c>
      <c r="BQ978" s="4" t="n">
        <v>1808972</v>
      </c>
      <c r="BR978" s="3" t="s">
        <v>88</v>
      </c>
      <c r="BS978" s="3" t="s">
        <v>89</v>
      </c>
      <c r="BT978" s="3" t="s">
        <v>90</v>
      </c>
    </row>
    <row r="979" customFormat="false" ht="15" hidden="false" customHeight="false" outlineLevel="0" collapsed="false">
      <c r="A979" s="11" t="s">
        <v>894</v>
      </c>
      <c r="B979" s="11" t="s">
        <v>91</v>
      </c>
      <c r="C979" s="11" t="s">
        <v>74</v>
      </c>
      <c r="D979" s="11" t="s">
        <v>151</v>
      </c>
      <c r="E979" s="11" t="s">
        <v>289</v>
      </c>
      <c r="F979" s="11" t="s">
        <v>895</v>
      </c>
      <c r="G979" s="11" t="s">
        <v>78</v>
      </c>
      <c r="H979" s="11" t="s">
        <v>644</v>
      </c>
      <c r="I979" s="11" t="s">
        <v>78</v>
      </c>
      <c r="J979" s="12" t="n">
        <v>1362000</v>
      </c>
      <c r="K979" s="13" t="n">
        <f aca="false">IFERROR(J979/M979,"")</f>
        <v>0.142052565707134</v>
      </c>
      <c r="L979" s="12" t="n">
        <v>8226000</v>
      </c>
      <c r="M979" s="14" t="n">
        <f aca="false">L979+J979</f>
        <v>9588000</v>
      </c>
      <c r="N979" s="12" t="n">
        <v>6123000</v>
      </c>
      <c r="O979" s="12" t="n">
        <v>11727090</v>
      </c>
      <c r="P979" s="12" t="n">
        <v>316247</v>
      </c>
      <c r="Q979" s="13" t="n">
        <f aca="false">IFERROR(P979/P978-1,"")</f>
        <v>0.274660120998134</v>
      </c>
      <c r="R979" s="12" t="n">
        <v>327701</v>
      </c>
      <c r="S979" s="13" t="n">
        <f aca="false">IFERROR(R979/R978-1,"")</f>
        <v>0.303390315883256</v>
      </c>
      <c r="T979" s="12" t="n">
        <v>212115</v>
      </c>
      <c r="U979" s="13" t="n">
        <f aca="false">IFERROR(T979/P979,"")</f>
        <v>0.670725730204555</v>
      </c>
      <c r="V979" s="14" t="n">
        <f aca="false">T979-AV979</f>
        <v>-1426336</v>
      </c>
      <c r="W979" s="14" t="n">
        <f aca="false">V979-AA979*0.1</f>
        <v>-1426336</v>
      </c>
      <c r="X979" s="12" t="n">
        <v>1544400</v>
      </c>
      <c r="Y979" s="12" t="n">
        <v>134420</v>
      </c>
      <c r="Z979" s="15" t="n">
        <f aca="false">IFERROR(X979/Y979,"")</f>
        <v>11.4893617021277</v>
      </c>
      <c r="AA979" s="12" t="n">
        <v>0</v>
      </c>
      <c r="AB979" s="14" t="n">
        <f aca="false">W979-0.02*P979</f>
        <v>-1432660.94</v>
      </c>
      <c r="AC979" s="16" t="n">
        <v>23</v>
      </c>
      <c r="AD979" s="13" t="n">
        <f aca="false">IFERROR(AC979/AC978-1,"")</f>
        <v>0.277777777777778</v>
      </c>
      <c r="AE979" s="17" t="n">
        <v>0.042</v>
      </c>
      <c r="AF979" s="17" t="n">
        <v>0.043</v>
      </c>
      <c r="AG979" s="13" t="n">
        <f aca="false">1-AF979</f>
        <v>0.957</v>
      </c>
      <c r="AH979" s="17" t="n">
        <v>1.171</v>
      </c>
      <c r="AI979" s="12" t="n">
        <v>37232</v>
      </c>
      <c r="AJ979" s="14" t="n">
        <f aca="false">IFERROR(AM979*U979*MIN(1/AE979,5),"")</f>
        <v>188138.567322378</v>
      </c>
      <c r="AK979" s="18" t="n">
        <f aca="false">IFERROR(AJ979/AI979,"")</f>
        <v>5.05314158042484</v>
      </c>
      <c r="AL979" s="15" t="n">
        <f aca="false">IFERROR(AI979/(AM979*U979/12),"")</f>
        <v>11.8738014846905</v>
      </c>
      <c r="AM979" s="12" t="n">
        <v>56100</v>
      </c>
      <c r="AN979" s="12" t="n">
        <v>431903</v>
      </c>
      <c r="AO979" s="12" t="n">
        <v>1270184</v>
      </c>
      <c r="AP979" s="17" t="n">
        <v>0.206</v>
      </c>
      <c r="AQ979" s="16" t="n">
        <v>38</v>
      </c>
      <c r="AR979" s="16" t="n">
        <v>1</v>
      </c>
      <c r="AS979" s="13" t="n">
        <f aca="false">IFERROR(AR979/AR978-1,"")</f>
        <v>0</v>
      </c>
      <c r="AT979" s="11" t="s">
        <v>134</v>
      </c>
      <c r="AU979" s="14" t="n">
        <f aca="false">IFERROR(P979/AR979,"")</f>
        <v>316247</v>
      </c>
      <c r="AV979" s="12" t="n">
        <v>1638451</v>
      </c>
      <c r="AW979" s="12" t="n">
        <v>703321</v>
      </c>
      <c r="AX979" s="12" t="n">
        <v>544581</v>
      </c>
      <c r="AY979" s="16" t="n">
        <v>21413</v>
      </c>
      <c r="AZ979" s="13" t="n">
        <f aca="false">IFERROR(AY979/AY978-1,"")</f>
        <v>0.372804205667393</v>
      </c>
      <c r="BA979" s="17" t="n">
        <v>0.955</v>
      </c>
      <c r="BB979" s="11" t="s">
        <v>161</v>
      </c>
      <c r="BC979" s="11" t="s">
        <v>126</v>
      </c>
      <c r="BD979" s="11" t="s">
        <v>109</v>
      </c>
      <c r="BE979" s="12" t="n">
        <v>372848</v>
      </c>
      <c r="BF979" s="13" t="n">
        <f aca="false">IFERROR(P979/BE979-1,"")</f>
        <v>-0.151807170750547</v>
      </c>
      <c r="BG979" s="17" t="n">
        <v>-0.013</v>
      </c>
      <c r="BH979" s="17" t="n">
        <v>-0.001</v>
      </c>
      <c r="BI979" s="14" t="n">
        <f aca="false">P979*(1+IFERROR(Q979,0))^4</f>
        <v>834841.460418432</v>
      </c>
      <c r="BJ979" s="12" t="n">
        <v>-972941</v>
      </c>
      <c r="BK979" s="11" t="s">
        <v>102</v>
      </c>
      <c r="BL979" s="11" t="s">
        <v>128</v>
      </c>
      <c r="BM979" s="14" t="n">
        <f aca="false">O979</f>
        <v>11727090</v>
      </c>
      <c r="BN979" s="11" t="s">
        <v>896</v>
      </c>
      <c r="BO979" s="13" t="n">
        <f aca="false">IFERROR(1-L979/M979,"")</f>
        <v>0.142052565707134</v>
      </c>
      <c r="BP979" s="11" t="s">
        <v>142</v>
      </c>
      <c r="BQ979" s="12" t="n">
        <v>1733938</v>
      </c>
      <c r="BR979" s="11" t="s">
        <v>88</v>
      </c>
      <c r="BS979" s="11" t="s">
        <v>89</v>
      </c>
      <c r="BT979" s="19" t="str">
        <f aca="false">IF(OR(Z979&lt;6,AH979&lt;0.9,S979&lt;0.02,AK979&lt;1),"REVIEW",IF(AND(S979&gt;0.25,AH979&gt;1.2),"ACCELERATING","STABLE"))</f>
        <v>STABLE</v>
      </c>
    </row>
    <row r="980" customFormat="false" ht="15" hidden="false" customHeight="false" outlineLevel="0" collapsed="false">
      <c r="A980" s="11" t="s">
        <v>894</v>
      </c>
      <c r="B980" s="11" t="s">
        <v>92</v>
      </c>
      <c r="C980" s="11" t="s">
        <v>74</v>
      </c>
      <c r="D980" s="11" t="s">
        <v>151</v>
      </c>
      <c r="E980" s="11" t="s">
        <v>289</v>
      </c>
      <c r="F980" s="11" t="s">
        <v>895</v>
      </c>
      <c r="G980" s="11" t="s">
        <v>78</v>
      </c>
      <c r="H980" s="11" t="s">
        <v>644</v>
      </c>
      <c r="I980" s="11" t="s">
        <v>78</v>
      </c>
      <c r="J980" s="12" t="n">
        <v>1362000</v>
      </c>
      <c r="K980" s="13" t="n">
        <f aca="false">IFERROR(J980/M980,"")</f>
        <v>0.142052565707134</v>
      </c>
      <c r="L980" s="12" t="n">
        <v>8226000</v>
      </c>
      <c r="M980" s="14" t="n">
        <f aca="false">L980+J980</f>
        <v>9588000</v>
      </c>
      <c r="N980" s="12" t="n">
        <v>6123000</v>
      </c>
      <c r="O980" s="12" t="n">
        <v>11727090</v>
      </c>
      <c r="P980" s="12" t="n">
        <v>455116</v>
      </c>
      <c r="Q980" s="13" t="n">
        <f aca="false">IFERROR(P980/P979-1,"")</f>
        <v>0.439115627974336</v>
      </c>
      <c r="R980" s="12" t="n">
        <v>462530</v>
      </c>
      <c r="S980" s="13" t="n">
        <f aca="false">IFERROR(R980/R979-1,"")</f>
        <v>0.411439086240201</v>
      </c>
      <c r="T980" s="12" t="n">
        <v>306490</v>
      </c>
      <c r="U980" s="13" t="n">
        <f aca="false">IFERROR(T980/P980,"")</f>
        <v>0.67343270726584</v>
      </c>
      <c r="V980" s="14" t="n">
        <f aca="false">T980-AV980</f>
        <v>-1653476</v>
      </c>
      <c r="W980" s="14" t="n">
        <f aca="false">V980-AA980*0.1</f>
        <v>-1653476</v>
      </c>
      <c r="X980" s="12" t="n">
        <v>1887600</v>
      </c>
      <c r="Y980" s="12" t="n">
        <v>138710</v>
      </c>
      <c r="Z980" s="15" t="n">
        <f aca="false">IFERROR(X980/Y980,"")</f>
        <v>13.6082474226804</v>
      </c>
      <c r="AA980" s="12" t="n">
        <v>0</v>
      </c>
      <c r="AB980" s="14" t="n">
        <f aca="false">W980-0.02*P980</f>
        <v>-1662578.32</v>
      </c>
      <c r="AC980" s="16" t="n">
        <v>29</v>
      </c>
      <c r="AD980" s="13" t="n">
        <f aca="false">IFERROR(AC980/AC979-1,"")</f>
        <v>0.260869565217391</v>
      </c>
      <c r="AE980" s="17" t="n">
        <v>0.041</v>
      </c>
      <c r="AF980" s="17" t="n">
        <v>0.025</v>
      </c>
      <c r="AG980" s="13" t="n">
        <f aca="false">1-AF980</f>
        <v>0.975</v>
      </c>
      <c r="AH980" s="17" t="n">
        <v>1.201</v>
      </c>
      <c r="AI980" s="12" t="n">
        <v>36516</v>
      </c>
      <c r="AJ980" s="14" t="n">
        <f aca="false">IFERROR(AM980*U980*MIN(1/AE980,5),"")</f>
        <v>192601.75427803</v>
      </c>
      <c r="AK980" s="18" t="n">
        <f aca="false">IFERROR(AJ980/AI980,"")</f>
        <v>5.27444830425102</v>
      </c>
      <c r="AL980" s="15" t="n">
        <f aca="false">IFERROR(AI980/(AM980*U980/12),"")</f>
        <v>11.3755973210776</v>
      </c>
      <c r="AM980" s="12" t="n">
        <v>57200</v>
      </c>
      <c r="AN980" s="12" t="n">
        <v>508563</v>
      </c>
      <c r="AO980" s="12" t="n">
        <v>1704673</v>
      </c>
      <c r="AP980" s="17" t="n">
        <v>0.206</v>
      </c>
      <c r="AQ980" s="16" t="n">
        <v>38</v>
      </c>
      <c r="AR980" s="16" t="n">
        <v>2</v>
      </c>
      <c r="AS980" s="13" t="n">
        <f aca="false">IFERROR(AR980/AR979-1,"")</f>
        <v>1</v>
      </c>
      <c r="AT980" s="11" t="s">
        <v>134</v>
      </c>
      <c r="AU980" s="14" t="n">
        <f aca="false">IFERROR(P980/AR980,"")</f>
        <v>227558</v>
      </c>
      <c r="AV980" s="12" t="n">
        <v>1959966</v>
      </c>
      <c r="AW980" s="12" t="n">
        <v>649397</v>
      </c>
      <c r="AX980" s="12" t="n">
        <v>376798</v>
      </c>
      <c r="AY980" s="16" t="n">
        <v>28205</v>
      </c>
      <c r="AZ980" s="13" t="n">
        <f aca="false">IFERROR(AY980/AY979-1,"")</f>
        <v>0.317190491757344</v>
      </c>
      <c r="BA980" s="17" t="n">
        <v>0.963</v>
      </c>
      <c r="BB980" s="11" t="s">
        <v>161</v>
      </c>
      <c r="BC980" s="11" t="s">
        <v>126</v>
      </c>
      <c r="BD980" s="11" t="s">
        <v>109</v>
      </c>
      <c r="BE980" s="12" t="n">
        <v>500916</v>
      </c>
      <c r="BF980" s="13" t="n">
        <f aca="false">IFERROR(P980/BE980-1,"")</f>
        <v>-0.0914324956679363</v>
      </c>
      <c r="BG980" s="17" t="n">
        <v>0.021</v>
      </c>
      <c r="BH980" s="17" t="n">
        <v>0</v>
      </c>
      <c r="BI980" s="14" t="n">
        <f aca="false">P980*(1+IFERROR(Q980,0))^4</f>
        <v>1952112.58537114</v>
      </c>
      <c r="BJ980" s="12" t="n">
        <v>-1553329</v>
      </c>
      <c r="BK980" s="11" t="s">
        <v>102</v>
      </c>
      <c r="BL980" s="11" t="s">
        <v>128</v>
      </c>
      <c r="BM980" s="14" t="n">
        <f aca="false">O980</f>
        <v>11727090</v>
      </c>
      <c r="BN980" s="11" t="s">
        <v>896</v>
      </c>
      <c r="BO980" s="13" t="n">
        <f aca="false">IFERROR(1-L980/M980,"")</f>
        <v>0.142052565707134</v>
      </c>
      <c r="BP980" s="11" t="s">
        <v>142</v>
      </c>
      <c r="BQ980" s="12" t="n">
        <v>1761095</v>
      </c>
      <c r="BR980" s="11" t="s">
        <v>88</v>
      </c>
      <c r="BS980" s="11" t="s">
        <v>89</v>
      </c>
      <c r="BT980" s="19" t="str">
        <f aca="false">IF(OR(Z980&lt;6,AH980&lt;0.9,S980&lt;0.02,AK980&lt;1),"REVIEW",IF(AND(S980&gt;0.25,AH980&gt;1.2),"ACCELERATING","STABLE"))</f>
        <v>ACCELERATING</v>
      </c>
    </row>
    <row r="981" customFormat="false" ht="15" hidden="false" customHeight="false" outlineLevel="0" collapsed="false">
      <c r="A981" s="11" t="s">
        <v>894</v>
      </c>
      <c r="B981" s="11" t="s">
        <v>93</v>
      </c>
      <c r="C981" s="11" t="s">
        <v>74</v>
      </c>
      <c r="D981" s="11" t="s">
        <v>151</v>
      </c>
      <c r="E981" s="11" t="s">
        <v>289</v>
      </c>
      <c r="F981" s="11" t="s">
        <v>895</v>
      </c>
      <c r="G981" s="11" t="s">
        <v>78</v>
      </c>
      <c r="H981" s="11" t="s">
        <v>644</v>
      </c>
      <c r="I981" s="11" t="s">
        <v>78</v>
      </c>
      <c r="J981" s="12" t="n">
        <v>1362000</v>
      </c>
      <c r="K981" s="13" t="n">
        <f aca="false">IFERROR(J981/M981,"")</f>
        <v>0.142052565707134</v>
      </c>
      <c r="L981" s="12" t="n">
        <v>8226000</v>
      </c>
      <c r="M981" s="14" t="n">
        <f aca="false">L981+J981</f>
        <v>9588000</v>
      </c>
      <c r="N981" s="12" t="n">
        <v>6123000</v>
      </c>
      <c r="O981" s="12" t="n">
        <v>11727090</v>
      </c>
      <c r="P981" s="12" t="n">
        <v>656708</v>
      </c>
      <c r="Q981" s="13" t="n">
        <f aca="false">IFERROR(P981/P980-1,"")</f>
        <v>0.442946413661572</v>
      </c>
      <c r="R981" s="12" t="n">
        <v>643213</v>
      </c>
      <c r="S981" s="13" t="n">
        <f aca="false">IFERROR(R981/R980-1,"")</f>
        <v>0.390640607095756</v>
      </c>
      <c r="T981" s="12" t="n">
        <v>444024</v>
      </c>
      <c r="U981" s="13" t="n">
        <f aca="false">IFERROR(T981/P981,"")</f>
        <v>0.676136121381192</v>
      </c>
      <c r="V981" s="14" t="n">
        <f aca="false">T981-AV981</f>
        <v>-1779734</v>
      </c>
      <c r="W981" s="14" t="n">
        <f aca="false">V981-AA981*0.1</f>
        <v>-1779734</v>
      </c>
      <c r="X981" s="12" t="n">
        <v>3432000</v>
      </c>
      <c r="Y981" s="12" t="n">
        <v>143000</v>
      </c>
      <c r="Z981" s="15" t="n">
        <f aca="false">IFERROR(X981/Y981,"")</f>
        <v>24</v>
      </c>
      <c r="AA981" s="12" t="n">
        <v>0</v>
      </c>
      <c r="AB981" s="14" t="n">
        <f aca="false">W981-0.02*P981</f>
        <v>-1792868.16</v>
      </c>
      <c r="AC981" s="16" t="n">
        <v>37</v>
      </c>
      <c r="AD981" s="13" t="n">
        <f aca="false">IFERROR(AC981/AC980-1,"")</f>
        <v>0.275862068965517</v>
      </c>
      <c r="AE981" s="17" t="n">
        <v>0.04</v>
      </c>
      <c r="AF981" s="17" t="n">
        <v>0.037</v>
      </c>
      <c r="AG981" s="13" t="n">
        <f aca="false">1-AF981</f>
        <v>0.963</v>
      </c>
      <c r="AH981" s="17" t="n">
        <v>1.231</v>
      </c>
      <c r="AI981" s="12" t="n">
        <v>35800</v>
      </c>
      <c r="AJ981" s="14" t="n">
        <f aca="false">IFERROR(AM981*U981*MIN(1/AE981,5),"")</f>
        <v>197093.679382618</v>
      </c>
      <c r="AK981" s="18" t="n">
        <f aca="false">IFERROR(AJ981/AI981,"")</f>
        <v>5.5054100386206</v>
      </c>
      <c r="AL981" s="15" t="n">
        <f aca="false">IFERROR(AI981/(AM981*U981/12),"")</f>
        <v>10.8983707987413</v>
      </c>
      <c r="AM981" s="12" t="n">
        <v>58300</v>
      </c>
      <c r="AN981" s="12" t="n">
        <v>678433</v>
      </c>
      <c r="AO981" s="12" t="n">
        <v>1859494</v>
      </c>
      <c r="AP981" s="17" t="n">
        <v>0.206</v>
      </c>
      <c r="AQ981" s="16" t="n">
        <v>38</v>
      </c>
      <c r="AR981" s="16" t="n">
        <v>2</v>
      </c>
      <c r="AS981" s="13" t="n">
        <f aca="false">IFERROR(AR981/AR980-1,"")</f>
        <v>0</v>
      </c>
      <c r="AT981" s="11" t="s">
        <v>134</v>
      </c>
      <c r="AU981" s="14" t="n">
        <f aca="false">IFERROR(P981/AR981,"")</f>
        <v>328354</v>
      </c>
      <c r="AV981" s="12" t="n">
        <v>2223758</v>
      </c>
      <c r="AW981" s="12" t="n">
        <v>886492</v>
      </c>
      <c r="AX981" s="12" t="n">
        <v>717025</v>
      </c>
      <c r="AY981" s="16" t="n">
        <v>37102</v>
      </c>
      <c r="AZ981" s="13" t="n">
        <f aca="false">IFERROR(AY981/AY980-1,"")</f>
        <v>0.315440524729658</v>
      </c>
      <c r="BA981" s="17" t="n">
        <v>0.968</v>
      </c>
      <c r="BB981" s="11" t="s">
        <v>161</v>
      </c>
      <c r="BC981" s="11" t="s">
        <v>126</v>
      </c>
      <c r="BD981" s="11" t="s">
        <v>109</v>
      </c>
      <c r="BE981" s="12" t="n">
        <v>609246</v>
      </c>
      <c r="BF981" s="13" t="n">
        <f aca="false">IFERROR(P981/BE981-1,"")</f>
        <v>0.0779028504085377</v>
      </c>
      <c r="BG981" s="17" t="n">
        <v>0.047</v>
      </c>
      <c r="BH981" s="17" t="n">
        <v>-0.034</v>
      </c>
      <c r="BI981" s="14" t="n">
        <f aca="false">P981*(1+IFERROR(Q981,0))^4</f>
        <v>2846905.944923</v>
      </c>
      <c r="BJ981" s="12" t="n">
        <v>-1166593</v>
      </c>
      <c r="BK981" s="11" t="s">
        <v>102</v>
      </c>
      <c r="BL981" s="11" t="s">
        <v>128</v>
      </c>
      <c r="BM981" s="14" t="n">
        <f aca="false">O981</f>
        <v>11727090</v>
      </c>
      <c r="BN981" s="11" t="s">
        <v>896</v>
      </c>
      <c r="BO981" s="13" t="n">
        <f aca="false">IFERROR(1-L981/M981,"")</f>
        <v>0.142052565707134</v>
      </c>
      <c r="BP981" s="11" t="s">
        <v>142</v>
      </c>
      <c r="BQ981" s="12" t="n">
        <v>2220530</v>
      </c>
      <c r="BR981" s="11" t="s">
        <v>88</v>
      </c>
      <c r="BS981" s="11" t="s">
        <v>89</v>
      </c>
      <c r="BT981" s="19" t="str">
        <f aca="false">IF(OR(Z981&lt;6,AH981&lt;0.9,S981&lt;0.02,AK981&lt;1),"REVIEW",IF(AND(S981&gt;0.25,AH981&gt;1.2),"ACCELERATING","STABLE"))</f>
        <v>ACCELERATING</v>
      </c>
    </row>
    <row r="982" customFormat="false" ht="15" hidden="false" customHeight="false" outlineLevel="0" collapsed="false">
      <c r="A982" s="3" t="s">
        <v>897</v>
      </c>
      <c r="B982" s="3" t="s">
        <v>73</v>
      </c>
      <c r="C982" s="3" t="s">
        <v>74</v>
      </c>
      <c r="D982" s="3" t="s">
        <v>151</v>
      </c>
      <c r="E982" s="3" t="s">
        <v>777</v>
      </c>
      <c r="F982" s="3" t="s">
        <v>898</v>
      </c>
      <c r="G982" s="3" t="s">
        <v>78</v>
      </c>
      <c r="H982" s="3" t="s">
        <v>644</v>
      </c>
      <c r="I982" s="3" t="s">
        <v>78</v>
      </c>
      <c r="J982" s="4" t="n">
        <v>2917000</v>
      </c>
      <c r="K982" s="5" t="n">
        <f aca="false">IFERROR(J982/M982,"")</f>
        <v>0.146597648004825</v>
      </c>
      <c r="L982" s="4" t="n">
        <v>16981000</v>
      </c>
      <c r="M982" s="6" t="n">
        <f aca="false">L982+J982</f>
        <v>19898000</v>
      </c>
      <c r="N982" s="4" t="n">
        <v>7546000</v>
      </c>
      <c r="O982" s="4" t="n">
        <v>21722203</v>
      </c>
      <c r="P982" s="4" t="n">
        <v>1216973</v>
      </c>
      <c r="Q982" s="7"/>
      <c r="R982" s="4" t="n">
        <v>1279028</v>
      </c>
      <c r="S982" s="7"/>
      <c r="T982" s="4" t="n">
        <v>773618</v>
      </c>
      <c r="U982" s="5" t="n">
        <f aca="false">IFERROR(T982/P982,"")</f>
        <v>0.635690356318505</v>
      </c>
      <c r="V982" s="6" t="n">
        <f aca="false">T982-AV982</f>
        <v>-2487239</v>
      </c>
      <c r="W982" s="6" t="n">
        <f aca="false">V982-AA982*0.1</f>
        <v>-2487239</v>
      </c>
      <c r="X982" s="4" t="n">
        <v>4868620</v>
      </c>
      <c r="Y982" s="4" t="n">
        <v>200200</v>
      </c>
      <c r="Z982" s="8" t="n">
        <f aca="false">IFERROR(X982/Y982,"")</f>
        <v>24.3187812187812</v>
      </c>
      <c r="AA982" s="4" t="n">
        <v>0</v>
      </c>
      <c r="AB982" s="6" t="n">
        <f aca="false">W982-0.02*P982</f>
        <v>-2511578.46</v>
      </c>
      <c r="AC982" s="9" t="n">
        <v>51</v>
      </c>
      <c r="AD982" s="7"/>
      <c r="AE982" s="7" t="n">
        <v>0.055</v>
      </c>
      <c r="AF982" s="7" t="n">
        <v>0.034</v>
      </c>
      <c r="AG982" s="5" t="n">
        <f aca="false">1-AF982</f>
        <v>0.966</v>
      </c>
      <c r="AH982" s="7" t="n">
        <v>1.044</v>
      </c>
      <c r="AI982" s="4" t="n">
        <v>32224</v>
      </c>
      <c r="AJ982" s="6" t="n">
        <f aca="false">IFERROR(AM982*U982*MIN(1/AE982,5),"")</f>
        <v>95353.5534477758</v>
      </c>
      <c r="AK982" s="10" t="n">
        <f aca="false">IFERROR(AJ982/AI982,"")</f>
        <v>2.95908495058887</v>
      </c>
      <c r="AL982" s="8" t="n">
        <f aca="false">IFERROR(AI982/(AM982*U982/12),"")</f>
        <v>20.2765385252153</v>
      </c>
      <c r="AM982" s="4" t="n">
        <v>30000</v>
      </c>
      <c r="AN982" s="4" t="n">
        <v>1460993</v>
      </c>
      <c r="AO982" s="4" t="n">
        <v>2120487</v>
      </c>
      <c r="AP982" s="7" t="n">
        <v>0.18</v>
      </c>
      <c r="AQ982" s="9" t="n">
        <v>80</v>
      </c>
      <c r="AR982" s="9" t="n">
        <v>5</v>
      </c>
      <c r="AS982" s="7"/>
      <c r="AT982" s="3" t="s">
        <v>80</v>
      </c>
      <c r="AU982" s="6" t="n">
        <f aca="false">IFERROR(P982/AR982,"")</f>
        <v>243394.6</v>
      </c>
      <c r="AV982" s="4" t="n">
        <v>3260857</v>
      </c>
      <c r="AW982" s="4" t="n">
        <v>1624078</v>
      </c>
      <c r="AX982" s="4" t="n">
        <v>687750</v>
      </c>
      <c r="AY982" s="9" t="n">
        <v>1186</v>
      </c>
      <c r="AZ982" s="7"/>
      <c r="BA982" s="7" t="n">
        <v>0.942</v>
      </c>
      <c r="BB982" s="3" t="s">
        <v>81</v>
      </c>
      <c r="BC982" s="3" t="s">
        <v>82</v>
      </c>
      <c r="BD982" s="3" t="s">
        <v>101</v>
      </c>
      <c r="BE982" s="4" t="n">
        <v>1325015</v>
      </c>
      <c r="BF982" s="5" t="n">
        <f aca="false">IFERROR(P982/BE982-1,"")</f>
        <v>-0.0815402089787662</v>
      </c>
      <c r="BG982" s="7" t="n">
        <v>0.085</v>
      </c>
      <c r="BH982" s="7" t="n">
        <v>0.091</v>
      </c>
      <c r="BI982" s="6" t="n">
        <f aca="false">P982</f>
        <v>1216973</v>
      </c>
      <c r="BJ982" s="4" t="n">
        <v>-2298274</v>
      </c>
      <c r="BK982" s="3" t="s">
        <v>110</v>
      </c>
      <c r="BL982" s="3" t="s">
        <v>111</v>
      </c>
      <c r="BM982" s="6" t="n">
        <f aca="false">O982</f>
        <v>21722203</v>
      </c>
      <c r="BN982" s="3" t="s">
        <v>899</v>
      </c>
      <c r="BO982" s="5" t="n">
        <f aca="false">IFERROR(1-L982/M982,"")</f>
        <v>0.146597648004825</v>
      </c>
      <c r="BP982" s="3" t="s">
        <v>142</v>
      </c>
      <c r="BQ982" s="4" t="n">
        <v>3922935</v>
      </c>
      <c r="BR982" s="3" t="s">
        <v>88</v>
      </c>
      <c r="BS982" s="3" t="s">
        <v>89</v>
      </c>
      <c r="BT982" s="3" t="s">
        <v>90</v>
      </c>
    </row>
    <row r="983" customFormat="false" ht="15" hidden="false" customHeight="false" outlineLevel="0" collapsed="false">
      <c r="A983" s="11" t="s">
        <v>897</v>
      </c>
      <c r="B983" s="11" t="s">
        <v>91</v>
      </c>
      <c r="C983" s="11" t="s">
        <v>74</v>
      </c>
      <c r="D983" s="11" t="s">
        <v>151</v>
      </c>
      <c r="E983" s="11" t="s">
        <v>777</v>
      </c>
      <c r="F983" s="11" t="s">
        <v>898</v>
      </c>
      <c r="G983" s="11" t="s">
        <v>78</v>
      </c>
      <c r="H983" s="11" t="s">
        <v>644</v>
      </c>
      <c r="I983" s="11" t="s">
        <v>78</v>
      </c>
      <c r="J983" s="12" t="n">
        <v>2917000</v>
      </c>
      <c r="K983" s="13" t="n">
        <f aca="false">IFERROR(J983/M983,"")</f>
        <v>0.146597648004825</v>
      </c>
      <c r="L983" s="12" t="n">
        <v>16981000</v>
      </c>
      <c r="M983" s="14" t="n">
        <f aca="false">L983+J983</f>
        <v>19898000</v>
      </c>
      <c r="N983" s="12" t="n">
        <v>7546000</v>
      </c>
      <c r="O983" s="12" t="n">
        <v>21722203</v>
      </c>
      <c r="P983" s="12" t="n">
        <v>1402079</v>
      </c>
      <c r="Q983" s="13" t="n">
        <f aca="false">IFERROR(P983/P982-1,"")</f>
        <v>0.152103621033499</v>
      </c>
      <c r="R983" s="12" t="n">
        <v>1552483</v>
      </c>
      <c r="S983" s="13" t="n">
        <f aca="false">IFERROR(R983/R982-1,"")</f>
        <v>0.213799072420619</v>
      </c>
      <c r="T983" s="12" t="n">
        <v>894897</v>
      </c>
      <c r="U983" s="13" t="n">
        <f aca="false">IFERROR(T983/P983,"")</f>
        <v>0.638264320341436</v>
      </c>
      <c r="V983" s="14" t="n">
        <f aca="false">T983-AV983</f>
        <v>-2013613</v>
      </c>
      <c r="W983" s="14" t="n">
        <f aca="false">V983-AA983*0.1</f>
        <v>-2013613</v>
      </c>
      <c r="X983" s="12" t="n">
        <v>4363720</v>
      </c>
      <c r="Y983" s="12" t="n">
        <v>206800</v>
      </c>
      <c r="Z983" s="15" t="n">
        <f aca="false">IFERROR(X983/Y983,"")</f>
        <v>21.1011605415861</v>
      </c>
      <c r="AA983" s="12" t="n">
        <v>0</v>
      </c>
      <c r="AB983" s="14" t="n">
        <f aca="false">W983-0.02*P983</f>
        <v>-2041654.58</v>
      </c>
      <c r="AC983" s="16" t="n">
        <v>58</v>
      </c>
      <c r="AD983" s="13" t="n">
        <f aca="false">IFERROR(AC983/AC982-1,"")</f>
        <v>0.137254901960784</v>
      </c>
      <c r="AE983" s="17" t="n">
        <v>0.053</v>
      </c>
      <c r="AF983" s="17" t="n">
        <v>0.053</v>
      </c>
      <c r="AG983" s="13" t="n">
        <f aca="false">1-AF983</f>
        <v>0.947</v>
      </c>
      <c r="AH983" s="17" t="n">
        <v>1.039</v>
      </c>
      <c r="AI983" s="12" t="n">
        <v>31616</v>
      </c>
      <c r="AJ983" s="14" t="n">
        <f aca="false">IFERROR(AM983*U983*MIN(1/AE983,5),"")</f>
        <v>97654.4410122397</v>
      </c>
      <c r="AK983" s="18" t="n">
        <f aca="false">IFERROR(AJ983/AI983,"")</f>
        <v>3.08876647938511</v>
      </c>
      <c r="AL983" s="15" t="n">
        <f aca="false">IFERROR(AI983/(AM983*U983/12),"")</f>
        <v>19.4252302336382</v>
      </c>
      <c r="AM983" s="12" t="n">
        <v>30600</v>
      </c>
      <c r="AN983" s="12" t="n">
        <v>1436103</v>
      </c>
      <c r="AO983" s="12" t="n">
        <v>4348066</v>
      </c>
      <c r="AP983" s="17" t="n">
        <v>0.18</v>
      </c>
      <c r="AQ983" s="16" t="n">
        <v>80</v>
      </c>
      <c r="AR983" s="16" t="n">
        <v>5</v>
      </c>
      <c r="AS983" s="13" t="n">
        <f aca="false">IFERROR(AR983/AR982-1,"")</f>
        <v>0</v>
      </c>
      <c r="AT983" s="11" t="s">
        <v>80</v>
      </c>
      <c r="AU983" s="14" t="n">
        <f aca="false">IFERROR(P983/AR983,"")</f>
        <v>280415.8</v>
      </c>
      <c r="AV983" s="12" t="n">
        <v>2908510</v>
      </c>
      <c r="AW983" s="12" t="n">
        <v>981437</v>
      </c>
      <c r="AX983" s="12" t="n">
        <v>881973</v>
      </c>
      <c r="AY983" s="16" t="n">
        <v>1262</v>
      </c>
      <c r="AZ983" s="13" t="n">
        <f aca="false">IFERROR(AY983/AY982-1,"")</f>
        <v>0.0640809443507588</v>
      </c>
      <c r="BA983" s="17" t="n">
        <v>0.959</v>
      </c>
      <c r="BB983" s="11" t="s">
        <v>81</v>
      </c>
      <c r="BC983" s="11" t="s">
        <v>82</v>
      </c>
      <c r="BD983" s="11" t="s">
        <v>101</v>
      </c>
      <c r="BE983" s="12" t="n">
        <v>1409956</v>
      </c>
      <c r="BF983" s="13" t="n">
        <f aca="false">IFERROR(P983/BE983-1,"")</f>
        <v>-0.00558669915940635</v>
      </c>
      <c r="BG983" s="17" t="n">
        <v>-0.011</v>
      </c>
      <c r="BH983" s="17" t="n">
        <v>-0.038</v>
      </c>
      <c r="BI983" s="14" t="n">
        <f aca="false">P983*(1+IFERROR(Q983,0))^4</f>
        <v>2470237.16257774</v>
      </c>
      <c r="BJ983" s="12" t="n">
        <v>-1450856</v>
      </c>
      <c r="BK983" s="11" t="s">
        <v>110</v>
      </c>
      <c r="BL983" s="11" t="s">
        <v>111</v>
      </c>
      <c r="BM983" s="14" t="n">
        <f aca="false">O983</f>
        <v>21722203</v>
      </c>
      <c r="BN983" s="11" t="s">
        <v>899</v>
      </c>
      <c r="BO983" s="13" t="n">
        <f aca="false">IFERROR(1-L983/M983,"")</f>
        <v>0.146597648004825</v>
      </c>
      <c r="BP983" s="11" t="s">
        <v>142</v>
      </c>
      <c r="BQ983" s="12" t="n">
        <v>3063601</v>
      </c>
      <c r="BR983" s="11" t="s">
        <v>88</v>
      </c>
      <c r="BS983" s="11" t="s">
        <v>89</v>
      </c>
      <c r="BT983" s="19" t="str">
        <f aca="false">IF(OR(Z983&lt;6,AH983&lt;0.9,S983&lt;0.02,AK983&lt;1),"REVIEW",IF(AND(S983&gt;0.25,AH983&gt;1.2),"ACCELERATING","STABLE"))</f>
        <v>STABLE</v>
      </c>
    </row>
    <row r="984" customFormat="false" ht="15" hidden="false" customHeight="false" outlineLevel="0" collapsed="false">
      <c r="A984" s="11" t="s">
        <v>897</v>
      </c>
      <c r="B984" s="11" t="s">
        <v>92</v>
      </c>
      <c r="C984" s="11" t="s">
        <v>74</v>
      </c>
      <c r="D984" s="11" t="s">
        <v>151</v>
      </c>
      <c r="E984" s="11" t="s">
        <v>777</v>
      </c>
      <c r="F984" s="11" t="s">
        <v>898</v>
      </c>
      <c r="G984" s="11" t="s">
        <v>78</v>
      </c>
      <c r="H984" s="11" t="s">
        <v>644</v>
      </c>
      <c r="I984" s="11" t="s">
        <v>78</v>
      </c>
      <c r="J984" s="12" t="n">
        <v>2917000</v>
      </c>
      <c r="K984" s="13" t="n">
        <f aca="false">IFERROR(J984/M984,"")</f>
        <v>0.146597648004825</v>
      </c>
      <c r="L984" s="12" t="n">
        <v>16981000</v>
      </c>
      <c r="M984" s="14" t="n">
        <f aca="false">L984+J984</f>
        <v>19898000</v>
      </c>
      <c r="N984" s="12" t="n">
        <v>7546000</v>
      </c>
      <c r="O984" s="12" t="n">
        <v>21722203</v>
      </c>
      <c r="P984" s="12" t="n">
        <v>1569652</v>
      </c>
      <c r="Q984" s="13" t="n">
        <f aca="false">IFERROR(P984/P983-1,"")</f>
        <v>0.119517516488015</v>
      </c>
      <c r="R984" s="12" t="n">
        <v>1713602</v>
      </c>
      <c r="S984" s="13" t="n">
        <f aca="false">IFERROR(R984/R983-1,"")</f>
        <v>0.10378149068299</v>
      </c>
      <c r="T984" s="12" t="n">
        <v>1005892</v>
      </c>
      <c r="U984" s="13" t="n">
        <f aca="false">IFERROR(T984/P984,"")</f>
        <v>0.640837586930097</v>
      </c>
      <c r="V984" s="14" t="n">
        <f aca="false">T984-AV984</f>
        <v>-2167289</v>
      </c>
      <c r="W984" s="14" t="n">
        <f aca="false">V984-AA984*0.1</f>
        <v>-2167289</v>
      </c>
      <c r="X984" s="12" t="n">
        <v>3823180</v>
      </c>
      <c r="Y984" s="12" t="n">
        <v>213400</v>
      </c>
      <c r="Z984" s="15" t="n">
        <f aca="false">IFERROR(X984/Y984,"")</f>
        <v>17.9155576382381</v>
      </c>
      <c r="AA984" s="12" t="n">
        <v>0</v>
      </c>
      <c r="AB984" s="14" t="n">
        <f aca="false">W984-0.02*P984</f>
        <v>-2198682.04</v>
      </c>
      <c r="AC984" s="16" t="n">
        <v>63</v>
      </c>
      <c r="AD984" s="13" t="n">
        <f aca="false">IFERROR(AC984/AC983-1,"")</f>
        <v>0.0862068965517242</v>
      </c>
      <c r="AE984" s="17" t="n">
        <v>0.052</v>
      </c>
      <c r="AF984" s="17" t="n">
        <v>0.032</v>
      </c>
      <c r="AG984" s="13" t="n">
        <f aca="false">1-AF984</f>
        <v>0.968</v>
      </c>
      <c r="AH984" s="17" t="n">
        <v>1.034</v>
      </c>
      <c r="AI984" s="12" t="n">
        <v>31008</v>
      </c>
      <c r="AJ984" s="14" t="n">
        <f aca="false">IFERROR(AM984*U984*MIN(1/AE984,5),"")</f>
        <v>99970.6635610951</v>
      </c>
      <c r="AK984" s="18" t="n">
        <f aca="false">IFERROR(AJ984/AI984,"")</f>
        <v>3.22402810762046</v>
      </c>
      <c r="AL984" s="15" t="n">
        <f aca="false">IFERROR(AI984/(AM984*U984/12),"")</f>
        <v>18.6102595874339</v>
      </c>
      <c r="AM984" s="12" t="n">
        <v>31200</v>
      </c>
      <c r="AN984" s="12" t="n">
        <v>2486850</v>
      </c>
      <c r="AO984" s="12" t="n">
        <v>6459028</v>
      </c>
      <c r="AP984" s="17" t="n">
        <v>0.18</v>
      </c>
      <c r="AQ984" s="16" t="n">
        <v>80</v>
      </c>
      <c r="AR984" s="16" t="n">
        <v>6</v>
      </c>
      <c r="AS984" s="13" t="n">
        <f aca="false">IFERROR(AR984/AR983-1,"")</f>
        <v>0.2</v>
      </c>
      <c r="AT984" s="11" t="s">
        <v>80</v>
      </c>
      <c r="AU984" s="14" t="n">
        <f aca="false">IFERROR(P984/AR984,"")</f>
        <v>261608.666666667</v>
      </c>
      <c r="AV984" s="12" t="n">
        <v>3173181</v>
      </c>
      <c r="AW984" s="12" t="n">
        <v>1044461</v>
      </c>
      <c r="AX984" s="12" t="n">
        <v>1048773</v>
      </c>
      <c r="AY984" s="16" t="n">
        <v>1406</v>
      </c>
      <c r="AZ984" s="13" t="n">
        <f aca="false">IFERROR(AY984/AY983-1,"")</f>
        <v>0.114104595879556</v>
      </c>
      <c r="BA984" s="17" t="n">
        <v>0.964</v>
      </c>
      <c r="BB984" s="11" t="s">
        <v>81</v>
      </c>
      <c r="BC984" s="11" t="s">
        <v>82</v>
      </c>
      <c r="BD984" s="11" t="s">
        <v>101</v>
      </c>
      <c r="BE984" s="12" t="n">
        <v>1795652</v>
      </c>
      <c r="BF984" s="13" t="n">
        <f aca="false">IFERROR(P984/BE984-1,"")</f>
        <v>-0.125859576354438</v>
      </c>
      <c r="BG984" s="17" t="n">
        <v>-0.004</v>
      </c>
      <c r="BH984" s="17" t="n">
        <v>-0.058</v>
      </c>
      <c r="BI984" s="14" t="n">
        <f aca="false">P984*(1+IFERROR(Q984,0))^4</f>
        <v>2465624.5765319</v>
      </c>
      <c r="BJ984" s="12" t="n">
        <v>-1332871</v>
      </c>
      <c r="BK984" s="11" t="s">
        <v>110</v>
      </c>
      <c r="BL984" s="11" t="s">
        <v>111</v>
      </c>
      <c r="BM984" s="14" t="n">
        <f aca="false">O984</f>
        <v>21722203</v>
      </c>
      <c r="BN984" s="11" t="s">
        <v>899</v>
      </c>
      <c r="BO984" s="13" t="n">
        <f aca="false">IFERROR(1-L984/M984,"")</f>
        <v>0.146597648004825</v>
      </c>
      <c r="BP984" s="11" t="s">
        <v>142</v>
      </c>
      <c r="BQ984" s="12" t="n">
        <v>3669779</v>
      </c>
      <c r="BR984" s="11" t="s">
        <v>88</v>
      </c>
      <c r="BS984" s="11" t="s">
        <v>89</v>
      </c>
      <c r="BT984" s="19" t="str">
        <f aca="false">IF(OR(Z984&lt;6,AH984&lt;0.9,S984&lt;0.02,AK984&lt;1),"REVIEW",IF(AND(S984&gt;0.25,AH984&gt;1.2),"ACCELERATING","STABLE"))</f>
        <v>STABLE</v>
      </c>
    </row>
    <row r="985" customFormat="false" ht="15" hidden="false" customHeight="false" outlineLevel="0" collapsed="false">
      <c r="A985" s="11" t="s">
        <v>897</v>
      </c>
      <c r="B985" s="11" t="s">
        <v>93</v>
      </c>
      <c r="C985" s="11" t="s">
        <v>74</v>
      </c>
      <c r="D985" s="11" t="s">
        <v>151</v>
      </c>
      <c r="E985" s="11" t="s">
        <v>777</v>
      </c>
      <c r="F985" s="11" t="s">
        <v>898</v>
      </c>
      <c r="G985" s="11" t="s">
        <v>78</v>
      </c>
      <c r="H985" s="11" t="s">
        <v>644</v>
      </c>
      <c r="I985" s="11" t="s">
        <v>78</v>
      </c>
      <c r="J985" s="12" t="n">
        <v>2917000</v>
      </c>
      <c r="K985" s="13" t="n">
        <f aca="false">IFERROR(J985/M985,"")</f>
        <v>0.146597648004825</v>
      </c>
      <c r="L985" s="12" t="n">
        <v>16981000</v>
      </c>
      <c r="M985" s="14" t="n">
        <f aca="false">L985+J985</f>
        <v>19898000</v>
      </c>
      <c r="N985" s="12" t="n">
        <v>7546000</v>
      </c>
      <c r="O985" s="12" t="n">
        <v>21722203</v>
      </c>
      <c r="P985" s="12" t="n">
        <v>1683828</v>
      </c>
      <c r="Q985" s="13" t="n">
        <f aca="false">IFERROR(P985/P984-1,"")</f>
        <v>0.0727396900714299</v>
      </c>
      <c r="R985" s="12" t="n">
        <v>1937716</v>
      </c>
      <c r="S985" s="13" t="n">
        <f aca="false">IFERROR(R985/R984-1,"")</f>
        <v>0.13078532821507</v>
      </c>
      <c r="T985" s="12" t="n">
        <v>1083395</v>
      </c>
      <c r="U985" s="13" t="n">
        <f aca="false">IFERROR(T985/P985,"")</f>
        <v>0.643411916181463</v>
      </c>
      <c r="V985" s="14" t="n">
        <f aca="false">T985-AV985</f>
        <v>-2737480</v>
      </c>
      <c r="W985" s="14" t="n">
        <f aca="false">V985-AA985*0.1</f>
        <v>-2737480</v>
      </c>
      <c r="X985" s="12" t="n">
        <v>3247000</v>
      </c>
      <c r="Y985" s="12" t="n">
        <v>220000</v>
      </c>
      <c r="Z985" s="15" t="n">
        <f aca="false">IFERROR(X985/Y985,"")</f>
        <v>14.7590909090909</v>
      </c>
      <c r="AA985" s="12" t="n">
        <v>0</v>
      </c>
      <c r="AB985" s="14" t="n">
        <f aca="false">W985-0.02*P985</f>
        <v>-2771156.56</v>
      </c>
      <c r="AC985" s="16" t="n">
        <v>66</v>
      </c>
      <c r="AD985" s="13" t="n">
        <f aca="false">IFERROR(AC985/AC984-1,"")</f>
        <v>0.0476190476190477</v>
      </c>
      <c r="AE985" s="17" t="n">
        <v>0.05</v>
      </c>
      <c r="AF985" s="17" t="n">
        <v>0.032</v>
      </c>
      <c r="AG985" s="13" t="n">
        <f aca="false">1-AF985</f>
        <v>0.968</v>
      </c>
      <c r="AH985" s="17" t="n">
        <v>1.029</v>
      </c>
      <c r="AI985" s="12" t="n">
        <v>30400</v>
      </c>
      <c r="AJ985" s="14" t="n">
        <f aca="false">IFERROR(AM985*U985*MIN(1/AE985,5),"")</f>
        <v>102302.494672853</v>
      </c>
      <c r="AK985" s="18" t="n">
        <f aca="false">IFERROR(AJ985/AI985,"")</f>
        <v>3.36521364055436</v>
      </c>
      <c r="AL985" s="15" t="n">
        <f aca="false">IFERROR(AI985/(AM985*U985/12),"")</f>
        <v>17.8294772364337</v>
      </c>
      <c r="AM985" s="12" t="n">
        <v>31800</v>
      </c>
      <c r="AN985" s="12" t="n">
        <v>2013375</v>
      </c>
      <c r="AO985" s="12" t="n">
        <v>5556771</v>
      </c>
      <c r="AP985" s="17" t="n">
        <v>0.18</v>
      </c>
      <c r="AQ985" s="16" t="n">
        <v>80</v>
      </c>
      <c r="AR985" s="16" t="n">
        <v>6</v>
      </c>
      <c r="AS985" s="13" t="n">
        <f aca="false">IFERROR(AR985/AR984-1,"")</f>
        <v>0</v>
      </c>
      <c r="AT985" s="11" t="s">
        <v>80</v>
      </c>
      <c r="AU985" s="14" t="n">
        <f aca="false">IFERROR(P985/AR985,"")</f>
        <v>280638</v>
      </c>
      <c r="AV985" s="12" t="n">
        <v>3820875</v>
      </c>
      <c r="AW985" s="12" t="n">
        <v>1297013</v>
      </c>
      <c r="AX985" s="12" t="n">
        <v>1046536</v>
      </c>
      <c r="AY985" s="16" t="n">
        <v>1615</v>
      </c>
      <c r="AZ985" s="13" t="n">
        <f aca="false">IFERROR(AY985/AY984-1,"")</f>
        <v>0.148648648648649</v>
      </c>
      <c r="BA985" s="17" t="n">
        <v>0.958</v>
      </c>
      <c r="BB985" s="11" t="s">
        <v>81</v>
      </c>
      <c r="BC985" s="11" t="s">
        <v>82</v>
      </c>
      <c r="BD985" s="11" t="s">
        <v>101</v>
      </c>
      <c r="BE985" s="12" t="n">
        <v>1977632</v>
      </c>
      <c r="BF985" s="13" t="n">
        <f aca="false">IFERROR(P985/BE985-1,"")</f>
        <v>-0.148563534570638</v>
      </c>
      <c r="BG985" s="17" t="n">
        <v>0.046</v>
      </c>
      <c r="BH985" s="17" t="n">
        <v>0.01</v>
      </c>
      <c r="BI985" s="14" t="n">
        <f aca="false">P985*(1+IFERROR(Q985,0))^4</f>
        <v>2229847.30319228</v>
      </c>
      <c r="BJ985" s="12" t="n">
        <v>-1776403</v>
      </c>
      <c r="BK985" s="11" t="s">
        <v>110</v>
      </c>
      <c r="BL985" s="11" t="s">
        <v>111</v>
      </c>
      <c r="BM985" s="14" t="n">
        <f aca="false">O985</f>
        <v>21722203</v>
      </c>
      <c r="BN985" s="11" t="s">
        <v>899</v>
      </c>
      <c r="BO985" s="13" t="n">
        <f aca="false">IFERROR(1-L985/M985,"")</f>
        <v>0.146597648004825</v>
      </c>
      <c r="BP985" s="11" t="s">
        <v>142</v>
      </c>
      <c r="BQ985" s="12" t="n">
        <v>3001362</v>
      </c>
      <c r="BR985" s="11" t="s">
        <v>88</v>
      </c>
      <c r="BS985" s="11" t="s">
        <v>89</v>
      </c>
      <c r="BT985" s="19" t="str">
        <f aca="false">IF(OR(Z985&lt;6,AH985&lt;0.9,S985&lt;0.02,AK985&lt;1),"REVIEW",IF(AND(S985&gt;0.25,AH985&gt;1.2),"ACCELERATING","STABLE"))</f>
        <v>STABLE</v>
      </c>
    </row>
    <row r="986" customFormat="false" ht="15" hidden="false" customHeight="false" outlineLevel="0" collapsed="false">
      <c r="A986" s="3" t="s">
        <v>900</v>
      </c>
      <c r="B986" s="3" t="s">
        <v>73</v>
      </c>
      <c r="C986" s="3" t="s">
        <v>74</v>
      </c>
      <c r="D986" s="3" t="s">
        <v>165</v>
      </c>
      <c r="E986" s="3" t="s">
        <v>187</v>
      </c>
      <c r="F986" s="3" t="s">
        <v>901</v>
      </c>
      <c r="G986" s="3" t="s">
        <v>78</v>
      </c>
      <c r="H986" s="3" t="s">
        <v>644</v>
      </c>
      <c r="I986" s="3" t="s">
        <v>78</v>
      </c>
      <c r="J986" s="4" t="n">
        <v>4280000</v>
      </c>
      <c r="K986" s="5" t="n">
        <f aca="false">IFERROR(J986/M986,"")</f>
        <v>0.14287144907701</v>
      </c>
      <c r="L986" s="4" t="n">
        <v>25677000</v>
      </c>
      <c r="M986" s="6" t="n">
        <f aca="false">L986+J986</f>
        <v>29957000</v>
      </c>
      <c r="N986" s="4" t="n">
        <v>5287000</v>
      </c>
      <c r="O986" s="4" t="n">
        <v>62096733</v>
      </c>
      <c r="P986" s="4" t="n">
        <v>319041</v>
      </c>
      <c r="Q986" s="7"/>
      <c r="R986" s="4" t="n">
        <v>370010</v>
      </c>
      <c r="S986" s="7"/>
      <c r="T986" s="4" t="n">
        <v>196183</v>
      </c>
      <c r="U986" s="5" t="n">
        <f aca="false">IFERROR(T986/P986,"")</f>
        <v>0.614914697484022</v>
      </c>
      <c r="V986" s="6" t="n">
        <f aca="false">T986-AV986</f>
        <v>-2837856</v>
      </c>
      <c r="W986" s="6" t="n">
        <f aca="false">V986-AA986*0.1</f>
        <v>-2837856</v>
      </c>
      <c r="X986" s="4" t="n">
        <v>7146895</v>
      </c>
      <c r="Y986" s="4" t="n">
        <v>222950</v>
      </c>
      <c r="Z986" s="8" t="n">
        <f aca="false">IFERROR(X986/Y986,"")</f>
        <v>32.056043956044</v>
      </c>
      <c r="AA986" s="4" t="n">
        <v>0</v>
      </c>
      <c r="AB986" s="6" t="n">
        <f aca="false">W986-0.02*P986</f>
        <v>-2844236.82</v>
      </c>
      <c r="AC986" s="9" t="n">
        <v>24</v>
      </c>
      <c r="AD986" s="7"/>
      <c r="AE986" s="7" t="n">
        <v>0.055</v>
      </c>
      <c r="AF986" s="7" t="n">
        <v>0.035</v>
      </c>
      <c r="AG986" s="5" t="n">
        <f aca="false">1-AF986</f>
        <v>0.965</v>
      </c>
      <c r="AH986" s="7" t="n">
        <v>1.051</v>
      </c>
      <c r="AI986" s="4" t="n">
        <v>31164</v>
      </c>
      <c r="AJ986" s="6" t="n">
        <f aca="false">IFERROR(AM986*U986*MIN(1/AE986,5),"")</f>
        <v>52267.7492861419</v>
      </c>
      <c r="AK986" s="10" t="n">
        <f aca="false">IFERROR(AJ986/AI986,"")</f>
        <v>1.67718358638628</v>
      </c>
      <c r="AL986" s="8" t="n">
        <f aca="false">IFERROR(AI986/(AM986*U986/12),"")</f>
        <v>35.7742589940785</v>
      </c>
      <c r="AM986" s="4" t="n">
        <v>17000</v>
      </c>
      <c r="AN986" s="4" t="n">
        <v>479644</v>
      </c>
      <c r="AO986" s="4" t="n">
        <v>1159142</v>
      </c>
      <c r="AP986" s="7" t="n">
        <v>0.175</v>
      </c>
      <c r="AQ986" s="9" t="n">
        <v>32</v>
      </c>
      <c r="AR986" s="9" t="n">
        <v>2</v>
      </c>
      <c r="AS986" s="7"/>
      <c r="AT986" s="3" t="s">
        <v>201</v>
      </c>
      <c r="AU986" s="6" t="n">
        <f aca="false">IFERROR(P986/AR986,"")</f>
        <v>159520.5</v>
      </c>
      <c r="AV986" s="4" t="n">
        <v>3034039</v>
      </c>
      <c r="AW986" s="4" t="n">
        <v>1182070</v>
      </c>
      <c r="AX986" s="4" t="n">
        <v>999582</v>
      </c>
      <c r="AY986" s="9" t="n">
        <v>5033</v>
      </c>
      <c r="AZ986" s="7"/>
      <c r="BA986" s="7" t="n">
        <v>0.957</v>
      </c>
      <c r="BB986" s="3" t="s">
        <v>161</v>
      </c>
      <c r="BC986" s="3" t="s">
        <v>82</v>
      </c>
      <c r="BD986" s="3" t="s">
        <v>175</v>
      </c>
      <c r="BE986" s="4" t="n">
        <v>395567</v>
      </c>
      <c r="BF986" s="5" t="n">
        <f aca="false">IFERROR(P986/BE986-1,"")</f>
        <v>-0.193459009472479</v>
      </c>
      <c r="BG986" s="7" t="n">
        <v>0</v>
      </c>
      <c r="BH986" s="7" t="n">
        <v>-0.059</v>
      </c>
      <c r="BI986" s="6" t="n">
        <f aca="false">P986</f>
        <v>319041</v>
      </c>
      <c r="BJ986" s="4" t="n">
        <v>-2352844</v>
      </c>
      <c r="BK986" s="3" t="s">
        <v>110</v>
      </c>
      <c r="BL986" s="3" t="s">
        <v>162</v>
      </c>
      <c r="BM986" s="6" t="n">
        <f aca="false">O986</f>
        <v>62096733</v>
      </c>
      <c r="BN986" s="3" t="s">
        <v>902</v>
      </c>
      <c r="BO986" s="5" t="n">
        <f aca="false">IFERROR(1-L986/M986,"")</f>
        <v>0.14287144907701</v>
      </c>
      <c r="BP986" s="3" t="s">
        <v>87</v>
      </c>
      <c r="BQ986" s="4" t="n">
        <v>3826759</v>
      </c>
      <c r="BR986" s="3" t="s">
        <v>695</v>
      </c>
      <c r="BS986" s="3" t="s">
        <v>89</v>
      </c>
      <c r="BT986" s="3" t="s">
        <v>90</v>
      </c>
    </row>
    <row r="987" customFormat="false" ht="15" hidden="false" customHeight="false" outlineLevel="0" collapsed="false">
      <c r="A987" s="11" t="s">
        <v>900</v>
      </c>
      <c r="B987" s="11" t="s">
        <v>91</v>
      </c>
      <c r="C987" s="11" t="s">
        <v>74</v>
      </c>
      <c r="D987" s="11" t="s">
        <v>165</v>
      </c>
      <c r="E987" s="11" t="s">
        <v>187</v>
      </c>
      <c r="F987" s="11" t="s">
        <v>901</v>
      </c>
      <c r="G987" s="11" t="s">
        <v>78</v>
      </c>
      <c r="H987" s="11" t="s">
        <v>644</v>
      </c>
      <c r="I987" s="11" t="s">
        <v>78</v>
      </c>
      <c r="J987" s="12" t="n">
        <v>4280000</v>
      </c>
      <c r="K987" s="13" t="n">
        <f aca="false">IFERROR(J987/M987,"")</f>
        <v>0.14287144907701</v>
      </c>
      <c r="L987" s="12" t="n">
        <v>25677000</v>
      </c>
      <c r="M987" s="14" t="n">
        <f aca="false">L987+J987</f>
        <v>29957000</v>
      </c>
      <c r="N987" s="12" t="n">
        <v>5287000</v>
      </c>
      <c r="O987" s="12" t="n">
        <v>62096733</v>
      </c>
      <c r="P987" s="12" t="n">
        <v>382604</v>
      </c>
      <c r="Q987" s="13" t="n">
        <f aca="false">IFERROR(P987/P986-1,"")</f>
        <v>0.199231446741955</v>
      </c>
      <c r="R987" s="12" t="n">
        <v>463588</v>
      </c>
      <c r="S987" s="13" t="n">
        <f aca="false">IFERROR(R987/R986-1,"")</f>
        <v>0.252906678197887</v>
      </c>
      <c r="T987" s="12" t="n">
        <v>236222</v>
      </c>
      <c r="U987" s="13" t="n">
        <f aca="false">IFERROR(T987/P987,"")</f>
        <v>0.617405986346196</v>
      </c>
      <c r="V987" s="14" t="n">
        <f aca="false">T987-AV987</f>
        <v>-2905551</v>
      </c>
      <c r="W987" s="14" t="n">
        <f aca="false">V987-AA987*0.1</f>
        <v>-2905551</v>
      </c>
      <c r="X987" s="12" t="n">
        <v>6584620</v>
      </c>
      <c r="Y987" s="12" t="n">
        <v>230300</v>
      </c>
      <c r="Z987" s="15" t="n">
        <f aca="false">IFERROR(X987/Y987,"")</f>
        <v>28.5914893617021</v>
      </c>
      <c r="AA987" s="12" t="n">
        <v>0</v>
      </c>
      <c r="AB987" s="14" t="n">
        <f aca="false">W987-0.02*P987</f>
        <v>-2913203.08</v>
      </c>
      <c r="AC987" s="16" t="n">
        <v>27</v>
      </c>
      <c r="AD987" s="13" t="n">
        <f aca="false">IFERROR(AC987/AC986-1,"")</f>
        <v>0.125</v>
      </c>
      <c r="AE987" s="17" t="n">
        <v>0.053</v>
      </c>
      <c r="AF987" s="17" t="n">
        <v>0.033</v>
      </c>
      <c r="AG987" s="13" t="n">
        <f aca="false">1-AF987</f>
        <v>0.967</v>
      </c>
      <c r="AH987" s="17" t="n">
        <v>1.046</v>
      </c>
      <c r="AI987" s="12" t="n">
        <v>30576</v>
      </c>
      <c r="AJ987" s="14" t="n">
        <f aca="false">IFERROR(AM987*U987*MIN(1/AE987,5),"")</f>
        <v>53529.0990162152</v>
      </c>
      <c r="AK987" s="18" t="n">
        <f aca="false">IFERROR(AJ987/AI987,"")</f>
        <v>1.75069005155073</v>
      </c>
      <c r="AL987" s="15" t="n">
        <f aca="false">IFERROR(AI987/(AM987*U987/12),"")</f>
        <v>34.2722002371882</v>
      </c>
      <c r="AM987" s="12" t="n">
        <v>17340</v>
      </c>
      <c r="AN987" s="12" t="n">
        <v>521053</v>
      </c>
      <c r="AO987" s="12" t="n">
        <v>1448088</v>
      </c>
      <c r="AP987" s="17" t="n">
        <v>0.175</v>
      </c>
      <c r="AQ987" s="16" t="n">
        <v>32</v>
      </c>
      <c r="AR987" s="16" t="n">
        <v>2</v>
      </c>
      <c r="AS987" s="13" t="n">
        <f aca="false">IFERROR(AR987/AR986-1,"")</f>
        <v>0</v>
      </c>
      <c r="AT987" s="11" t="s">
        <v>201</v>
      </c>
      <c r="AU987" s="14" t="n">
        <f aca="false">IFERROR(P987/AR987,"")</f>
        <v>191302</v>
      </c>
      <c r="AV987" s="12" t="n">
        <v>3141773</v>
      </c>
      <c r="AW987" s="12" t="n">
        <v>1165428</v>
      </c>
      <c r="AX987" s="12" t="n">
        <v>1063299</v>
      </c>
      <c r="AY987" s="16" t="n">
        <v>6025</v>
      </c>
      <c r="AZ987" s="13" t="n">
        <f aca="false">IFERROR(AY987/AY986-1,"")</f>
        <v>0.197099145638784</v>
      </c>
      <c r="BA987" s="17" t="n">
        <v>0.961</v>
      </c>
      <c r="BB987" s="11" t="s">
        <v>161</v>
      </c>
      <c r="BC987" s="11" t="s">
        <v>82</v>
      </c>
      <c r="BD987" s="11" t="s">
        <v>175</v>
      </c>
      <c r="BE987" s="12" t="n">
        <v>392503</v>
      </c>
      <c r="BF987" s="13" t="n">
        <f aca="false">IFERROR(P987/BE987-1,"")</f>
        <v>-0.0252201893998263</v>
      </c>
      <c r="BG987" s="17" t="n">
        <v>0.086</v>
      </c>
      <c r="BH987" s="17" t="n">
        <v>0.063</v>
      </c>
      <c r="BI987" s="14" t="n">
        <f aca="false">P987*(1+IFERROR(Q987,0))^4</f>
        <v>791337.121838261</v>
      </c>
      <c r="BJ987" s="12" t="n">
        <v>-2026710</v>
      </c>
      <c r="BK987" s="11" t="s">
        <v>110</v>
      </c>
      <c r="BL987" s="11" t="s">
        <v>162</v>
      </c>
      <c r="BM987" s="14" t="n">
        <f aca="false">O987</f>
        <v>62096733</v>
      </c>
      <c r="BN987" s="11" t="s">
        <v>902</v>
      </c>
      <c r="BO987" s="13" t="n">
        <f aca="false">IFERROR(1-L987/M987,"")</f>
        <v>0.14287144907701</v>
      </c>
      <c r="BP987" s="11" t="s">
        <v>87</v>
      </c>
      <c r="BQ987" s="12" t="n">
        <v>4498678</v>
      </c>
      <c r="BR987" s="11" t="s">
        <v>695</v>
      </c>
      <c r="BS987" s="11" t="s">
        <v>89</v>
      </c>
      <c r="BT987" s="19" t="str">
        <f aca="false">IF(OR(Z987&lt;6,AH987&lt;0.9,S987&lt;0.02,AK987&lt;1),"REVIEW",IF(AND(S987&gt;0.25,AH987&gt;1.2),"ACCELERATING","STABLE"))</f>
        <v>STABLE</v>
      </c>
    </row>
    <row r="988" customFormat="false" ht="15" hidden="false" customHeight="false" outlineLevel="0" collapsed="false">
      <c r="A988" s="11" t="s">
        <v>900</v>
      </c>
      <c r="B988" s="11" t="s">
        <v>92</v>
      </c>
      <c r="C988" s="11" t="s">
        <v>74</v>
      </c>
      <c r="D988" s="11" t="s">
        <v>165</v>
      </c>
      <c r="E988" s="11" t="s">
        <v>187</v>
      </c>
      <c r="F988" s="11" t="s">
        <v>901</v>
      </c>
      <c r="G988" s="11" t="s">
        <v>78</v>
      </c>
      <c r="H988" s="11" t="s">
        <v>644</v>
      </c>
      <c r="I988" s="11" t="s">
        <v>78</v>
      </c>
      <c r="J988" s="12" t="n">
        <v>4280000</v>
      </c>
      <c r="K988" s="13" t="n">
        <f aca="false">IFERROR(J988/M988,"")</f>
        <v>0.14287144907701</v>
      </c>
      <c r="L988" s="12" t="n">
        <v>25677000</v>
      </c>
      <c r="M988" s="14" t="n">
        <f aca="false">L988+J988</f>
        <v>29957000</v>
      </c>
      <c r="N988" s="12" t="n">
        <v>5287000</v>
      </c>
      <c r="O988" s="12" t="n">
        <v>62096733</v>
      </c>
      <c r="P988" s="12" t="n">
        <v>436545</v>
      </c>
      <c r="Q988" s="13" t="n">
        <f aca="false">IFERROR(P988/P987-1,"")</f>
        <v>0.140983889347733</v>
      </c>
      <c r="R988" s="12" t="n">
        <v>521189</v>
      </c>
      <c r="S988" s="13" t="n">
        <f aca="false">IFERROR(R988/R987-1,"")</f>
        <v>0.124250412003762</v>
      </c>
      <c r="T988" s="12" t="n">
        <v>270612</v>
      </c>
      <c r="U988" s="13" t="n">
        <f aca="false">IFERROR(T988/P988,"")</f>
        <v>0.619894856200392</v>
      </c>
      <c r="V988" s="14" t="n">
        <f aca="false">T988-AV988</f>
        <v>-3013012</v>
      </c>
      <c r="W988" s="14" t="n">
        <f aca="false">V988-AA988*0.1</f>
        <v>-3013012</v>
      </c>
      <c r="X988" s="12" t="n">
        <v>5982655</v>
      </c>
      <c r="Y988" s="12" t="n">
        <v>237650</v>
      </c>
      <c r="Z988" s="15" t="n">
        <f aca="false">IFERROR(X988/Y988,"")</f>
        <v>25.1742268041237</v>
      </c>
      <c r="AA988" s="12" t="n">
        <v>0</v>
      </c>
      <c r="AB988" s="14" t="n">
        <f aca="false">W988-0.02*P988</f>
        <v>-3021742.9</v>
      </c>
      <c r="AC988" s="16" t="n">
        <v>31</v>
      </c>
      <c r="AD988" s="13" t="n">
        <f aca="false">IFERROR(AC988/AC987-1,"")</f>
        <v>0.148148148148148</v>
      </c>
      <c r="AE988" s="17" t="n">
        <v>0.052</v>
      </c>
      <c r="AF988" s="17" t="n">
        <v>0.042</v>
      </c>
      <c r="AG988" s="13" t="n">
        <f aca="false">1-AF988</f>
        <v>0.958</v>
      </c>
      <c r="AH988" s="17" t="n">
        <v>1.041</v>
      </c>
      <c r="AI988" s="12" t="n">
        <v>29988</v>
      </c>
      <c r="AJ988" s="14" t="n">
        <f aca="false">IFERROR(AM988*U988*MIN(1/AE988,5),"")</f>
        <v>54798.7052881146</v>
      </c>
      <c r="AK988" s="18" t="n">
        <f aca="false">IFERROR(AJ988/AI988,"")</f>
        <v>1.82735445138438</v>
      </c>
      <c r="AL988" s="15" t="n">
        <f aca="false">IFERROR(AI988/(AM988*U988/12),"")</f>
        <v>32.8343523909907</v>
      </c>
      <c r="AM988" s="12" t="n">
        <v>17680</v>
      </c>
      <c r="AN988" s="12" t="n">
        <v>620802</v>
      </c>
      <c r="AO988" s="12" t="n">
        <v>804466</v>
      </c>
      <c r="AP988" s="17" t="n">
        <v>0.175</v>
      </c>
      <c r="AQ988" s="16" t="n">
        <v>32</v>
      </c>
      <c r="AR988" s="16" t="n">
        <v>2</v>
      </c>
      <c r="AS988" s="13" t="n">
        <f aca="false">IFERROR(AR988/AR987-1,"")</f>
        <v>0</v>
      </c>
      <c r="AT988" s="11" t="s">
        <v>201</v>
      </c>
      <c r="AU988" s="14" t="n">
        <f aca="false">IFERROR(P988/AR988,"")</f>
        <v>218272.5</v>
      </c>
      <c r="AV988" s="12" t="n">
        <v>3283624</v>
      </c>
      <c r="AW988" s="12" t="n">
        <v>1598826</v>
      </c>
      <c r="AX988" s="12" t="n">
        <v>993866</v>
      </c>
      <c r="AY988" s="16" t="n">
        <v>6493</v>
      </c>
      <c r="AZ988" s="13" t="n">
        <f aca="false">IFERROR(AY988/AY987-1,"")</f>
        <v>0.0776763485477179</v>
      </c>
      <c r="BA988" s="17" t="n">
        <v>0.959</v>
      </c>
      <c r="BB988" s="11" t="s">
        <v>161</v>
      </c>
      <c r="BC988" s="11" t="s">
        <v>82</v>
      </c>
      <c r="BD988" s="11" t="s">
        <v>175</v>
      </c>
      <c r="BE988" s="12" t="n">
        <v>486402</v>
      </c>
      <c r="BF988" s="13" t="n">
        <f aca="false">IFERROR(P988/BE988-1,"")</f>
        <v>-0.102501634450516</v>
      </c>
      <c r="BG988" s="17" t="n">
        <v>0.072</v>
      </c>
      <c r="BH988" s="17" t="n">
        <v>0.076</v>
      </c>
      <c r="BI988" s="14" t="n">
        <f aca="false">P988*(1+IFERROR(Q988,0))^4</f>
        <v>739855.773708741</v>
      </c>
      <c r="BJ988" s="12" t="n">
        <v>-2400023</v>
      </c>
      <c r="BK988" s="11" t="s">
        <v>110</v>
      </c>
      <c r="BL988" s="11" t="s">
        <v>162</v>
      </c>
      <c r="BM988" s="14" t="n">
        <f aca="false">O988</f>
        <v>62096733</v>
      </c>
      <c r="BN988" s="11" t="s">
        <v>902</v>
      </c>
      <c r="BO988" s="13" t="n">
        <f aca="false">IFERROR(1-L988/M988,"")</f>
        <v>0.14287144907701</v>
      </c>
      <c r="BP988" s="11" t="s">
        <v>87</v>
      </c>
      <c r="BQ988" s="12" t="n">
        <v>4672560</v>
      </c>
      <c r="BR988" s="11" t="s">
        <v>695</v>
      </c>
      <c r="BS988" s="11" t="s">
        <v>89</v>
      </c>
      <c r="BT988" s="19" t="str">
        <f aca="false">IF(OR(Z988&lt;6,AH988&lt;0.9,S988&lt;0.02,AK988&lt;1),"REVIEW",IF(AND(S988&gt;0.25,AH988&gt;1.2),"ACCELERATING","STABLE"))</f>
        <v>STABLE</v>
      </c>
    </row>
    <row r="989" customFormat="false" ht="15" hidden="false" customHeight="false" outlineLevel="0" collapsed="false">
      <c r="A989" s="11" t="s">
        <v>900</v>
      </c>
      <c r="B989" s="11" t="s">
        <v>93</v>
      </c>
      <c r="C989" s="11" t="s">
        <v>74</v>
      </c>
      <c r="D989" s="11" t="s">
        <v>165</v>
      </c>
      <c r="E989" s="11" t="s">
        <v>187</v>
      </c>
      <c r="F989" s="11" t="s">
        <v>901</v>
      </c>
      <c r="G989" s="11" t="s">
        <v>78</v>
      </c>
      <c r="H989" s="11" t="s">
        <v>644</v>
      </c>
      <c r="I989" s="11" t="s">
        <v>78</v>
      </c>
      <c r="J989" s="12" t="n">
        <v>4280000</v>
      </c>
      <c r="K989" s="13" t="n">
        <f aca="false">IFERROR(J989/M989,"")</f>
        <v>0.14287144907701</v>
      </c>
      <c r="L989" s="12" t="n">
        <v>25677000</v>
      </c>
      <c r="M989" s="14" t="n">
        <f aca="false">L989+J989</f>
        <v>29957000</v>
      </c>
      <c r="N989" s="12" t="n">
        <v>5287000</v>
      </c>
      <c r="O989" s="12" t="n">
        <v>62096733</v>
      </c>
      <c r="P989" s="12" t="n">
        <v>552226</v>
      </c>
      <c r="Q989" s="13" t="n">
        <f aca="false">IFERROR(P989/P988-1,"")</f>
        <v>0.264992154302535</v>
      </c>
      <c r="R989" s="12" t="n">
        <v>624304</v>
      </c>
      <c r="S989" s="13" t="n">
        <f aca="false">IFERROR(R989/R988-1,"")</f>
        <v>0.197845695131708</v>
      </c>
      <c r="T989" s="12" t="n">
        <v>343697</v>
      </c>
      <c r="U989" s="13" t="n">
        <f aca="false">IFERROR(T989/P989,"")</f>
        <v>0.62238467583924</v>
      </c>
      <c r="V989" s="14" t="n">
        <f aca="false">T989-AV989</f>
        <v>-3075505</v>
      </c>
      <c r="W989" s="14" t="n">
        <f aca="false">V989-AA989*0.1</f>
        <v>-3075505</v>
      </c>
      <c r="X989" s="12" t="n">
        <v>5341000</v>
      </c>
      <c r="Y989" s="12" t="n">
        <v>245000</v>
      </c>
      <c r="Z989" s="15" t="n">
        <f aca="false">IFERROR(X989/Y989,"")</f>
        <v>21.8</v>
      </c>
      <c r="AA989" s="12" t="n">
        <v>0</v>
      </c>
      <c r="AB989" s="14" t="n">
        <f aca="false">W989-0.02*P989</f>
        <v>-3086549.52</v>
      </c>
      <c r="AC989" s="16" t="n">
        <v>35</v>
      </c>
      <c r="AD989" s="13" t="n">
        <f aca="false">IFERROR(AC989/AC988-1,"")</f>
        <v>0.129032258064516</v>
      </c>
      <c r="AE989" s="17" t="n">
        <v>0.05</v>
      </c>
      <c r="AF989" s="17" t="n">
        <v>0.05</v>
      </c>
      <c r="AG989" s="13" t="n">
        <f aca="false">1-AF989</f>
        <v>0.95</v>
      </c>
      <c r="AH989" s="17" t="n">
        <v>1.036</v>
      </c>
      <c r="AI989" s="12" t="n">
        <v>29400</v>
      </c>
      <c r="AJ989" s="14" t="n">
        <f aca="false">IFERROR(AM989*U989*MIN(1/AE989,5),"")</f>
        <v>56076.8592931155</v>
      </c>
      <c r="AK989" s="18" t="n">
        <f aca="false">IFERROR(AJ989/AI989,"")</f>
        <v>1.9073761664325</v>
      </c>
      <c r="AL989" s="15" t="n">
        <f aca="false">IFERROR(AI989/(AM989*U989/12),"")</f>
        <v>31.456825903525</v>
      </c>
      <c r="AM989" s="12" t="n">
        <v>18020</v>
      </c>
      <c r="AN989" s="12" t="n">
        <v>602998</v>
      </c>
      <c r="AO989" s="12" t="n">
        <v>1139588</v>
      </c>
      <c r="AP989" s="17" t="n">
        <v>0.175</v>
      </c>
      <c r="AQ989" s="16" t="n">
        <v>32</v>
      </c>
      <c r="AR989" s="16" t="n">
        <v>2</v>
      </c>
      <c r="AS989" s="13" t="n">
        <f aca="false">IFERROR(AR989/AR988-1,"")</f>
        <v>0</v>
      </c>
      <c r="AT989" s="11" t="s">
        <v>201</v>
      </c>
      <c r="AU989" s="14" t="n">
        <f aca="false">IFERROR(P989/AR989,"")</f>
        <v>276113</v>
      </c>
      <c r="AV989" s="12" t="n">
        <v>3419202</v>
      </c>
      <c r="AW989" s="12" t="n">
        <v>1703818</v>
      </c>
      <c r="AX989" s="12" t="n">
        <v>949916</v>
      </c>
      <c r="AY989" s="16" t="n">
        <v>7758</v>
      </c>
      <c r="AZ989" s="13" t="n">
        <f aca="false">IFERROR(AY989/AY988-1,"")</f>
        <v>0.194825196365316</v>
      </c>
      <c r="BA989" s="17" t="n">
        <v>0.952</v>
      </c>
      <c r="BB989" s="11" t="s">
        <v>161</v>
      </c>
      <c r="BC989" s="11" t="s">
        <v>82</v>
      </c>
      <c r="BD989" s="11" t="s">
        <v>175</v>
      </c>
      <c r="BE989" s="12" t="n">
        <v>527754</v>
      </c>
      <c r="BF989" s="13" t="n">
        <f aca="false">IFERROR(P989/BE989-1,"")</f>
        <v>0.0463700890945402</v>
      </c>
      <c r="BG989" s="17" t="n">
        <v>0.061</v>
      </c>
      <c r="BH989" s="17" t="n">
        <v>0.096</v>
      </c>
      <c r="BI989" s="14" t="n">
        <f aca="false">P989*(1+IFERROR(Q989,0))^4</f>
        <v>1414061.1093557</v>
      </c>
      <c r="BJ989" s="12" t="n">
        <v>-2780718</v>
      </c>
      <c r="BK989" s="11" t="s">
        <v>110</v>
      </c>
      <c r="BL989" s="11" t="s">
        <v>162</v>
      </c>
      <c r="BM989" s="14" t="n">
        <f aca="false">O989</f>
        <v>62096733</v>
      </c>
      <c r="BN989" s="11" t="s">
        <v>902</v>
      </c>
      <c r="BO989" s="13" t="n">
        <f aca="false">IFERROR(1-L989/M989,"")</f>
        <v>0.14287144907701</v>
      </c>
      <c r="BP989" s="11" t="s">
        <v>87</v>
      </c>
      <c r="BQ989" s="12" t="n">
        <v>3866369</v>
      </c>
      <c r="BR989" s="11" t="s">
        <v>695</v>
      </c>
      <c r="BS989" s="11" t="s">
        <v>89</v>
      </c>
      <c r="BT989" s="19" t="str">
        <f aca="false">IF(OR(Z989&lt;6,AH989&lt;0.9,S989&lt;0.02,AK989&lt;1),"REVIEW",IF(AND(S989&gt;0.25,AH989&gt;1.2),"ACCELERATING","STABLE"))</f>
        <v>STABLE</v>
      </c>
    </row>
    <row r="990" customFormat="false" ht="15" hidden="false" customHeight="false" outlineLevel="0" collapsed="false">
      <c r="A990" s="3" t="s">
        <v>903</v>
      </c>
      <c r="B990" s="3" t="s">
        <v>73</v>
      </c>
      <c r="C990" s="3" t="s">
        <v>74</v>
      </c>
      <c r="D990" s="3" t="s">
        <v>75</v>
      </c>
      <c r="E990" s="3" t="s">
        <v>289</v>
      </c>
      <c r="F990" s="3" t="s">
        <v>904</v>
      </c>
      <c r="G990" s="3" t="s">
        <v>78</v>
      </c>
      <c r="H990" s="3" t="s">
        <v>644</v>
      </c>
      <c r="I990" s="3" t="s">
        <v>78</v>
      </c>
      <c r="J990" s="4" t="n">
        <v>1592000</v>
      </c>
      <c r="K990" s="5" t="n">
        <f aca="false">IFERROR(J990/M990,"")</f>
        <v>0.0976267860428037</v>
      </c>
      <c r="L990" s="4" t="n">
        <v>14715000</v>
      </c>
      <c r="M990" s="6" t="n">
        <f aca="false">L990+J990</f>
        <v>16307000</v>
      </c>
      <c r="N990" s="4" t="n">
        <v>3504000</v>
      </c>
      <c r="O990" s="4" t="n">
        <v>18674256</v>
      </c>
      <c r="P990" s="4" t="n">
        <v>899822</v>
      </c>
      <c r="Q990" s="7"/>
      <c r="R990" s="4" t="n">
        <v>1060008</v>
      </c>
      <c r="S990" s="7"/>
      <c r="T990" s="4" t="n">
        <v>580365</v>
      </c>
      <c r="U990" s="5" t="n">
        <f aca="false">IFERROR(T990/P990,"")</f>
        <v>0.644977562228974</v>
      </c>
      <c r="V990" s="6" t="n">
        <f aca="false">T990-AV990</f>
        <v>-2229345</v>
      </c>
      <c r="W990" s="6" t="n">
        <f aca="false">V990-AA990*0.1</f>
        <v>-2229345</v>
      </c>
      <c r="X990" s="4" t="n">
        <v>4572168</v>
      </c>
      <c r="Y990" s="4" t="n">
        <v>189280</v>
      </c>
      <c r="Z990" s="8" t="n">
        <f aca="false">IFERROR(X990/Y990,"")</f>
        <v>24.1555790363483</v>
      </c>
      <c r="AA990" s="4" t="n">
        <v>0</v>
      </c>
      <c r="AB990" s="6" t="n">
        <f aca="false">W990-0.02*P990</f>
        <v>-2247341.44</v>
      </c>
      <c r="AC990" s="9" t="n">
        <v>9</v>
      </c>
      <c r="AD990" s="7"/>
      <c r="AE990" s="7" t="n">
        <v>0.064</v>
      </c>
      <c r="AF990" s="7" t="n">
        <v>0.04</v>
      </c>
      <c r="AG990" s="5" t="n">
        <f aca="false">1-AF990</f>
        <v>0.96</v>
      </c>
      <c r="AH990" s="7" t="n">
        <v>1.109</v>
      </c>
      <c r="AI990" s="4" t="n">
        <v>50562</v>
      </c>
      <c r="AJ990" s="6" t="n">
        <f aca="false">IFERROR(AM990*U990*MIN(1/AE990,5),"")</f>
        <v>161244.390557244</v>
      </c>
      <c r="AK990" s="10" t="n">
        <f aca="false">IFERROR(AJ990/AI990,"")</f>
        <v>3.1890429681825</v>
      </c>
      <c r="AL990" s="8" t="n">
        <f aca="false">IFERROR(AI990/(AM990*U990/12),"")</f>
        <v>18.8144219437078</v>
      </c>
      <c r="AM990" s="4" t="n">
        <v>50000</v>
      </c>
      <c r="AN990" s="4" t="n">
        <v>1171919</v>
      </c>
      <c r="AO990" s="4" t="n">
        <v>1616552</v>
      </c>
      <c r="AP990" s="7" t="n">
        <v>0.163</v>
      </c>
      <c r="AQ990" s="9" t="n">
        <v>38</v>
      </c>
      <c r="AR990" s="9" t="n">
        <v>10</v>
      </c>
      <c r="AS990" s="7"/>
      <c r="AT990" s="3" t="s">
        <v>218</v>
      </c>
      <c r="AU990" s="6" t="n">
        <f aca="false">IFERROR(P990/AR990,"")</f>
        <v>89982.2</v>
      </c>
      <c r="AV990" s="4" t="n">
        <v>2809710</v>
      </c>
      <c r="AW990" s="4" t="n">
        <v>980730</v>
      </c>
      <c r="AX990" s="4" t="n">
        <v>534569</v>
      </c>
      <c r="AY990" s="9" t="n">
        <v>8545</v>
      </c>
      <c r="AZ990" s="7"/>
      <c r="BA990" s="7" t="n">
        <v>0.944</v>
      </c>
      <c r="BB990" s="3" t="s">
        <v>81</v>
      </c>
      <c r="BC990" s="3" t="s">
        <v>82</v>
      </c>
      <c r="BD990" s="3" t="s">
        <v>109</v>
      </c>
      <c r="BE990" s="4" t="n">
        <v>1022389</v>
      </c>
      <c r="BF990" s="5" t="n">
        <f aca="false">IFERROR(P990/BE990-1,"")</f>
        <v>-0.119882940837587</v>
      </c>
      <c r="BG990" s="7" t="n">
        <v>-0.054</v>
      </c>
      <c r="BH990" s="7" t="n">
        <v>-0.075</v>
      </c>
      <c r="BI990" s="6" t="n">
        <f aca="false">P990</f>
        <v>899822</v>
      </c>
      <c r="BJ990" s="4" t="n">
        <v>-1704580</v>
      </c>
      <c r="BK990" s="3" t="s">
        <v>84</v>
      </c>
      <c r="BL990" s="3" t="s">
        <v>111</v>
      </c>
      <c r="BM990" s="6" t="n">
        <f aca="false">O990</f>
        <v>18674256</v>
      </c>
      <c r="BN990" s="3" t="s">
        <v>905</v>
      </c>
      <c r="BO990" s="5" t="n">
        <f aca="false">IFERROR(1-L990/M990,"")</f>
        <v>0.0976267860428037</v>
      </c>
      <c r="BP990" s="3" t="s">
        <v>87</v>
      </c>
      <c r="BQ990" s="4" t="n">
        <v>3220266</v>
      </c>
      <c r="BR990" s="3" t="s">
        <v>88</v>
      </c>
      <c r="BS990" s="3" t="s">
        <v>89</v>
      </c>
      <c r="BT990" s="3" t="s">
        <v>90</v>
      </c>
    </row>
    <row r="991" customFormat="false" ht="15" hidden="false" customHeight="false" outlineLevel="0" collapsed="false">
      <c r="A991" s="11" t="s">
        <v>903</v>
      </c>
      <c r="B991" s="11" t="s">
        <v>91</v>
      </c>
      <c r="C991" s="11" t="s">
        <v>74</v>
      </c>
      <c r="D991" s="11" t="s">
        <v>75</v>
      </c>
      <c r="E991" s="11" t="s">
        <v>289</v>
      </c>
      <c r="F991" s="11" t="s">
        <v>904</v>
      </c>
      <c r="G991" s="11" t="s">
        <v>78</v>
      </c>
      <c r="H991" s="11" t="s">
        <v>644</v>
      </c>
      <c r="I991" s="11" t="s">
        <v>78</v>
      </c>
      <c r="J991" s="12" t="n">
        <v>1592000</v>
      </c>
      <c r="K991" s="13" t="n">
        <f aca="false">IFERROR(J991/M991,"")</f>
        <v>0.0976267860428037</v>
      </c>
      <c r="L991" s="12" t="n">
        <v>14715000</v>
      </c>
      <c r="M991" s="14" t="n">
        <f aca="false">L991+J991</f>
        <v>16307000</v>
      </c>
      <c r="N991" s="12" t="n">
        <v>3504000</v>
      </c>
      <c r="O991" s="12" t="n">
        <v>18674256</v>
      </c>
      <c r="P991" s="12" t="n">
        <v>1028737</v>
      </c>
      <c r="Q991" s="13" t="n">
        <f aca="false">IFERROR(P991/P990-1,"")</f>
        <v>0.143267223962072</v>
      </c>
      <c r="R991" s="12" t="n">
        <v>1113315</v>
      </c>
      <c r="S991" s="13" t="n">
        <f aca="false">IFERROR(R991/R990-1,"")</f>
        <v>0.0502892431000521</v>
      </c>
      <c r="T991" s="12" t="n">
        <v>666199</v>
      </c>
      <c r="U991" s="13" t="n">
        <f aca="false">IFERROR(T991/P991,"")</f>
        <v>0.647589228345048</v>
      </c>
      <c r="V991" s="14" t="n">
        <f aca="false">T991-AV991</f>
        <v>-2207554</v>
      </c>
      <c r="W991" s="14" t="n">
        <f aca="false">V991-AA991*0.1</f>
        <v>-2207554</v>
      </c>
      <c r="X991" s="12" t="n">
        <v>4094808</v>
      </c>
      <c r="Y991" s="12" t="n">
        <v>195520</v>
      </c>
      <c r="Z991" s="15" t="n">
        <f aca="false">IFERROR(X991/Y991,"")</f>
        <v>20.9431669394435</v>
      </c>
      <c r="AA991" s="12" t="n">
        <v>0</v>
      </c>
      <c r="AB991" s="14" t="n">
        <f aca="false">W991-0.02*P991</f>
        <v>-2228128.74</v>
      </c>
      <c r="AC991" s="16" t="n">
        <v>10</v>
      </c>
      <c r="AD991" s="13" t="n">
        <f aca="false">IFERROR(AC991/AC990-1,"")</f>
        <v>0.111111111111111</v>
      </c>
      <c r="AE991" s="17" t="n">
        <v>0.063</v>
      </c>
      <c r="AF991" s="17" t="n">
        <v>0.039</v>
      </c>
      <c r="AG991" s="13" t="n">
        <f aca="false">1-AF991</f>
        <v>0.961</v>
      </c>
      <c r="AH991" s="17" t="n">
        <v>1.104</v>
      </c>
      <c r="AI991" s="12" t="n">
        <v>49608</v>
      </c>
      <c r="AJ991" s="14" t="n">
        <f aca="false">IFERROR(AM991*U991*MIN(1/AE991,5),"")</f>
        <v>165135.253227987</v>
      </c>
      <c r="AK991" s="18" t="n">
        <f aca="false">IFERROR(AJ991/AI991,"")</f>
        <v>3.32880287913214</v>
      </c>
      <c r="AL991" s="15" t="n">
        <f aca="false">IFERROR(AI991/(AM991*U991/12),"")</f>
        <v>18.0244977484647</v>
      </c>
      <c r="AM991" s="12" t="n">
        <v>51000</v>
      </c>
      <c r="AN991" s="12" t="n">
        <v>1421000</v>
      </c>
      <c r="AO991" s="12" t="n">
        <v>4234609</v>
      </c>
      <c r="AP991" s="17" t="n">
        <v>0.163</v>
      </c>
      <c r="AQ991" s="16" t="n">
        <v>38</v>
      </c>
      <c r="AR991" s="16" t="n">
        <v>11</v>
      </c>
      <c r="AS991" s="13" t="n">
        <f aca="false">IFERROR(AR991/AR990-1,"")</f>
        <v>0.1</v>
      </c>
      <c r="AT991" s="11" t="s">
        <v>218</v>
      </c>
      <c r="AU991" s="14" t="n">
        <f aca="false">IFERROR(P991/AR991,"")</f>
        <v>93521.5454545455</v>
      </c>
      <c r="AV991" s="12" t="n">
        <v>2873753</v>
      </c>
      <c r="AW991" s="12" t="n">
        <v>1208977</v>
      </c>
      <c r="AX991" s="12" t="n">
        <v>525090</v>
      </c>
      <c r="AY991" s="16" t="n">
        <v>9475</v>
      </c>
      <c r="AZ991" s="13" t="n">
        <f aca="false">IFERROR(AY991/AY990-1,"")</f>
        <v>0.108835576360445</v>
      </c>
      <c r="BA991" s="17" t="n">
        <v>0.934</v>
      </c>
      <c r="BB991" s="11" t="s">
        <v>81</v>
      </c>
      <c r="BC991" s="11" t="s">
        <v>82</v>
      </c>
      <c r="BD991" s="11" t="s">
        <v>109</v>
      </c>
      <c r="BE991" s="12" t="n">
        <v>1073272</v>
      </c>
      <c r="BF991" s="13" t="n">
        <f aca="false">IFERROR(P991/BE991-1,"")</f>
        <v>-0.041494607145253</v>
      </c>
      <c r="BG991" s="17" t="n">
        <v>-0.046</v>
      </c>
      <c r="BH991" s="17" t="n">
        <v>-0.017</v>
      </c>
      <c r="BI991" s="14" t="n">
        <f aca="false">P991*(1+IFERROR(Q991,0))^4</f>
        <v>1757500.15545712</v>
      </c>
      <c r="BJ991" s="12" t="n">
        <v>-1513554</v>
      </c>
      <c r="BK991" s="11" t="s">
        <v>84</v>
      </c>
      <c r="BL991" s="11" t="s">
        <v>111</v>
      </c>
      <c r="BM991" s="14" t="n">
        <f aca="false">O991</f>
        <v>18674256</v>
      </c>
      <c r="BN991" s="11" t="s">
        <v>905</v>
      </c>
      <c r="BO991" s="13" t="n">
        <f aca="false">IFERROR(1-L991/M991,"")</f>
        <v>0.0976267860428037</v>
      </c>
      <c r="BP991" s="11" t="s">
        <v>87</v>
      </c>
      <c r="BQ991" s="12" t="n">
        <v>3377172</v>
      </c>
      <c r="BR991" s="11" t="s">
        <v>88</v>
      </c>
      <c r="BS991" s="11" t="s">
        <v>89</v>
      </c>
      <c r="BT991" s="19" t="str">
        <f aca="false">IF(OR(Z991&lt;6,AH991&lt;0.9,S991&lt;0.02,AK991&lt;1),"REVIEW",IF(AND(S991&gt;0.25,AH991&gt;1.2),"ACCELERATING","STABLE"))</f>
        <v>STABLE</v>
      </c>
    </row>
    <row r="992" customFormat="false" ht="15" hidden="false" customHeight="false" outlineLevel="0" collapsed="false">
      <c r="A992" s="11" t="s">
        <v>903</v>
      </c>
      <c r="B992" s="11" t="s">
        <v>92</v>
      </c>
      <c r="C992" s="11" t="s">
        <v>74</v>
      </c>
      <c r="D992" s="11" t="s">
        <v>75</v>
      </c>
      <c r="E992" s="11" t="s">
        <v>289</v>
      </c>
      <c r="F992" s="11" t="s">
        <v>904</v>
      </c>
      <c r="G992" s="11" t="s">
        <v>78</v>
      </c>
      <c r="H992" s="11" t="s">
        <v>644</v>
      </c>
      <c r="I992" s="11" t="s">
        <v>78</v>
      </c>
      <c r="J992" s="12" t="n">
        <v>1592000</v>
      </c>
      <c r="K992" s="13" t="n">
        <f aca="false">IFERROR(J992/M992,"")</f>
        <v>0.0976267860428037</v>
      </c>
      <c r="L992" s="12" t="n">
        <v>14715000</v>
      </c>
      <c r="M992" s="14" t="n">
        <f aca="false">L992+J992</f>
        <v>16307000</v>
      </c>
      <c r="N992" s="12" t="n">
        <v>3504000</v>
      </c>
      <c r="O992" s="12" t="n">
        <v>18674256</v>
      </c>
      <c r="P992" s="12" t="n">
        <v>1143598</v>
      </c>
      <c r="Q992" s="13" t="n">
        <f aca="false">IFERROR(P992/P991-1,"")</f>
        <v>0.111652443724684</v>
      </c>
      <c r="R992" s="12" t="n">
        <v>1295243</v>
      </c>
      <c r="S992" s="13" t="n">
        <f aca="false">IFERROR(R992/R991-1,"")</f>
        <v>0.163411074134454</v>
      </c>
      <c r="T992" s="12" t="n">
        <v>743568</v>
      </c>
      <c r="U992" s="13" t="n">
        <f aca="false">IFERROR(T992/P992,"")</f>
        <v>0.650200507521</v>
      </c>
      <c r="V992" s="14" t="n">
        <f aca="false">T992-AV992</f>
        <v>-2319281</v>
      </c>
      <c r="W992" s="14" t="n">
        <f aca="false">V992-AA992*0.1</f>
        <v>-2319281</v>
      </c>
      <c r="X992" s="12" t="n">
        <v>3583752</v>
      </c>
      <c r="Y992" s="12" t="n">
        <v>201760</v>
      </c>
      <c r="Z992" s="15" t="n">
        <f aca="false">IFERROR(X992/Y992,"")</f>
        <v>17.7624504361618</v>
      </c>
      <c r="AA992" s="12" t="n">
        <v>0</v>
      </c>
      <c r="AB992" s="14" t="n">
        <f aca="false">W992-0.02*P992</f>
        <v>-2342152.96</v>
      </c>
      <c r="AC992" s="16" t="n">
        <v>11</v>
      </c>
      <c r="AD992" s="13" t="n">
        <f aca="false">IFERROR(AC992/AC991-1,"")</f>
        <v>0.1</v>
      </c>
      <c r="AE992" s="17" t="n">
        <v>0.061</v>
      </c>
      <c r="AF992" s="17" t="n">
        <v>0.037</v>
      </c>
      <c r="AG992" s="13" t="n">
        <f aca="false">1-AF992</f>
        <v>0.963</v>
      </c>
      <c r="AH992" s="17" t="n">
        <v>1.099</v>
      </c>
      <c r="AI992" s="12" t="n">
        <v>48654</v>
      </c>
      <c r="AJ992" s="14" t="n">
        <f aca="false">IFERROR(AM992*U992*MIN(1/AE992,5),"")</f>
        <v>169052.13195546</v>
      </c>
      <c r="AK992" s="18" t="n">
        <f aca="false">IFERROR(AJ992/AI992,"")</f>
        <v>3.47457828658404</v>
      </c>
      <c r="AL992" s="15" t="n">
        <f aca="false">IFERROR(AI992/(AM992*U992/12),"")</f>
        <v>17.2682826666104</v>
      </c>
      <c r="AM992" s="12" t="n">
        <v>52000</v>
      </c>
      <c r="AN992" s="12" t="n">
        <v>1370916</v>
      </c>
      <c r="AO992" s="12" t="n">
        <v>2259158</v>
      </c>
      <c r="AP992" s="17" t="n">
        <v>0.163</v>
      </c>
      <c r="AQ992" s="16" t="n">
        <v>38</v>
      </c>
      <c r="AR992" s="16" t="n">
        <v>12</v>
      </c>
      <c r="AS992" s="13" t="n">
        <f aca="false">IFERROR(AR992/AR991-1,"")</f>
        <v>0.0909090909090908</v>
      </c>
      <c r="AT992" s="11" t="s">
        <v>218</v>
      </c>
      <c r="AU992" s="14" t="n">
        <f aca="false">IFERROR(P992/AR992,"")</f>
        <v>95299.8333333333</v>
      </c>
      <c r="AV992" s="12" t="n">
        <v>3062849</v>
      </c>
      <c r="AW992" s="12" t="n">
        <v>1041328</v>
      </c>
      <c r="AX992" s="12" t="n">
        <v>916636</v>
      </c>
      <c r="AY992" s="16" t="n">
        <v>10417</v>
      </c>
      <c r="AZ992" s="13" t="n">
        <f aca="false">IFERROR(AY992/AY991-1,"")</f>
        <v>0.0994195250659631</v>
      </c>
      <c r="BA992" s="17" t="n">
        <v>0.943</v>
      </c>
      <c r="BB992" s="11" t="s">
        <v>81</v>
      </c>
      <c r="BC992" s="11" t="s">
        <v>82</v>
      </c>
      <c r="BD992" s="11" t="s">
        <v>109</v>
      </c>
      <c r="BE992" s="12" t="n">
        <v>1271461</v>
      </c>
      <c r="BF992" s="13" t="n">
        <f aca="false">IFERROR(P992/BE992-1,"")</f>
        <v>-0.100563839551508</v>
      </c>
      <c r="BG992" s="17" t="n">
        <v>-0.029</v>
      </c>
      <c r="BH992" s="17" t="n">
        <v>-0.074</v>
      </c>
      <c r="BI992" s="14" t="n">
        <f aca="false">P992*(1+IFERROR(Q992,0))^4</f>
        <v>1746423.21298093</v>
      </c>
      <c r="BJ992" s="12" t="n">
        <v>-1832820</v>
      </c>
      <c r="BK992" s="11" t="s">
        <v>84</v>
      </c>
      <c r="BL992" s="11" t="s">
        <v>111</v>
      </c>
      <c r="BM992" s="14" t="n">
        <f aca="false">O992</f>
        <v>18674256</v>
      </c>
      <c r="BN992" s="11" t="s">
        <v>905</v>
      </c>
      <c r="BO992" s="13" t="n">
        <f aca="false">IFERROR(1-L992/M992,"")</f>
        <v>0.0976267860428037</v>
      </c>
      <c r="BP992" s="11" t="s">
        <v>87</v>
      </c>
      <c r="BQ992" s="12" t="n">
        <v>3794828</v>
      </c>
      <c r="BR992" s="11" t="s">
        <v>88</v>
      </c>
      <c r="BS992" s="11" t="s">
        <v>89</v>
      </c>
      <c r="BT992" s="19" t="str">
        <f aca="false">IF(OR(Z992&lt;6,AH992&lt;0.9,S992&lt;0.02,AK992&lt;1),"REVIEW",IF(AND(S992&gt;0.25,AH992&gt;1.2),"ACCELERATING","STABLE"))</f>
        <v>STABLE</v>
      </c>
    </row>
    <row r="993" customFormat="false" ht="15" hidden="false" customHeight="false" outlineLevel="0" collapsed="false">
      <c r="A993" s="11" t="s">
        <v>903</v>
      </c>
      <c r="B993" s="11" t="s">
        <v>93</v>
      </c>
      <c r="C993" s="11" t="s">
        <v>74</v>
      </c>
      <c r="D993" s="11" t="s">
        <v>75</v>
      </c>
      <c r="E993" s="11" t="s">
        <v>289</v>
      </c>
      <c r="F993" s="11" t="s">
        <v>904</v>
      </c>
      <c r="G993" s="11" t="s">
        <v>78</v>
      </c>
      <c r="H993" s="11" t="s">
        <v>644</v>
      </c>
      <c r="I993" s="11" t="s">
        <v>78</v>
      </c>
      <c r="J993" s="12" t="n">
        <v>1592000</v>
      </c>
      <c r="K993" s="13" t="n">
        <f aca="false">IFERROR(J993/M993,"")</f>
        <v>0.0976267860428037</v>
      </c>
      <c r="L993" s="12" t="n">
        <v>14715000</v>
      </c>
      <c r="M993" s="14" t="n">
        <f aca="false">L993+J993</f>
        <v>16307000</v>
      </c>
      <c r="N993" s="12" t="n">
        <v>3504000</v>
      </c>
      <c r="O993" s="12" t="n">
        <v>18674256</v>
      </c>
      <c r="P993" s="12" t="n">
        <v>1199206</v>
      </c>
      <c r="Q993" s="13" t="n">
        <f aca="false">IFERROR(P993/P992-1,"")</f>
        <v>0.0486254785335407</v>
      </c>
      <c r="R993" s="12" t="n">
        <v>1393667</v>
      </c>
      <c r="S993" s="13" t="n">
        <f aca="false">IFERROR(R993/R992-1,"")</f>
        <v>0.0759888298952398</v>
      </c>
      <c r="T993" s="12" t="n">
        <v>782856</v>
      </c>
      <c r="U993" s="13" t="n">
        <f aca="false">IFERROR(T993/P993,"")</f>
        <v>0.652811943902882</v>
      </c>
      <c r="V993" s="14" t="n">
        <f aca="false">T993-AV993</f>
        <v>-1890960</v>
      </c>
      <c r="W993" s="14" t="n">
        <f aca="false">V993-AA993*0.1</f>
        <v>-1890960</v>
      </c>
      <c r="X993" s="12" t="n">
        <v>3039000</v>
      </c>
      <c r="Y993" s="12" t="n">
        <v>208000</v>
      </c>
      <c r="Z993" s="15" t="n">
        <f aca="false">IFERROR(X993/Y993,"")</f>
        <v>14.6105769230769</v>
      </c>
      <c r="AA993" s="12" t="n">
        <v>0</v>
      </c>
      <c r="AB993" s="14" t="n">
        <f aca="false">W993-0.02*P993</f>
        <v>-1914944.12</v>
      </c>
      <c r="AC993" s="16" t="n">
        <v>11</v>
      </c>
      <c r="AD993" s="13" t="n">
        <f aca="false">IFERROR(AC993/AC992-1,"")</f>
        <v>0</v>
      </c>
      <c r="AE993" s="17" t="n">
        <v>0.059</v>
      </c>
      <c r="AF993" s="17" t="n">
        <v>0.05</v>
      </c>
      <c r="AG993" s="13" t="n">
        <f aca="false">1-AF993</f>
        <v>0.95</v>
      </c>
      <c r="AH993" s="17" t="n">
        <v>1.094</v>
      </c>
      <c r="AI993" s="12" t="n">
        <v>47700</v>
      </c>
      <c r="AJ993" s="14" t="n">
        <f aca="false">IFERROR(AM993*U993*MIN(1/AE993,5),"")</f>
        <v>172995.165134264</v>
      </c>
      <c r="AK993" s="18" t="n">
        <f aca="false">IFERROR(AJ993/AI993,"")</f>
        <v>3.62673302168268</v>
      </c>
      <c r="AL993" s="15" t="n">
        <f aca="false">IFERROR(AI993/(AM993*U993/12),"")</f>
        <v>16.5438149544744</v>
      </c>
      <c r="AM993" s="12" t="n">
        <v>53000</v>
      </c>
      <c r="AN993" s="12" t="n">
        <v>1291655</v>
      </c>
      <c r="AO993" s="12" t="n">
        <v>2502114</v>
      </c>
      <c r="AP993" s="17" t="n">
        <v>0.163</v>
      </c>
      <c r="AQ993" s="16" t="n">
        <v>38</v>
      </c>
      <c r="AR993" s="16" t="n">
        <v>14</v>
      </c>
      <c r="AS993" s="13" t="n">
        <f aca="false">IFERROR(AR993/AR992-1,"")</f>
        <v>0.166666666666667</v>
      </c>
      <c r="AT993" s="11" t="s">
        <v>218</v>
      </c>
      <c r="AU993" s="14" t="n">
        <f aca="false">IFERROR(P993/AR993,"")</f>
        <v>85657.5714285714</v>
      </c>
      <c r="AV993" s="12" t="n">
        <v>2673816</v>
      </c>
      <c r="AW993" s="12" t="n">
        <v>1196066</v>
      </c>
      <c r="AX993" s="12" t="n">
        <v>674010</v>
      </c>
      <c r="AY993" s="16" t="n">
        <v>10453</v>
      </c>
      <c r="AZ993" s="13" t="n">
        <f aca="false">IFERROR(AY993/AY992-1,"")</f>
        <v>0.00345588941153885</v>
      </c>
      <c r="BA993" s="17" t="n">
        <v>0.937</v>
      </c>
      <c r="BB993" s="11" t="s">
        <v>81</v>
      </c>
      <c r="BC993" s="11" t="s">
        <v>82</v>
      </c>
      <c r="BD993" s="11" t="s">
        <v>109</v>
      </c>
      <c r="BE993" s="12" t="n">
        <v>1203105</v>
      </c>
      <c r="BF993" s="13" t="n">
        <f aca="false">IFERROR(P993/BE993-1,"")</f>
        <v>-0.00324078114545279</v>
      </c>
      <c r="BG993" s="17" t="n">
        <v>-0.037</v>
      </c>
      <c r="BH993" s="17" t="n">
        <v>-0.007</v>
      </c>
      <c r="BI993" s="14" t="n">
        <f aca="false">P993*(1+IFERROR(Q993,0))^4</f>
        <v>1450024.74998423</v>
      </c>
      <c r="BJ993" s="12" t="n">
        <v>-1645535</v>
      </c>
      <c r="BK993" s="11" t="s">
        <v>84</v>
      </c>
      <c r="BL993" s="11" t="s">
        <v>111</v>
      </c>
      <c r="BM993" s="14" t="n">
        <f aca="false">O993</f>
        <v>18674256</v>
      </c>
      <c r="BN993" s="11" t="s">
        <v>905</v>
      </c>
      <c r="BO993" s="13" t="n">
        <f aca="false">IFERROR(1-L993/M993,"")</f>
        <v>0.0976267860428037</v>
      </c>
      <c r="BP993" s="11" t="s">
        <v>87</v>
      </c>
      <c r="BQ993" s="12" t="n">
        <v>3652198</v>
      </c>
      <c r="BR993" s="11" t="s">
        <v>88</v>
      </c>
      <c r="BS993" s="11" t="s">
        <v>89</v>
      </c>
      <c r="BT993" s="19" t="str">
        <f aca="false">IF(OR(Z993&lt;6,AH993&lt;0.9,S993&lt;0.02,AK993&lt;1),"REVIEW",IF(AND(S993&gt;0.25,AH993&gt;1.2),"ACCELERATING","STABLE"))</f>
        <v>STABLE</v>
      </c>
    </row>
    <row r="994" customFormat="false" ht="15" hidden="false" customHeight="false" outlineLevel="0" collapsed="false">
      <c r="A994" s="3" t="s">
        <v>906</v>
      </c>
      <c r="B994" s="3" t="s">
        <v>73</v>
      </c>
      <c r="C994" s="3" t="s">
        <v>74</v>
      </c>
      <c r="D994" s="3" t="s">
        <v>165</v>
      </c>
      <c r="E994" s="3" t="s">
        <v>105</v>
      </c>
      <c r="F994" s="3" t="s">
        <v>907</v>
      </c>
      <c r="G994" s="3" t="s">
        <v>78</v>
      </c>
      <c r="H994" s="3" t="s">
        <v>644</v>
      </c>
      <c r="I994" s="3" t="s">
        <v>78</v>
      </c>
      <c r="J994" s="4" t="n">
        <v>6750000</v>
      </c>
      <c r="K994" s="5" t="n">
        <f aca="false">IFERROR(J994/M994,"")</f>
        <v>0.193909796035622</v>
      </c>
      <c r="L994" s="4" t="n">
        <v>28060000</v>
      </c>
      <c r="M994" s="6" t="n">
        <f aca="false">L994+J994</f>
        <v>34810000</v>
      </c>
      <c r="N994" s="4" t="n">
        <v>6750000</v>
      </c>
      <c r="O994" s="4" t="n">
        <v>33624895</v>
      </c>
      <c r="P994" s="4" t="n">
        <v>115215</v>
      </c>
      <c r="Q994" s="7"/>
      <c r="R994" s="4" t="n">
        <v>134768</v>
      </c>
      <c r="S994" s="7"/>
      <c r="T994" s="4" t="n">
        <v>96267</v>
      </c>
      <c r="U994" s="5" t="n">
        <f aca="false">IFERROR(T994/P994,"")</f>
        <v>0.835542247103242</v>
      </c>
      <c r="V994" s="6" t="n">
        <f aca="false">T994-AV994</f>
        <v>-934244</v>
      </c>
      <c r="W994" s="6" t="n">
        <f aca="false">V994-AA994*0.1</f>
        <v>-1034544</v>
      </c>
      <c r="X994" s="4" t="n">
        <v>3168471</v>
      </c>
      <c r="Y994" s="4" t="n">
        <v>91910</v>
      </c>
      <c r="Z994" s="8" t="n">
        <f aca="false">IFERROR(X994/Y994,"")</f>
        <v>34.4736263736264</v>
      </c>
      <c r="AA994" s="4" t="n">
        <v>1003000</v>
      </c>
      <c r="AB994" s="6" t="n">
        <f aca="false">W994-0.02*P994</f>
        <v>-1036848.3</v>
      </c>
      <c r="AC994" s="9" t="n">
        <v>42</v>
      </c>
      <c r="AD994" s="7"/>
      <c r="AE994" s="7" t="n">
        <v>0.044</v>
      </c>
      <c r="AF994" s="7" t="n">
        <v>0.027</v>
      </c>
      <c r="AG994" s="5" t="n">
        <f aca="false">1-AF994</f>
        <v>0.973</v>
      </c>
      <c r="AH994" s="7" t="n">
        <v>1.074</v>
      </c>
      <c r="AI994" s="4" t="n">
        <v>27984</v>
      </c>
      <c r="AJ994" s="6" t="n">
        <f aca="false">IFERROR(AM994*U994*MIN(1/AE994,5),"")</f>
        <v>58487.9572972269</v>
      </c>
      <c r="AK994" s="10" t="n">
        <f aca="false">IFERROR(AJ994/AI994,"")</f>
        <v>2.09004993200496</v>
      </c>
      <c r="AL994" s="8" t="n">
        <f aca="false">IFERROR(AI994/(AM994*U994/12),"")</f>
        <v>28.7074481241903</v>
      </c>
      <c r="AM994" s="4" t="n">
        <v>14000</v>
      </c>
      <c r="AN994" s="4" t="n">
        <v>182714</v>
      </c>
      <c r="AO994" s="4" t="n">
        <v>223613</v>
      </c>
      <c r="AP994" s="7" t="n">
        <v>0.167</v>
      </c>
      <c r="AQ994" s="9" t="n">
        <v>86</v>
      </c>
      <c r="AR994" s="9" t="n">
        <v>7</v>
      </c>
      <c r="AS994" s="7"/>
      <c r="AT994" s="3" t="s">
        <v>80</v>
      </c>
      <c r="AU994" s="6" t="n">
        <f aca="false">IFERROR(P994/AR994,"")</f>
        <v>16459.2857142857</v>
      </c>
      <c r="AV994" s="4" t="n">
        <v>1030511</v>
      </c>
      <c r="AW994" s="4" t="n">
        <v>443031</v>
      </c>
      <c r="AX994" s="4" t="n">
        <v>268990</v>
      </c>
      <c r="AY994" s="9" t="n">
        <v>14404</v>
      </c>
      <c r="AZ994" s="7"/>
      <c r="BA994" s="7" t="n">
        <v>0.962</v>
      </c>
      <c r="BB994" s="3" t="s">
        <v>107</v>
      </c>
      <c r="BC994" s="3" t="s">
        <v>126</v>
      </c>
      <c r="BD994" s="3" t="s">
        <v>109</v>
      </c>
      <c r="BE994" s="4" t="n">
        <v>127832</v>
      </c>
      <c r="BF994" s="5" t="n">
        <f aca="false">IFERROR(P994/BE994-1,"")</f>
        <v>-0.0986998560610801</v>
      </c>
      <c r="BG994" s="7" t="n">
        <v>0.007</v>
      </c>
      <c r="BH994" s="7" t="n">
        <v>0.03</v>
      </c>
      <c r="BI994" s="6" t="n">
        <f aca="false">P994</f>
        <v>115215</v>
      </c>
      <c r="BJ994" s="4" t="n">
        <v>-639065</v>
      </c>
      <c r="BK994" s="3" t="s">
        <v>127</v>
      </c>
      <c r="BL994" s="3" t="s">
        <v>128</v>
      </c>
      <c r="BM994" s="6" t="n">
        <f aca="false">O994</f>
        <v>33624895</v>
      </c>
      <c r="BN994" s="3" t="s">
        <v>908</v>
      </c>
      <c r="BO994" s="5" t="n">
        <f aca="false">IFERROR(1-L994/M994,"")</f>
        <v>0.193909796035622</v>
      </c>
      <c r="BP994" s="3" t="s">
        <v>198</v>
      </c>
      <c r="BQ994" s="4" t="n">
        <v>1130623</v>
      </c>
      <c r="BR994" s="3" t="s">
        <v>88</v>
      </c>
      <c r="BS994" s="3" t="s">
        <v>89</v>
      </c>
      <c r="BT994" s="3" t="s">
        <v>90</v>
      </c>
    </row>
    <row r="995" customFormat="false" ht="15" hidden="false" customHeight="false" outlineLevel="0" collapsed="false">
      <c r="A995" s="11" t="s">
        <v>906</v>
      </c>
      <c r="B995" s="11" t="s">
        <v>91</v>
      </c>
      <c r="C995" s="11" t="s">
        <v>74</v>
      </c>
      <c r="D995" s="11" t="s">
        <v>165</v>
      </c>
      <c r="E995" s="11" t="s">
        <v>105</v>
      </c>
      <c r="F995" s="11" t="s">
        <v>907</v>
      </c>
      <c r="G995" s="11" t="s">
        <v>78</v>
      </c>
      <c r="H995" s="11" t="s">
        <v>644</v>
      </c>
      <c r="I995" s="11" t="s">
        <v>78</v>
      </c>
      <c r="J995" s="12" t="n">
        <v>6750000</v>
      </c>
      <c r="K995" s="13" t="n">
        <f aca="false">IFERROR(J995/M995,"")</f>
        <v>0.193909796035622</v>
      </c>
      <c r="L995" s="12" t="n">
        <v>28060000</v>
      </c>
      <c r="M995" s="14" t="n">
        <f aca="false">L995+J995</f>
        <v>34810000</v>
      </c>
      <c r="N995" s="12" t="n">
        <v>6750000</v>
      </c>
      <c r="O995" s="12" t="n">
        <v>33624895</v>
      </c>
      <c r="P995" s="12" t="n">
        <v>144027</v>
      </c>
      <c r="Q995" s="13" t="n">
        <f aca="false">IFERROR(P995/P994-1,"")</f>
        <v>0.250071605259732</v>
      </c>
      <c r="R995" s="12" t="n">
        <v>145237</v>
      </c>
      <c r="S995" s="13" t="n">
        <f aca="false">IFERROR(R995/R994-1,"")</f>
        <v>0.0776816454944793</v>
      </c>
      <c r="T995" s="12" t="n">
        <v>120828</v>
      </c>
      <c r="U995" s="13" t="n">
        <f aca="false">IFERROR(T995/P995,"")</f>
        <v>0.838926034701827</v>
      </c>
      <c r="V995" s="14" t="n">
        <f aca="false">T995-AV995</f>
        <v>-934831</v>
      </c>
      <c r="W995" s="14" t="n">
        <f aca="false">V995-AA995*0.1</f>
        <v>-1035131</v>
      </c>
      <c r="X995" s="12" t="n">
        <v>2936676</v>
      </c>
      <c r="Y995" s="12" t="n">
        <v>94940</v>
      </c>
      <c r="Z995" s="15" t="n">
        <f aca="false">IFERROR(X995/Y995,"")</f>
        <v>30.931914893617</v>
      </c>
      <c r="AA995" s="12" t="n">
        <v>1003000</v>
      </c>
      <c r="AB995" s="14" t="n">
        <f aca="false">W995-0.02*P995</f>
        <v>-1038011.54</v>
      </c>
      <c r="AC995" s="16" t="n">
        <v>50</v>
      </c>
      <c r="AD995" s="13" t="n">
        <f aca="false">IFERROR(AC995/AC994-1,"")</f>
        <v>0.19047619047619</v>
      </c>
      <c r="AE995" s="17" t="n">
        <v>0.042</v>
      </c>
      <c r="AF995" s="17" t="n">
        <v>0.045</v>
      </c>
      <c r="AG995" s="13" t="n">
        <f aca="false">1-AF995</f>
        <v>0.955</v>
      </c>
      <c r="AH995" s="17" t="n">
        <v>1.069</v>
      </c>
      <c r="AI995" s="12" t="n">
        <v>27456</v>
      </c>
      <c r="AJ995" s="14" t="n">
        <f aca="false">IFERROR(AM995*U995*MIN(1/AE995,5),"")</f>
        <v>59899.3188777104</v>
      </c>
      <c r="AK995" s="18" t="n">
        <f aca="false">IFERROR(AJ995/AI995,"")</f>
        <v>2.1816476863968</v>
      </c>
      <c r="AL995" s="15" t="n">
        <f aca="false">IFERROR(AI995/(AM995*U995/12),"")</f>
        <v>27.5021491206474</v>
      </c>
      <c r="AM995" s="12" t="n">
        <v>14280</v>
      </c>
      <c r="AN995" s="12" t="n">
        <v>155144</v>
      </c>
      <c r="AO995" s="12" t="n">
        <v>540671</v>
      </c>
      <c r="AP995" s="17" t="n">
        <v>0.167</v>
      </c>
      <c r="AQ995" s="16" t="n">
        <v>86</v>
      </c>
      <c r="AR995" s="16" t="n">
        <v>8</v>
      </c>
      <c r="AS995" s="13" t="n">
        <f aca="false">IFERROR(AR995/AR994-1,"")</f>
        <v>0.142857142857143</v>
      </c>
      <c r="AT995" s="11" t="s">
        <v>80</v>
      </c>
      <c r="AU995" s="14" t="n">
        <f aca="false">IFERROR(P995/AR995,"")</f>
        <v>18003.375</v>
      </c>
      <c r="AV995" s="12" t="n">
        <v>1055659</v>
      </c>
      <c r="AW995" s="12" t="n">
        <v>367801</v>
      </c>
      <c r="AX995" s="12" t="n">
        <v>340527</v>
      </c>
      <c r="AY995" s="16" t="n">
        <v>16958</v>
      </c>
      <c r="AZ995" s="13" t="n">
        <f aca="false">IFERROR(AY995/AY994-1,"")</f>
        <v>0.177311857817273</v>
      </c>
      <c r="BA995" s="17" t="n">
        <v>0.957</v>
      </c>
      <c r="BB995" s="11" t="s">
        <v>107</v>
      </c>
      <c r="BC995" s="11" t="s">
        <v>126</v>
      </c>
      <c r="BD995" s="11" t="s">
        <v>109</v>
      </c>
      <c r="BE995" s="12" t="n">
        <v>141071</v>
      </c>
      <c r="BF995" s="13" t="n">
        <f aca="false">IFERROR(P995/BE995-1,"")</f>
        <v>0.0209539877083171</v>
      </c>
      <c r="BG995" s="17" t="n">
        <v>-0.015</v>
      </c>
      <c r="BH995" s="17" t="n">
        <v>0.018</v>
      </c>
      <c r="BI995" s="14" t="n">
        <f aca="false">P995*(1+IFERROR(Q995,0))^4</f>
        <v>351708.995913618</v>
      </c>
      <c r="BJ995" s="12" t="n">
        <v>-728005</v>
      </c>
      <c r="BK995" s="11" t="s">
        <v>127</v>
      </c>
      <c r="BL995" s="11" t="s">
        <v>128</v>
      </c>
      <c r="BM995" s="14" t="n">
        <f aca="false">O995</f>
        <v>33624895</v>
      </c>
      <c r="BN995" s="11" t="s">
        <v>908</v>
      </c>
      <c r="BO995" s="13" t="n">
        <f aca="false">IFERROR(1-L995/M995,"")</f>
        <v>0.193909796035622</v>
      </c>
      <c r="BP995" s="11" t="s">
        <v>198</v>
      </c>
      <c r="BQ995" s="12" t="n">
        <v>1756510</v>
      </c>
      <c r="BR995" s="11" t="s">
        <v>88</v>
      </c>
      <c r="BS995" s="11" t="s">
        <v>89</v>
      </c>
      <c r="BT995" s="19" t="str">
        <f aca="false">IF(OR(Z995&lt;6,AH995&lt;0.9,S995&lt;0.02,AK995&lt;1),"REVIEW",IF(AND(S995&gt;0.25,AH995&gt;1.2),"ACCELERATING","STABLE"))</f>
        <v>STABLE</v>
      </c>
    </row>
    <row r="996" customFormat="false" ht="15" hidden="false" customHeight="false" outlineLevel="0" collapsed="false">
      <c r="A996" s="11" t="s">
        <v>906</v>
      </c>
      <c r="B996" s="11" t="s">
        <v>92</v>
      </c>
      <c r="C996" s="11" t="s">
        <v>74</v>
      </c>
      <c r="D996" s="11" t="s">
        <v>165</v>
      </c>
      <c r="E996" s="11" t="s">
        <v>105</v>
      </c>
      <c r="F996" s="11" t="s">
        <v>907</v>
      </c>
      <c r="G996" s="11" t="s">
        <v>78</v>
      </c>
      <c r="H996" s="11" t="s">
        <v>644</v>
      </c>
      <c r="I996" s="11" t="s">
        <v>78</v>
      </c>
      <c r="J996" s="12" t="n">
        <v>6750000</v>
      </c>
      <c r="K996" s="13" t="n">
        <f aca="false">IFERROR(J996/M996,"")</f>
        <v>0.193909796035622</v>
      </c>
      <c r="L996" s="12" t="n">
        <v>28060000</v>
      </c>
      <c r="M996" s="14" t="n">
        <f aca="false">L996+J996</f>
        <v>34810000</v>
      </c>
      <c r="N996" s="12" t="n">
        <v>6750000</v>
      </c>
      <c r="O996" s="12" t="n">
        <v>33624895</v>
      </c>
      <c r="P996" s="12" t="n">
        <v>165811</v>
      </c>
      <c r="Q996" s="13" t="n">
        <f aca="false">IFERROR(P996/P995-1,"")</f>
        <v>0.151249418511807</v>
      </c>
      <c r="R996" s="12" t="n">
        <v>174552</v>
      </c>
      <c r="S996" s="13" t="n">
        <f aca="false">IFERROR(R996/R995-1,"")</f>
        <v>0.201842505697584</v>
      </c>
      <c r="T996" s="12" t="n">
        <v>139664</v>
      </c>
      <c r="U996" s="13" t="n">
        <f aca="false">IFERROR(T996/P996,"")</f>
        <v>0.842308411384046</v>
      </c>
      <c r="V996" s="14" t="n">
        <f aca="false">T996-AV996</f>
        <v>-1191351</v>
      </c>
      <c r="W996" s="14" t="n">
        <f aca="false">V996-AA996*0.1</f>
        <v>-1291651</v>
      </c>
      <c r="X996" s="12" t="n">
        <v>2688519</v>
      </c>
      <c r="Y996" s="12" t="n">
        <v>97970</v>
      </c>
      <c r="Z996" s="15" t="n">
        <f aca="false">IFERROR(X996/Y996,"")</f>
        <v>27.4422680412371</v>
      </c>
      <c r="AA996" s="12" t="n">
        <v>1003000</v>
      </c>
      <c r="AB996" s="14" t="n">
        <f aca="false">W996-0.02*P996</f>
        <v>-1294967.22</v>
      </c>
      <c r="AC996" s="16" t="n">
        <v>53</v>
      </c>
      <c r="AD996" s="13" t="n">
        <f aca="false">IFERROR(AC996/AC995-1,"")</f>
        <v>0.0600000000000001</v>
      </c>
      <c r="AE996" s="17" t="n">
        <v>0.041</v>
      </c>
      <c r="AF996" s="17" t="n">
        <v>0.037</v>
      </c>
      <c r="AG996" s="13" t="n">
        <f aca="false">1-AF996</f>
        <v>0.963</v>
      </c>
      <c r="AH996" s="17" t="n">
        <v>1.064</v>
      </c>
      <c r="AI996" s="12" t="n">
        <v>26928</v>
      </c>
      <c r="AJ996" s="14" t="n">
        <f aca="false">IFERROR(AM996*U996*MIN(1/AE996,5),"")</f>
        <v>61320.0523487585</v>
      </c>
      <c r="AK996" s="18" t="n">
        <f aca="false">IFERROR(AJ996/AI996,"")</f>
        <v>2.27718554473999</v>
      </c>
      <c r="AL996" s="15" t="n">
        <f aca="false">IFERROR(AI996/(AM996*U996/12),"")</f>
        <v>26.3483141014101</v>
      </c>
      <c r="AM996" s="12" t="n">
        <v>14560</v>
      </c>
      <c r="AN996" s="12" t="n">
        <v>172526</v>
      </c>
      <c r="AO996" s="12" t="n">
        <v>416617</v>
      </c>
      <c r="AP996" s="17" t="n">
        <v>0.167</v>
      </c>
      <c r="AQ996" s="16" t="n">
        <v>86</v>
      </c>
      <c r="AR996" s="16" t="n">
        <v>9</v>
      </c>
      <c r="AS996" s="13" t="n">
        <f aca="false">IFERROR(AR996/AR995-1,"")</f>
        <v>0.125</v>
      </c>
      <c r="AT996" s="11" t="s">
        <v>80</v>
      </c>
      <c r="AU996" s="14" t="n">
        <f aca="false">IFERROR(P996/AR996,"")</f>
        <v>18423.4444444444</v>
      </c>
      <c r="AV996" s="12" t="n">
        <v>1331015</v>
      </c>
      <c r="AW996" s="12" t="n">
        <v>507405</v>
      </c>
      <c r="AX996" s="12" t="n">
        <v>380067</v>
      </c>
      <c r="AY996" s="16" t="n">
        <v>21533</v>
      </c>
      <c r="AZ996" s="13" t="n">
        <f aca="false">IFERROR(AY996/AY995-1,"")</f>
        <v>0.269784172661871</v>
      </c>
      <c r="BA996" s="17" t="n">
        <v>0.967</v>
      </c>
      <c r="BB996" s="11" t="s">
        <v>107</v>
      </c>
      <c r="BC996" s="11" t="s">
        <v>126</v>
      </c>
      <c r="BD996" s="11" t="s">
        <v>109</v>
      </c>
      <c r="BE996" s="12" t="n">
        <v>195010</v>
      </c>
      <c r="BF996" s="13" t="n">
        <f aca="false">IFERROR(P996/BE996-1,"")</f>
        <v>-0.149730783036767</v>
      </c>
      <c r="BG996" s="17" t="n">
        <v>0.079</v>
      </c>
      <c r="BH996" s="17" t="n">
        <v>0.014</v>
      </c>
      <c r="BI996" s="14" t="n">
        <f aca="false">P996*(1+IFERROR(Q996,0))^4</f>
        <v>291266.833161336</v>
      </c>
      <c r="BJ996" s="12" t="n">
        <v>-595903</v>
      </c>
      <c r="BK996" s="11" t="s">
        <v>127</v>
      </c>
      <c r="BL996" s="11" t="s">
        <v>128</v>
      </c>
      <c r="BM996" s="14" t="n">
        <f aca="false">O996</f>
        <v>33624895</v>
      </c>
      <c r="BN996" s="11" t="s">
        <v>908</v>
      </c>
      <c r="BO996" s="13" t="n">
        <f aca="false">IFERROR(1-L996/M996,"")</f>
        <v>0.193909796035622</v>
      </c>
      <c r="BP996" s="11" t="s">
        <v>198</v>
      </c>
      <c r="BQ996" s="12" t="n">
        <v>1831044</v>
      </c>
      <c r="BR996" s="11" t="s">
        <v>88</v>
      </c>
      <c r="BS996" s="11" t="s">
        <v>89</v>
      </c>
      <c r="BT996" s="19" t="str">
        <f aca="false">IF(OR(Z996&lt;6,AH996&lt;0.9,S996&lt;0.02,AK996&lt;1),"REVIEW",IF(AND(S996&gt;0.25,AH996&gt;1.2),"ACCELERATING","STABLE"))</f>
        <v>STABLE</v>
      </c>
    </row>
    <row r="997" customFormat="false" ht="15" hidden="false" customHeight="false" outlineLevel="0" collapsed="false">
      <c r="A997" s="11" t="s">
        <v>906</v>
      </c>
      <c r="B997" s="11" t="s">
        <v>93</v>
      </c>
      <c r="C997" s="11" t="s">
        <v>74</v>
      </c>
      <c r="D997" s="11" t="s">
        <v>165</v>
      </c>
      <c r="E997" s="11" t="s">
        <v>105</v>
      </c>
      <c r="F997" s="11" t="s">
        <v>907</v>
      </c>
      <c r="G997" s="11" t="s">
        <v>78</v>
      </c>
      <c r="H997" s="11" t="s">
        <v>644</v>
      </c>
      <c r="I997" s="11" t="s">
        <v>78</v>
      </c>
      <c r="J997" s="12" t="n">
        <v>6750000</v>
      </c>
      <c r="K997" s="13" t="n">
        <f aca="false">IFERROR(J997/M997,"")</f>
        <v>0.193909796035622</v>
      </c>
      <c r="L997" s="12" t="n">
        <v>28060000</v>
      </c>
      <c r="M997" s="14" t="n">
        <f aca="false">L997+J997</f>
        <v>34810000</v>
      </c>
      <c r="N997" s="12" t="n">
        <v>6750000</v>
      </c>
      <c r="O997" s="12" t="n">
        <v>33624895</v>
      </c>
      <c r="P997" s="12" t="n">
        <v>205654</v>
      </c>
      <c r="Q997" s="13" t="n">
        <f aca="false">IFERROR(P997/P996-1,"")</f>
        <v>0.240291657368932</v>
      </c>
      <c r="R997" s="12" t="n">
        <v>210775</v>
      </c>
      <c r="S997" s="13" t="n">
        <f aca="false">IFERROR(R997/R996-1,"")</f>
        <v>0.207519822173335</v>
      </c>
      <c r="T997" s="12" t="n">
        <v>173920</v>
      </c>
      <c r="U997" s="13" t="n">
        <f aca="false">IFERROR(T997/P997,"")</f>
        <v>0.845692279265174</v>
      </c>
      <c r="V997" s="14" t="n">
        <f aca="false">T997-AV997</f>
        <v>-1087289</v>
      </c>
      <c r="W997" s="14" t="n">
        <f aca="false">V997-AA997*0.1</f>
        <v>-1187589</v>
      </c>
      <c r="X997" s="12" t="n">
        <v>2424000</v>
      </c>
      <c r="Y997" s="12" t="n">
        <v>101000</v>
      </c>
      <c r="Z997" s="15" t="n">
        <f aca="false">IFERROR(X997/Y997,"")</f>
        <v>24</v>
      </c>
      <c r="AA997" s="12" t="n">
        <v>1003000</v>
      </c>
      <c r="AB997" s="14" t="n">
        <f aca="false">W997-0.02*P997</f>
        <v>-1191702.08</v>
      </c>
      <c r="AC997" s="16" t="n">
        <v>66</v>
      </c>
      <c r="AD997" s="13" t="n">
        <f aca="false">IFERROR(AC997/AC996-1,"")</f>
        <v>0.245283018867924</v>
      </c>
      <c r="AE997" s="17" t="n">
        <v>0.04</v>
      </c>
      <c r="AF997" s="17" t="n">
        <v>0.034</v>
      </c>
      <c r="AG997" s="13" t="n">
        <f aca="false">1-AF997</f>
        <v>0.966</v>
      </c>
      <c r="AH997" s="17" t="n">
        <v>1.059</v>
      </c>
      <c r="AI997" s="12" t="n">
        <v>26400</v>
      </c>
      <c r="AJ997" s="14" t="n">
        <f aca="false">IFERROR(AM997*U997*MIN(1/AE997,5),"")</f>
        <v>62750.3671214759</v>
      </c>
      <c r="AK997" s="18" t="n">
        <f aca="false">IFERROR(AJ997/AI997,"")</f>
        <v>2.37690784551045</v>
      </c>
      <c r="AL997" s="15" t="n">
        <f aca="false">IFERROR(AI997/(AM997*U997/12),"")</f>
        <v>25.2428802039293</v>
      </c>
      <c r="AM997" s="12" t="n">
        <v>14840</v>
      </c>
      <c r="AN997" s="12" t="n">
        <v>297212</v>
      </c>
      <c r="AO997" s="12" t="n">
        <v>595042</v>
      </c>
      <c r="AP997" s="17" t="n">
        <v>0.167</v>
      </c>
      <c r="AQ997" s="16" t="n">
        <v>86</v>
      </c>
      <c r="AR997" s="16" t="n">
        <v>10</v>
      </c>
      <c r="AS997" s="13" t="n">
        <f aca="false">IFERROR(AR997/AR996-1,"")</f>
        <v>0.111111111111111</v>
      </c>
      <c r="AT997" s="11" t="s">
        <v>80</v>
      </c>
      <c r="AU997" s="14" t="n">
        <f aca="false">IFERROR(P997/AR997,"")</f>
        <v>20565.4</v>
      </c>
      <c r="AV997" s="12" t="n">
        <v>1261209</v>
      </c>
      <c r="AW997" s="12" t="n">
        <v>476421</v>
      </c>
      <c r="AX997" s="12" t="n">
        <v>290906</v>
      </c>
      <c r="AY997" s="16" t="n">
        <v>24395</v>
      </c>
      <c r="AZ997" s="13" t="n">
        <f aca="false">IFERROR(AY997/AY996-1,"")</f>
        <v>0.132912274183811</v>
      </c>
      <c r="BA997" s="17" t="n">
        <v>0.964</v>
      </c>
      <c r="BB997" s="11" t="s">
        <v>107</v>
      </c>
      <c r="BC997" s="11" t="s">
        <v>126</v>
      </c>
      <c r="BD997" s="11" t="s">
        <v>109</v>
      </c>
      <c r="BE997" s="12" t="n">
        <v>194637</v>
      </c>
      <c r="BF997" s="13" t="n">
        <f aca="false">IFERROR(P997/BE997-1,"")</f>
        <v>0.0566028041944748</v>
      </c>
      <c r="BG997" s="17" t="n">
        <v>0</v>
      </c>
      <c r="BH997" s="17" t="n">
        <v>0.099</v>
      </c>
      <c r="BI997" s="14" t="n">
        <f aca="false">P997*(1+IFERROR(Q997,0))^4</f>
        <v>486667.619092776</v>
      </c>
      <c r="BJ997" s="12" t="n">
        <v>-839678</v>
      </c>
      <c r="BK997" s="11" t="s">
        <v>127</v>
      </c>
      <c r="BL997" s="11" t="s">
        <v>128</v>
      </c>
      <c r="BM997" s="14" t="n">
        <f aca="false">O997</f>
        <v>33624895</v>
      </c>
      <c r="BN997" s="11" t="s">
        <v>908</v>
      </c>
      <c r="BO997" s="13" t="n">
        <f aca="false">IFERROR(1-L997/M997,"")</f>
        <v>0.193909796035622</v>
      </c>
      <c r="BP997" s="11" t="s">
        <v>198</v>
      </c>
      <c r="BQ997" s="12" t="n">
        <v>1340546</v>
      </c>
      <c r="BR997" s="11" t="s">
        <v>88</v>
      </c>
      <c r="BS997" s="11" t="s">
        <v>89</v>
      </c>
      <c r="BT997" s="19" t="str">
        <f aca="false">IF(OR(Z997&lt;6,AH997&lt;0.9,S997&lt;0.02,AK997&lt;1),"REVIEW",IF(AND(S997&gt;0.25,AH997&gt;1.2),"ACCELERATING","STABLE"))</f>
        <v>STABLE</v>
      </c>
    </row>
    <row r="998" customFormat="false" ht="15" hidden="false" customHeight="false" outlineLevel="0" collapsed="false">
      <c r="A998" s="3" t="s">
        <v>909</v>
      </c>
      <c r="B998" s="3" t="s">
        <v>73</v>
      </c>
      <c r="C998" s="3" t="s">
        <v>74</v>
      </c>
      <c r="D998" s="3" t="s">
        <v>165</v>
      </c>
      <c r="E998" s="3" t="s">
        <v>105</v>
      </c>
      <c r="F998" s="3" t="s">
        <v>910</v>
      </c>
      <c r="G998" s="3" t="s">
        <v>78</v>
      </c>
      <c r="H998" s="3" t="s">
        <v>644</v>
      </c>
      <c r="I998" s="3" t="s">
        <v>78</v>
      </c>
      <c r="J998" s="4" t="n">
        <v>5180000</v>
      </c>
      <c r="K998" s="5" t="n">
        <f aca="false">IFERROR(J998/M998,"")</f>
        <v>0.159046946482852</v>
      </c>
      <c r="L998" s="4" t="n">
        <v>27389000</v>
      </c>
      <c r="M998" s="6" t="n">
        <f aca="false">L998+J998</f>
        <v>32569000</v>
      </c>
      <c r="N998" s="4" t="n">
        <v>5180000</v>
      </c>
      <c r="O998" s="4" t="n">
        <v>41830362</v>
      </c>
      <c r="P998" s="4" t="n">
        <v>1463186</v>
      </c>
      <c r="Q998" s="7"/>
      <c r="R998" s="4" t="n">
        <v>1572294</v>
      </c>
      <c r="S998" s="7"/>
      <c r="T998" s="4" t="n">
        <v>818119</v>
      </c>
      <c r="U998" s="5" t="n">
        <f aca="false">IFERROR(T998/P998,"")</f>
        <v>0.559135338911116</v>
      </c>
      <c r="V998" s="6" t="n">
        <f aca="false">T998-AV998</f>
        <v>-2555690</v>
      </c>
      <c r="W998" s="6" t="n">
        <f aca="false">V998-AA998*0.1</f>
        <v>-2555690</v>
      </c>
      <c r="X998" s="4" t="n">
        <v>5064846</v>
      </c>
      <c r="Y998" s="4" t="n">
        <v>205660</v>
      </c>
      <c r="Z998" s="8" t="n">
        <f aca="false">IFERROR(X998/Y998,"")</f>
        <v>24.6272780317028</v>
      </c>
      <c r="AA998" s="4" t="n">
        <v>0</v>
      </c>
      <c r="AB998" s="6" t="n">
        <f aca="false">W998-0.02*P998</f>
        <v>-2584953.72</v>
      </c>
      <c r="AC998" s="9" t="n">
        <v>40</v>
      </c>
      <c r="AD998" s="7"/>
      <c r="AE998" s="7" t="n">
        <v>0.06</v>
      </c>
      <c r="AF998" s="7" t="n">
        <v>0.061</v>
      </c>
      <c r="AG998" s="5" t="n">
        <f aca="false">1-AF998</f>
        <v>0.939</v>
      </c>
      <c r="AH998" s="7" t="n">
        <v>1.151</v>
      </c>
      <c r="AI998" s="4" t="n">
        <v>34768</v>
      </c>
      <c r="AJ998" s="6" t="n">
        <f aca="false">IFERROR(AM998*U998*MIN(1/AE998,5),"")</f>
        <v>111827.067782223</v>
      </c>
      <c r="AK998" s="10" t="n">
        <f aca="false">IFERROR(AJ998/AI998,"")</f>
        <v>3.21637907795166</v>
      </c>
      <c r="AL998" s="8" t="n">
        <f aca="false">IFERROR(AI998/(AM998*U998/12),"")</f>
        <v>18.6545175633374</v>
      </c>
      <c r="AM998" s="4" t="n">
        <v>40000</v>
      </c>
      <c r="AN998" s="4" t="n">
        <v>1988417</v>
      </c>
      <c r="AO998" s="4" t="n">
        <v>2463774</v>
      </c>
      <c r="AP998" s="7" t="n">
        <v>0.397</v>
      </c>
      <c r="AQ998" s="9" t="n">
        <v>63</v>
      </c>
      <c r="AR998" s="9" t="n">
        <v>6</v>
      </c>
      <c r="AS998" s="7"/>
      <c r="AT998" s="3" t="s">
        <v>98</v>
      </c>
      <c r="AU998" s="6" t="n">
        <f aca="false">IFERROR(P998/AR998,"")</f>
        <v>243864.333333333</v>
      </c>
      <c r="AV998" s="4" t="n">
        <v>3373809</v>
      </c>
      <c r="AW998" s="4" t="n">
        <v>1411259</v>
      </c>
      <c r="AX998" s="4" t="n">
        <v>891305</v>
      </c>
      <c r="AY998" s="9" t="n">
        <v>13974</v>
      </c>
      <c r="AZ998" s="7"/>
      <c r="BA998" s="7" t="n">
        <v>0.945</v>
      </c>
      <c r="BB998" s="3" t="s">
        <v>107</v>
      </c>
      <c r="BC998" s="3" t="s">
        <v>100</v>
      </c>
      <c r="BD998" s="3" t="s">
        <v>175</v>
      </c>
      <c r="BE998" s="4" t="n">
        <v>1510197</v>
      </c>
      <c r="BF998" s="5" t="n">
        <f aca="false">IFERROR(P998/BE998-1,"")</f>
        <v>-0.0311290513754166</v>
      </c>
      <c r="BG998" s="7" t="n">
        <v>-0.016</v>
      </c>
      <c r="BH998" s="7" t="n">
        <v>0.086</v>
      </c>
      <c r="BI998" s="6" t="n">
        <f aca="false">P998</f>
        <v>1463186</v>
      </c>
      <c r="BJ998" s="4" t="n">
        <v>-1372406</v>
      </c>
      <c r="BK998" s="3" t="s">
        <v>110</v>
      </c>
      <c r="BL998" s="3" t="s">
        <v>85</v>
      </c>
      <c r="BM998" s="6" t="n">
        <f aca="false">O998</f>
        <v>41830362</v>
      </c>
      <c r="BN998" s="3" t="s">
        <v>911</v>
      </c>
      <c r="BO998" s="5" t="n">
        <f aca="false">IFERROR(1-L998/M998,"")</f>
        <v>0.159046946482852</v>
      </c>
      <c r="BP998" s="3" t="s">
        <v>130</v>
      </c>
      <c r="BQ998" s="4" t="n">
        <v>2955050</v>
      </c>
      <c r="BR998" s="3" t="s">
        <v>88</v>
      </c>
      <c r="BS998" s="3" t="s">
        <v>89</v>
      </c>
      <c r="BT998" s="3" t="s">
        <v>90</v>
      </c>
    </row>
    <row r="999" customFormat="false" ht="15" hidden="false" customHeight="false" outlineLevel="0" collapsed="false">
      <c r="A999" s="11" t="s">
        <v>909</v>
      </c>
      <c r="B999" s="11" t="s">
        <v>91</v>
      </c>
      <c r="C999" s="11" t="s">
        <v>74</v>
      </c>
      <c r="D999" s="11" t="s">
        <v>165</v>
      </c>
      <c r="E999" s="11" t="s">
        <v>105</v>
      </c>
      <c r="F999" s="11" t="s">
        <v>910</v>
      </c>
      <c r="G999" s="11" t="s">
        <v>78</v>
      </c>
      <c r="H999" s="11" t="s">
        <v>644</v>
      </c>
      <c r="I999" s="11" t="s">
        <v>78</v>
      </c>
      <c r="J999" s="12" t="n">
        <v>5180000</v>
      </c>
      <c r="K999" s="13" t="n">
        <f aca="false">IFERROR(J999/M999,"")</f>
        <v>0.159046946482852</v>
      </c>
      <c r="L999" s="12" t="n">
        <v>27389000</v>
      </c>
      <c r="M999" s="14" t="n">
        <f aca="false">L999+J999</f>
        <v>32569000</v>
      </c>
      <c r="N999" s="12" t="n">
        <v>5180000</v>
      </c>
      <c r="O999" s="12" t="n">
        <v>41830362</v>
      </c>
      <c r="P999" s="12" t="n">
        <v>1665655</v>
      </c>
      <c r="Q999" s="13" t="n">
        <f aca="false">IFERROR(P999/P998-1,"")</f>
        <v>0.13837543552221</v>
      </c>
      <c r="R999" s="12" t="n">
        <v>1894188</v>
      </c>
      <c r="S999" s="13" t="n">
        <f aca="false">IFERROR(R999/R998-1,"")</f>
        <v>0.204728886582281</v>
      </c>
      <c r="T999" s="12" t="n">
        <v>935098</v>
      </c>
      <c r="U999" s="13" t="n">
        <f aca="false">IFERROR(T999/P999,"")</f>
        <v>0.56139956953871</v>
      </c>
      <c r="V999" s="14" t="n">
        <f aca="false">T999-AV999</f>
        <v>-2477900</v>
      </c>
      <c r="W999" s="14" t="n">
        <f aca="false">V999-AA999*0.1</f>
        <v>-2477900</v>
      </c>
      <c r="X999" s="12" t="n">
        <v>4546176</v>
      </c>
      <c r="Y999" s="12" t="n">
        <v>212440</v>
      </c>
      <c r="Z999" s="15" t="n">
        <f aca="false">IFERROR(X999/Y999,"")</f>
        <v>21.3998117115421</v>
      </c>
      <c r="AA999" s="12" t="n">
        <v>0</v>
      </c>
      <c r="AB999" s="14" t="n">
        <f aca="false">W999-0.02*P999</f>
        <v>-2511213.1</v>
      </c>
      <c r="AC999" s="16" t="n">
        <v>42</v>
      </c>
      <c r="AD999" s="13" t="n">
        <f aca="false">IFERROR(AC999/AC998-1,"")</f>
        <v>0.05</v>
      </c>
      <c r="AE999" s="17" t="n">
        <v>0.058</v>
      </c>
      <c r="AF999" s="17" t="n">
        <v>0.04</v>
      </c>
      <c r="AG999" s="13" t="n">
        <f aca="false">1-AF999</f>
        <v>0.96</v>
      </c>
      <c r="AH999" s="17" t="n">
        <v>1.146</v>
      </c>
      <c r="AI999" s="12" t="n">
        <v>34112</v>
      </c>
      <c r="AJ999" s="14" t="n">
        <f aca="false">IFERROR(AM999*U999*MIN(1/AE999,5),"")</f>
        <v>114525.512185897</v>
      </c>
      <c r="AK999" s="18" t="n">
        <f aca="false">IFERROR(AJ999/AI999,"")</f>
        <v>3.3573379510406</v>
      </c>
      <c r="AL999" s="15" t="n">
        <f aca="false">IFERROR(AI999/(AM999*U999/12),"")</f>
        <v>17.8713018692096</v>
      </c>
      <c r="AM999" s="12" t="n">
        <v>40800</v>
      </c>
      <c r="AN999" s="12" t="n">
        <v>2804309</v>
      </c>
      <c r="AO999" s="12" t="n">
        <v>6877994</v>
      </c>
      <c r="AP999" s="17" t="n">
        <v>0.397</v>
      </c>
      <c r="AQ999" s="16" t="n">
        <v>63</v>
      </c>
      <c r="AR999" s="16" t="n">
        <v>7</v>
      </c>
      <c r="AS999" s="13" t="n">
        <f aca="false">IFERROR(AR999/AR998-1,"")</f>
        <v>0.166666666666667</v>
      </c>
      <c r="AT999" s="11" t="s">
        <v>98</v>
      </c>
      <c r="AU999" s="14" t="n">
        <f aca="false">IFERROR(P999/AR999,"")</f>
        <v>237950.714285714</v>
      </c>
      <c r="AV999" s="12" t="n">
        <v>3412998</v>
      </c>
      <c r="AW999" s="12" t="n">
        <v>1418965</v>
      </c>
      <c r="AX999" s="12" t="n">
        <v>678318</v>
      </c>
      <c r="AY999" s="16" t="n">
        <v>15088</v>
      </c>
      <c r="AZ999" s="13" t="n">
        <f aca="false">IFERROR(AY999/AY998-1,"")</f>
        <v>0.0797194790324889</v>
      </c>
      <c r="BA999" s="17" t="n">
        <v>0.958</v>
      </c>
      <c r="BB999" s="11" t="s">
        <v>107</v>
      </c>
      <c r="BC999" s="11" t="s">
        <v>100</v>
      </c>
      <c r="BD999" s="11" t="s">
        <v>175</v>
      </c>
      <c r="BE999" s="12" t="n">
        <v>1774583</v>
      </c>
      <c r="BF999" s="13" t="n">
        <f aca="false">IFERROR(P999/BE999-1,"")</f>
        <v>-0.0613823078435892</v>
      </c>
      <c r="BG999" s="17" t="n">
        <v>0.089</v>
      </c>
      <c r="BH999" s="17" t="n">
        <v>0.02</v>
      </c>
      <c r="BI999" s="14" t="n">
        <f aca="false">P999*(1+IFERROR(Q999,0))^4</f>
        <v>2797223.16251167</v>
      </c>
      <c r="BJ999" s="12" t="n">
        <v>-1973260</v>
      </c>
      <c r="BK999" s="11" t="s">
        <v>110</v>
      </c>
      <c r="BL999" s="11" t="s">
        <v>85</v>
      </c>
      <c r="BM999" s="14" t="n">
        <f aca="false">O999</f>
        <v>41830362</v>
      </c>
      <c r="BN999" s="11" t="s">
        <v>911</v>
      </c>
      <c r="BO999" s="13" t="n">
        <f aca="false">IFERROR(1-L999/M999,"")</f>
        <v>0.159046946482852</v>
      </c>
      <c r="BP999" s="11" t="s">
        <v>130</v>
      </c>
      <c r="BQ999" s="12" t="n">
        <v>3267959</v>
      </c>
      <c r="BR999" s="11" t="s">
        <v>88</v>
      </c>
      <c r="BS999" s="11" t="s">
        <v>89</v>
      </c>
      <c r="BT999" s="19" t="str">
        <f aca="false">IF(OR(Z999&lt;6,AH999&lt;0.9,S999&lt;0.02,AK999&lt;1),"REVIEW",IF(AND(S999&gt;0.25,AH999&gt;1.2),"ACCELERATING","STABLE"))</f>
        <v>STABLE</v>
      </c>
    </row>
    <row r="1000" customFormat="false" ht="15" hidden="false" customHeight="false" outlineLevel="0" collapsed="false">
      <c r="A1000" s="11" t="s">
        <v>909</v>
      </c>
      <c r="B1000" s="11" t="s">
        <v>92</v>
      </c>
      <c r="C1000" s="11" t="s">
        <v>74</v>
      </c>
      <c r="D1000" s="11" t="s">
        <v>165</v>
      </c>
      <c r="E1000" s="11" t="s">
        <v>105</v>
      </c>
      <c r="F1000" s="11" t="s">
        <v>910</v>
      </c>
      <c r="G1000" s="11" t="s">
        <v>78</v>
      </c>
      <c r="H1000" s="11" t="s">
        <v>644</v>
      </c>
      <c r="I1000" s="11" t="s">
        <v>78</v>
      </c>
      <c r="J1000" s="12" t="n">
        <v>5180000</v>
      </c>
      <c r="K1000" s="13" t="n">
        <f aca="false">IFERROR(J1000/M1000,"")</f>
        <v>0.159046946482852</v>
      </c>
      <c r="L1000" s="12" t="n">
        <v>27389000</v>
      </c>
      <c r="M1000" s="14" t="n">
        <f aca="false">L1000+J1000</f>
        <v>32569000</v>
      </c>
      <c r="N1000" s="12" t="n">
        <v>5180000</v>
      </c>
      <c r="O1000" s="12" t="n">
        <v>41830362</v>
      </c>
      <c r="P1000" s="12" t="n">
        <v>1821428</v>
      </c>
      <c r="Q1000" s="13" t="n">
        <f aca="false">IFERROR(P1000/P999-1,"")</f>
        <v>0.0935205669841595</v>
      </c>
      <c r="R1000" s="12" t="n">
        <v>2220526</v>
      </c>
      <c r="S1000" s="13" t="n">
        <f aca="false">IFERROR(R1000/R999-1,"")</f>
        <v>0.172283849332801</v>
      </c>
      <c r="T1000" s="12" t="n">
        <v>1026672</v>
      </c>
      <c r="U1000" s="13" t="n">
        <f aca="false">IFERROR(T1000/P1000,"")</f>
        <v>0.563663235659054</v>
      </c>
      <c r="V1000" s="14" t="n">
        <f aca="false">T1000-AV1000</f>
        <v>-2358694</v>
      </c>
      <c r="W1000" s="14" t="n">
        <f aca="false">V1000-AA1000*0.1</f>
        <v>-2358694</v>
      </c>
      <c r="X1000" s="12" t="n">
        <v>3990894</v>
      </c>
      <c r="Y1000" s="12" t="n">
        <v>219220</v>
      </c>
      <c r="Z1000" s="15" t="n">
        <f aca="false">IFERROR(X1000/Y1000,"")</f>
        <v>18.2049721740717</v>
      </c>
      <c r="AA1000" s="12" t="n">
        <v>0</v>
      </c>
      <c r="AB1000" s="14" t="n">
        <f aca="false">W1000-0.02*P1000</f>
        <v>-2395122.56</v>
      </c>
      <c r="AC1000" s="16" t="n">
        <v>47</v>
      </c>
      <c r="AD1000" s="13" t="n">
        <f aca="false">IFERROR(AC1000/AC999-1,"")</f>
        <v>0.119047619047619</v>
      </c>
      <c r="AE1000" s="17" t="n">
        <v>0.057</v>
      </c>
      <c r="AF1000" s="17" t="n">
        <v>0.052</v>
      </c>
      <c r="AG1000" s="13" t="n">
        <f aca="false">1-AF1000</f>
        <v>0.948</v>
      </c>
      <c r="AH1000" s="17" t="n">
        <v>1.141</v>
      </c>
      <c r="AI1000" s="12" t="n">
        <v>33456</v>
      </c>
      <c r="AJ1000" s="14" t="n">
        <f aca="false">IFERROR(AM1000*U1000*MIN(1/AE1000,5),"")</f>
        <v>117241.953017083</v>
      </c>
      <c r="AK1000" s="18" t="n">
        <f aca="false">IFERROR(AJ1000/AI1000,"")</f>
        <v>3.50436253637863</v>
      </c>
      <c r="AL1000" s="15" t="n">
        <f aca="false">IFERROR(AI1000/(AM1000*U1000/12),"")</f>
        <v>17.1215162178978</v>
      </c>
      <c r="AM1000" s="12" t="n">
        <v>41600</v>
      </c>
      <c r="AN1000" s="12" t="n">
        <v>2860287</v>
      </c>
      <c r="AO1000" s="12" t="n">
        <v>5322096</v>
      </c>
      <c r="AP1000" s="17" t="n">
        <v>0.397</v>
      </c>
      <c r="AQ1000" s="16" t="n">
        <v>63</v>
      </c>
      <c r="AR1000" s="16" t="n">
        <v>7</v>
      </c>
      <c r="AS1000" s="13" t="n">
        <f aca="false">IFERROR(AR1000/AR999-1,"")</f>
        <v>0</v>
      </c>
      <c r="AT1000" s="11" t="s">
        <v>98</v>
      </c>
      <c r="AU1000" s="14" t="n">
        <f aca="false">IFERROR(P1000/AR1000,"")</f>
        <v>260204</v>
      </c>
      <c r="AV1000" s="12" t="n">
        <v>3385366</v>
      </c>
      <c r="AW1000" s="12" t="n">
        <v>1377437</v>
      </c>
      <c r="AX1000" s="12" t="n">
        <v>972217</v>
      </c>
      <c r="AY1000" s="16" t="n">
        <v>17310</v>
      </c>
      <c r="AZ1000" s="13" t="n">
        <f aca="false">IFERROR(AY1000/AY999-1,"")</f>
        <v>0.147269353128314</v>
      </c>
      <c r="BA1000" s="17" t="n">
        <v>0.944</v>
      </c>
      <c r="BB1000" s="11" t="s">
        <v>107</v>
      </c>
      <c r="BC1000" s="11" t="s">
        <v>100</v>
      </c>
      <c r="BD1000" s="11" t="s">
        <v>175</v>
      </c>
      <c r="BE1000" s="12" t="n">
        <v>1847317</v>
      </c>
      <c r="BF1000" s="13" t="n">
        <f aca="false">IFERROR(P1000/BE1000-1,"")</f>
        <v>-0.0140143786908257</v>
      </c>
      <c r="BG1000" s="17" t="n">
        <v>0.011</v>
      </c>
      <c r="BH1000" s="17" t="n">
        <v>-0.02</v>
      </c>
      <c r="BI1000" s="14" t="n">
        <f aca="false">P1000*(1+IFERROR(Q1000,0))^4</f>
        <v>2604472.83012058</v>
      </c>
      <c r="BJ1000" s="12" t="n">
        <v>-2101523</v>
      </c>
      <c r="BK1000" s="11" t="s">
        <v>110</v>
      </c>
      <c r="BL1000" s="11" t="s">
        <v>85</v>
      </c>
      <c r="BM1000" s="14" t="n">
        <f aca="false">O1000</f>
        <v>41830362</v>
      </c>
      <c r="BN1000" s="11" t="s">
        <v>911</v>
      </c>
      <c r="BO1000" s="13" t="n">
        <f aca="false">IFERROR(1-L1000/M1000,"")</f>
        <v>0.159046946482852</v>
      </c>
      <c r="BP1000" s="11" t="s">
        <v>130</v>
      </c>
      <c r="BQ1000" s="12" t="n">
        <v>4180441</v>
      </c>
      <c r="BR1000" s="11" t="s">
        <v>88</v>
      </c>
      <c r="BS1000" s="11" t="s">
        <v>89</v>
      </c>
      <c r="BT1000" s="19" t="str">
        <f aca="false">IF(OR(Z1000&lt;6,AH1000&lt;0.9,S1000&lt;0.02,AK1000&lt;1),"REVIEW",IF(AND(S1000&gt;0.25,AH1000&gt;1.2),"ACCELERATING","STABLE"))</f>
        <v>STABLE</v>
      </c>
    </row>
    <row r="1001" customFormat="false" ht="15" hidden="false" customHeight="false" outlineLevel="0" collapsed="false">
      <c r="A1001" s="11" t="s">
        <v>909</v>
      </c>
      <c r="B1001" s="11" t="s">
        <v>93</v>
      </c>
      <c r="C1001" s="11" t="s">
        <v>74</v>
      </c>
      <c r="D1001" s="11" t="s">
        <v>165</v>
      </c>
      <c r="E1001" s="11" t="s">
        <v>105</v>
      </c>
      <c r="F1001" s="11" t="s">
        <v>910</v>
      </c>
      <c r="G1001" s="11" t="s">
        <v>78</v>
      </c>
      <c r="H1001" s="11" t="s">
        <v>644</v>
      </c>
      <c r="I1001" s="11" t="s">
        <v>78</v>
      </c>
      <c r="J1001" s="12" t="n">
        <v>5180000</v>
      </c>
      <c r="K1001" s="13" t="n">
        <f aca="false">IFERROR(J1001/M1001,"")</f>
        <v>0.159046946482852</v>
      </c>
      <c r="L1001" s="12" t="n">
        <v>27389000</v>
      </c>
      <c r="M1001" s="14" t="n">
        <f aca="false">L1001+J1001</f>
        <v>32569000</v>
      </c>
      <c r="N1001" s="12" t="n">
        <v>5180000</v>
      </c>
      <c r="O1001" s="12" t="n">
        <v>41830362</v>
      </c>
      <c r="P1001" s="12" t="n">
        <v>2250427</v>
      </c>
      <c r="Q1001" s="13" t="n">
        <f aca="false">IFERROR(P1001/P1000-1,"")</f>
        <v>0.235528936636529</v>
      </c>
      <c r="R1001" s="12" t="n">
        <v>2396639</v>
      </c>
      <c r="S1001" s="13" t="n">
        <f aca="false">IFERROR(R1001/R1000-1,"")</f>
        <v>0.0793113883827525</v>
      </c>
      <c r="T1001" s="12" t="n">
        <v>1273577</v>
      </c>
      <c r="U1001" s="13" t="n">
        <f aca="false">IFERROR(T1001/P1001,"")</f>
        <v>0.56592682188758</v>
      </c>
      <c r="V1001" s="14" t="n">
        <f aca="false">T1001-AV1001</f>
        <v>-2561009</v>
      </c>
      <c r="W1001" s="14" t="n">
        <f aca="false">V1001-AA1001*0.1</f>
        <v>-2561009</v>
      </c>
      <c r="X1001" s="12" t="n">
        <v>3399000</v>
      </c>
      <c r="Y1001" s="12" t="n">
        <v>226000</v>
      </c>
      <c r="Z1001" s="15" t="n">
        <f aca="false">IFERROR(X1001/Y1001,"")</f>
        <v>15.0398230088496</v>
      </c>
      <c r="AA1001" s="12" t="n">
        <v>0</v>
      </c>
      <c r="AB1001" s="14" t="n">
        <f aca="false">W1001-0.02*P1001</f>
        <v>-2606017.54</v>
      </c>
      <c r="AC1001" s="16" t="n">
        <v>57</v>
      </c>
      <c r="AD1001" s="13" t="n">
        <f aca="false">IFERROR(AC1001/AC1000-1,"")</f>
        <v>0.212765957446809</v>
      </c>
      <c r="AE1001" s="17" t="n">
        <v>0.055</v>
      </c>
      <c r="AF1001" s="17" t="n">
        <v>0.045</v>
      </c>
      <c r="AG1001" s="13" t="n">
        <f aca="false">1-AF1001</f>
        <v>0.955</v>
      </c>
      <c r="AH1001" s="17" t="n">
        <v>1.136</v>
      </c>
      <c r="AI1001" s="12" t="n">
        <v>32800</v>
      </c>
      <c r="AJ1001" s="14" t="n">
        <f aca="false">IFERROR(AM1001*U1001*MIN(1/AE1001,5),"")</f>
        <v>119976.486240167</v>
      </c>
      <c r="AK1001" s="18" t="n">
        <f aca="false">IFERROR(AJ1001/AI1001,"")</f>
        <v>3.65781970244411</v>
      </c>
      <c r="AL1001" s="15" t="n">
        <f aca="false">IFERROR(AI1001/(AM1001*U1001/12),"")</f>
        <v>16.4032141769887</v>
      </c>
      <c r="AM1001" s="12" t="n">
        <v>42400</v>
      </c>
      <c r="AN1001" s="12" t="n">
        <v>2361242</v>
      </c>
      <c r="AO1001" s="12" t="n">
        <v>4533326</v>
      </c>
      <c r="AP1001" s="17" t="n">
        <v>0.397</v>
      </c>
      <c r="AQ1001" s="16" t="n">
        <v>63</v>
      </c>
      <c r="AR1001" s="16" t="n">
        <v>8</v>
      </c>
      <c r="AS1001" s="13" t="n">
        <f aca="false">IFERROR(AR1001/AR1000-1,"")</f>
        <v>0.142857142857143</v>
      </c>
      <c r="AT1001" s="11" t="s">
        <v>98</v>
      </c>
      <c r="AU1001" s="14" t="n">
        <f aca="false">IFERROR(P1001/AR1001,"")</f>
        <v>281303.375</v>
      </c>
      <c r="AV1001" s="12" t="n">
        <v>3834586</v>
      </c>
      <c r="AW1001" s="12" t="n">
        <v>1480599</v>
      </c>
      <c r="AX1001" s="12" t="n">
        <v>1169017</v>
      </c>
      <c r="AY1001" s="16" t="n">
        <v>20502</v>
      </c>
      <c r="AZ1001" s="13" t="n">
        <f aca="false">IFERROR(AY1001/AY1000-1,"")</f>
        <v>0.184402079722704</v>
      </c>
      <c r="BA1001" s="17" t="n">
        <v>0.95</v>
      </c>
      <c r="BB1001" s="11" t="s">
        <v>107</v>
      </c>
      <c r="BC1001" s="11" t="s">
        <v>100</v>
      </c>
      <c r="BD1001" s="11" t="s">
        <v>175</v>
      </c>
      <c r="BE1001" s="12" t="n">
        <v>2235686</v>
      </c>
      <c r="BF1001" s="13" t="n">
        <f aca="false">IFERROR(P1001/BE1001-1,"")</f>
        <v>0.00659350194973718</v>
      </c>
      <c r="BG1001" s="17" t="n">
        <v>0.08</v>
      </c>
      <c r="BH1001" s="17" t="n">
        <v>-0.075</v>
      </c>
      <c r="BI1001" s="14" t="n">
        <f aca="false">P1001*(1+IFERROR(Q1001,0))^4</f>
        <v>5244168.22364812</v>
      </c>
      <c r="BJ1001" s="12" t="n">
        <v>-1749609</v>
      </c>
      <c r="BK1001" s="11" t="s">
        <v>110</v>
      </c>
      <c r="BL1001" s="11" t="s">
        <v>85</v>
      </c>
      <c r="BM1001" s="14" t="n">
        <f aca="false">O1001</f>
        <v>41830362</v>
      </c>
      <c r="BN1001" s="11" t="s">
        <v>911</v>
      </c>
      <c r="BO1001" s="13" t="n">
        <f aca="false">IFERROR(1-L1001/M1001,"")</f>
        <v>0.159046946482852</v>
      </c>
      <c r="BP1001" s="11" t="s">
        <v>130</v>
      </c>
      <c r="BQ1001" s="12" t="n">
        <v>3437519</v>
      </c>
      <c r="BR1001" s="11" t="s">
        <v>88</v>
      </c>
      <c r="BS1001" s="11" t="s">
        <v>89</v>
      </c>
      <c r="BT1001" s="19" t="str">
        <f aca="false">IF(OR(Z1001&lt;6,AH1001&lt;0.9,S1001&lt;0.02,AK1001&lt;1),"REVIEW",IF(AND(S1001&gt;0.25,AH1001&gt;1.2),"ACCELERATING","STABLE"))</f>
        <v>STABLE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42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 t="s">
        <v>912</v>
      </c>
      <c r="C1" s="1" t="s">
        <v>913</v>
      </c>
      <c r="D1" s="1" t="s">
        <v>914</v>
      </c>
      <c r="E1" s="1" t="s">
        <v>915</v>
      </c>
      <c r="F1" s="1" t="s">
        <v>916</v>
      </c>
      <c r="G1" s="1" t="s">
        <v>917</v>
      </c>
      <c r="H1" s="1" t="s">
        <v>918</v>
      </c>
      <c r="I1" s="1" t="s">
        <v>70</v>
      </c>
    </row>
    <row r="2" customFormat="false" ht="15" hidden="false" customHeight="false" outlineLevel="0" collapsed="false">
      <c r="A2" s="20" t="s">
        <v>919</v>
      </c>
      <c r="B2" s="20" t="s">
        <v>920</v>
      </c>
      <c r="C2" s="20" t="s">
        <v>921</v>
      </c>
      <c r="D2" s="20" t="s">
        <v>922</v>
      </c>
      <c r="E2" s="20" t="s">
        <v>923</v>
      </c>
      <c r="F2" s="20"/>
      <c r="G2" s="20" t="s">
        <v>924</v>
      </c>
      <c r="H2" s="20" t="s">
        <v>925</v>
      </c>
      <c r="I2" s="20" t="s">
        <v>926</v>
      </c>
    </row>
    <row r="3" customFormat="false" ht="15" hidden="false" customHeight="false" outlineLevel="0" collapsed="false">
      <c r="A3" s="20" t="s">
        <v>927</v>
      </c>
      <c r="B3" s="20" t="s">
        <v>928</v>
      </c>
      <c r="C3" s="20" t="s">
        <v>929</v>
      </c>
      <c r="D3" s="20" t="s">
        <v>930</v>
      </c>
      <c r="E3" s="20" t="s">
        <v>931</v>
      </c>
      <c r="F3" s="20" t="s">
        <v>932</v>
      </c>
      <c r="G3" s="20" t="s">
        <v>924</v>
      </c>
      <c r="H3" s="20" t="s">
        <v>933</v>
      </c>
      <c r="I3" s="20" t="s">
        <v>926</v>
      </c>
    </row>
    <row r="4" customFormat="false" ht="15" hidden="false" customHeight="false" outlineLevel="0" collapsed="false">
      <c r="A4" s="20" t="s">
        <v>934</v>
      </c>
      <c r="B4" s="20" t="s">
        <v>935</v>
      </c>
      <c r="C4" s="20" t="s">
        <v>936</v>
      </c>
      <c r="D4" s="20" t="s">
        <v>937</v>
      </c>
      <c r="E4" s="20" t="s">
        <v>938</v>
      </c>
      <c r="F4" s="20" t="s">
        <v>939</v>
      </c>
      <c r="G4" s="20" t="s">
        <v>924</v>
      </c>
      <c r="H4" s="20" t="s">
        <v>940</v>
      </c>
      <c r="I4" s="20" t="s">
        <v>926</v>
      </c>
    </row>
    <row r="5" customFormat="false" ht="15" hidden="false" customHeight="false" outlineLevel="0" collapsed="false">
      <c r="A5" s="20" t="s">
        <v>941</v>
      </c>
      <c r="B5" s="20" t="s">
        <v>920</v>
      </c>
      <c r="C5" s="20" t="s">
        <v>942</v>
      </c>
      <c r="D5" s="20" t="s">
        <v>943</v>
      </c>
      <c r="E5" s="20" t="s">
        <v>78</v>
      </c>
      <c r="F5" s="20" t="s">
        <v>944</v>
      </c>
      <c r="G5" s="20" t="s">
        <v>924</v>
      </c>
      <c r="H5" s="20" t="s">
        <v>945</v>
      </c>
      <c r="I5" s="20" t="s">
        <v>926</v>
      </c>
    </row>
    <row r="6" customFormat="false" ht="15" hidden="false" customHeight="false" outlineLevel="0" collapsed="false">
      <c r="A6" s="20" t="s">
        <v>946</v>
      </c>
      <c r="B6" s="20" t="s">
        <v>947</v>
      </c>
      <c r="C6" s="20" t="s">
        <v>948</v>
      </c>
      <c r="D6" s="20" t="s">
        <v>949</v>
      </c>
      <c r="E6" s="20" t="s">
        <v>78</v>
      </c>
      <c r="F6" s="20"/>
      <c r="G6" s="20" t="s">
        <v>924</v>
      </c>
      <c r="H6" s="20" t="s">
        <v>950</v>
      </c>
      <c r="I6" s="20" t="s">
        <v>926</v>
      </c>
    </row>
    <row r="7" customFormat="false" ht="15" hidden="false" customHeight="false" outlineLevel="0" collapsed="false">
      <c r="A7" s="20" t="s">
        <v>951</v>
      </c>
      <c r="B7" s="20" t="s">
        <v>952</v>
      </c>
      <c r="C7" s="20" t="s">
        <v>953</v>
      </c>
      <c r="D7" s="20" t="s">
        <v>930</v>
      </c>
      <c r="E7" s="20" t="s">
        <v>78</v>
      </c>
      <c r="F7" s="20" t="s">
        <v>954</v>
      </c>
      <c r="G7" s="20" t="s">
        <v>924</v>
      </c>
      <c r="H7" s="20" t="s">
        <v>955</v>
      </c>
      <c r="I7" s="20" t="s">
        <v>926</v>
      </c>
    </row>
    <row r="8" customFormat="false" ht="15" hidden="false" customHeight="false" outlineLevel="0" collapsed="false">
      <c r="A8" s="20" t="s">
        <v>956</v>
      </c>
      <c r="B8" s="20" t="s">
        <v>957</v>
      </c>
      <c r="C8" s="20" t="s">
        <v>958</v>
      </c>
      <c r="D8" s="20" t="s">
        <v>930</v>
      </c>
      <c r="E8" s="20" t="s">
        <v>959</v>
      </c>
      <c r="F8" s="20" t="s">
        <v>960</v>
      </c>
      <c r="G8" s="20" t="s">
        <v>924</v>
      </c>
      <c r="H8" s="20" t="s">
        <v>961</v>
      </c>
      <c r="I8" s="20" t="s">
        <v>926</v>
      </c>
    </row>
    <row r="9" customFormat="false" ht="15" hidden="false" customHeight="false" outlineLevel="0" collapsed="false">
      <c r="A9" s="20" t="s">
        <v>962</v>
      </c>
      <c r="B9" s="20" t="s">
        <v>963</v>
      </c>
      <c r="C9" s="20" t="s">
        <v>964</v>
      </c>
      <c r="D9" s="20" t="s">
        <v>965</v>
      </c>
      <c r="E9" s="20" t="s">
        <v>966</v>
      </c>
      <c r="F9" s="20" t="s">
        <v>967</v>
      </c>
      <c r="G9" s="20" t="s">
        <v>924</v>
      </c>
      <c r="H9" s="20" t="s">
        <v>968</v>
      </c>
      <c r="I9" s="20" t="s">
        <v>926</v>
      </c>
    </row>
    <row r="10" customFormat="false" ht="15" hidden="false" customHeight="false" outlineLevel="0" collapsed="false">
      <c r="A10" s="20" t="s">
        <v>969</v>
      </c>
      <c r="B10" s="20" t="s">
        <v>970</v>
      </c>
      <c r="C10" s="20" t="s">
        <v>971</v>
      </c>
      <c r="D10" s="20" t="s">
        <v>972</v>
      </c>
      <c r="E10" s="20" t="s">
        <v>938</v>
      </c>
      <c r="F10" s="20" t="s">
        <v>973</v>
      </c>
      <c r="G10" s="20" t="s">
        <v>924</v>
      </c>
      <c r="H10" s="20" t="s">
        <v>974</v>
      </c>
      <c r="I10" s="20" t="s">
        <v>926</v>
      </c>
    </row>
    <row r="11" customFormat="false" ht="15" hidden="false" customHeight="false" outlineLevel="0" collapsed="false">
      <c r="A11" s="20" t="s">
        <v>975</v>
      </c>
      <c r="B11" s="20" t="s">
        <v>976</v>
      </c>
      <c r="C11" s="20" t="s">
        <v>977</v>
      </c>
      <c r="D11" s="20" t="s">
        <v>978</v>
      </c>
      <c r="E11" s="20" t="s">
        <v>931</v>
      </c>
      <c r="F11" s="20" t="s">
        <v>979</v>
      </c>
      <c r="G11" s="20" t="s">
        <v>924</v>
      </c>
      <c r="H11" s="20" t="s">
        <v>980</v>
      </c>
      <c r="I11" s="20" t="s">
        <v>926</v>
      </c>
    </row>
    <row r="12" customFormat="false" ht="15" hidden="false" customHeight="false" outlineLevel="0" collapsed="false">
      <c r="A12" s="20" t="s">
        <v>981</v>
      </c>
      <c r="B12" s="20" t="s">
        <v>920</v>
      </c>
      <c r="C12" s="20" t="s">
        <v>982</v>
      </c>
      <c r="D12" s="20" t="s">
        <v>930</v>
      </c>
      <c r="E12" s="20" t="s">
        <v>78</v>
      </c>
      <c r="F12" s="20"/>
      <c r="G12" s="20" t="s">
        <v>924</v>
      </c>
      <c r="H12" s="20" t="s">
        <v>983</v>
      </c>
      <c r="I12" s="20" t="s">
        <v>926</v>
      </c>
    </row>
    <row r="13" customFormat="false" ht="15" hidden="false" customHeight="false" outlineLevel="0" collapsed="false">
      <c r="A13" s="20" t="s">
        <v>984</v>
      </c>
      <c r="B13" s="20" t="s">
        <v>985</v>
      </c>
      <c r="C13" s="20" t="s">
        <v>986</v>
      </c>
      <c r="D13" s="20" t="s">
        <v>987</v>
      </c>
      <c r="E13" s="20" t="s">
        <v>78</v>
      </c>
      <c r="F13" s="20"/>
      <c r="G13" s="20" t="s">
        <v>924</v>
      </c>
      <c r="H13" s="20" t="s">
        <v>988</v>
      </c>
      <c r="I13" s="20" t="s">
        <v>926</v>
      </c>
    </row>
    <row r="14" customFormat="false" ht="15" hidden="false" customHeight="false" outlineLevel="0" collapsed="false">
      <c r="A14" s="20" t="s">
        <v>989</v>
      </c>
      <c r="B14" s="20" t="s">
        <v>990</v>
      </c>
      <c r="C14" s="20" t="s">
        <v>991</v>
      </c>
      <c r="D14" s="20" t="s">
        <v>992</v>
      </c>
      <c r="E14" s="20" t="s">
        <v>931</v>
      </c>
      <c r="F14" s="20" t="s">
        <v>993</v>
      </c>
      <c r="G14" s="20" t="s">
        <v>924</v>
      </c>
      <c r="H14" s="20" t="s">
        <v>994</v>
      </c>
      <c r="I14" s="20" t="s">
        <v>926</v>
      </c>
    </row>
    <row r="15" customFormat="false" ht="15" hidden="false" customHeight="false" outlineLevel="0" collapsed="false">
      <c r="A15" s="20" t="s">
        <v>995</v>
      </c>
      <c r="B15" s="20" t="s">
        <v>996</v>
      </c>
      <c r="C15" s="20" t="s">
        <v>997</v>
      </c>
      <c r="D15" s="20" t="s">
        <v>998</v>
      </c>
      <c r="E15" s="20" t="s">
        <v>999</v>
      </c>
      <c r="F15" s="20" t="s">
        <v>1000</v>
      </c>
      <c r="G15" s="20" t="s">
        <v>924</v>
      </c>
      <c r="H15" s="20" t="s">
        <v>1001</v>
      </c>
      <c r="I15" s="20" t="s">
        <v>926</v>
      </c>
    </row>
    <row r="16" customFormat="false" ht="15" hidden="false" customHeight="false" outlineLevel="0" collapsed="false">
      <c r="A16" s="20" t="s">
        <v>1002</v>
      </c>
      <c r="B16" s="20" t="s">
        <v>928</v>
      </c>
      <c r="C16" s="20" t="s">
        <v>1003</v>
      </c>
      <c r="D16" s="20" t="s">
        <v>1004</v>
      </c>
      <c r="E16" s="20" t="s">
        <v>78</v>
      </c>
      <c r="F16" s="20"/>
      <c r="G16" s="20" t="s">
        <v>924</v>
      </c>
      <c r="H16" s="20" t="s">
        <v>1005</v>
      </c>
      <c r="I16" s="20" t="s">
        <v>926</v>
      </c>
    </row>
    <row r="17" customFormat="false" ht="15" hidden="false" customHeight="false" outlineLevel="0" collapsed="false">
      <c r="A17" s="20" t="s">
        <v>1006</v>
      </c>
      <c r="B17" s="20" t="s">
        <v>1007</v>
      </c>
      <c r="C17" s="20" t="s">
        <v>1008</v>
      </c>
      <c r="D17" s="20" t="s">
        <v>1004</v>
      </c>
      <c r="E17" s="20" t="s">
        <v>1009</v>
      </c>
      <c r="F17" s="20" t="s">
        <v>1010</v>
      </c>
      <c r="G17" s="20" t="s">
        <v>924</v>
      </c>
      <c r="H17" s="20" t="s">
        <v>1011</v>
      </c>
      <c r="I17" s="20" t="s">
        <v>926</v>
      </c>
    </row>
    <row r="18" customFormat="false" ht="15" hidden="false" customHeight="false" outlineLevel="0" collapsed="false">
      <c r="A18" s="20" t="s">
        <v>1012</v>
      </c>
      <c r="B18" s="20" t="s">
        <v>1013</v>
      </c>
      <c r="C18" s="20" t="s">
        <v>1014</v>
      </c>
      <c r="D18" s="20" t="s">
        <v>930</v>
      </c>
      <c r="E18" s="20" t="s">
        <v>938</v>
      </c>
      <c r="F18" s="20" t="s">
        <v>1015</v>
      </c>
      <c r="G18" s="20" t="s">
        <v>924</v>
      </c>
      <c r="H18" s="20" t="s">
        <v>1016</v>
      </c>
      <c r="I18" s="20" t="s">
        <v>926</v>
      </c>
    </row>
    <row r="19" customFormat="false" ht="15" hidden="false" customHeight="false" outlineLevel="0" collapsed="false">
      <c r="A19" s="20" t="s">
        <v>1017</v>
      </c>
      <c r="B19" s="20" t="s">
        <v>970</v>
      </c>
      <c r="C19" s="20" t="s">
        <v>1018</v>
      </c>
      <c r="D19" s="20" t="s">
        <v>1019</v>
      </c>
      <c r="E19" s="20" t="s">
        <v>931</v>
      </c>
      <c r="F19" s="20" t="s">
        <v>1020</v>
      </c>
      <c r="G19" s="20" t="s">
        <v>924</v>
      </c>
      <c r="H19" s="20" t="s">
        <v>1021</v>
      </c>
      <c r="I19" s="20" t="s">
        <v>926</v>
      </c>
    </row>
    <row r="20" customFormat="false" ht="15" hidden="false" customHeight="false" outlineLevel="0" collapsed="false">
      <c r="A20" s="20" t="s">
        <v>1022</v>
      </c>
      <c r="B20" s="20" t="s">
        <v>1023</v>
      </c>
      <c r="C20" s="20" t="s">
        <v>1024</v>
      </c>
      <c r="D20" s="20" t="s">
        <v>978</v>
      </c>
      <c r="E20" s="20" t="s">
        <v>1025</v>
      </c>
      <c r="F20" s="20"/>
      <c r="G20" s="20" t="s">
        <v>924</v>
      </c>
      <c r="H20" s="20" t="s">
        <v>1026</v>
      </c>
      <c r="I20" s="20" t="s">
        <v>926</v>
      </c>
    </row>
    <row r="21" customFormat="false" ht="15" hidden="false" customHeight="false" outlineLevel="0" collapsed="false">
      <c r="A21" s="20" t="s">
        <v>1027</v>
      </c>
      <c r="B21" s="20" t="s">
        <v>920</v>
      </c>
      <c r="C21" s="20" t="s">
        <v>1028</v>
      </c>
      <c r="D21" s="20" t="s">
        <v>922</v>
      </c>
      <c r="E21" s="20" t="s">
        <v>999</v>
      </c>
      <c r="F21" s="20"/>
      <c r="G21" s="20" t="s">
        <v>924</v>
      </c>
      <c r="H21" s="20" t="s">
        <v>1029</v>
      </c>
      <c r="I21" s="20" t="s">
        <v>926</v>
      </c>
    </row>
    <row r="22" customFormat="false" ht="15" hidden="false" customHeight="false" outlineLevel="0" collapsed="false">
      <c r="A22" s="20" t="s">
        <v>1030</v>
      </c>
      <c r="B22" s="20" t="s">
        <v>1031</v>
      </c>
      <c r="C22" s="20" t="s">
        <v>1032</v>
      </c>
      <c r="D22" s="20" t="s">
        <v>930</v>
      </c>
      <c r="E22" s="20" t="s">
        <v>938</v>
      </c>
      <c r="F22" s="20" t="s">
        <v>1033</v>
      </c>
      <c r="G22" s="20" t="s">
        <v>924</v>
      </c>
      <c r="H22" s="20" t="s">
        <v>1034</v>
      </c>
      <c r="I22" s="20" t="s">
        <v>926</v>
      </c>
    </row>
    <row r="23" customFormat="false" ht="15" hidden="false" customHeight="false" outlineLevel="0" collapsed="false">
      <c r="A23" s="20" t="s">
        <v>1035</v>
      </c>
      <c r="B23" s="20" t="s">
        <v>1031</v>
      </c>
      <c r="C23" s="20" t="s">
        <v>1036</v>
      </c>
      <c r="D23" s="20" t="s">
        <v>1037</v>
      </c>
      <c r="E23" s="20" t="s">
        <v>938</v>
      </c>
      <c r="F23" s="20" t="s">
        <v>1038</v>
      </c>
      <c r="G23" s="20" t="s">
        <v>924</v>
      </c>
      <c r="H23" s="20" t="s">
        <v>1039</v>
      </c>
      <c r="I23" s="20" t="s">
        <v>926</v>
      </c>
    </row>
    <row r="24" customFormat="false" ht="15" hidden="false" customHeight="false" outlineLevel="0" collapsed="false">
      <c r="A24" s="20" t="s">
        <v>1040</v>
      </c>
      <c r="B24" s="20" t="s">
        <v>1041</v>
      </c>
      <c r="C24" s="20" t="s">
        <v>1042</v>
      </c>
      <c r="D24" s="20" t="s">
        <v>1019</v>
      </c>
      <c r="E24" s="20" t="s">
        <v>999</v>
      </c>
      <c r="F24" s="20" t="s">
        <v>1043</v>
      </c>
      <c r="G24" s="20" t="s">
        <v>924</v>
      </c>
      <c r="H24" s="20" t="s">
        <v>1044</v>
      </c>
      <c r="I24" s="20" t="s">
        <v>926</v>
      </c>
    </row>
    <row r="25" customFormat="false" ht="15" hidden="false" customHeight="false" outlineLevel="0" collapsed="false">
      <c r="A25" s="20" t="s">
        <v>1045</v>
      </c>
      <c r="B25" s="20" t="s">
        <v>920</v>
      </c>
      <c r="C25" s="20" t="s">
        <v>1046</v>
      </c>
      <c r="D25" s="20" t="s">
        <v>930</v>
      </c>
      <c r="E25" s="20" t="s">
        <v>959</v>
      </c>
      <c r="F25" s="20"/>
      <c r="G25" s="20" t="s">
        <v>924</v>
      </c>
      <c r="H25" s="20" t="s">
        <v>1047</v>
      </c>
      <c r="I25" s="20" t="s">
        <v>926</v>
      </c>
    </row>
    <row r="26" customFormat="false" ht="15" hidden="false" customHeight="false" outlineLevel="0" collapsed="false">
      <c r="A26" s="20" t="s">
        <v>1048</v>
      </c>
      <c r="B26" s="20" t="s">
        <v>1049</v>
      </c>
      <c r="C26" s="20" t="s">
        <v>1050</v>
      </c>
      <c r="D26" s="20" t="s">
        <v>930</v>
      </c>
      <c r="E26" s="20" t="s">
        <v>78</v>
      </c>
      <c r="F26" s="20" t="s">
        <v>1051</v>
      </c>
      <c r="G26" s="20" t="s">
        <v>1052</v>
      </c>
      <c r="H26" s="20" t="s">
        <v>1053</v>
      </c>
      <c r="I26" s="20" t="s">
        <v>926</v>
      </c>
    </row>
    <row r="27" customFormat="false" ht="15" hidden="false" customHeight="false" outlineLevel="0" collapsed="false">
      <c r="A27" s="20" t="s">
        <v>1054</v>
      </c>
      <c r="B27" s="20" t="s">
        <v>1055</v>
      </c>
      <c r="C27" s="20" t="s">
        <v>1056</v>
      </c>
      <c r="D27" s="20" t="s">
        <v>930</v>
      </c>
      <c r="E27" s="20" t="s">
        <v>1057</v>
      </c>
      <c r="F27" s="20"/>
      <c r="G27" s="20" t="s">
        <v>1052</v>
      </c>
      <c r="H27" s="20" t="s">
        <v>1058</v>
      </c>
      <c r="I27" s="20" t="s">
        <v>926</v>
      </c>
    </row>
    <row r="28" customFormat="false" ht="15" hidden="false" customHeight="false" outlineLevel="0" collapsed="false">
      <c r="A28" s="20" t="s">
        <v>934</v>
      </c>
      <c r="B28" s="20" t="s">
        <v>935</v>
      </c>
      <c r="C28" s="20" t="s">
        <v>936</v>
      </c>
      <c r="D28" s="20" t="s">
        <v>937</v>
      </c>
      <c r="E28" s="20" t="s">
        <v>938</v>
      </c>
      <c r="F28" s="20" t="s">
        <v>939</v>
      </c>
      <c r="G28" s="20" t="s">
        <v>1052</v>
      </c>
      <c r="H28" s="20" t="s">
        <v>940</v>
      </c>
      <c r="I28" s="20" t="s">
        <v>926</v>
      </c>
    </row>
    <row r="29" customFormat="false" ht="15" hidden="false" customHeight="false" outlineLevel="0" collapsed="false">
      <c r="A29" s="20" t="s">
        <v>1059</v>
      </c>
      <c r="B29" s="20" t="s">
        <v>1060</v>
      </c>
      <c r="C29" s="20" t="s">
        <v>1061</v>
      </c>
      <c r="D29" s="20" t="s">
        <v>1062</v>
      </c>
      <c r="E29" s="20" t="s">
        <v>938</v>
      </c>
      <c r="F29" s="20" t="s">
        <v>1063</v>
      </c>
      <c r="G29" s="20" t="s">
        <v>1052</v>
      </c>
      <c r="H29" s="20" t="s">
        <v>1064</v>
      </c>
      <c r="I29" s="20" t="s">
        <v>926</v>
      </c>
    </row>
    <row r="30" customFormat="false" ht="15" hidden="false" customHeight="false" outlineLevel="0" collapsed="false">
      <c r="A30" s="20" t="s">
        <v>1065</v>
      </c>
      <c r="B30" s="20" t="s">
        <v>1023</v>
      </c>
      <c r="C30" s="20" t="s">
        <v>1066</v>
      </c>
      <c r="D30" s="20" t="s">
        <v>1067</v>
      </c>
      <c r="E30" s="20" t="s">
        <v>999</v>
      </c>
      <c r="F30" s="20"/>
      <c r="G30" s="20" t="s">
        <v>1052</v>
      </c>
      <c r="H30" s="20" t="s">
        <v>1068</v>
      </c>
      <c r="I30" s="20" t="s">
        <v>926</v>
      </c>
    </row>
    <row r="31" customFormat="false" ht="15" hidden="false" customHeight="false" outlineLevel="0" collapsed="false">
      <c r="A31" s="20" t="s">
        <v>1069</v>
      </c>
      <c r="B31" s="20" t="s">
        <v>1070</v>
      </c>
      <c r="C31" s="20" t="s">
        <v>1071</v>
      </c>
      <c r="D31" s="20" t="s">
        <v>992</v>
      </c>
      <c r="E31" s="20" t="s">
        <v>78</v>
      </c>
      <c r="F31" s="20" t="s">
        <v>1072</v>
      </c>
      <c r="G31" s="20" t="s">
        <v>1052</v>
      </c>
      <c r="H31" s="20" t="s">
        <v>1073</v>
      </c>
      <c r="I31" s="20" t="s">
        <v>926</v>
      </c>
    </row>
    <row r="32" customFormat="false" ht="15" hidden="false" customHeight="false" outlineLevel="0" collapsed="false">
      <c r="A32" s="20" t="s">
        <v>1074</v>
      </c>
      <c r="B32" s="20" t="s">
        <v>970</v>
      </c>
      <c r="C32" s="20" t="s">
        <v>1075</v>
      </c>
      <c r="D32" s="20" t="s">
        <v>930</v>
      </c>
      <c r="E32" s="20" t="s">
        <v>1076</v>
      </c>
      <c r="F32" s="20" t="s">
        <v>1077</v>
      </c>
      <c r="G32" s="20" t="s">
        <v>1052</v>
      </c>
      <c r="H32" s="20" t="s">
        <v>1078</v>
      </c>
      <c r="I32" s="20" t="s">
        <v>926</v>
      </c>
    </row>
    <row r="33" customFormat="false" ht="15" hidden="false" customHeight="false" outlineLevel="0" collapsed="false">
      <c r="A33" s="20" t="s">
        <v>1079</v>
      </c>
      <c r="B33" s="20" t="s">
        <v>1080</v>
      </c>
      <c r="C33" s="20" t="s">
        <v>1081</v>
      </c>
      <c r="D33" s="20" t="s">
        <v>1082</v>
      </c>
      <c r="E33" s="20" t="s">
        <v>1009</v>
      </c>
      <c r="F33" s="20"/>
      <c r="G33" s="20" t="s">
        <v>1052</v>
      </c>
      <c r="H33" s="20" t="s">
        <v>1083</v>
      </c>
      <c r="I33" s="20" t="s">
        <v>926</v>
      </c>
    </row>
    <row r="34" customFormat="false" ht="15" hidden="false" customHeight="false" outlineLevel="0" collapsed="false">
      <c r="A34" s="20" t="s">
        <v>1084</v>
      </c>
      <c r="B34" s="20" t="s">
        <v>1085</v>
      </c>
      <c r="C34" s="20" t="s">
        <v>1086</v>
      </c>
      <c r="D34" s="20" t="s">
        <v>1087</v>
      </c>
      <c r="E34" s="20" t="s">
        <v>938</v>
      </c>
      <c r="F34" s="20" t="s">
        <v>1088</v>
      </c>
      <c r="G34" s="20" t="s">
        <v>1052</v>
      </c>
      <c r="H34" s="20" t="s">
        <v>1089</v>
      </c>
      <c r="I34" s="20" t="s">
        <v>926</v>
      </c>
    </row>
    <row r="35" customFormat="false" ht="15" hidden="false" customHeight="false" outlineLevel="0" collapsed="false">
      <c r="A35" s="20" t="s">
        <v>1090</v>
      </c>
      <c r="B35" s="20" t="s">
        <v>1091</v>
      </c>
      <c r="C35" s="20" t="s">
        <v>1092</v>
      </c>
      <c r="D35" s="20" t="s">
        <v>930</v>
      </c>
      <c r="E35" s="20" t="s">
        <v>938</v>
      </c>
      <c r="F35" s="20"/>
      <c r="G35" s="20" t="s">
        <v>1052</v>
      </c>
      <c r="H35" s="20" t="s">
        <v>1093</v>
      </c>
      <c r="I35" s="20" t="s">
        <v>926</v>
      </c>
    </row>
    <row r="36" customFormat="false" ht="15" hidden="false" customHeight="false" outlineLevel="0" collapsed="false">
      <c r="A36" s="20" t="s">
        <v>1094</v>
      </c>
      <c r="B36" s="20" t="s">
        <v>1095</v>
      </c>
      <c r="C36" s="20" t="s">
        <v>1096</v>
      </c>
      <c r="D36" s="20" t="s">
        <v>930</v>
      </c>
      <c r="E36" s="20" t="s">
        <v>78</v>
      </c>
      <c r="F36" s="20" t="s">
        <v>1097</v>
      </c>
      <c r="G36" s="20" t="s">
        <v>1052</v>
      </c>
      <c r="H36" s="20" t="s">
        <v>1098</v>
      </c>
      <c r="I36" s="20" t="s">
        <v>926</v>
      </c>
    </row>
    <row r="37" customFormat="false" ht="15" hidden="false" customHeight="false" outlineLevel="0" collapsed="false">
      <c r="A37" s="20" t="s">
        <v>1099</v>
      </c>
      <c r="B37" s="20" t="s">
        <v>935</v>
      </c>
      <c r="C37" s="20" t="s">
        <v>1100</v>
      </c>
      <c r="D37" s="20" t="s">
        <v>1101</v>
      </c>
      <c r="E37" s="20" t="s">
        <v>999</v>
      </c>
      <c r="F37" s="20" t="s">
        <v>1102</v>
      </c>
      <c r="G37" s="20" t="s">
        <v>1052</v>
      </c>
      <c r="H37" s="20" t="s">
        <v>1103</v>
      </c>
      <c r="I37" s="20" t="s">
        <v>926</v>
      </c>
    </row>
    <row r="38" customFormat="false" ht="15" hidden="false" customHeight="false" outlineLevel="0" collapsed="false">
      <c r="A38" s="20" t="s">
        <v>1104</v>
      </c>
      <c r="B38" s="20" t="s">
        <v>1105</v>
      </c>
      <c r="C38" s="20" t="s">
        <v>1106</v>
      </c>
      <c r="D38" s="20" t="s">
        <v>1082</v>
      </c>
      <c r="E38" s="20" t="s">
        <v>78</v>
      </c>
      <c r="F38" s="20" t="s">
        <v>1097</v>
      </c>
      <c r="G38" s="20" t="s">
        <v>1052</v>
      </c>
      <c r="H38" s="20" t="s">
        <v>1107</v>
      </c>
      <c r="I38" s="20" t="s">
        <v>926</v>
      </c>
    </row>
    <row r="39" customFormat="false" ht="15" hidden="false" customHeight="false" outlineLevel="0" collapsed="false">
      <c r="A39" s="20" t="s">
        <v>1108</v>
      </c>
      <c r="B39" s="20" t="s">
        <v>1031</v>
      </c>
      <c r="C39" s="20" t="s">
        <v>1109</v>
      </c>
      <c r="D39" s="20" t="s">
        <v>930</v>
      </c>
      <c r="E39" s="20" t="s">
        <v>966</v>
      </c>
      <c r="F39" s="20" t="s">
        <v>1110</v>
      </c>
      <c r="G39" s="20" t="s">
        <v>1052</v>
      </c>
      <c r="H39" s="20" t="s">
        <v>1111</v>
      </c>
      <c r="I39" s="20" t="s">
        <v>926</v>
      </c>
    </row>
    <row r="40" customFormat="false" ht="15" hidden="false" customHeight="false" outlineLevel="0" collapsed="false">
      <c r="A40" s="20" t="s">
        <v>1112</v>
      </c>
      <c r="B40" s="20" t="s">
        <v>1113</v>
      </c>
      <c r="C40" s="20" t="s">
        <v>1114</v>
      </c>
      <c r="D40" s="20" t="s">
        <v>1115</v>
      </c>
      <c r="E40" s="20" t="s">
        <v>1116</v>
      </c>
      <c r="F40" s="20" t="s">
        <v>1117</v>
      </c>
      <c r="G40" s="20" t="s">
        <v>1052</v>
      </c>
      <c r="H40" s="20" t="s">
        <v>1118</v>
      </c>
      <c r="I40" s="20" t="s">
        <v>926</v>
      </c>
    </row>
    <row r="41" customFormat="false" ht="15" hidden="false" customHeight="false" outlineLevel="0" collapsed="false">
      <c r="A41" s="20" t="s">
        <v>1119</v>
      </c>
      <c r="B41" s="20" t="s">
        <v>1120</v>
      </c>
      <c r="C41" s="20" t="s">
        <v>1121</v>
      </c>
      <c r="D41" s="20" t="s">
        <v>992</v>
      </c>
      <c r="E41" s="20" t="s">
        <v>959</v>
      </c>
      <c r="F41" s="20" t="s">
        <v>1122</v>
      </c>
      <c r="G41" s="20" t="s">
        <v>1052</v>
      </c>
      <c r="H41" s="20" t="s">
        <v>1123</v>
      </c>
      <c r="I41" s="20" t="s">
        <v>926</v>
      </c>
    </row>
    <row r="42" customFormat="false" ht="15" hidden="false" customHeight="false" outlineLevel="0" collapsed="false">
      <c r="A42" s="20" t="s">
        <v>1124</v>
      </c>
      <c r="B42" s="20" t="s">
        <v>1125</v>
      </c>
      <c r="C42" s="20" t="s">
        <v>1126</v>
      </c>
      <c r="D42" s="20" t="s">
        <v>1127</v>
      </c>
      <c r="E42" s="20" t="s">
        <v>938</v>
      </c>
      <c r="F42" s="20" t="s">
        <v>1033</v>
      </c>
      <c r="G42" s="20" t="s">
        <v>1052</v>
      </c>
      <c r="H42" s="20" t="s">
        <v>1128</v>
      </c>
      <c r="I42" s="20" t="s">
        <v>926</v>
      </c>
    </row>
    <row r="43" customFormat="false" ht="15" hidden="false" customHeight="false" outlineLevel="0" collapsed="false">
      <c r="A43" s="20" t="s">
        <v>1129</v>
      </c>
      <c r="B43" s="20" t="s">
        <v>1130</v>
      </c>
      <c r="C43" s="20" t="s">
        <v>1131</v>
      </c>
      <c r="D43" s="20" t="s">
        <v>1132</v>
      </c>
      <c r="E43" s="20" t="s">
        <v>1025</v>
      </c>
      <c r="F43" s="20"/>
      <c r="G43" s="20" t="s">
        <v>1052</v>
      </c>
      <c r="H43" s="20" t="s">
        <v>1133</v>
      </c>
      <c r="I43" s="20" t="s">
        <v>926</v>
      </c>
    </row>
    <row r="44" customFormat="false" ht="15" hidden="false" customHeight="false" outlineLevel="0" collapsed="false">
      <c r="A44" s="20" t="s">
        <v>1134</v>
      </c>
      <c r="B44" s="20" t="s">
        <v>935</v>
      </c>
      <c r="C44" s="20" t="s">
        <v>1135</v>
      </c>
      <c r="D44" s="20" t="s">
        <v>1136</v>
      </c>
      <c r="E44" s="20" t="s">
        <v>78</v>
      </c>
      <c r="F44" s="20" t="s">
        <v>1137</v>
      </c>
      <c r="G44" s="20" t="s">
        <v>1052</v>
      </c>
      <c r="H44" s="20" t="s">
        <v>1138</v>
      </c>
      <c r="I44" s="20" t="s">
        <v>926</v>
      </c>
    </row>
    <row r="45" customFormat="false" ht="15" hidden="false" customHeight="false" outlineLevel="0" collapsed="false">
      <c r="A45" s="20" t="s">
        <v>1139</v>
      </c>
      <c r="B45" s="20" t="s">
        <v>1140</v>
      </c>
      <c r="C45" s="20" t="s">
        <v>1141</v>
      </c>
      <c r="D45" s="20" t="s">
        <v>930</v>
      </c>
      <c r="E45" s="20" t="s">
        <v>78</v>
      </c>
      <c r="F45" s="20" t="s">
        <v>1142</v>
      </c>
      <c r="G45" s="20" t="s">
        <v>1052</v>
      </c>
      <c r="H45" s="20" t="s">
        <v>1143</v>
      </c>
      <c r="I45" s="20" t="s">
        <v>926</v>
      </c>
    </row>
    <row r="46" customFormat="false" ht="15" hidden="false" customHeight="false" outlineLevel="0" collapsed="false">
      <c r="A46" s="20" t="s">
        <v>1144</v>
      </c>
      <c r="B46" s="20" t="s">
        <v>920</v>
      </c>
      <c r="C46" s="20" t="s">
        <v>1145</v>
      </c>
      <c r="D46" s="20" t="s">
        <v>1146</v>
      </c>
      <c r="E46" s="20" t="s">
        <v>78</v>
      </c>
      <c r="F46" s="20" t="s">
        <v>1051</v>
      </c>
      <c r="G46" s="20" t="s">
        <v>1052</v>
      </c>
      <c r="H46" s="20" t="s">
        <v>1147</v>
      </c>
      <c r="I46" s="20" t="s">
        <v>926</v>
      </c>
    </row>
    <row r="47" customFormat="false" ht="15" hidden="false" customHeight="false" outlineLevel="0" collapsed="false">
      <c r="A47" s="20" t="s">
        <v>1148</v>
      </c>
      <c r="B47" s="20" t="s">
        <v>1149</v>
      </c>
      <c r="C47" s="20" t="s">
        <v>1150</v>
      </c>
      <c r="D47" s="20" t="s">
        <v>922</v>
      </c>
      <c r="E47" s="20" t="s">
        <v>931</v>
      </c>
      <c r="F47" s="20" t="s">
        <v>1151</v>
      </c>
      <c r="G47" s="20" t="s">
        <v>1052</v>
      </c>
      <c r="H47" s="20" t="s">
        <v>1152</v>
      </c>
      <c r="I47" s="20" t="s">
        <v>926</v>
      </c>
    </row>
    <row r="48" customFormat="false" ht="15" hidden="false" customHeight="false" outlineLevel="0" collapsed="false">
      <c r="A48" s="20" t="s">
        <v>1153</v>
      </c>
      <c r="B48" s="20" t="s">
        <v>1154</v>
      </c>
      <c r="C48" s="20" t="s">
        <v>1155</v>
      </c>
      <c r="D48" s="20" t="s">
        <v>930</v>
      </c>
      <c r="E48" s="20" t="s">
        <v>78</v>
      </c>
      <c r="F48" s="20" t="s">
        <v>1097</v>
      </c>
      <c r="G48" s="20" t="s">
        <v>1052</v>
      </c>
      <c r="H48" s="20" t="s">
        <v>1156</v>
      </c>
      <c r="I48" s="20" t="s">
        <v>926</v>
      </c>
    </row>
    <row r="49" customFormat="false" ht="15" hidden="false" customHeight="false" outlineLevel="0" collapsed="false">
      <c r="A49" s="20" t="s">
        <v>1157</v>
      </c>
      <c r="B49" s="20" t="s">
        <v>920</v>
      </c>
      <c r="C49" s="20" t="s">
        <v>1158</v>
      </c>
      <c r="D49" s="20" t="s">
        <v>1159</v>
      </c>
      <c r="E49" s="20" t="s">
        <v>78</v>
      </c>
      <c r="F49" s="20" t="s">
        <v>1160</v>
      </c>
      <c r="G49" s="20" t="s">
        <v>1052</v>
      </c>
      <c r="H49" s="20" t="s">
        <v>1161</v>
      </c>
      <c r="I49" s="20" t="s">
        <v>926</v>
      </c>
    </row>
    <row r="50" customFormat="false" ht="15" hidden="false" customHeight="false" outlineLevel="0" collapsed="false">
      <c r="A50" s="20" t="s">
        <v>1162</v>
      </c>
      <c r="B50" s="20" t="s">
        <v>1163</v>
      </c>
      <c r="C50" s="20" t="s">
        <v>1164</v>
      </c>
      <c r="D50" s="20" t="s">
        <v>1165</v>
      </c>
      <c r="E50" s="20" t="s">
        <v>931</v>
      </c>
      <c r="F50" s="20" t="s">
        <v>1166</v>
      </c>
      <c r="G50" s="20" t="s">
        <v>1167</v>
      </c>
      <c r="H50" s="20" t="s">
        <v>1168</v>
      </c>
      <c r="I50" s="20" t="s">
        <v>926</v>
      </c>
    </row>
    <row r="51" customFormat="false" ht="15" hidden="false" customHeight="false" outlineLevel="0" collapsed="false">
      <c r="A51" s="20" t="s">
        <v>1169</v>
      </c>
      <c r="B51" s="20" t="s">
        <v>1170</v>
      </c>
      <c r="C51" s="20" t="s">
        <v>1171</v>
      </c>
      <c r="D51" s="20" t="s">
        <v>1172</v>
      </c>
      <c r="E51" s="20" t="s">
        <v>959</v>
      </c>
      <c r="F51" s="20" t="s">
        <v>1173</v>
      </c>
      <c r="G51" s="20" t="s">
        <v>1167</v>
      </c>
      <c r="H51" s="20" t="s">
        <v>1174</v>
      </c>
      <c r="I51" s="20" t="s">
        <v>926</v>
      </c>
    </row>
    <row r="52" customFormat="false" ht="15" hidden="false" customHeight="false" outlineLevel="0" collapsed="false">
      <c r="A52" s="20" t="s">
        <v>1175</v>
      </c>
      <c r="B52" s="20" t="s">
        <v>1031</v>
      </c>
      <c r="C52" s="20" t="s">
        <v>1176</v>
      </c>
      <c r="D52" s="20" t="s">
        <v>1165</v>
      </c>
      <c r="E52" s="20" t="s">
        <v>78</v>
      </c>
      <c r="F52" s="20" t="s">
        <v>960</v>
      </c>
      <c r="G52" s="20" t="s">
        <v>1167</v>
      </c>
      <c r="H52" s="20" t="s">
        <v>1177</v>
      </c>
      <c r="I52" s="20" t="s">
        <v>926</v>
      </c>
    </row>
    <row r="53" customFormat="false" ht="15" hidden="false" customHeight="false" outlineLevel="0" collapsed="false">
      <c r="A53" s="20" t="s">
        <v>1178</v>
      </c>
      <c r="B53" s="20" t="s">
        <v>1179</v>
      </c>
      <c r="C53" s="20" t="s">
        <v>1180</v>
      </c>
      <c r="D53" s="20" t="s">
        <v>1165</v>
      </c>
      <c r="E53" s="20" t="s">
        <v>78</v>
      </c>
      <c r="F53" s="20" t="s">
        <v>1010</v>
      </c>
      <c r="G53" s="20" t="s">
        <v>1167</v>
      </c>
      <c r="H53" s="20" t="s">
        <v>1181</v>
      </c>
      <c r="I53" s="20" t="s">
        <v>926</v>
      </c>
    </row>
    <row r="54" customFormat="false" ht="15" hidden="false" customHeight="false" outlineLevel="0" collapsed="false">
      <c r="A54" s="20" t="s">
        <v>1182</v>
      </c>
      <c r="B54" s="20" t="s">
        <v>1007</v>
      </c>
      <c r="C54" s="20" t="s">
        <v>1183</v>
      </c>
      <c r="D54" s="20" t="s">
        <v>1184</v>
      </c>
      <c r="E54" s="20" t="s">
        <v>931</v>
      </c>
      <c r="F54" s="20" t="s">
        <v>1185</v>
      </c>
      <c r="G54" s="20" t="s">
        <v>1167</v>
      </c>
      <c r="H54" s="20" t="s">
        <v>1186</v>
      </c>
      <c r="I54" s="20" t="s">
        <v>926</v>
      </c>
    </row>
    <row r="55" customFormat="false" ht="15" hidden="false" customHeight="false" outlineLevel="0" collapsed="false">
      <c r="A55" s="20" t="s">
        <v>1187</v>
      </c>
      <c r="B55" s="20" t="s">
        <v>1188</v>
      </c>
      <c r="C55" s="20" t="s">
        <v>1189</v>
      </c>
      <c r="D55" s="20" t="s">
        <v>1165</v>
      </c>
      <c r="E55" s="20" t="s">
        <v>999</v>
      </c>
      <c r="F55" s="20" t="s">
        <v>1097</v>
      </c>
      <c r="G55" s="20" t="s">
        <v>1167</v>
      </c>
      <c r="H55" s="20" t="s">
        <v>1190</v>
      </c>
      <c r="I55" s="20" t="s">
        <v>926</v>
      </c>
    </row>
    <row r="56" customFormat="false" ht="15" hidden="false" customHeight="false" outlineLevel="0" collapsed="false">
      <c r="A56" s="20" t="s">
        <v>1191</v>
      </c>
      <c r="B56" s="20" t="s">
        <v>1192</v>
      </c>
      <c r="C56" s="20" t="s">
        <v>1193</v>
      </c>
      <c r="D56" s="20" t="s">
        <v>1194</v>
      </c>
      <c r="E56" s="20" t="s">
        <v>999</v>
      </c>
      <c r="F56" s="20" t="s">
        <v>1195</v>
      </c>
      <c r="G56" s="20" t="s">
        <v>1167</v>
      </c>
      <c r="H56" s="20" t="s">
        <v>1196</v>
      </c>
      <c r="I56" s="20" t="s">
        <v>926</v>
      </c>
    </row>
    <row r="57" customFormat="false" ht="15" hidden="false" customHeight="false" outlineLevel="0" collapsed="false">
      <c r="A57" s="20" t="s">
        <v>1197</v>
      </c>
      <c r="B57" s="20" t="s">
        <v>920</v>
      </c>
      <c r="C57" s="20" t="s">
        <v>1198</v>
      </c>
      <c r="D57" s="20" t="s">
        <v>1165</v>
      </c>
      <c r="E57" s="20" t="s">
        <v>1009</v>
      </c>
      <c r="F57" s="20" t="s">
        <v>1199</v>
      </c>
      <c r="G57" s="20" t="s">
        <v>1167</v>
      </c>
      <c r="H57" s="20" t="s">
        <v>1200</v>
      </c>
      <c r="I57" s="20" t="s">
        <v>926</v>
      </c>
    </row>
    <row r="58" customFormat="false" ht="15" hidden="false" customHeight="false" outlineLevel="0" collapsed="false">
      <c r="A58" s="20" t="s">
        <v>1201</v>
      </c>
      <c r="B58" s="20" t="s">
        <v>1202</v>
      </c>
      <c r="C58" s="20" t="s">
        <v>1203</v>
      </c>
      <c r="D58" s="20" t="s">
        <v>1172</v>
      </c>
      <c r="E58" s="20" t="s">
        <v>999</v>
      </c>
      <c r="F58" s="20" t="s">
        <v>1204</v>
      </c>
      <c r="G58" s="20" t="s">
        <v>1167</v>
      </c>
      <c r="H58" s="20" t="s">
        <v>1205</v>
      </c>
      <c r="I58" s="20" t="s">
        <v>926</v>
      </c>
    </row>
    <row r="59" customFormat="false" ht="15" hidden="false" customHeight="false" outlineLevel="0" collapsed="false">
      <c r="A59" s="20" t="s">
        <v>1206</v>
      </c>
      <c r="B59" s="20" t="s">
        <v>1207</v>
      </c>
      <c r="C59" s="20" t="s">
        <v>1208</v>
      </c>
      <c r="D59" s="20" t="s">
        <v>1209</v>
      </c>
      <c r="E59" s="20" t="s">
        <v>1210</v>
      </c>
      <c r="F59" s="20" t="s">
        <v>1211</v>
      </c>
      <c r="G59" s="20" t="s">
        <v>1167</v>
      </c>
      <c r="H59" s="20" t="s">
        <v>1212</v>
      </c>
      <c r="I59" s="20" t="s">
        <v>926</v>
      </c>
    </row>
    <row r="60" customFormat="false" ht="15" hidden="false" customHeight="false" outlineLevel="0" collapsed="false">
      <c r="A60" s="20" t="s">
        <v>1213</v>
      </c>
      <c r="B60" s="20" t="s">
        <v>920</v>
      </c>
      <c r="C60" s="20" t="s">
        <v>1214</v>
      </c>
      <c r="D60" s="20" t="s">
        <v>1165</v>
      </c>
      <c r="E60" s="20" t="s">
        <v>931</v>
      </c>
      <c r="F60" s="20" t="s">
        <v>1215</v>
      </c>
      <c r="G60" s="20" t="s">
        <v>1167</v>
      </c>
      <c r="H60" s="20" t="s">
        <v>1216</v>
      </c>
      <c r="I60" s="20" t="s">
        <v>926</v>
      </c>
    </row>
    <row r="61" customFormat="false" ht="15" hidden="false" customHeight="false" outlineLevel="0" collapsed="false">
      <c r="A61" s="20" t="s">
        <v>1217</v>
      </c>
      <c r="B61" s="20" t="s">
        <v>1007</v>
      </c>
      <c r="C61" s="20" t="s">
        <v>1218</v>
      </c>
      <c r="D61" s="20" t="s">
        <v>1219</v>
      </c>
      <c r="E61" s="20" t="s">
        <v>999</v>
      </c>
      <c r="F61" s="20" t="s">
        <v>1220</v>
      </c>
      <c r="G61" s="20" t="s">
        <v>1167</v>
      </c>
      <c r="H61" s="20" t="s">
        <v>1221</v>
      </c>
      <c r="I61" s="20" t="s">
        <v>926</v>
      </c>
    </row>
    <row r="62" customFormat="false" ht="15" hidden="false" customHeight="false" outlineLevel="0" collapsed="false">
      <c r="A62" s="20" t="s">
        <v>1222</v>
      </c>
      <c r="B62" s="20" t="s">
        <v>928</v>
      </c>
      <c r="C62" s="20" t="s">
        <v>1223</v>
      </c>
      <c r="D62" s="20" t="s">
        <v>1224</v>
      </c>
      <c r="E62" s="20" t="s">
        <v>931</v>
      </c>
      <c r="F62" s="20" t="s">
        <v>1225</v>
      </c>
      <c r="G62" s="20" t="s">
        <v>1167</v>
      </c>
      <c r="H62" s="20" t="s">
        <v>1226</v>
      </c>
      <c r="I62" s="20" t="s">
        <v>926</v>
      </c>
    </row>
    <row r="63" customFormat="false" ht="15" hidden="false" customHeight="false" outlineLevel="0" collapsed="false">
      <c r="A63" s="20" t="s">
        <v>1227</v>
      </c>
      <c r="B63" s="20" t="s">
        <v>1228</v>
      </c>
      <c r="C63" s="20" t="s">
        <v>1229</v>
      </c>
      <c r="D63" s="20" t="s">
        <v>1165</v>
      </c>
      <c r="E63" s="20" t="s">
        <v>78</v>
      </c>
      <c r="F63" s="20" t="s">
        <v>1000</v>
      </c>
      <c r="G63" s="20" t="s">
        <v>1167</v>
      </c>
      <c r="H63" s="20" t="s">
        <v>1230</v>
      </c>
      <c r="I63" s="20" t="s">
        <v>926</v>
      </c>
    </row>
    <row r="64" customFormat="false" ht="15" hidden="false" customHeight="false" outlineLevel="0" collapsed="false">
      <c r="A64" s="20" t="s">
        <v>1231</v>
      </c>
      <c r="B64" s="20" t="s">
        <v>1202</v>
      </c>
      <c r="C64" s="20" t="s">
        <v>1232</v>
      </c>
      <c r="D64" s="20" t="s">
        <v>1233</v>
      </c>
      <c r="E64" s="20" t="s">
        <v>999</v>
      </c>
      <c r="F64" s="20" t="s">
        <v>1234</v>
      </c>
      <c r="G64" s="20" t="s">
        <v>1167</v>
      </c>
      <c r="H64" s="20" t="s">
        <v>1235</v>
      </c>
      <c r="I64" s="20" t="s">
        <v>926</v>
      </c>
    </row>
    <row r="65" customFormat="false" ht="15" hidden="false" customHeight="false" outlineLevel="0" collapsed="false">
      <c r="A65" s="20" t="s">
        <v>1236</v>
      </c>
      <c r="B65" s="20" t="s">
        <v>1237</v>
      </c>
      <c r="C65" s="20" t="s">
        <v>1238</v>
      </c>
      <c r="D65" s="20" t="s">
        <v>1239</v>
      </c>
      <c r="E65" s="20" t="s">
        <v>78</v>
      </c>
      <c r="F65" s="20" t="s">
        <v>1234</v>
      </c>
      <c r="G65" s="20" t="s">
        <v>1167</v>
      </c>
      <c r="H65" s="20" t="s">
        <v>1240</v>
      </c>
      <c r="I65" s="20" t="s">
        <v>926</v>
      </c>
    </row>
    <row r="66" customFormat="false" ht="15" hidden="false" customHeight="false" outlineLevel="0" collapsed="false">
      <c r="A66" s="20" t="s">
        <v>1241</v>
      </c>
      <c r="B66" s="20" t="s">
        <v>1242</v>
      </c>
      <c r="C66" s="20" t="s">
        <v>1243</v>
      </c>
      <c r="D66" s="20" t="s">
        <v>1244</v>
      </c>
      <c r="E66" s="20" t="s">
        <v>78</v>
      </c>
      <c r="F66" s="20" t="s">
        <v>1245</v>
      </c>
      <c r="G66" s="20" t="s">
        <v>1167</v>
      </c>
      <c r="H66" s="20" t="s">
        <v>1246</v>
      </c>
      <c r="I66" s="20" t="s">
        <v>926</v>
      </c>
    </row>
    <row r="67" customFormat="false" ht="15" hidden="false" customHeight="false" outlineLevel="0" collapsed="false">
      <c r="A67" s="20" t="s">
        <v>1247</v>
      </c>
      <c r="B67" s="20" t="s">
        <v>1248</v>
      </c>
      <c r="C67" s="20" t="s">
        <v>1249</v>
      </c>
      <c r="D67" s="20" t="s">
        <v>1165</v>
      </c>
      <c r="E67" s="20" t="s">
        <v>999</v>
      </c>
      <c r="F67" s="20" t="s">
        <v>1250</v>
      </c>
      <c r="G67" s="20" t="s">
        <v>1167</v>
      </c>
      <c r="H67" s="20" t="s">
        <v>1251</v>
      </c>
      <c r="I67" s="20" t="s">
        <v>926</v>
      </c>
    </row>
    <row r="68" customFormat="false" ht="15" hidden="false" customHeight="false" outlineLevel="0" collapsed="false">
      <c r="A68" s="20" t="s">
        <v>1252</v>
      </c>
      <c r="B68" s="20" t="s">
        <v>935</v>
      </c>
      <c r="C68" s="20" t="s">
        <v>1253</v>
      </c>
      <c r="D68" s="20" t="s">
        <v>1165</v>
      </c>
      <c r="E68" s="20" t="s">
        <v>999</v>
      </c>
      <c r="F68" s="20" t="s">
        <v>1254</v>
      </c>
      <c r="G68" s="20" t="s">
        <v>1167</v>
      </c>
      <c r="H68" s="20" t="s">
        <v>1255</v>
      </c>
      <c r="I68" s="20" t="s">
        <v>926</v>
      </c>
    </row>
    <row r="69" customFormat="false" ht="15" hidden="false" customHeight="false" outlineLevel="0" collapsed="false">
      <c r="A69" s="20" t="s">
        <v>1256</v>
      </c>
      <c r="B69" s="20" t="s">
        <v>1257</v>
      </c>
      <c r="C69" s="20" t="s">
        <v>1258</v>
      </c>
      <c r="D69" s="20" t="s">
        <v>1259</v>
      </c>
      <c r="E69" s="20" t="s">
        <v>78</v>
      </c>
      <c r="F69" s="20" t="s">
        <v>1260</v>
      </c>
      <c r="G69" s="20" t="s">
        <v>1167</v>
      </c>
      <c r="H69" s="20" t="s">
        <v>1261</v>
      </c>
      <c r="I69" s="20" t="s">
        <v>926</v>
      </c>
    </row>
    <row r="70" customFormat="false" ht="15" hidden="false" customHeight="false" outlineLevel="0" collapsed="false">
      <c r="A70" s="20" t="s">
        <v>1262</v>
      </c>
      <c r="B70" s="20" t="s">
        <v>1263</v>
      </c>
      <c r="C70" s="20" t="s">
        <v>1264</v>
      </c>
      <c r="D70" s="20" t="s">
        <v>1265</v>
      </c>
      <c r="E70" s="20" t="s">
        <v>78</v>
      </c>
      <c r="F70" s="20" t="s">
        <v>1266</v>
      </c>
      <c r="G70" s="20" t="s">
        <v>1167</v>
      </c>
      <c r="H70" s="20" t="s">
        <v>1267</v>
      </c>
      <c r="I70" s="20" t="s">
        <v>926</v>
      </c>
    </row>
    <row r="71" customFormat="false" ht="15" hidden="false" customHeight="false" outlineLevel="0" collapsed="false">
      <c r="A71" s="20" t="s">
        <v>1268</v>
      </c>
      <c r="B71" s="20" t="s">
        <v>1269</v>
      </c>
      <c r="C71" s="20" t="s">
        <v>1270</v>
      </c>
      <c r="D71" s="20" t="s">
        <v>1165</v>
      </c>
      <c r="E71" s="20" t="s">
        <v>78</v>
      </c>
      <c r="F71" s="20" t="s">
        <v>1234</v>
      </c>
      <c r="G71" s="20" t="s">
        <v>1167</v>
      </c>
      <c r="H71" s="20" t="s">
        <v>1271</v>
      </c>
      <c r="I71" s="20" t="s">
        <v>926</v>
      </c>
    </row>
    <row r="72" customFormat="false" ht="15" hidden="false" customHeight="false" outlineLevel="0" collapsed="false">
      <c r="A72" s="20" t="s">
        <v>1272</v>
      </c>
      <c r="B72" s="20" t="s">
        <v>1273</v>
      </c>
      <c r="C72" s="20" t="s">
        <v>1274</v>
      </c>
      <c r="D72" s="20" t="s">
        <v>1275</v>
      </c>
      <c r="E72" s="20" t="s">
        <v>1009</v>
      </c>
      <c r="F72" s="20"/>
      <c r="G72" s="20" t="s">
        <v>1167</v>
      </c>
      <c r="H72" s="20" t="s">
        <v>1276</v>
      </c>
      <c r="I72" s="20" t="s">
        <v>926</v>
      </c>
    </row>
    <row r="73" customFormat="false" ht="15" hidden="false" customHeight="false" outlineLevel="0" collapsed="false">
      <c r="A73" s="20" t="s">
        <v>1277</v>
      </c>
      <c r="B73" s="20" t="s">
        <v>1278</v>
      </c>
      <c r="C73" s="20" t="s">
        <v>1279</v>
      </c>
      <c r="D73" s="20" t="s">
        <v>1280</v>
      </c>
      <c r="E73" s="20" t="s">
        <v>999</v>
      </c>
      <c r="F73" s="20"/>
      <c r="G73" s="20" t="s">
        <v>1167</v>
      </c>
      <c r="H73" s="20" t="s">
        <v>1281</v>
      </c>
      <c r="I73" s="20" t="s">
        <v>926</v>
      </c>
    </row>
    <row r="74" customFormat="false" ht="15" hidden="false" customHeight="false" outlineLevel="0" collapsed="false">
      <c r="A74" s="20" t="s">
        <v>1282</v>
      </c>
      <c r="B74" s="20" t="s">
        <v>1283</v>
      </c>
      <c r="C74" s="20" t="s">
        <v>1284</v>
      </c>
      <c r="D74" s="20" t="s">
        <v>965</v>
      </c>
      <c r="E74" s="20" t="s">
        <v>67</v>
      </c>
      <c r="F74" s="20"/>
      <c r="G74" s="20" t="s">
        <v>1285</v>
      </c>
      <c r="H74" s="20" t="s">
        <v>1286</v>
      </c>
      <c r="I74" s="20" t="s">
        <v>926</v>
      </c>
    </row>
    <row r="75" customFormat="false" ht="15" hidden="false" customHeight="false" outlineLevel="0" collapsed="false">
      <c r="A75" s="20" t="s">
        <v>962</v>
      </c>
      <c r="B75" s="20" t="s">
        <v>963</v>
      </c>
      <c r="C75" s="20" t="s">
        <v>964</v>
      </c>
      <c r="D75" s="20" t="s">
        <v>965</v>
      </c>
      <c r="E75" s="20" t="s">
        <v>966</v>
      </c>
      <c r="F75" s="20" t="s">
        <v>967</v>
      </c>
      <c r="G75" s="20" t="s">
        <v>1285</v>
      </c>
      <c r="H75" s="20" t="s">
        <v>968</v>
      </c>
      <c r="I75" s="20" t="s">
        <v>926</v>
      </c>
    </row>
    <row r="76" customFormat="false" ht="15" hidden="false" customHeight="false" outlineLevel="0" collapsed="false">
      <c r="A76" s="20" t="s">
        <v>1287</v>
      </c>
      <c r="B76" s="20" t="s">
        <v>1288</v>
      </c>
      <c r="C76" s="20" t="s">
        <v>1289</v>
      </c>
      <c r="D76" s="20" t="s">
        <v>1290</v>
      </c>
      <c r="E76" s="20" t="s">
        <v>78</v>
      </c>
      <c r="F76" s="20"/>
      <c r="G76" s="20" t="s">
        <v>1285</v>
      </c>
      <c r="H76" s="20" t="s">
        <v>1291</v>
      </c>
      <c r="I76" s="20" t="s">
        <v>926</v>
      </c>
    </row>
    <row r="77" customFormat="false" ht="15" hidden="false" customHeight="false" outlineLevel="0" collapsed="false">
      <c r="A77" s="20" t="s">
        <v>1292</v>
      </c>
      <c r="B77" s="20" t="s">
        <v>1293</v>
      </c>
      <c r="C77" s="20" t="s">
        <v>1294</v>
      </c>
      <c r="D77" s="20" t="s">
        <v>930</v>
      </c>
      <c r="E77" s="20" t="s">
        <v>999</v>
      </c>
      <c r="F77" s="20" t="s">
        <v>1295</v>
      </c>
      <c r="G77" s="20" t="s">
        <v>1285</v>
      </c>
      <c r="H77" s="20" t="s">
        <v>1296</v>
      </c>
      <c r="I77" s="20" t="s">
        <v>926</v>
      </c>
    </row>
    <row r="78" customFormat="false" ht="15" hidden="false" customHeight="false" outlineLevel="0" collapsed="false">
      <c r="A78" s="20" t="s">
        <v>1297</v>
      </c>
      <c r="B78" s="20" t="s">
        <v>1031</v>
      </c>
      <c r="C78" s="20" t="s">
        <v>1298</v>
      </c>
      <c r="D78" s="20" t="s">
        <v>1299</v>
      </c>
      <c r="E78" s="20" t="s">
        <v>999</v>
      </c>
      <c r="F78" s="20" t="s">
        <v>1300</v>
      </c>
      <c r="G78" s="20" t="s">
        <v>1285</v>
      </c>
      <c r="H78" s="20" t="s">
        <v>1301</v>
      </c>
      <c r="I78" s="20" t="s">
        <v>926</v>
      </c>
    </row>
    <row r="79" customFormat="false" ht="15" hidden="false" customHeight="false" outlineLevel="0" collapsed="false">
      <c r="A79" s="20" t="s">
        <v>995</v>
      </c>
      <c r="B79" s="20" t="s">
        <v>996</v>
      </c>
      <c r="C79" s="20" t="s">
        <v>997</v>
      </c>
      <c r="D79" s="20" t="s">
        <v>998</v>
      </c>
      <c r="E79" s="20" t="s">
        <v>999</v>
      </c>
      <c r="F79" s="20" t="s">
        <v>1000</v>
      </c>
      <c r="G79" s="20" t="s">
        <v>1285</v>
      </c>
      <c r="H79" s="20" t="s">
        <v>1001</v>
      </c>
      <c r="I79" s="20" t="s">
        <v>926</v>
      </c>
    </row>
    <row r="80" customFormat="false" ht="15" hidden="false" customHeight="false" outlineLevel="0" collapsed="false">
      <c r="A80" s="20" t="s">
        <v>1302</v>
      </c>
      <c r="B80" s="20" t="s">
        <v>1248</v>
      </c>
      <c r="C80" s="20" t="s">
        <v>1303</v>
      </c>
      <c r="D80" s="20" t="s">
        <v>992</v>
      </c>
      <c r="E80" s="20" t="s">
        <v>78</v>
      </c>
      <c r="F80" s="20" t="s">
        <v>1304</v>
      </c>
      <c r="G80" s="20" t="s">
        <v>1285</v>
      </c>
      <c r="H80" s="20" t="s">
        <v>1305</v>
      </c>
      <c r="I80" s="20" t="s">
        <v>926</v>
      </c>
    </row>
    <row r="81" customFormat="false" ht="15" hidden="false" customHeight="false" outlineLevel="0" collapsed="false">
      <c r="A81" s="20" t="s">
        <v>1006</v>
      </c>
      <c r="B81" s="20" t="s">
        <v>1007</v>
      </c>
      <c r="C81" s="20" t="s">
        <v>1008</v>
      </c>
      <c r="D81" s="20" t="s">
        <v>1004</v>
      </c>
      <c r="E81" s="20" t="s">
        <v>1009</v>
      </c>
      <c r="F81" s="20" t="s">
        <v>1010</v>
      </c>
      <c r="G81" s="20" t="s">
        <v>1285</v>
      </c>
      <c r="H81" s="20" t="s">
        <v>1011</v>
      </c>
      <c r="I81" s="20" t="s">
        <v>926</v>
      </c>
    </row>
    <row r="82" customFormat="false" ht="15" hidden="false" customHeight="false" outlineLevel="0" collapsed="false">
      <c r="A82" s="20" t="s">
        <v>1306</v>
      </c>
      <c r="B82" s="20" t="s">
        <v>1192</v>
      </c>
      <c r="C82" s="20" t="s">
        <v>1307</v>
      </c>
      <c r="D82" s="20" t="s">
        <v>1127</v>
      </c>
      <c r="E82" s="20" t="s">
        <v>78</v>
      </c>
      <c r="F82" s="20" t="s">
        <v>1097</v>
      </c>
      <c r="G82" s="20" t="s">
        <v>1285</v>
      </c>
      <c r="H82" s="20" t="s">
        <v>1308</v>
      </c>
      <c r="I82" s="20" t="s">
        <v>926</v>
      </c>
    </row>
    <row r="83" customFormat="false" ht="15" hidden="false" customHeight="false" outlineLevel="0" collapsed="false">
      <c r="A83" s="20" t="s">
        <v>1309</v>
      </c>
      <c r="B83" s="20" t="s">
        <v>1310</v>
      </c>
      <c r="C83" s="20" t="s">
        <v>1311</v>
      </c>
      <c r="D83" s="20" t="s">
        <v>992</v>
      </c>
      <c r="E83" s="20" t="s">
        <v>78</v>
      </c>
      <c r="F83" s="20" t="s">
        <v>1250</v>
      </c>
      <c r="G83" s="20" t="s">
        <v>1285</v>
      </c>
      <c r="H83" s="20" t="s">
        <v>1312</v>
      </c>
      <c r="I83" s="20" t="s">
        <v>926</v>
      </c>
    </row>
    <row r="84" customFormat="false" ht="15" hidden="false" customHeight="false" outlineLevel="0" collapsed="false">
      <c r="A84" s="20" t="s">
        <v>1313</v>
      </c>
      <c r="B84" s="20" t="s">
        <v>920</v>
      </c>
      <c r="C84" s="20" t="s">
        <v>1314</v>
      </c>
      <c r="D84" s="20" t="s">
        <v>992</v>
      </c>
      <c r="E84" s="20" t="s">
        <v>938</v>
      </c>
      <c r="F84" s="20"/>
      <c r="G84" s="20" t="s">
        <v>1285</v>
      </c>
      <c r="H84" s="20" t="s">
        <v>1315</v>
      </c>
      <c r="I84" s="20" t="s">
        <v>926</v>
      </c>
    </row>
    <row r="85" customFormat="false" ht="15" hidden="false" customHeight="false" outlineLevel="0" collapsed="false">
      <c r="A85" s="20" t="s">
        <v>1316</v>
      </c>
      <c r="B85" s="20" t="s">
        <v>920</v>
      </c>
      <c r="C85" s="20" t="s">
        <v>1317</v>
      </c>
      <c r="D85" s="20" t="s">
        <v>930</v>
      </c>
      <c r="E85" s="20" t="s">
        <v>67</v>
      </c>
      <c r="F85" s="20" t="s">
        <v>1033</v>
      </c>
      <c r="G85" s="20" t="s">
        <v>1285</v>
      </c>
      <c r="H85" s="20" t="s">
        <v>1318</v>
      </c>
      <c r="I85" s="20" t="s">
        <v>926</v>
      </c>
    </row>
    <row r="86" customFormat="false" ht="15" hidden="false" customHeight="false" outlineLevel="0" collapsed="false">
      <c r="A86" s="20" t="s">
        <v>1319</v>
      </c>
      <c r="B86" s="20" t="s">
        <v>1105</v>
      </c>
      <c r="C86" s="20" t="s">
        <v>1320</v>
      </c>
      <c r="D86" s="20" t="s">
        <v>1321</v>
      </c>
      <c r="E86" s="20" t="s">
        <v>931</v>
      </c>
      <c r="F86" s="20" t="s">
        <v>1322</v>
      </c>
      <c r="G86" s="20" t="s">
        <v>1285</v>
      </c>
      <c r="H86" s="20" t="s">
        <v>1323</v>
      </c>
      <c r="I86" s="20" t="s">
        <v>926</v>
      </c>
    </row>
    <row r="87" customFormat="false" ht="15" hidden="false" customHeight="false" outlineLevel="0" collapsed="false">
      <c r="A87" s="20" t="s">
        <v>1030</v>
      </c>
      <c r="B87" s="20" t="s">
        <v>1031</v>
      </c>
      <c r="C87" s="20" t="s">
        <v>1032</v>
      </c>
      <c r="D87" s="20" t="s">
        <v>930</v>
      </c>
      <c r="E87" s="20" t="s">
        <v>938</v>
      </c>
      <c r="F87" s="20" t="s">
        <v>1033</v>
      </c>
      <c r="G87" s="20" t="s">
        <v>1285</v>
      </c>
      <c r="H87" s="20" t="s">
        <v>1034</v>
      </c>
      <c r="I87" s="20" t="s">
        <v>926</v>
      </c>
    </row>
    <row r="88" customFormat="false" ht="15" hidden="false" customHeight="false" outlineLevel="0" collapsed="false">
      <c r="A88" s="20" t="s">
        <v>1324</v>
      </c>
      <c r="B88" s="20" t="s">
        <v>970</v>
      </c>
      <c r="C88" s="20" t="s">
        <v>1325</v>
      </c>
      <c r="D88" s="20" t="s">
        <v>1067</v>
      </c>
      <c r="E88" s="20" t="s">
        <v>1009</v>
      </c>
      <c r="F88" s="20"/>
      <c r="G88" s="20" t="s">
        <v>1285</v>
      </c>
      <c r="H88" s="20" t="s">
        <v>1326</v>
      </c>
      <c r="I88" s="20" t="s">
        <v>926</v>
      </c>
    </row>
    <row r="89" customFormat="false" ht="15" hidden="false" customHeight="false" outlineLevel="0" collapsed="false">
      <c r="A89" s="20" t="s">
        <v>1327</v>
      </c>
      <c r="B89" s="20" t="s">
        <v>920</v>
      </c>
      <c r="C89" s="20" t="s">
        <v>1328</v>
      </c>
      <c r="D89" s="20" t="s">
        <v>1127</v>
      </c>
      <c r="E89" s="20" t="s">
        <v>931</v>
      </c>
      <c r="F89" s="20" t="s">
        <v>1072</v>
      </c>
      <c r="G89" s="20" t="s">
        <v>1285</v>
      </c>
      <c r="H89" s="20" t="s">
        <v>1329</v>
      </c>
      <c r="I89" s="20" t="s">
        <v>926</v>
      </c>
    </row>
    <row r="90" customFormat="false" ht="15" hidden="false" customHeight="false" outlineLevel="0" collapsed="false">
      <c r="A90" s="20" t="s">
        <v>1330</v>
      </c>
      <c r="B90" s="20" t="s">
        <v>920</v>
      </c>
      <c r="C90" s="20" t="s">
        <v>1331</v>
      </c>
      <c r="D90" s="20" t="s">
        <v>992</v>
      </c>
      <c r="E90" s="20" t="s">
        <v>999</v>
      </c>
      <c r="F90" s="20" t="s">
        <v>1332</v>
      </c>
      <c r="G90" s="20" t="s">
        <v>1285</v>
      </c>
      <c r="H90" s="20" t="s">
        <v>1333</v>
      </c>
      <c r="I90" s="20" t="s">
        <v>926</v>
      </c>
    </row>
    <row r="91" customFormat="false" ht="15" hidden="false" customHeight="false" outlineLevel="0" collapsed="false">
      <c r="A91" s="20" t="s">
        <v>1334</v>
      </c>
      <c r="B91" s="20" t="s">
        <v>1335</v>
      </c>
      <c r="C91" s="20" t="s">
        <v>1336</v>
      </c>
      <c r="D91" s="20" t="s">
        <v>1337</v>
      </c>
      <c r="E91" s="20" t="s">
        <v>1338</v>
      </c>
      <c r="F91" s="20" t="s">
        <v>1339</v>
      </c>
      <c r="G91" s="20" t="s">
        <v>1285</v>
      </c>
      <c r="H91" s="20" t="s">
        <v>1340</v>
      </c>
      <c r="I91" s="20" t="s">
        <v>926</v>
      </c>
    </row>
    <row r="92" customFormat="false" ht="15" hidden="false" customHeight="false" outlineLevel="0" collapsed="false">
      <c r="A92" s="20" t="s">
        <v>1341</v>
      </c>
      <c r="B92" s="20" t="s">
        <v>1342</v>
      </c>
      <c r="C92" s="20" t="s">
        <v>1343</v>
      </c>
      <c r="D92" s="20" t="s">
        <v>1344</v>
      </c>
      <c r="E92" s="20" t="s">
        <v>999</v>
      </c>
      <c r="F92" s="20"/>
      <c r="G92" s="20" t="s">
        <v>1285</v>
      </c>
      <c r="H92" s="20" t="s">
        <v>1345</v>
      </c>
      <c r="I92" s="20" t="s">
        <v>926</v>
      </c>
    </row>
    <row r="93" customFormat="false" ht="15" hidden="false" customHeight="false" outlineLevel="0" collapsed="false">
      <c r="A93" s="20" t="s">
        <v>1346</v>
      </c>
      <c r="B93" s="20" t="s">
        <v>1288</v>
      </c>
      <c r="C93" s="20" t="s">
        <v>1347</v>
      </c>
      <c r="D93" s="20" t="s">
        <v>992</v>
      </c>
      <c r="E93" s="20" t="s">
        <v>999</v>
      </c>
      <c r="F93" s="20" t="s">
        <v>1348</v>
      </c>
      <c r="G93" s="20" t="s">
        <v>1285</v>
      </c>
      <c r="H93" s="20" t="s">
        <v>1349</v>
      </c>
      <c r="I93" s="20" t="s">
        <v>926</v>
      </c>
    </row>
    <row r="94" customFormat="false" ht="15" hidden="false" customHeight="false" outlineLevel="0" collapsed="false">
      <c r="A94" s="20" t="s">
        <v>1350</v>
      </c>
      <c r="B94" s="20" t="s">
        <v>1049</v>
      </c>
      <c r="C94" s="20" t="s">
        <v>1351</v>
      </c>
      <c r="D94" s="20" t="s">
        <v>992</v>
      </c>
      <c r="E94" s="20" t="s">
        <v>999</v>
      </c>
      <c r="F94" s="20" t="s">
        <v>1322</v>
      </c>
      <c r="G94" s="20" t="s">
        <v>1285</v>
      </c>
      <c r="H94" s="20" t="s">
        <v>1352</v>
      </c>
      <c r="I94" s="20" t="s">
        <v>926</v>
      </c>
    </row>
    <row r="95" customFormat="false" ht="15" hidden="false" customHeight="false" outlineLevel="0" collapsed="false">
      <c r="A95" s="20" t="s">
        <v>1353</v>
      </c>
      <c r="B95" s="20" t="s">
        <v>970</v>
      </c>
      <c r="C95" s="20" t="s">
        <v>1354</v>
      </c>
      <c r="D95" s="20" t="s">
        <v>1355</v>
      </c>
      <c r="E95" s="20" t="s">
        <v>78</v>
      </c>
      <c r="F95" s="20" t="s">
        <v>1356</v>
      </c>
      <c r="G95" s="20" t="s">
        <v>1285</v>
      </c>
      <c r="H95" s="20" t="s">
        <v>1357</v>
      </c>
      <c r="I95" s="20" t="s">
        <v>926</v>
      </c>
    </row>
    <row r="96" customFormat="false" ht="15" hidden="false" customHeight="false" outlineLevel="0" collapsed="false">
      <c r="A96" s="20" t="s">
        <v>1358</v>
      </c>
      <c r="B96" s="20" t="s">
        <v>1179</v>
      </c>
      <c r="C96" s="20" t="s">
        <v>1359</v>
      </c>
      <c r="D96" s="20" t="s">
        <v>1127</v>
      </c>
      <c r="E96" s="20" t="s">
        <v>1338</v>
      </c>
      <c r="F96" s="20" t="s">
        <v>1360</v>
      </c>
      <c r="G96" s="20" t="s">
        <v>1285</v>
      </c>
      <c r="H96" s="20" t="s">
        <v>1361</v>
      </c>
      <c r="I96" s="20" t="s">
        <v>926</v>
      </c>
    </row>
    <row r="97" customFormat="false" ht="15" hidden="false" customHeight="false" outlineLevel="0" collapsed="false">
      <c r="A97" s="20" t="s">
        <v>1362</v>
      </c>
      <c r="B97" s="20" t="s">
        <v>1363</v>
      </c>
      <c r="C97" s="20" t="s">
        <v>1364</v>
      </c>
      <c r="D97" s="20" t="s">
        <v>1127</v>
      </c>
      <c r="E97" s="20" t="s">
        <v>931</v>
      </c>
      <c r="F97" s="20" t="s">
        <v>1211</v>
      </c>
      <c r="G97" s="20" t="s">
        <v>1285</v>
      </c>
      <c r="H97" s="20" t="s">
        <v>1365</v>
      </c>
      <c r="I97" s="20" t="s">
        <v>926</v>
      </c>
    </row>
    <row r="98" customFormat="false" ht="15" hidden="false" customHeight="false" outlineLevel="0" collapsed="false">
      <c r="A98" s="20" t="s">
        <v>1366</v>
      </c>
      <c r="B98" s="20" t="s">
        <v>990</v>
      </c>
      <c r="C98" s="20" t="s">
        <v>1367</v>
      </c>
      <c r="D98" s="20" t="s">
        <v>972</v>
      </c>
      <c r="E98" s="20" t="s">
        <v>938</v>
      </c>
      <c r="F98" s="20" t="s">
        <v>1368</v>
      </c>
      <c r="G98" s="20" t="s">
        <v>1369</v>
      </c>
      <c r="H98" s="20" t="s">
        <v>1370</v>
      </c>
      <c r="I98" s="20" t="s">
        <v>926</v>
      </c>
    </row>
    <row r="99" customFormat="false" ht="15" hidden="false" customHeight="false" outlineLevel="0" collapsed="false">
      <c r="A99" s="20" t="s">
        <v>1371</v>
      </c>
      <c r="B99" s="20" t="s">
        <v>970</v>
      </c>
      <c r="C99" s="20" t="s">
        <v>1372</v>
      </c>
      <c r="D99" s="20" t="s">
        <v>965</v>
      </c>
      <c r="E99" s="20" t="s">
        <v>78</v>
      </c>
      <c r="F99" s="20" t="s">
        <v>1185</v>
      </c>
      <c r="G99" s="20" t="s">
        <v>1369</v>
      </c>
      <c r="H99" s="20" t="s">
        <v>1373</v>
      </c>
      <c r="I99" s="20" t="s">
        <v>926</v>
      </c>
    </row>
    <row r="100" customFormat="false" ht="15" hidden="false" customHeight="false" outlineLevel="0" collapsed="false">
      <c r="A100" s="20" t="s">
        <v>956</v>
      </c>
      <c r="B100" s="20" t="s">
        <v>957</v>
      </c>
      <c r="C100" s="20" t="s">
        <v>958</v>
      </c>
      <c r="D100" s="20" t="s">
        <v>930</v>
      </c>
      <c r="E100" s="20" t="s">
        <v>959</v>
      </c>
      <c r="F100" s="20" t="s">
        <v>960</v>
      </c>
      <c r="G100" s="20" t="s">
        <v>1369</v>
      </c>
      <c r="H100" s="20" t="s">
        <v>961</v>
      </c>
      <c r="I100" s="20" t="s">
        <v>926</v>
      </c>
    </row>
    <row r="101" customFormat="false" ht="15" hidden="false" customHeight="false" outlineLevel="0" collapsed="false">
      <c r="A101" s="20" t="s">
        <v>1374</v>
      </c>
      <c r="B101" s="20" t="s">
        <v>1375</v>
      </c>
      <c r="C101" s="20" t="s">
        <v>1376</v>
      </c>
      <c r="D101" s="20" t="s">
        <v>1377</v>
      </c>
      <c r="E101" s="20" t="s">
        <v>938</v>
      </c>
      <c r="F101" s="20" t="s">
        <v>1378</v>
      </c>
      <c r="G101" s="20" t="s">
        <v>1369</v>
      </c>
      <c r="H101" s="20" t="s">
        <v>1379</v>
      </c>
      <c r="I101" s="20" t="s">
        <v>926</v>
      </c>
    </row>
    <row r="102" customFormat="false" ht="15" hidden="false" customHeight="false" outlineLevel="0" collapsed="false">
      <c r="A102" s="20" t="s">
        <v>1380</v>
      </c>
      <c r="B102" s="20" t="s">
        <v>1381</v>
      </c>
      <c r="C102" s="20" t="s">
        <v>1382</v>
      </c>
      <c r="D102" s="20" t="s">
        <v>1383</v>
      </c>
      <c r="E102" s="20" t="s">
        <v>78</v>
      </c>
      <c r="F102" s="20" t="s">
        <v>1384</v>
      </c>
      <c r="G102" s="20" t="s">
        <v>1369</v>
      </c>
      <c r="H102" s="20" t="s">
        <v>1385</v>
      </c>
      <c r="I102" s="20" t="s">
        <v>926</v>
      </c>
    </row>
    <row r="103" customFormat="false" ht="15" hidden="false" customHeight="false" outlineLevel="0" collapsed="false">
      <c r="A103" s="20" t="s">
        <v>1386</v>
      </c>
      <c r="B103" s="20" t="s">
        <v>920</v>
      </c>
      <c r="C103" s="20" t="s">
        <v>1387</v>
      </c>
      <c r="D103" s="20" t="s">
        <v>943</v>
      </c>
      <c r="E103" s="20" t="s">
        <v>78</v>
      </c>
      <c r="F103" s="20" t="s">
        <v>1388</v>
      </c>
      <c r="G103" s="20" t="s">
        <v>1369</v>
      </c>
      <c r="H103" s="20" t="s">
        <v>1389</v>
      </c>
      <c r="I103" s="20" t="s">
        <v>926</v>
      </c>
    </row>
    <row r="104" customFormat="false" ht="15" hidden="false" customHeight="false" outlineLevel="0" collapsed="false">
      <c r="A104" s="20" t="s">
        <v>1390</v>
      </c>
      <c r="B104" s="20"/>
      <c r="C104" s="20" t="s">
        <v>1391</v>
      </c>
      <c r="D104" s="20"/>
      <c r="E104" s="20" t="s">
        <v>78</v>
      </c>
      <c r="F104" s="20" t="s">
        <v>1097</v>
      </c>
      <c r="G104" s="20" t="s">
        <v>1369</v>
      </c>
      <c r="H104" s="20" t="s">
        <v>1392</v>
      </c>
      <c r="I104" s="20" t="s">
        <v>926</v>
      </c>
    </row>
    <row r="105" customFormat="false" ht="15" hidden="false" customHeight="false" outlineLevel="0" collapsed="false">
      <c r="A105" s="20" t="s">
        <v>1393</v>
      </c>
      <c r="B105" s="20" t="s">
        <v>1192</v>
      </c>
      <c r="C105" s="20" t="s">
        <v>1394</v>
      </c>
      <c r="D105" s="20" t="s">
        <v>972</v>
      </c>
      <c r="E105" s="20" t="s">
        <v>1395</v>
      </c>
      <c r="F105" s="20"/>
      <c r="G105" s="20" t="s">
        <v>1369</v>
      </c>
      <c r="H105" s="20" t="s">
        <v>1396</v>
      </c>
      <c r="I105" s="20" t="s">
        <v>926</v>
      </c>
    </row>
    <row r="106" customFormat="false" ht="15" hidden="false" customHeight="false" outlineLevel="0" collapsed="false">
      <c r="A106" s="20" t="s">
        <v>1397</v>
      </c>
      <c r="B106" s="20" t="s">
        <v>1398</v>
      </c>
      <c r="C106" s="20" t="s">
        <v>1399</v>
      </c>
      <c r="D106" s="20" t="s">
        <v>992</v>
      </c>
      <c r="E106" s="20" t="s">
        <v>78</v>
      </c>
      <c r="F106" s="20" t="s">
        <v>1097</v>
      </c>
      <c r="G106" s="20" t="s">
        <v>1369</v>
      </c>
      <c r="H106" s="20" t="s">
        <v>1400</v>
      </c>
      <c r="I106" s="20" t="s">
        <v>926</v>
      </c>
    </row>
    <row r="107" customFormat="false" ht="15" hidden="false" customHeight="false" outlineLevel="0" collapsed="false">
      <c r="A107" s="20" t="s">
        <v>1401</v>
      </c>
      <c r="B107" s="20" t="s">
        <v>1242</v>
      </c>
      <c r="C107" s="20" t="s">
        <v>1402</v>
      </c>
      <c r="D107" s="20" t="s">
        <v>1403</v>
      </c>
      <c r="E107" s="20" t="s">
        <v>1404</v>
      </c>
      <c r="F107" s="20" t="s">
        <v>1368</v>
      </c>
      <c r="G107" s="20" t="s">
        <v>1369</v>
      </c>
      <c r="H107" s="20" t="s">
        <v>1405</v>
      </c>
      <c r="I107" s="20" t="s">
        <v>926</v>
      </c>
    </row>
    <row r="108" customFormat="false" ht="15" hidden="false" customHeight="false" outlineLevel="0" collapsed="false">
      <c r="A108" s="20" t="s">
        <v>1406</v>
      </c>
      <c r="B108" s="20" t="s">
        <v>935</v>
      </c>
      <c r="C108" s="20" t="s">
        <v>1407</v>
      </c>
      <c r="D108" s="20" t="s">
        <v>992</v>
      </c>
      <c r="E108" s="20" t="s">
        <v>78</v>
      </c>
      <c r="F108" s="20" t="s">
        <v>1408</v>
      </c>
      <c r="G108" s="20" t="s">
        <v>1369</v>
      </c>
      <c r="H108" s="20" t="s">
        <v>1409</v>
      </c>
      <c r="I108" s="20" t="s">
        <v>926</v>
      </c>
    </row>
    <row r="109" customFormat="false" ht="15" hidden="false" customHeight="false" outlineLevel="0" collapsed="false">
      <c r="A109" s="20" t="s">
        <v>1410</v>
      </c>
      <c r="B109" s="20" t="s">
        <v>1411</v>
      </c>
      <c r="C109" s="20" t="s">
        <v>1412</v>
      </c>
      <c r="D109" s="20" t="s">
        <v>943</v>
      </c>
      <c r="E109" s="20" t="s">
        <v>78</v>
      </c>
      <c r="F109" s="20" t="s">
        <v>1097</v>
      </c>
      <c r="G109" s="20" t="s">
        <v>1369</v>
      </c>
      <c r="H109" s="20" t="s">
        <v>1413</v>
      </c>
      <c r="I109" s="20" t="s">
        <v>926</v>
      </c>
    </row>
    <row r="110" customFormat="false" ht="15" hidden="false" customHeight="false" outlineLevel="0" collapsed="false">
      <c r="A110" s="20" t="s">
        <v>1414</v>
      </c>
      <c r="B110" s="20" t="s">
        <v>1070</v>
      </c>
      <c r="C110" s="20" t="s">
        <v>1415</v>
      </c>
      <c r="D110" s="20" t="s">
        <v>1290</v>
      </c>
      <c r="E110" s="20" t="s">
        <v>78</v>
      </c>
      <c r="F110" s="20" t="s">
        <v>1416</v>
      </c>
      <c r="G110" s="20" t="s">
        <v>1369</v>
      </c>
      <c r="H110" s="20" t="s">
        <v>1417</v>
      </c>
      <c r="I110" s="20" t="s">
        <v>926</v>
      </c>
    </row>
    <row r="111" customFormat="false" ht="15" hidden="false" customHeight="false" outlineLevel="0" collapsed="false">
      <c r="A111" s="20" t="s">
        <v>1418</v>
      </c>
      <c r="B111" s="20" t="s">
        <v>1007</v>
      </c>
      <c r="C111" s="20" t="s">
        <v>1419</v>
      </c>
      <c r="D111" s="20" t="s">
        <v>1420</v>
      </c>
      <c r="E111" s="20" t="s">
        <v>1116</v>
      </c>
      <c r="F111" s="20" t="s">
        <v>1421</v>
      </c>
      <c r="G111" s="20" t="s">
        <v>1369</v>
      </c>
      <c r="H111" s="20" t="s">
        <v>1422</v>
      </c>
      <c r="I111" s="20" t="s">
        <v>926</v>
      </c>
    </row>
    <row r="112" customFormat="false" ht="15" hidden="false" customHeight="false" outlineLevel="0" collapsed="false">
      <c r="A112" s="20" t="s">
        <v>1423</v>
      </c>
      <c r="B112" s="20" t="s">
        <v>1007</v>
      </c>
      <c r="C112" s="20" t="s">
        <v>1424</v>
      </c>
      <c r="D112" s="20" t="s">
        <v>1425</v>
      </c>
      <c r="E112" s="20" t="s">
        <v>999</v>
      </c>
      <c r="F112" s="20" t="s">
        <v>1426</v>
      </c>
      <c r="G112" s="20" t="s">
        <v>1369</v>
      </c>
      <c r="H112" s="20" t="s">
        <v>1427</v>
      </c>
      <c r="I112" s="20" t="s">
        <v>926</v>
      </c>
    </row>
    <row r="113" customFormat="false" ht="15" hidden="false" customHeight="false" outlineLevel="0" collapsed="false">
      <c r="A113" s="20" t="s">
        <v>1428</v>
      </c>
      <c r="B113" s="20" t="s">
        <v>1070</v>
      </c>
      <c r="C113" s="20" t="s">
        <v>1429</v>
      </c>
      <c r="D113" s="20" t="s">
        <v>1127</v>
      </c>
      <c r="E113" s="20" t="s">
        <v>78</v>
      </c>
      <c r="F113" s="20"/>
      <c r="G113" s="20" t="s">
        <v>1369</v>
      </c>
      <c r="H113" s="20" t="s">
        <v>1430</v>
      </c>
      <c r="I113" s="20" t="s">
        <v>926</v>
      </c>
    </row>
    <row r="114" customFormat="false" ht="15" hidden="false" customHeight="false" outlineLevel="0" collapsed="false">
      <c r="A114" s="20" t="s">
        <v>1431</v>
      </c>
      <c r="B114" s="20" t="s">
        <v>928</v>
      </c>
      <c r="C114" s="20" t="s">
        <v>1432</v>
      </c>
      <c r="D114" s="20" t="s">
        <v>992</v>
      </c>
      <c r="E114" s="20" t="s">
        <v>1395</v>
      </c>
      <c r="F114" s="20" t="s">
        <v>1433</v>
      </c>
      <c r="G114" s="20" t="s">
        <v>1369</v>
      </c>
      <c r="H114" s="20" t="s">
        <v>1434</v>
      </c>
      <c r="I114" s="20" t="s">
        <v>926</v>
      </c>
    </row>
    <row r="115" customFormat="false" ht="15" hidden="false" customHeight="false" outlineLevel="0" collapsed="false">
      <c r="A115" s="20" t="s">
        <v>1435</v>
      </c>
      <c r="B115" s="20" t="s">
        <v>1436</v>
      </c>
      <c r="C115" s="20" t="s">
        <v>1437</v>
      </c>
      <c r="D115" s="20" t="s">
        <v>1438</v>
      </c>
      <c r="E115" s="20" t="s">
        <v>938</v>
      </c>
      <c r="F115" s="20" t="s">
        <v>1439</v>
      </c>
      <c r="G115" s="20" t="s">
        <v>1369</v>
      </c>
      <c r="H115" s="20" t="s">
        <v>1440</v>
      </c>
      <c r="I115" s="20" t="s">
        <v>926</v>
      </c>
    </row>
    <row r="116" customFormat="false" ht="15" hidden="false" customHeight="false" outlineLevel="0" collapsed="false">
      <c r="A116" s="20" t="s">
        <v>1441</v>
      </c>
      <c r="B116" s="20" t="s">
        <v>1442</v>
      </c>
      <c r="C116" s="20" t="s">
        <v>1443</v>
      </c>
      <c r="D116" s="20" t="s">
        <v>930</v>
      </c>
      <c r="E116" s="20" t="s">
        <v>931</v>
      </c>
      <c r="F116" s="20" t="s">
        <v>1444</v>
      </c>
      <c r="G116" s="20" t="s">
        <v>1369</v>
      </c>
      <c r="H116" s="20" t="s">
        <v>1445</v>
      </c>
      <c r="I116" s="20" t="s">
        <v>926</v>
      </c>
    </row>
    <row r="117" customFormat="false" ht="15" hidden="false" customHeight="false" outlineLevel="0" collapsed="false">
      <c r="A117" s="20" t="s">
        <v>1446</v>
      </c>
      <c r="B117" s="20" t="s">
        <v>920</v>
      </c>
      <c r="C117" s="20" t="s">
        <v>1447</v>
      </c>
      <c r="D117" s="20" t="s">
        <v>1448</v>
      </c>
      <c r="E117" s="20" t="s">
        <v>999</v>
      </c>
      <c r="F117" s="20"/>
      <c r="G117" s="20" t="s">
        <v>1369</v>
      </c>
      <c r="H117" s="20" t="s">
        <v>1449</v>
      </c>
      <c r="I117" s="20" t="s">
        <v>926</v>
      </c>
    </row>
    <row r="118" customFormat="false" ht="15" hidden="false" customHeight="false" outlineLevel="0" collapsed="false">
      <c r="A118" s="20" t="s">
        <v>1450</v>
      </c>
      <c r="B118" s="20" t="s">
        <v>920</v>
      </c>
      <c r="C118" s="20" t="s">
        <v>1451</v>
      </c>
      <c r="D118" s="20" t="s">
        <v>992</v>
      </c>
      <c r="E118" s="20" t="s">
        <v>959</v>
      </c>
      <c r="F118" s="20"/>
      <c r="G118" s="20" t="s">
        <v>1369</v>
      </c>
      <c r="H118" s="20" t="s">
        <v>1452</v>
      </c>
      <c r="I118" s="20" t="s">
        <v>926</v>
      </c>
    </row>
    <row r="119" customFormat="false" ht="15" hidden="false" customHeight="false" outlineLevel="0" collapsed="false">
      <c r="A119" s="20" t="s">
        <v>1129</v>
      </c>
      <c r="B119" s="20" t="s">
        <v>1130</v>
      </c>
      <c r="C119" s="20" t="s">
        <v>1131</v>
      </c>
      <c r="D119" s="20" t="s">
        <v>1132</v>
      </c>
      <c r="E119" s="20" t="s">
        <v>1025</v>
      </c>
      <c r="F119" s="20"/>
      <c r="G119" s="20" t="s">
        <v>1369</v>
      </c>
      <c r="H119" s="20" t="s">
        <v>1133</v>
      </c>
      <c r="I119" s="20" t="s">
        <v>926</v>
      </c>
    </row>
    <row r="120" customFormat="false" ht="15" hidden="false" customHeight="false" outlineLevel="0" collapsed="false">
      <c r="A120" s="20" t="s">
        <v>1453</v>
      </c>
      <c r="B120" s="20" t="s">
        <v>928</v>
      </c>
      <c r="C120" s="20" t="s">
        <v>1454</v>
      </c>
      <c r="D120" s="20" t="s">
        <v>992</v>
      </c>
      <c r="E120" s="20" t="s">
        <v>966</v>
      </c>
      <c r="F120" s="20"/>
      <c r="G120" s="20" t="s">
        <v>1369</v>
      </c>
      <c r="H120" s="20" t="s">
        <v>1455</v>
      </c>
      <c r="I120" s="20" t="s">
        <v>926</v>
      </c>
    </row>
    <row r="121" customFormat="false" ht="15" hidden="false" customHeight="false" outlineLevel="0" collapsed="false">
      <c r="A121" s="20" t="s">
        <v>1456</v>
      </c>
      <c r="B121" s="20" t="s">
        <v>1457</v>
      </c>
      <c r="C121" s="20" t="s">
        <v>1458</v>
      </c>
      <c r="D121" s="20" t="s">
        <v>972</v>
      </c>
      <c r="E121" s="20" t="s">
        <v>1076</v>
      </c>
      <c r="F121" s="20" t="s">
        <v>1137</v>
      </c>
      <c r="G121" s="20" t="s">
        <v>1369</v>
      </c>
      <c r="H121" s="20" t="s">
        <v>1459</v>
      </c>
      <c r="I121" s="20" t="s">
        <v>926</v>
      </c>
    </row>
    <row r="122" customFormat="false" ht="15" hidden="false" customHeight="false" outlineLevel="0" collapsed="false">
      <c r="A122" s="20" t="s">
        <v>1460</v>
      </c>
      <c r="B122" s="20" t="s">
        <v>970</v>
      </c>
      <c r="C122" s="20" t="s">
        <v>1461</v>
      </c>
      <c r="D122" s="20" t="s">
        <v>1462</v>
      </c>
      <c r="E122" s="20" t="s">
        <v>966</v>
      </c>
      <c r="F122" s="20" t="s">
        <v>1463</v>
      </c>
      <c r="G122" s="20" t="s">
        <v>1464</v>
      </c>
      <c r="H122" s="20" t="s">
        <v>1465</v>
      </c>
      <c r="I122" s="20" t="s">
        <v>926</v>
      </c>
    </row>
    <row r="123" customFormat="false" ht="15" hidden="false" customHeight="false" outlineLevel="0" collapsed="false">
      <c r="A123" s="20" t="s">
        <v>1466</v>
      </c>
      <c r="B123" s="20" t="s">
        <v>1467</v>
      </c>
      <c r="C123" s="20" t="s">
        <v>1468</v>
      </c>
      <c r="D123" s="20" t="s">
        <v>992</v>
      </c>
      <c r="E123" s="20" t="s">
        <v>1025</v>
      </c>
      <c r="F123" s="20" t="s">
        <v>1304</v>
      </c>
      <c r="G123" s="20" t="s">
        <v>1464</v>
      </c>
      <c r="H123" s="20" t="s">
        <v>1469</v>
      </c>
      <c r="I123" s="20" t="s">
        <v>926</v>
      </c>
    </row>
    <row r="124" customFormat="false" ht="15" hidden="false" customHeight="false" outlineLevel="0" collapsed="false">
      <c r="A124" s="20" t="s">
        <v>1470</v>
      </c>
      <c r="B124" s="20" t="s">
        <v>1031</v>
      </c>
      <c r="C124" s="20" t="s">
        <v>1471</v>
      </c>
      <c r="D124" s="20" t="s">
        <v>965</v>
      </c>
      <c r="E124" s="20" t="s">
        <v>1025</v>
      </c>
      <c r="F124" s="20" t="s">
        <v>1304</v>
      </c>
      <c r="G124" s="20" t="s">
        <v>1464</v>
      </c>
      <c r="H124" s="20" t="s">
        <v>1472</v>
      </c>
      <c r="I124" s="20" t="s">
        <v>926</v>
      </c>
    </row>
    <row r="125" customFormat="false" ht="15" hidden="false" customHeight="false" outlineLevel="0" collapsed="false">
      <c r="A125" s="20" t="s">
        <v>1473</v>
      </c>
      <c r="B125" s="20" t="s">
        <v>970</v>
      </c>
      <c r="C125" s="20" t="s">
        <v>1474</v>
      </c>
      <c r="D125" s="20" t="s">
        <v>1475</v>
      </c>
      <c r="E125" s="20" t="s">
        <v>1025</v>
      </c>
      <c r="F125" s="20" t="s">
        <v>1304</v>
      </c>
      <c r="G125" s="20" t="s">
        <v>1464</v>
      </c>
      <c r="H125" s="20" t="s">
        <v>1476</v>
      </c>
      <c r="I125" s="20" t="s">
        <v>926</v>
      </c>
    </row>
    <row r="126" customFormat="false" ht="15" hidden="false" customHeight="false" outlineLevel="0" collapsed="false">
      <c r="A126" s="20" t="s">
        <v>1477</v>
      </c>
      <c r="B126" s="20" t="s">
        <v>1478</v>
      </c>
      <c r="C126" s="20" t="s">
        <v>1479</v>
      </c>
      <c r="D126" s="20" t="s">
        <v>1480</v>
      </c>
      <c r="E126" s="20" t="s">
        <v>78</v>
      </c>
      <c r="F126" s="20" t="s">
        <v>1481</v>
      </c>
      <c r="G126" s="20" t="s">
        <v>1464</v>
      </c>
      <c r="H126" s="20" t="s">
        <v>1482</v>
      </c>
      <c r="I126" s="20" t="s">
        <v>926</v>
      </c>
    </row>
    <row r="127" customFormat="false" ht="15" hidden="false" customHeight="false" outlineLevel="0" collapsed="false">
      <c r="A127" s="20" t="s">
        <v>1483</v>
      </c>
      <c r="B127" s="20" t="s">
        <v>1085</v>
      </c>
      <c r="C127" s="20" t="s">
        <v>1484</v>
      </c>
      <c r="D127" s="20" t="s">
        <v>930</v>
      </c>
      <c r="E127" s="20" t="s">
        <v>1025</v>
      </c>
      <c r="F127" s="20"/>
      <c r="G127" s="20" t="s">
        <v>1464</v>
      </c>
      <c r="H127" s="20" t="s">
        <v>1485</v>
      </c>
      <c r="I127" s="20" t="s">
        <v>926</v>
      </c>
    </row>
    <row r="128" customFormat="false" ht="15" hidden="false" customHeight="false" outlineLevel="0" collapsed="false">
      <c r="A128" s="20" t="s">
        <v>1486</v>
      </c>
      <c r="B128" s="20" t="s">
        <v>1487</v>
      </c>
      <c r="C128" s="20" t="s">
        <v>1488</v>
      </c>
      <c r="D128" s="20" t="s">
        <v>972</v>
      </c>
      <c r="E128" s="20" t="s">
        <v>78</v>
      </c>
      <c r="F128" s="20" t="s">
        <v>1489</v>
      </c>
      <c r="G128" s="20" t="s">
        <v>1464</v>
      </c>
      <c r="H128" s="20" t="s">
        <v>1490</v>
      </c>
      <c r="I128" s="20" t="s">
        <v>926</v>
      </c>
    </row>
    <row r="129" customFormat="false" ht="15" hidden="false" customHeight="false" outlineLevel="0" collapsed="false">
      <c r="A129" s="20" t="s">
        <v>1491</v>
      </c>
      <c r="B129" s="20" t="s">
        <v>1492</v>
      </c>
      <c r="C129" s="20" t="s">
        <v>1493</v>
      </c>
      <c r="D129" s="20" t="s">
        <v>1494</v>
      </c>
      <c r="E129" s="20" t="s">
        <v>1025</v>
      </c>
      <c r="F129" s="20"/>
      <c r="G129" s="20" t="s">
        <v>1464</v>
      </c>
      <c r="H129" s="20" t="s">
        <v>1495</v>
      </c>
      <c r="I129" s="20" t="s">
        <v>926</v>
      </c>
    </row>
    <row r="130" customFormat="false" ht="15" hidden="false" customHeight="false" outlineLevel="0" collapsed="false">
      <c r="A130" s="20" t="s">
        <v>1496</v>
      </c>
      <c r="B130" s="20" t="s">
        <v>1497</v>
      </c>
      <c r="C130" s="20" t="s">
        <v>1498</v>
      </c>
      <c r="D130" s="20" t="s">
        <v>1462</v>
      </c>
      <c r="E130" s="20" t="s">
        <v>1025</v>
      </c>
      <c r="F130" s="20"/>
      <c r="G130" s="20" t="s">
        <v>1464</v>
      </c>
      <c r="H130" s="20" t="s">
        <v>1499</v>
      </c>
      <c r="I130" s="20" t="s">
        <v>926</v>
      </c>
    </row>
    <row r="131" customFormat="false" ht="15" hidden="false" customHeight="false" outlineLevel="0" collapsed="false">
      <c r="A131" s="20" t="s">
        <v>1500</v>
      </c>
      <c r="B131" s="20" t="s">
        <v>1501</v>
      </c>
      <c r="C131" s="20" t="s">
        <v>1502</v>
      </c>
      <c r="D131" s="20" t="s">
        <v>1503</v>
      </c>
      <c r="E131" s="20" t="s">
        <v>1025</v>
      </c>
      <c r="F131" s="20"/>
      <c r="G131" s="20" t="s">
        <v>1464</v>
      </c>
      <c r="H131" s="20" t="s">
        <v>1504</v>
      </c>
      <c r="I131" s="20" t="s">
        <v>926</v>
      </c>
    </row>
    <row r="132" customFormat="false" ht="15" hidden="false" customHeight="false" outlineLevel="0" collapsed="false">
      <c r="A132" s="20" t="s">
        <v>1505</v>
      </c>
      <c r="B132" s="20" t="s">
        <v>1497</v>
      </c>
      <c r="C132" s="20" t="s">
        <v>1506</v>
      </c>
      <c r="D132" s="20" t="s">
        <v>1462</v>
      </c>
      <c r="E132" s="20" t="s">
        <v>1025</v>
      </c>
      <c r="F132" s="20"/>
      <c r="G132" s="20" t="s">
        <v>1464</v>
      </c>
      <c r="H132" s="20" t="s">
        <v>1507</v>
      </c>
      <c r="I132" s="20" t="s">
        <v>926</v>
      </c>
    </row>
    <row r="133" customFormat="false" ht="15" hidden="false" customHeight="false" outlineLevel="0" collapsed="false">
      <c r="A133" s="20" t="s">
        <v>1508</v>
      </c>
      <c r="B133" s="20" t="s">
        <v>1091</v>
      </c>
      <c r="C133" s="20" t="s">
        <v>1509</v>
      </c>
      <c r="D133" s="20" t="s">
        <v>1510</v>
      </c>
      <c r="E133" s="20" t="s">
        <v>1025</v>
      </c>
      <c r="F133" s="20"/>
      <c r="G133" s="20" t="s">
        <v>1464</v>
      </c>
      <c r="H133" s="20" t="s">
        <v>1511</v>
      </c>
      <c r="I133" s="20" t="s">
        <v>926</v>
      </c>
    </row>
    <row r="134" customFormat="false" ht="15" hidden="false" customHeight="false" outlineLevel="0" collapsed="false">
      <c r="A134" s="20" t="s">
        <v>1512</v>
      </c>
      <c r="B134" s="20" t="s">
        <v>920</v>
      </c>
      <c r="C134" s="20" t="s">
        <v>1513</v>
      </c>
      <c r="D134" s="20" t="s">
        <v>1165</v>
      </c>
      <c r="E134" s="20" t="s">
        <v>938</v>
      </c>
      <c r="F134" s="20" t="s">
        <v>1514</v>
      </c>
      <c r="G134" s="20" t="s">
        <v>1464</v>
      </c>
      <c r="H134" s="20" t="s">
        <v>1515</v>
      </c>
      <c r="I134" s="20" t="s">
        <v>926</v>
      </c>
    </row>
    <row r="135" customFormat="false" ht="15" hidden="false" customHeight="false" outlineLevel="0" collapsed="false">
      <c r="A135" s="20" t="s">
        <v>1516</v>
      </c>
      <c r="B135" s="20" t="s">
        <v>1517</v>
      </c>
      <c r="C135" s="20" t="s">
        <v>1518</v>
      </c>
      <c r="D135" s="20" t="s">
        <v>965</v>
      </c>
      <c r="E135" s="20" t="s">
        <v>67</v>
      </c>
      <c r="F135" s="20" t="s">
        <v>1519</v>
      </c>
      <c r="G135" s="20" t="s">
        <v>1464</v>
      </c>
      <c r="H135" s="20" t="s">
        <v>1520</v>
      </c>
      <c r="I135" s="20" t="s">
        <v>926</v>
      </c>
    </row>
    <row r="136" customFormat="false" ht="15" hidden="false" customHeight="false" outlineLevel="0" collapsed="false">
      <c r="A136" s="20" t="s">
        <v>1521</v>
      </c>
      <c r="B136" s="20" t="s">
        <v>996</v>
      </c>
      <c r="C136" s="20" t="s">
        <v>1522</v>
      </c>
      <c r="D136" s="20" t="s">
        <v>1523</v>
      </c>
      <c r="E136" s="20" t="s">
        <v>959</v>
      </c>
      <c r="F136" s="20" t="s">
        <v>1260</v>
      </c>
      <c r="G136" s="20" t="s">
        <v>1464</v>
      </c>
      <c r="H136" s="20" t="s">
        <v>1524</v>
      </c>
      <c r="I136" s="20" t="s">
        <v>926</v>
      </c>
    </row>
    <row r="137" customFormat="false" ht="15" hidden="false" customHeight="false" outlineLevel="0" collapsed="false">
      <c r="A137" s="20" t="s">
        <v>1525</v>
      </c>
      <c r="B137" s="20" t="s">
        <v>920</v>
      </c>
      <c r="C137" s="20" t="s">
        <v>1526</v>
      </c>
      <c r="D137" s="20" t="s">
        <v>1527</v>
      </c>
      <c r="E137" s="20" t="s">
        <v>931</v>
      </c>
      <c r="F137" s="20"/>
      <c r="G137" s="20" t="s">
        <v>1464</v>
      </c>
      <c r="H137" s="20" t="s">
        <v>1528</v>
      </c>
      <c r="I137" s="20" t="s">
        <v>926</v>
      </c>
    </row>
    <row r="138" customFormat="false" ht="15" hidden="false" customHeight="false" outlineLevel="0" collapsed="false">
      <c r="A138" s="20" t="s">
        <v>1302</v>
      </c>
      <c r="B138" s="20" t="s">
        <v>1248</v>
      </c>
      <c r="C138" s="20" t="s">
        <v>1303</v>
      </c>
      <c r="D138" s="20" t="s">
        <v>992</v>
      </c>
      <c r="E138" s="20" t="s">
        <v>78</v>
      </c>
      <c r="F138" s="20" t="s">
        <v>1304</v>
      </c>
      <c r="G138" s="20" t="s">
        <v>1464</v>
      </c>
      <c r="H138" s="20" t="s">
        <v>1305</v>
      </c>
      <c r="I138" s="20" t="s">
        <v>926</v>
      </c>
    </row>
    <row r="139" customFormat="false" ht="15" hidden="false" customHeight="false" outlineLevel="0" collapsed="false">
      <c r="A139" s="20" t="s">
        <v>1529</v>
      </c>
      <c r="B139" s="20" t="s">
        <v>1530</v>
      </c>
      <c r="C139" s="20" t="s">
        <v>1531</v>
      </c>
      <c r="D139" s="20" t="s">
        <v>1004</v>
      </c>
      <c r="E139" s="20" t="s">
        <v>1009</v>
      </c>
      <c r="F139" s="20" t="s">
        <v>1532</v>
      </c>
      <c r="G139" s="20" t="s">
        <v>1464</v>
      </c>
      <c r="H139" s="20" t="s">
        <v>1533</v>
      </c>
      <c r="I139" s="20" t="s">
        <v>926</v>
      </c>
    </row>
    <row r="140" customFormat="false" ht="15" hidden="false" customHeight="false" outlineLevel="0" collapsed="false">
      <c r="A140" s="20" t="s">
        <v>1534</v>
      </c>
      <c r="B140" s="20" t="s">
        <v>1535</v>
      </c>
      <c r="C140" s="20" t="s">
        <v>1536</v>
      </c>
      <c r="D140" s="20" t="s">
        <v>1537</v>
      </c>
      <c r="E140" s="20" t="s">
        <v>999</v>
      </c>
      <c r="F140" s="20" t="s">
        <v>1538</v>
      </c>
      <c r="G140" s="20" t="s">
        <v>1464</v>
      </c>
      <c r="H140" s="20" t="s">
        <v>1539</v>
      </c>
      <c r="I140" s="20" t="s">
        <v>926</v>
      </c>
    </row>
    <row r="141" customFormat="false" ht="15" hidden="false" customHeight="false" outlineLevel="0" collapsed="false">
      <c r="A141" s="20" t="s">
        <v>1540</v>
      </c>
      <c r="B141" s="20" t="s">
        <v>928</v>
      </c>
      <c r="C141" s="20" t="s">
        <v>1541</v>
      </c>
      <c r="D141" s="20" t="s">
        <v>1542</v>
      </c>
      <c r="E141" s="20" t="s">
        <v>1009</v>
      </c>
      <c r="F141" s="20" t="s">
        <v>1543</v>
      </c>
      <c r="G141" s="20" t="s">
        <v>1464</v>
      </c>
      <c r="H141" s="20" t="s">
        <v>1544</v>
      </c>
      <c r="I141" s="20" t="s">
        <v>926</v>
      </c>
    </row>
    <row r="142" customFormat="false" ht="15" hidden="false" customHeight="false" outlineLevel="0" collapsed="false">
      <c r="A142" s="20" t="s">
        <v>1545</v>
      </c>
      <c r="B142" s="20" t="s">
        <v>1023</v>
      </c>
      <c r="C142" s="20" t="s">
        <v>1546</v>
      </c>
      <c r="D142" s="20" t="s">
        <v>965</v>
      </c>
      <c r="E142" s="20" t="s">
        <v>78</v>
      </c>
      <c r="F142" s="20"/>
      <c r="G142" s="20" t="s">
        <v>1464</v>
      </c>
      <c r="H142" s="20" t="s">
        <v>1547</v>
      </c>
      <c r="I142" s="20" t="s">
        <v>926</v>
      </c>
    </row>
    <row r="143" customFormat="false" ht="15" hidden="false" customHeight="false" outlineLevel="0" collapsed="false">
      <c r="A143" s="20" t="s">
        <v>1548</v>
      </c>
      <c r="B143" s="20" t="s">
        <v>1549</v>
      </c>
      <c r="C143" s="20" t="s">
        <v>1550</v>
      </c>
      <c r="D143" s="20" t="s">
        <v>1551</v>
      </c>
      <c r="E143" s="20" t="s">
        <v>67</v>
      </c>
      <c r="F143" s="20" t="s">
        <v>1552</v>
      </c>
      <c r="G143" s="20" t="s">
        <v>1464</v>
      </c>
      <c r="H143" s="20" t="s">
        <v>1553</v>
      </c>
      <c r="I143" s="20" t="s">
        <v>926</v>
      </c>
    </row>
    <row r="144" customFormat="false" ht="15" hidden="false" customHeight="false" outlineLevel="0" collapsed="false">
      <c r="A144" s="20" t="s">
        <v>1554</v>
      </c>
      <c r="B144" s="20" t="s">
        <v>1555</v>
      </c>
      <c r="C144" s="20" t="s">
        <v>1556</v>
      </c>
      <c r="D144" s="20" t="s">
        <v>937</v>
      </c>
      <c r="E144" s="20" t="s">
        <v>923</v>
      </c>
      <c r="F144" s="20"/>
      <c r="G144" s="20" t="s">
        <v>1464</v>
      </c>
      <c r="H144" s="20" t="s">
        <v>1557</v>
      </c>
      <c r="I144" s="20" t="s">
        <v>926</v>
      </c>
    </row>
    <row r="145" customFormat="false" ht="15" hidden="false" customHeight="false" outlineLevel="0" collapsed="false">
      <c r="A145" s="20" t="s">
        <v>1558</v>
      </c>
      <c r="B145" s="20" t="s">
        <v>1192</v>
      </c>
      <c r="C145" s="20" t="s">
        <v>1559</v>
      </c>
      <c r="D145" s="20" t="s">
        <v>1560</v>
      </c>
      <c r="E145" s="20" t="s">
        <v>1025</v>
      </c>
      <c r="F145" s="20" t="s">
        <v>1561</v>
      </c>
      <c r="G145" s="20" t="s">
        <v>1464</v>
      </c>
      <c r="H145" s="20" t="s">
        <v>1562</v>
      </c>
      <c r="I145" s="20" t="s">
        <v>926</v>
      </c>
    </row>
    <row r="146" customFormat="false" ht="15" hidden="false" customHeight="false" outlineLevel="0" collapsed="false">
      <c r="A146" s="20" t="s">
        <v>1563</v>
      </c>
      <c r="B146" s="20" t="s">
        <v>1242</v>
      </c>
      <c r="C146" s="20" t="s">
        <v>1564</v>
      </c>
      <c r="D146" s="20" t="s">
        <v>1565</v>
      </c>
      <c r="E146" s="20" t="s">
        <v>78</v>
      </c>
      <c r="F146" s="20"/>
      <c r="G146" s="20" t="s">
        <v>1566</v>
      </c>
      <c r="H146" s="20" t="s">
        <v>1567</v>
      </c>
      <c r="I146" s="20" t="s">
        <v>926</v>
      </c>
    </row>
    <row r="147" customFormat="false" ht="15" hidden="false" customHeight="false" outlineLevel="0" collapsed="false">
      <c r="A147" s="20" t="s">
        <v>1568</v>
      </c>
      <c r="B147" s="20" t="s">
        <v>1569</v>
      </c>
      <c r="C147" s="20" t="s">
        <v>1570</v>
      </c>
      <c r="D147" s="20" t="s">
        <v>1438</v>
      </c>
      <c r="E147" s="20" t="s">
        <v>67</v>
      </c>
      <c r="F147" s="20" t="s">
        <v>1571</v>
      </c>
      <c r="G147" s="20" t="s">
        <v>1566</v>
      </c>
      <c r="H147" s="20" t="s">
        <v>1572</v>
      </c>
      <c r="I147" s="20" t="s">
        <v>926</v>
      </c>
    </row>
    <row r="148" customFormat="false" ht="15" hidden="false" customHeight="false" outlineLevel="0" collapsed="false">
      <c r="A148" s="20" t="s">
        <v>1573</v>
      </c>
      <c r="B148" s="20" t="s">
        <v>1154</v>
      </c>
      <c r="C148" s="20" t="s">
        <v>1574</v>
      </c>
      <c r="D148" s="20" t="s">
        <v>992</v>
      </c>
      <c r="E148" s="20" t="s">
        <v>931</v>
      </c>
      <c r="F148" s="20" t="s">
        <v>1575</v>
      </c>
      <c r="G148" s="20" t="s">
        <v>1566</v>
      </c>
      <c r="H148" s="20" t="s">
        <v>1576</v>
      </c>
      <c r="I148" s="20" t="s">
        <v>926</v>
      </c>
    </row>
    <row r="149" customFormat="false" ht="15" hidden="false" customHeight="false" outlineLevel="0" collapsed="false">
      <c r="A149" s="20" t="s">
        <v>1577</v>
      </c>
      <c r="B149" s="20" t="s">
        <v>1049</v>
      </c>
      <c r="C149" s="20" t="s">
        <v>1578</v>
      </c>
      <c r="D149" s="20" t="s">
        <v>1579</v>
      </c>
      <c r="E149" s="20" t="s">
        <v>959</v>
      </c>
      <c r="F149" s="20" t="s">
        <v>1580</v>
      </c>
      <c r="G149" s="20" t="s">
        <v>1566</v>
      </c>
      <c r="H149" s="20" t="s">
        <v>1581</v>
      </c>
      <c r="I149" s="20" t="s">
        <v>926</v>
      </c>
    </row>
    <row r="150" customFormat="false" ht="15" hidden="false" customHeight="false" outlineLevel="0" collapsed="false">
      <c r="A150" s="20" t="s">
        <v>1582</v>
      </c>
      <c r="B150" s="20" t="s">
        <v>1192</v>
      </c>
      <c r="C150" s="20" t="s">
        <v>1583</v>
      </c>
      <c r="D150" s="20" t="s">
        <v>1165</v>
      </c>
      <c r="E150" s="20" t="s">
        <v>78</v>
      </c>
      <c r="F150" s="20" t="s">
        <v>1142</v>
      </c>
      <c r="G150" s="20" t="s">
        <v>1566</v>
      </c>
      <c r="H150" s="20" t="s">
        <v>1584</v>
      </c>
      <c r="I150" s="20" t="s">
        <v>926</v>
      </c>
    </row>
    <row r="151" customFormat="false" ht="15" hidden="false" customHeight="false" outlineLevel="0" collapsed="false">
      <c r="A151" s="20" t="s">
        <v>1585</v>
      </c>
      <c r="B151" s="20" t="s">
        <v>920</v>
      </c>
      <c r="C151" s="20" t="s">
        <v>1586</v>
      </c>
      <c r="D151" s="20" t="s">
        <v>1587</v>
      </c>
      <c r="E151" s="20" t="s">
        <v>1057</v>
      </c>
      <c r="F151" s="20"/>
      <c r="G151" s="20" t="s">
        <v>1566</v>
      </c>
      <c r="H151" s="20" t="s">
        <v>1588</v>
      </c>
      <c r="I151" s="20" t="s">
        <v>926</v>
      </c>
    </row>
    <row r="152" customFormat="false" ht="15" hidden="false" customHeight="false" outlineLevel="0" collapsed="false">
      <c r="A152" s="20" t="s">
        <v>1589</v>
      </c>
      <c r="B152" s="20" t="s">
        <v>1070</v>
      </c>
      <c r="C152" s="20" t="s">
        <v>1590</v>
      </c>
      <c r="D152" s="20" t="s">
        <v>1425</v>
      </c>
      <c r="E152" s="20" t="s">
        <v>67</v>
      </c>
      <c r="F152" s="20" t="s">
        <v>1591</v>
      </c>
      <c r="G152" s="20" t="s">
        <v>1566</v>
      </c>
      <c r="H152" s="20" t="s">
        <v>1592</v>
      </c>
      <c r="I152" s="20" t="s">
        <v>926</v>
      </c>
    </row>
    <row r="153" customFormat="false" ht="15" hidden="false" customHeight="false" outlineLevel="0" collapsed="false">
      <c r="A153" s="20" t="s">
        <v>1593</v>
      </c>
      <c r="B153" s="20" t="s">
        <v>1594</v>
      </c>
      <c r="C153" s="20" t="s">
        <v>1595</v>
      </c>
      <c r="D153" s="20" t="s">
        <v>1377</v>
      </c>
      <c r="E153" s="20" t="s">
        <v>1009</v>
      </c>
      <c r="F153" s="20"/>
      <c r="G153" s="20" t="s">
        <v>1566</v>
      </c>
      <c r="H153" s="20" t="s">
        <v>1596</v>
      </c>
      <c r="I153" s="20" t="s">
        <v>926</v>
      </c>
    </row>
    <row r="154" customFormat="false" ht="15" hidden="false" customHeight="false" outlineLevel="0" collapsed="false">
      <c r="A154" s="20" t="s">
        <v>1597</v>
      </c>
      <c r="B154" s="20" t="s">
        <v>1007</v>
      </c>
      <c r="C154" s="20" t="s">
        <v>1598</v>
      </c>
      <c r="D154" s="20" t="s">
        <v>1599</v>
      </c>
      <c r="E154" s="20" t="s">
        <v>923</v>
      </c>
      <c r="F154" s="20"/>
      <c r="G154" s="20" t="s">
        <v>1566</v>
      </c>
      <c r="H154" s="20" t="s">
        <v>1600</v>
      </c>
      <c r="I154" s="20" t="s">
        <v>926</v>
      </c>
    </row>
    <row r="155" customFormat="false" ht="15" hidden="false" customHeight="false" outlineLevel="0" collapsed="false">
      <c r="A155" s="20" t="s">
        <v>1601</v>
      </c>
      <c r="B155" s="20" t="s">
        <v>928</v>
      </c>
      <c r="C155" s="20" t="s">
        <v>1602</v>
      </c>
      <c r="D155" s="20" t="s">
        <v>1603</v>
      </c>
      <c r="E155" s="20" t="s">
        <v>78</v>
      </c>
      <c r="F155" s="20" t="s">
        <v>1260</v>
      </c>
      <c r="G155" s="20" t="s">
        <v>1566</v>
      </c>
      <c r="H155" s="20" t="s">
        <v>1604</v>
      </c>
      <c r="I155" s="20" t="s">
        <v>926</v>
      </c>
    </row>
    <row r="156" customFormat="false" ht="15" hidden="false" customHeight="false" outlineLevel="0" collapsed="false">
      <c r="A156" s="20" t="s">
        <v>1605</v>
      </c>
      <c r="B156" s="20" t="s">
        <v>1606</v>
      </c>
      <c r="C156" s="20" t="s">
        <v>1607</v>
      </c>
      <c r="D156" s="20" t="s">
        <v>972</v>
      </c>
      <c r="E156" s="20" t="s">
        <v>78</v>
      </c>
      <c r="F156" s="20" t="s">
        <v>1608</v>
      </c>
      <c r="G156" s="20" t="s">
        <v>1566</v>
      </c>
      <c r="H156" s="20" t="s">
        <v>1609</v>
      </c>
      <c r="I156" s="20" t="s">
        <v>926</v>
      </c>
    </row>
    <row r="157" customFormat="false" ht="15" hidden="false" customHeight="false" outlineLevel="0" collapsed="false">
      <c r="A157" s="20" t="s">
        <v>1610</v>
      </c>
      <c r="B157" s="20" t="s">
        <v>996</v>
      </c>
      <c r="C157" s="20" t="s">
        <v>1611</v>
      </c>
      <c r="D157" s="20" t="s">
        <v>1612</v>
      </c>
      <c r="E157" s="20" t="s">
        <v>78</v>
      </c>
      <c r="F157" s="20" t="s">
        <v>1416</v>
      </c>
      <c r="G157" s="20" t="s">
        <v>1566</v>
      </c>
      <c r="H157" s="20" t="s">
        <v>1613</v>
      </c>
      <c r="I157" s="20" t="s">
        <v>926</v>
      </c>
    </row>
    <row r="158" customFormat="false" ht="15" hidden="false" customHeight="false" outlineLevel="0" collapsed="false">
      <c r="A158" s="20" t="s">
        <v>1614</v>
      </c>
      <c r="B158" s="20" t="s">
        <v>1007</v>
      </c>
      <c r="C158" s="20" t="s">
        <v>1615</v>
      </c>
      <c r="D158" s="20" t="s">
        <v>937</v>
      </c>
      <c r="E158" s="20" t="s">
        <v>1210</v>
      </c>
      <c r="F158" s="20"/>
      <c r="G158" s="20" t="s">
        <v>1566</v>
      </c>
      <c r="H158" s="20" t="s">
        <v>1616</v>
      </c>
      <c r="I158" s="20" t="s">
        <v>926</v>
      </c>
    </row>
    <row r="159" customFormat="false" ht="15" hidden="false" customHeight="false" outlineLevel="0" collapsed="false">
      <c r="A159" s="20" t="s">
        <v>1617</v>
      </c>
      <c r="B159" s="20" t="s">
        <v>1618</v>
      </c>
      <c r="C159" s="20" t="s">
        <v>1619</v>
      </c>
      <c r="D159" s="20" t="s">
        <v>1620</v>
      </c>
      <c r="E159" s="20" t="s">
        <v>959</v>
      </c>
      <c r="F159" s="20" t="s">
        <v>1621</v>
      </c>
      <c r="G159" s="20" t="s">
        <v>1566</v>
      </c>
      <c r="H159" s="20" t="s">
        <v>1622</v>
      </c>
      <c r="I159" s="20" t="s">
        <v>926</v>
      </c>
    </row>
    <row r="160" customFormat="false" ht="15" hidden="false" customHeight="false" outlineLevel="0" collapsed="false">
      <c r="A160" s="20" t="s">
        <v>1623</v>
      </c>
      <c r="B160" s="20" t="s">
        <v>1624</v>
      </c>
      <c r="C160" s="20" t="s">
        <v>1625</v>
      </c>
      <c r="D160" s="20" t="s">
        <v>1425</v>
      </c>
      <c r="E160" s="20" t="s">
        <v>78</v>
      </c>
      <c r="F160" s="20"/>
      <c r="G160" s="20" t="s">
        <v>1566</v>
      </c>
      <c r="H160" s="20" t="s">
        <v>1626</v>
      </c>
      <c r="I160" s="20" t="s">
        <v>926</v>
      </c>
    </row>
    <row r="161" customFormat="false" ht="15" hidden="false" customHeight="false" outlineLevel="0" collapsed="false">
      <c r="A161" s="20" t="s">
        <v>1627</v>
      </c>
      <c r="B161" s="20" t="s">
        <v>1628</v>
      </c>
      <c r="C161" s="20" t="s">
        <v>1629</v>
      </c>
      <c r="D161" s="20" t="s">
        <v>972</v>
      </c>
      <c r="E161" s="20" t="s">
        <v>1009</v>
      </c>
      <c r="F161" s="20"/>
      <c r="G161" s="20" t="s">
        <v>1566</v>
      </c>
      <c r="H161" s="20" t="s">
        <v>1630</v>
      </c>
      <c r="I161" s="20" t="s">
        <v>926</v>
      </c>
    </row>
    <row r="162" customFormat="false" ht="15" hidden="false" customHeight="false" outlineLevel="0" collapsed="false">
      <c r="A162" s="20" t="s">
        <v>1631</v>
      </c>
      <c r="B162" s="20" t="s">
        <v>920</v>
      </c>
      <c r="C162" s="20" t="s">
        <v>1632</v>
      </c>
      <c r="D162" s="20" t="s">
        <v>930</v>
      </c>
      <c r="E162" s="20" t="s">
        <v>78</v>
      </c>
      <c r="F162" s="20"/>
      <c r="G162" s="20" t="s">
        <v>1566</v>
      </c>
      <c r="H162" s="20" t="s">
        <v>1633</v>
      </c>
      <c r="I162" s="20" t="s">
        <v>926</v>
      </c>
    </row>
    <row r="163" customFormat="false" ht="15" hidden="false" customHeight="false" outlineLevel="0" collapsed="false">
      <c r="A163" s="20" t="s">
        <v>1634</v>
      </c>
      <c r="B163" s="20" t="s">
        <v>1635</v>
      </c>
      <c r="C163" s="20" t="s">
        <v>1636</v>
      </c>
      <c r="D163" s="20" t="s">
        <v>1637</v>
      </c>
      <c r="E163" s="20" t="s">
        <v>78</v>
      </c>
      <c r="F163" s="20" t="s">
        <v>1638</v>
      </c>
      <c r="G163" s="20" t="s">
        <v>1566</v>
      </c>
      <c r="H163" s="20" t="s">
        <v>1639</v>
      </c>
      <c r="I163" s="20" t="s">
        <v>926</v>
      </c>
    </row>
    <row r="164" customFormat="false" ht="15" hidden="false" customHeight="false" outlineLevel="0" collapsed="false">
      <c r="A164" s="20" t="s">
        <v>1640</v>
      </c>
      <c r="B164" s="20" t="s">
        <v>1641</v>
      </c>
      <c r="C164" s="20" t="s">
        <v>1642</v>
      </c>
      <c r="D164" s="20" t="s">
        <v>1127</v>
      </c>
      <c r="E164" s="20" t="s">
        <v>999</v>
      </c>
      <c r="F164" s="20"/>
      <c r="G164" s="20" t="s">
        <v>1566</v>
      </c>
      <c r="H164" s="20" t="s">
        <v>1643</v>
      </c>
      <c r="I164" s="20" t="s">
        <v>926</v>
      </c>
    </row>
    <row r="165" customFormat="false" ht="15" hidden="false" customHeight="false" outlineLevel="0" collapsed="false">
      <c r="A165" s="20" t="s">
        <v>1644</v>
      </c>
      <c r="B165" s="20" t="s">
        <v>1645</v>
      </c>
      <c r="C165" s="20" t="s">
        <v>1646</v>
      </c>
      <c r="D165" s="20" t="s">
        <v>1159</v>
      </c>
      <c r="E165" s="20" t="s">
        <v>966</v>
      </c>
      <c r="F165" s="20" t="s">
        <v>1647</v>
      </c>
      <c r="G165" s="20" t="s">
        <v>1566</v>
      </c>
      <c r="H165" s="20" t="s">
        <v>1648</v>
      </c>
      <c r="I165" s="20" t="s">
        <v>926</v>
      </c>
    </row>
    <row r="166" customFormat="false" ht="15" hidden="false" customHeight="false" outlineLevel="0" collapsed="false">
      <c r="A166" s="20" t="s">
        <v>1649</v>
      </c>
      <c r="B166" s="20" t="s">
        <v>1248</v>
      </c>
      <c r="C166" s="20" t="s">
        <v>1650</v>
      </c>
      <c r="D166" s="20" t="s">
        <v>1127</v>
      </c>
      <c r="E166" s="20" t="s">
        <v>78</v>
      </c>
      <c r="F166" s="20"/>
      <c r="G166" s="20" t="s">
        <v>1566</v>
      </c>
      <c r="H166" s="20" t="s">
        <v>1651</v>
      </c>
      <c r="I166" s="20" t="s">
        <v>926</v>
      </c>
    </row>
    <row r="167" customFormat="false" ht="15" hidden="false" customHeight="false" outlineLevel="0" collapsed="false">
      <c r="A167" s="20" t="s">
        <v>1652</v>
      </c>
      <c r="B167" s="20" t="s">
        <v>920</v>
      </c>
      <c r="C167" s="20" t="s">
        <v>1653</v>
      </c>
      <c r="D167" s="20" t="s">
        <v>972</v>
      </c>
      <c r="E167" s="20" t="s">
        <v>1025</v>
      </c>
      <c r="F167" s="20"/>
      <c r="G167" s="20" t="s">
        <v>1566</v>
      </c>
      <c r="H167" s="20" t="s">
        <v>1654</v>
      </c>
      <c r="I167" s="20" t="s">
        <v>926</v>
      </c>
    </row>
    <row r="168" customFormat="false" ht="15" hidden="false" customHeight="false" outlineLevel="0" collapsed="false">
      <c r="A168" s="20" t="s">
        <v>1655</v>
      </c>
      <c r="B168" s="20" t="s">
        <v>1645</v>
      </c>
      <c r="C168" s="20" t="s">
        <v>1656</v>
      </c>
      <c r="D168" s="20" t="s">
        <v>1510</v>
      </c>
      <c r="E168" s="20" t="s">
        <v>78</v>
      </c>
      <c r="F168" s="20"/>
      <c r="G168" s="20" t="s">
        <v>1566</v>
      </c>
      <c r="H168" s="20" t="s">
        <v>1657</v>
      </c>
      <c r="I168" s="20" t="s">
        <v>926</v>
      </c>
    </row>
    <row r="169" customFormat="false" ht="15" hidden="false" customHeight="false" outlineLevel="0" collapsed="false">
      <c r="A169" s="20" t="s">
        <v>1658</v>
      </c>
      <c r="B169" s="20" t="s">
        <v>1659</v>
      </c>
      <c r="C169" s="20" t="s">
        <v>1660</v>
      </c>
      <c r="D169" s="20" t="s">
        <v>1661</v>
      </c>
      <c r="E169" s="20" t="s">
        <v>931</v>
      </c>
      <c r="F169" s="20" t="s">
        <v>1160</v>
      </c>
      <c r="G169" s="20" t="s">
        <v>1566</v>
      </c>
      <c r="H169" s="20" t="s">
        <v>1662</v>
      </c>
      <c r="I169" s="20" t="s">
        <v>926</v>
      </c>
    </row>
    <row r="170" customFormat="false" ht="15" hidden="false" customHeight="false" outlineLevel="0" collapsed="false">
      <c r="A170" s="20" t="s">
        <v>1663</v>
      </c>
      <c r="B170" s="20" t="s">
        <v>1041</v>
      </c>
      <c r="C170" s="20" t="s">
        <v>1664</v>
      </c>
      <c r="D170" s="20" t="s">
        <v>965</v>
      </c>
      <c r="E170" s="20" t="s">
        <v>78</v>
      </c>
      <c r="F170" s="20" t="s">
        <v>1185</v>
      </c>
      <c r="G170" s="20" t="s">
        <v>1665</v>
      </c>
      <c r="H170" s="20" t="s">
        <v>1666</v>
      </c>
      <c r="I170" s="20" t="s">
        <v>926</v>
      </c>
    </row>
    <row r="171" customFormat="false" ht="15" hidden="false" customHeight="false" outlineLevel="0" collapsed="false">
      <c r="A171" s="20" t="s">
        <v>1667</v>
      </c>
      <c r="B171" s="20" t="s">
        <v>928</v>
      </c>
      <c r="C171" s="20" t="s">
        <v>1668</v>
      </c>
      <c r="D171" s="20" t="s">
        <v>1669</v>
      </c>
      <c r="E171" s="20" t="s">
        <v>959</v>
      </c>
      <c r="F171" s="20" t="s">
        <v>1670</v>
      </c>
      <c r="G171" s="20" t="s">
        <v>1665</v>
      </c>
      <c r="H171" s="20" t="s">
        <v>1671</v>
      </c>
      <c r="I171" s="20" t="s">
        <v>926</v>
      </c>
    </row>
    <row r="172" customFormat="false" ht="15" hidden="false" customHeight="false" outlineLevel="0" collapsed="false">
      <c r="A172" s="20" t="s">
        <v>1672</v>
      </c>
      <c r="B172" s="20" t="s">
        <v>1673</v>
      </c>
      <c r="C172" s="20" t="s">
        <v>1674</v>
      </c>
      <c r="D172" s="20" t="s">
        <v>1127</v>
      </c>
      <c r="E172" s="20" t="s">
        <v>1025</v>
      </c>
      <c r="F172" s="20"/>
      <c r="G172" s="20" t="s">
        <v>1665</v>
      </c>
      <c r="H172" s="20" t="s">
        <v>1675</v>
      </c>
      <c r="I172" s="20" t="s">
        <v>926</v>
      </c>
    </row>
    <row r="173" customFormat="false" ht="15" hidden="false" customHeight="false" outlineLevel="0" collapsed="false">
      <c r="A173" s="20" t="s">
        <v>919</v>
      </c>
      <c r="B173" s="20" t="s">
        <v>920</v>
      </c>
      <c r="C173" s="20" t="s">
        <v>921</v>
      </c>
      <c r="D173" s="20" t="s">
        <v>922</v>
      </c>
      <c r="E173" s="20" t="s">
        <v>923</v>
      </c>
      <c r="F173" s="20"/>
      <c r="G173" s="20" t="s">
        <v>1665</v>
      </c>
      <c r="H173" s="20" t="s">
        <v>925</v>
      </c>
      <c r="I173" s="20" t="s">
        <v>926</v>
      </c>
    </row>
    <row r="174" customFormat="false" ht="15" hidden="false" customHeight="false" outlineLevel="0" collapsed="false">
      <c r="A174" s="20" t="s">
        <v>1676</v>
      </c>
      <c r="B174" s="20" t="s">
        <v>1140</v>
      </c>
      <c r="C174" s="20" t="s">
        <v>1677</v>
      </c>
      <c r="D174" s="20" t="s">
        <v>1678</v>
      </c>
      <c r="E174" s="20" t="s">
        <v>959</v>
      </c>
      <c r="F174" s="20" t="s">
        <v>1679</v>
      </c>
      <c r="G174" s="20" t="s">
        <v>1665</v>
      </c>
      <c r="H174" s="20" t="s">
        <v>1680</v>
      </c>
      <c r="I174" s="20" t="s">
        <v>926</v>
      </c>
    </row>
    <row r="175" customFormat="false" ht="15" hidden="false" customHeight="false" outlineLevel="0" collapsed="false">
      <c r="A175" s="20" t="s">
        <v>1681</v>
      </c>
      <c r="B175" s="20" t="s">
        <v>1192</v>
      </c>
      <c r="C175" s="20" t="s">
        <v>1682</v>
      </c>
      <c r="D175" s="20" t="s">
        <v>1683</v>
      </c>
      <c r="E175" s="20" t="s">
        <v>78</v>
      </c>
      <c r="F175" s="20" t="s">
        <v>1670</v>
      </c>
      <c r="G175" s="20" t="s">
        <v>1665</v>
      </c>
      <c r="H175" s="20" t="s">
        <v>1684</v>
      </c>
      <c r="I175" s="20" t="s">
        <v>926</v>
      </c>
    </row>
    <row r="176" customFormat="false" ht="15" hidden="false" customHeight="false" outlineLevel="0" collapsed="false">
      <c r="A176" s="20" t="s">
        <v>1685</v>
      </c>
      <c r="B176" s="20" t="s">
        <v>1686</v>
      </c>
      <c r="C176" s="20" t="s">
        <v>1687</v>
      </c>
      <c r="D176" s="20" t="s">
        <v>992</v>
      </c>
      <c r="E176" s="20" t="s">
        <v>959</v>
      </c>
      <c r="F176" s="20" t="s">
        <v>1688</v>
      </c>
      <c r="G176" s="20" t="s">
        <v>1665</v>
      </c>
      <c r="H176" s="20" t="s">
        <v>1689</v>
      </c>
      <c r="I176" s="20" t="s">
        <v>926</v>
      </c>
    </row>
    <row r="177" customFormat="false" ht="15" hidden="false" customHeight="false" outlineLevel="0" collapsed="false">
      <c r="A177" s="20" t="s">
        <v>1690</v>
      </c>
      <c r="B177" s="20" t="s">
        <v>920</v>
      </c>
      <c r="C177" s="20" t="s">
        <v>1691</v>
      </c>
      <c r="D177" s="20" t="s">
        <v>1355</v>
      </c>
      <c r="E177" s="20" t="s">
        <v>959</v>
      </c>
      <c r="F177" s="20" t="s">
        <v>1679</v>
      </c>
      <c r="G177" s="20" t="s">
        <v>1665</v>
      </c>
      <c r="H177" s="20" t="s">
        <v>1692</v>
      </c>
      <c r="I177" s="20" t="s">
        <v>926</v>
      </c>
    </row>
    <row r="178" customFormat="false" ht="15" hidden="false" customHeight="false" outlineLevel="0" collapsed="false">
      <c r="A178" s="20" t="s">
        <v>1693</v>
      </c>
      <c r="B178" s="20" t="s">
        <v>1694</v>
      </c>
      <c r="C178" s="20" t="s">
        <v>1695</v>
      </c>
      <c r="D178" s="20" t="s">
        <v>1438</v>
      </c>
      <c r="E178" s="20" t="s">
        <v>959</v>
      </c>
      <c r="F178" s="20" t="s">
        <v>1679</v>
      </c>
      <c r="G178" s="20" t="s">
        <v>1665</v>
      </c>
      <c r="H178" s="20" t="s">
        <v>1696</v>
      </c>
      <c r="I178" s="20" t="s">
        <v>926</v>
      </c>
    </row>
    <row r="179" customFormat="false" ht="15" hidden="false" customHeight="false" outlineLevel="0" collapsed="false">
      <c r="A179" s="20" t="s">
        <v>1697</v>
      </c>
      <c r="B179" s="20"/>
      <c r="C179" s="20" t="s">
        <v>1698</v>
      </c>
      <c r="D179" s="20"/>
      <c r="E179" s="20" t="s">
        <v>931</v>
      </c>
      <c r="F179" s="20" t="s">
        <v>1699</v>
      </c>
      <c r="G179" s="20" t="s">
        <v>1665</v>
      </c>
      <c r="H179" s="20" t="s">
        <v>1700</v>
      </c>
      <c r="I179" s="20" t="s">
        <v>926</v>
      </c>
    </row>
    <row r="180" customFormat="false" ht="15" hidden="false" customHeight="false" outlineLevel="0" collapsed="false">
      <c r="A180" s="20" t="s">
        <v>1701</v>
      </c>
      <c r="B180" s="20" t="s">
        <v>1702</v>
      </c>
      <c r="C180" s="20" t="s">
        <v>1703</v>
      </c>
      <c r="D180" s="20" t="s">
        <v>1704</v>
      </c>
      <c r="E180" s="20" t="s">
        <v>78</v>
      </c>
      <c r="F180" s="20" t="s">
        <v>1580</v>
      </c>
      <c r="G180" s="20" t="s">
        <v>1665</v>
      </c>
      <c r="H180" s="20" t="s">
        <v>1705</v>
      </c>
      <c r="I180" s="20" t="s">
        <v>926</v>
      </c>
    </row>
    <row r="181" customFormat="false" ht="15" hidden="false" customHeight="false" outlineLevel="0" collapsed="false">
      <c r="A181" s="20" t="s">
        <v>1706</v>
      </c>
      <c r="B181" s="20" t="s">
        <v>1707</v>
      </c>
      <c r="C181" s="20" t="s">
        <v>1708</v>
      </c>
      <c r="D181" s="20" t="s">
        <v>972</v>
      </c>
      <c r="E181" s="20" t="s">
        <v>78</v>
      </c>
      <c r="F181" s="20" t="s">
        <v>1234</v>
      </c>
      <c r="G181" s="20" t="s">
        <v>1665</v>
      </c>
      <c r="H181" s="20" t="s">
        <v>1709</v>
      </c>
      <c r="I181" s="20" t="s">
        <v>926</v>
      </c>
    </row>
    <row r="182" customFormat="false" ht="15" hidden="false" customHeight="false" outlineLevel="0" collapsed="false">
      <c r="A182" s="20" t="s">
        <v>1710</v>
      </c>
      <c r="B182" s="20" t="s">
        <v>920</v>
      </c>
      <c r="C182" s="20" t="s">
        <v>1711</v>
      </c>
      <c r="D182" s="20" t="s">
        <v>1383</v>
      </c>
      <c r="E182" s="20" t="s">
        <v>78</v>
      </c>
      <c r="F182" s="20" t="s">
        <v>1712</v>
      </c>
      <c r="G182" s="20" t="s">
        <v>1665</v>
      </c>
      <c r="H182" s="20" t="s">
        <v>1713</v>
      </c>
      <c r="I182" s="20" t="s">
        <v>926</v>
      </c>
    </row>
    <row r="183" customFormat="false" ht="15" hidden="false" customHeight="false" outlineLevel="0" collapsed="false">
      <c r="A183" s="20" t="s">
        <v>1714</v>
      </c>
      <c r="B183" s="20" t="s">
        <v>1715</v>
      </c>
      <c r="C183" s="20" t="s">
        <v>1716</v>
      </c>
      <c r="D183" s="20" t="s">
        <v>1425</v>
      </c>
      <c r="E183" s="20" t="s">
        <v>999</v>
      </c>
      <c r="F183" s="20"/>
      <c r="G183" s="20" t="s">
        <v>1665</v>
      </c>
      <c r="H183" s="20" t="s">
        <v>1717</v>
      </c>
      <c r="I183" s="20" t="s">
        <v>926</v>
      </c>
    </row>
    <row r="184" customFormat="false" ht="15" hidden="false" customHeight="false" outlineLevel="0" collapsed="false">
      <c r="A184" s="20" t="s">
        <v>1718</v>
      </c>
      <c r="B184" s="20" t="s">
        <v>1719</v>
      </c>
      <c r="C184" s="20" t="s">
        <v>1720</v>
      </c>
      <c r="D184" s="20" t="s">
        <v>1721</v>
      </c>
      <c r="E184" s="20" t="s">
        <v>78</v>
      </c>
      <c r="F184" s="20" t="s">
        <v>1722</v>
      </c>
      <c r="G184" s="20" t="s">
        <v>1665</v>
      </c>
      <c r="H184" s="20" t="s">
        <v>1723</v>
      </c>
      <c r="I184" s="20" t="s">
        <v>926</v>
      </c>
    </row>
    <row r="185" customFormat="false" ht="15" hidden="false" customHeight="false" outlineLevel="0" collapsed="false">
      <c r="A185" s="20" t="s">
        <v>1724</v>
      </c>
      <c r="B185" s="20" t="s">
        <v>928</v>
      </c>
      <c r="C185" s="20" t="s">
        <v>1725</v>
      </c>
      <c r="D185" s="20" t="s">
        <v>1037</v>
      </c>
      <c r="E185" s="20" t="s">
        <v>78</v>
      </c>
      <c r="F185" s="20" t="s">
        <v>1679</v>
      </c>
      <c r="G185" s="20" t="s">
        <v>1665</v>
      </c>
      <c r="H185" s="20" t="s">
        <v>1726</v>
      </c>
      <c r="I185" s="20" t="s">
        <v>926</v>
      </c>
    </row>
    <row r="186" customFormat="false" ht="15" hidden="false" customHeight="false" outlineLevel="0" collapsed="false">
      <c r="A186" s="20" t="s">
        <v>1727</v>
      </c>
      <c r="B186" s="20"/>
      <c r="C186" s="20" t="s">
        <v>1728</v>
      </c>
      <c r="D186" s="20"/>
      <c r="E186" s="20" t="s">
        <v>931</v>
      </c>
      <c r="F186" s="20" t="s">
        <v>1699</v>
      </c>
      <c r="G186" s="20" t="s">
        <v>1665</v>
      </c>
      <c r="H186" s="20" t="s">
        <v>1729</v>
      </c>
      <c r="I186" s="20" t="s">
        <v>926</v>
      </c>
    </row>
    <row r="187" customFormat="false" ht="15" hidden="false" customHeight="false" outlineLevel="0" collapsed="false">
      <c r="A187" s="20" t="s">
        <v>1730</v>
      </c>
      <c r="B187" s="20" t="s">
        <v>1731</v>
      </c>
      <c r="C187" s="20" t="s">
        <v>1732</v>
      </c>
      <c r="D187" s="20" t="s">
        <v>992</v>
      </c>
      <c r="E187" s="20" t="s">
        <v>931</v>
      </c>
      <c r="F187" s="20" t="s">
        <v>1580</v>
      </c>
      <c r="G187" s="20" t="s">
        <v>1665</v>
      </c>
      <c r="H187" s="20" t="s">
        <v>1733</v>
      </c>
      <c r="I187" s="20" t="s">
        <v>926</v>
      </c>
    </row>
    <row r="188" customFormat="false" ht="15" hidden="false" customHeight="false" outlineLevel="0" collapsed="false">
      <c r="A188" s="20" t="s">
        <v>1477</v>
      </c>
      <c r="B188" s="20" t="s">
        <v>1478</v>
      </c>
      <c r="C188" s="20" t="s">
        <v>1479</v>
      </c>
      <c r="D188" s="20" t="s">
        <v>1480</v>
      </c>
      <c r="E188" s="20" t="s">
        <v>78</v>
      </c>
      <c r="F188" s="20" t="s">
        <v>1481</v>
      </c>
      <c r="G188" s="20" t="s">
        <v>1665</v>
      </c>
      <c r="H188" s="20" t="s">
        <v>1482</v>
      </c>
      <c r="I188" s="20" t="s">
        <v>926</v>
      </c>
    </row>
    <row r="189" customFormat="false" ht="15" hidden="false" customHeight="false" outlineLevel="0" collapsed="false">
      <c r="A189" s="20" t="s">
        <v>1734</v>
      </c>
      <c r="B189" s="20" t="s">
        <v>1375</v>
      </c>
      <c r="C189" s="20" t="s">
        <v>1735</v>
      </c>
      <c r="D189" s="20" t="s">
        <v>1736</v>
      </c>
      <c r="E189" s="20" t="s">
        <v>78</v>
      </c>
      <c r="F189" s="20"/>
      <c r="G189" s="20" t="s">
        <v>1665</v>
      </c>
      <c r="H189" s="20" t="s">
        <v>1737</v>
      </c>
      <c r="I189" s="20" t="s">
        <v>926</v>
      </c>
    </row>
    <row r="190" customFormat="false" ht="15" hidden="false" customHeight="false" outlineLevel="0" collapsed="false">
      <c r="A190" s="20" t="s">
        <v>981</v>
      </c>
      <c r="B190" s="20" t="s">
        <v>920</v>
      </c>
      <c r="C190" s="20" t="s">
        <v>982</v>
      </c>
      <c r="D190" s="20" t="s">
        <v>930</v>
      </c>
      <c r="E190" s="20" t="s">
        <v>78</v>
      </c>
      <c r="F190" s="20"/>
      <c r="G190" s="20" t="s">
        <v>1665</v>
      </c>
      <c r="H190" s="20" t="s">
        <v>983</v>
      </c>
      <c r="I190" s="20" t="s">
        <v>926</v>
      </c>
    </row>
    <row r="191" customFormat="false" ht="15" hidden="false" customHeight="false" outlineLevel="0" collapsed="false">
      <c r="A191" s="20" t="s">
        <v>1738</v>
      </c>
      <c r="B191" s="20" t="s">
        <v>935</v>
      </c>
      <c r="C191" s="20" t="s">
        <v>1739</v>
      </c>
      <c r="D191" s="20" t="s">
        <v>1683</v>
      </c>
      <c r="E191" s="20" t="s">
        <v>959</v>
      </c>
      <c r="F191" s="20" t="s">
        <v>1740</v>
      </c>
      <c r="G191" s="20" t="s">
        <v>1665</v>
      </c>
      <c r="H191" s="20" t="s">
        <v>1741</v>
      </c>
      <c r="I191" s="20" t="s">
        <v>926</v>
      </c>
    </row>
    <row r="192" customFormat="false" ht="15" hidden="false" customHeight="false" outlineLevel="0" collapsed="false">
      <c r="A192" s="20" t="s">
        <v>1742</v>
      </c>
      <c r="B192" s="20" t="s">
        <v>920</v>
      </c>
      <c r="C192" s="20" t="s">
        <v>1743</v>
      </c>
      <c r="D192" s="20" t="s">
        <v>1127</v>
      </c>
      <c r="E192" s="20" t="s">
        <v>931</v>
      </c>
      <c r="F192" s="20" t="s">
        <v>1744</v>
      </c>
      <c r="G192" s="20" t="s">
        <v>1665</v>
      </c>
      <c r="H192" s="20" t="s">
        <v>1745</v>
      </c>
      <c r="I192" s="20" t="s">
        <v>926</v>
      </c>
    </row>
    <row r="193" customFormat="false" ht="15" hidden="false" customHeight="false" outlineLevel="0" collapsed="false">
      <c r="A193" s="20" t="s">
        <v>1746</v>
      </c>
      <c r="B193" s="20" t="s">
        <v>1375</v>
      </c>
      <c r="C193" s="20" t="s">
        <v>1747</v>
      </c>
      <c r="D193" s="20" t="s">
        <v>1127</v>
      </c>
      <c r="E193" s="20" t="s">
        <v>931</v>
      </c>
      <c r="F193" s="20" t="s">
        <v>1748</v>
      </c>
      <c r="G193" s="20" t="s">
        <v>1665</v>
      </c>
      <c r="H193" s="20" t="s">
        <v>1749</v>
      </c>
      <c r="I193" s="20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21" t="s">
        <v>1750</v>
      </c>
    </row>
    <row r="2" customFormat="false" ht="15" hidden="false" customHeight="false" outlineLevel="0" collapsed="false">
      <c r="A2" s="22"/>
    </row>
    <row r="3" customFormat="false" ht="15" hidden="false" customHeight="false" outlineLevel="0" collapsed="false">
      <c r="A3" s="22" t="s">
        <v>1751</v>
      </c>
    </row>
    <row r="4" customFormat="false" ht="15" hidden="false" customHeight="false" outlineLevel="0" collapsed="false">
      <c r="A4" s="22" t="s">
        <v>1752</v>
      </c>
    </row>
    <row r="5" customFormat="false" ht="15" hidden="false" customHeight="false" outlineLevel="0" collapsed="false">
      <c r="A5" s="22" t="s">
        <v>1753</v>
      </c>
    </row>
    <row r="6" customFormat="false" ht="15" hidden="false" customHeight="false" outlineLevel="0" collapsed="false">
      <c r="A6" s="22"/>
    </row>
    <row r="7" customFormat="false" ht="15" hidden="false" customHeight="false" outlineLevel="0" collapsed="false">
      <c r="A7" s="22" t="s">
        <v>1754</v>
      </c>
    </row>
    <row r="8" customFormat="false" ht="15" hidden="false" customHeight="false" outlineLevel="0" collapsed="false">
      <c r="A8" s="22" t="s">
        <v>1755</v>
      </c>
    </row>
    <row r="9" customFormat="false" ht="15" hidden="false" customHeight="false" outlineLevel="0" collapsed="false">
      <c r="A9" s="22"/>
    </row>
    <row r="10" customFormat="false" ht="15" hidden="false" customHeight="false" outlineLevel="0" collapsed="false">
      <c r="A10" s="22" t="s">
        <v>1756</v>
      </c>
    </row>
    <row r="11" customFormat="false" ht="15" hidden="false" customHeight="false" outlineLevel="0" collapsed="false">
      <c r="A11" s="22" t="s">
        <v>1757</v>
      </c>
    </row>
    <row r="12" customFormat="false" ht="15" hidden="false" customHeight="false" outlineLevel="0" collapsed="false">
      <c r="A12" s="22" t="s">
        <v>1758</v>
      </c>
    </row>
    <row r="13" customFormat="false" ht="15" hidden="false" customHeight="false" outlineLevel="0" collapsed="false">
      <c r="A13" s="22" t="s">
        <v>1759</v>
      </c>
    </row>
    <row r="14" customFormat="false" ht="15" hidden="false" customHeight="false" outlineLevel="0" collapsed="false">
      <c r="A14" s="22"/>
    </row>
    <row r="15" customFormat="false" ht="15" hidden="false" customHeight="false" outlineLevel="0" collapsed="false">
      <c r="A15" s="22" t="s">
        <v>1760</v>
      </c>
    </row>
    <row r="16" customFormat="false" ht="15" hidden="false" customHeight="false" outlineLevel="0" collapsed="false">
      <c r="A16" s="22" t="s">
        <v>1761</v>
      </c>
    </row>
    <row r="17" customFormat="false" ht="15" hidden="false" customHeight="false" outlineLevel="0" collapsed="false">
      <c r="A17" s="22"/>
    </row>
    <row r="18" customFormat="false" ht="15" hidden="false" customHeight="false" outlineLevel="0" collapsed="false">
      <c r="A18" s="22" t="s">
        <v>1762</v>
      </c>
    </row>
    <row r="19" customFormat="false" ht="15" hidden="false" customHeight="false" outlineLevel="0" collapsed="false">
      <c r="A19" s="22" t="s">
        <v>1763</v>
      </c>
    </row>
    <row r="20" customFormat="false" ht="23.85" hidden="false" customHeight="false" outlineLevel="0" collapsed="false">
      <c r="A20" s="22" t="s">
        <v>1764</v>
      </c>
    </row>
    <row r="21" customFormat="false" ht="15" hidden="false" customHeight="false" outlineLevel="0" collapsed="false">
      <c r="A21" s="22"/>
    </row>
    <row r="22" customFormat="false" ht="15" hidden="false" customHeight="false" outlineLevel="0" collapsed="false">
      <c r="A22" s="22" t="s">
        <v>1765</v>
      </c>
    </row>
    <row r="23" customFormat="false" ht="15" hidden="false" customHeight="false" outlineLevel="0" collapsed="false">
      <c r="A23" s="22" t="s">
        <v>1766</v>
      </c>
    </row>
    <row r="24" customFormat="false" ht="15" hidden="false" customHeight="false" outlineLevel="0" collapsed="false">
      <c r="A24" s="22" t="s">
        <v>1767</v>
      </c>
    </row>
    <row r="25" customFormat="false" ht="15" hidden="false" customHeight="false" outlineLevel="0" collapsed="false">
      <c r="A25" s="22"/>
    </row>
    <row r="26" customFormat="false" ht="15" hidden="false" customHeight="false" outlineLevel="0" collapsed="false">
      <c r="A26" s="22" t="s">
        <v>1768</v>
      </c>
    </row>
    <row r="27" customFormat="false" ht="15" hidden="false" customHeight="false" outlineLevel="0" collapsed="false">
      <c r="A27" s="22" t="s">
        <v>1769</v>
      </c>
    </row>
    <row r="28" customFormat="false" ht="15" hidden="false" customHeight="false" outlineLevel="0" collapsed="false">
      <c r="A28" s="22" t="s">
        <v>1770</v>
      </c>
    </row>
    <row r="29" customFormat="false" ht="15" hidden="false" customHeight="false" outlineLevel="0" collapsed="false">
      <c r="A29" s="22" t="s">
        <v>1771</v>
      </c>
    </row>
    <row r="30" customFormat="false" ht="15" hidden="false" customHeight="false" outlineLevel="0" collapsed="false">
      <c r="A30" s="22"/>
    </row>
    <row r="31" customFormat="false" ht="15" hidden="false" customHeight="false" outlineLevel="0" collapsed="false">
      <c r="A31" s="22" t="s">
        <v>1772</v>
      </c>
    </row>
    <row r="32" customFormat="false" ht="15" hidden="false" customHeight="false" outlineLevel="0" collapsed="false">
      <c r="A32" s="22" t="s">
        <v>1773</v>
      </c>
    </row>
    <row r="33" customFormat="false" ht="15" hidden="false" customHeight="false" outlineLevel="0" collapsed="false">
      <c r="A33" s="22" t="s">
        <v>1774</v>
      </c>
    </row>
    <row r="34" customFormat="false" ht="15" hidden="false" customHeight="false" outlineLevel="0" collapsed="false">
      <c r="A34" s="22"/>
    </row>
    <row r="35" customFormat="false" ht="15" hidden="false" customHeight="false" outlineLevel="0" collapsed="false">
      <c r="A35" s="22" t="s">
        <v>1775</v>
      </c>
    </row>
    <row r="36" customFormat="false" ht="15" hidden="false" customHeight="false" outlineLevel="0" collapsed="false">
      <c r="A36" s="22" t="s">
        <v>1776</v>
      </c>
    </row>
    <row r="37" customFormat="false" ht="15" hidden="false" customHeight="false" outlineLevel="0" collapsed="false">
      <c r="A37" s="22" t="s">
        <v>1777</v>
      </c>
    </row>
    <row r="38" customFormat="false" ht="15" hidden="false" customHeight="false" outlineLevel="0" collapsed="false">
      <c r="A38" s="22" t="s">
        <v>1778</v>
      </c>
    </row>
    <row r="39" customFormat="false" ht="15" hidden="false" customHeight="false" outlineLevel="0" collapsed="false">
      <c r="A39" s="22" t="s">
        <v>1779</v>
      </c>
    </row>
    <row r="40" customFormat="false" ht="15" hidden="false" customHeight="false" outlineLevel="0" collapsed="false">
      <c r="A40" s="22" t="s">
        <v>1780</v>
      </c>
    </row>
    <row r="41" customFormat="false" ht="15" hidden="false" customHeight="false" outlineLevel="0" collapsed="false">
      <c r="A41" s="22"/>
    </row>
    <row r="42" customFormat="false" ht="15" hidden="false" customHeight="false" outlineLevel="0" collapsed="false">
      <c r="A42" s="22" t="s">
        <v>1781</v>
      </c>
    </row>
    <row r="43" customFormat="false" ht="15" hidden="false" customHeight="false" outlineLevel="0" collapsed="false">
      <c r="A43" s="22" t="s">
        <v>1782</v>
      </c>
    </row>
    <row r="44" customFormat="false" ht="15" hidden="false" customHeight="false" outlineLevel="0" collapsed="false">
      <c r="A44" s="22"/>
    </row>
    <row r="45" customFormat="false" ht="15" hidden="false" customHeight="false" outlineLevel="0" collapsed="false">
      <c r="A45" s="22" t="s">
        <v>1783</v>
      </c>
    </row>
    <row r="46" customFormat="false" ht="15" hidden="false" customHeight="false" outlineLevel="0" collapsed="false">
      <c r="A46" s="22" t="s">
        <v>1784</v>
      </c>
    </row>
    <row r="47" customFormat="false" ht="15" hidden="false" customHeight="false" outlineLevel="0" collapsed="false">
      <c r="A47" s="22" t="s">
        <v>1785</v>
      </c>
    </row>
    <row r="48" customFormat="false" ht="15" hidden="false" customHeight="false" outlineLevel="0" collapsed="false">
      <c r="A48" s="22" t="s">
        <v>1786</v>
      </c>
    </row>
    <row r="49" customFormat="false" ht="15" hidden="false" customHeight="false" outlineLevel="0" collapsed="false">
      <c r="A49" s="22"/>
    </row>
    <row r="50" customFormat="false" ht="15" hidden="false" customHeight="false" outlineLevel="0" collapsed="false">
      <c r="A50" s="22" t="s">
        <v>1787</v>
      </c>
    </row>
    <row r="51" customFormat="false" ht="15" hidden="false" customHeight="false" outlineLevel="0" collapsed="false">
      <c r="A51" s="22" t="s">
        <v>1788</v>
      </c>
    </row>
    <row r="52" customFormat="false" ht="15" hidden="false" customHeight="false" outlineLevel="0" collapsed="false">
      <c r="A52" s="22"/>
    </row>
    <row r="53" customFormat="false" ht="15" hidden="false" customHeight="false" outlineLevel="0" collapsed="false">
      <c r="A53" s="22" t="s">
        <v>1789</v>
      </c>
    </row>
    <row r="54" customFormat="false" ht="15" hidden="false" customHeight="false" outlineLevel="0" collapsed="false">
      <c r="A54" s="22"/>
    </row>
    <row r="55" customFormat="false" ht="15" hidden="false" customHeight="false" outlineLevel="0" collapsed="false">
      <c r="A55" s="22" t="s">
        <v>1790</v>
      </c>
    </row>
    <row r="56" customFormat="false" ht="15" hidden="false" customHeight="false" outlineLevel="0" collapsed="false">
      <c r="A56" s="22" t="s">
        <v>1791</v>
      </c>
    </row>
    <row r="57" customFormat="false" ht="15" hidden="false" customHeight="false" outlineLevel="0" collapsed="false">
      <c r="A57" s="22" t="s">
        <v>1792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2026-09-19T19:59:42Z</dcterms:created>
  <dc:creator>openpyxl</dc:creator>
  <dc:description/>
  <dc:language>en-US</dc:language>
  <cp:lastModifiedBy/>
  <dcterms:modified xsi:type="dcterms:W3CDTF">2026-09-19T19:59:48Z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